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jcarl\.gemini\antigravity\scratch\administrative-requests\backend\templates\"/>
    </mc:Choice>
  </mc:AlternateContent>
  <xr:revisionPtr revIDLastSave="0" documentId="13_ncr:1_{7745EF2F-AF67-4C07-86F9-1D3E31A194FE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FORMATO" sheetId="98" r:id="rId1"/>
  </sheets>
  <definedNames>
    <definedName name="Print_Area" localSheetId="0">FORMATO!$A$1:$O$75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40" i="98" l="1"/>
  <c r="N40" i="98"/>
  <c r="M40" i="98"/>
  <c r="J40" i="98"/>
  <c r="I40" i="98"/>
  <c r="H40" i="98"/>
  <c r="O41" i="98"/>
  <c r="N41" i="98"/>
  <c r="M41" i="98"/>
  <c r="J41" i="98"/>
  <c r="I41" i="98"/>
  <c r="H41" i="98"/>
  <c r="O38" i="98"/>
  <c r="N38" i="98"/>
  <c r="M38" i="98"/>
  <c r="J38" i="98"/>
  <c r="I38" i="98"/>
  <c r="H38" i="98"/>
  <c r="O39" i="98"/>
  <c r="N39" i="98"/>
  <c r="M39" i="98"/>
  <c r="J39" i="98"/>
  <c r="I39" i="98"/>
  <c r="H39" i="98"/>
  <c r="O66" i="98"/>
  <c r="N66" i="98"/>
  <c r="M66" i="98"/>
  <c r="J66" i="98"/>
  <c r="I66" i="98"/>
  <c r="H66" i="98"/>
  <c r="O65" i="98"/>
  <c r="N65" i="98"/>
  <c r="M65" i="98"/>
  <c r="J65" i="98"/>
  <c r="I65" i="98"/>
  <c r="H65" i="98"/>
  <c r="O64" i="98"/>
  <c r="N64" i="98"/>
  <c r="M64" i="98"/>
  <c r="J64" i="98"/>
  <c r="I64" i="98"/>
  <c r="H64" i="98"/>
  <c r="O63" i="98"/>
  <c r="N63" i="98"/>
  <c r="M63" i="98"/>
  <c r="J63" i="98"/>
  <c r="I63" i="98"/>
  <c r="H63" i="98"/>
  <c r="O62" i="98"/>
  <c r="N62" i="98"/>
  <c r="M62" i="98"/>
  <c r="J62" i="98"/>
  <c r="I62" i="98"/>
  <c r="H62" i="98"/>
  <c r="O61" i="98"/>
  <c r="N61" i="98"/>
  <c r="M61" i="98"/>
  <c r="J61" i="98"/>
  <c r="I61" i="98"/>
  <c r="H61" i="98"/>
  <c r="O60" i="98"/>
  <c r="N60" i="98"/>
  <c r="M60" i="98"/>
  <c r="J60" i="98"/>
  <c r="I60" i="98"/>
  <c r="H60" i="98"/>
  <c r="O59" i="98"/>
  <c r="N59" i="98"/>
  <c r="M59" i="98"/>
  <c r="J59" i="98"/>
  <c r="I59" i="98"/>
  <c r="H59" i="98"/>
  <c r="O58" i="98"/>
  <c r="N58" i="98"/>
  <c r="M58" i="98"/>
  <c r="J58" i="98"/>
  <c r="I58" i="98"/>
  <c r="H58" i="98"/>
  <c r="O57" i="98"/>
  <c r="N57" i="98"/>
  <c r="M57" i="98"/>
  <c r="J57" i="98"/>
  <c r="I57" i="98"/>
  <c r="H57" i="98"/>
  <c r="O56" i="98"/>
  <c r="N56" i="98"/>
  <c r="M56" i="98"/>
  <c r="J56" i="98"/>
  <c r="I56" i="98"/>
  <c r="H56" i="98"/>
  <c r="O55" i="98"/>
  <c r="N55" i="98"/>
  <c r="M55" i="98"/>
  <c r="J55" i="98"/>
  <c r="I55" i="98"/>
  <c r="H55" i="98"/>
  <c r="O54" i="98"/>
  <c r="N54" i="98"/>
  <c r="M54" i="98"/>
  <c r="J54" i="98"/>
  <c r="I54" i="98"/>
  <c r="H54" i="98"/>
  <c r="O53" i="98"/>
  <c r="N53" i="98"/>
  <c r="M53" i="98"/>
  <c r="J53" i="98"/>
  <c r="I53" i="98"/>
  <c r="H53" i="98"/>
  <c r="O52" i="98"/>
  <c r="N52" i="98"/>
  <c r="M52" i="98"/>
  <c r="J52" i="98"/>
  <c r="I52" i="98"/>
  <c r="H52" i="98"/>
  <c r="O51" i="98"/>
  <c r="N51" i="98"/>
  <c r="M51" i="98"/>
  <c r="J51" i="98"/>
  <c r="I51" i="98"/>
  <c r="H51" i="98"/>
  <c r="O50" i="98"/>
  <c r="N50" i="98"/>
  <c r="M50" i="98"/>
  <c r="J50" i="98"/>
  <c r="I50" i="98"/>
  <c r="H50" i="98"/>
  <c r="O49" i="98"/>
  <c r="N49" i="98"/>
  <c r="M49" i="98"/>
  <c r="J49" i="98"/>
  <c r="I49" i="98"/>
  <c r="H49" i="98"/>
  <c r="O48" i="98"/>
  <c r="N48" i="98"/>
  <c r="M48" i="98"/>
  <c r="J48" i="98"/>
  <c r="I48" i="98"/>
  <c r="H48" i="98"/>
  <c r="O47" i="98"/>
  <c r="N47" i="98"/>
  <c r="M47" i="98"/>
  <c r="J47" i="98"/>
  <c r="I47" i="98"/>
  <c r="H47" i="98"/>
  <c r="O46" i="98"/>
  <c r="N46" i="98"/>
  <c r="M46" i="98"/>
  <c r="J46" i="98"/>
  <c r="I46" i="98"/>
  <c r="H46" i="98"/>
  <c r="O45" i="98"/>
  <c r="N45" i="98"/>
  <c r="M45" i="98"/>
  <c r="J45" i="98"/>
  <c r="I45" i="98"/>
  <c r="H45" i="98"/>
  <c r="O44" i="98"/>
  <c r="N44" i="98"/>
  <c r="M44" i="98"/>
  <c r="J44" i="98"/>
  <c r="I44" i="98"/>
  <c r="H44" i="98"/>
  <c r="O43" i="98"/>
  <c r="N43" i="98"/>
  <c r="M43" i="98"/>
  <c r="J43" i="98"/>
  <c r="I43" i="98"/>
  <c r="H43" i="98"/>
  <c r="O42" i="98"/>
  <c r="N42" i="98"/>
  <c r="M42" i="98"/>
  <c r="J42" i="98"/>
  <c r="I42" i="98"/>
  <c r="H42" i="98"/>
  <c r="H36" i="98"/>
  <c r="I36" i="98"/>
  <c r="J36" i="98"/>
  <c r="M36" i="98"/>
  <c r="N36" i="98"/>
  <c r="O36" i="98"/>
  <c r="H37" i="98"/>
  <c r="I37" i="98"/>
  <c r="J37" i="98"/>
  <c r="M37" i="98"/>
  <c r="N37" i="98"/>
  <c r="O37" i="98"/>
  <c r="R69" i="98"/>
  <c r="M67" i="98" l="1"/>
  <c r="I67" i="98"/>
  <c r="J68" i="98"/>
  <c r="I68" i="98"/>
  <c r="J67" i="98"/>
  <c r="H67" i="98"/>
  <c r="H68" i="98" s="1"/>
  <c r="N67" i="98"/>
  <c r="M68" i="98"/>
  <c r="O67" i="98"/>
  <c r="O68" i="98"/>
  <c r="N68" i="98"/>
</calcChain>
</file>

<file path=xl/sharedStrings.xml><?xml version="1.0" encoding="utf-8"?>
<sst xmlns="http://schemas.openxmlformats.org/spreadsheetml/2006/main" count="109" uniqueCount="52">
  <si>
    <t>AÑOS</t>
  </si>
  <si>
    <t>MESES</t>
  </si>
  <si>
    <t>TIEMPO DE EXPERIENCIA</t>
  </si>
  <si>
    <t>TOTAL</t>
  </si>
  <si>
    <t>Que el funcionario relacionado a continuación cumple con  los requisitos del cargo solicitado así:</t>
  </si>
  <si>
    <r>
      <rPr>
        <b/>
        <sz val="10"/>
        <rFont val="Arial"/>
        <family val="2"/>
      </rPr>
      <t>DOCUMENTO DE IDENTIDAD:</t>
    </r>
    <r>
      <rPr>
        <sz val="10"/>
        <rFont val="Arial"/>
        <family val="2"/>
      </rPr>
      <t xml:space="preserve"> </t>
    </r>
  </si>
  <si>
    <t>NOMBRE:</t>
  </si>
  <si>
    <t>CARGO:</t>
  </si>
  <si>
    <t>TITULO DE POSGRADO:</t>
  </si>
  <si>
    <t>TARJETA PROFESIONAL:</t>
  </si>
  <si>
    <t>CODIGO:</t>
  </si>
  <si>
    <t>GRADO:</t>
  </si>
  <si>
    <t>TIPO DE EXPERIENCIA</t>
  </si>
  <si>
    <t>FORMACIÓN</t>
  </si>
  <si>
    <t>EXPERIENCIA</t>
  </si>
  <si>
    <t>1. REQUISITOS DEL CARGO</t>
  </si>
  <si>
    <t>2. DOCUMENTOS APORTADOS</t>
  </si>
  <si>
    <t>2.2. EXPERIENCIA</t>
  </si>
  <si>
    <t>2.1. FORMACIÓN</t>
  </si>
  <si>
    <t>DESDE</t>
  </si>
  <si>
    <t>HASTA</t>
  </si>
  <si>
    <t>OBSERVACIÓN</t>
  </si>
  <si>
    <t>DIAS</t>
  </si>
  <si>
    <t>ENTIDAD</t>
  </si>
  <si>
    <t xml:space="preserve">CARGO </t>
  </si>
  <si>
    <t>INSTITUCIÓN EDUCATIVA</t>
  </si>
  <si>
    <t>FECHA DE GRADO</t>
  </si>
  <si>
    <t>FECHA DE EXPEDICIÓN</t>
  </si>
  <si>
    <t>TELEFONO:</t>
  </si>
  <si>
    <t>CORREO ELECTRONICO</t>
  </si>
  <si>
    <t>EL SUSCRITO DIRECTOR (A) DE GESTIÓN CORPORATIVA
HACE CONSTAR:</t>
  </si>
  <si>
    <t>VALIDACIÓN EXP RELACIONADA</t>
  </si>
  <si>
    <t>TIEMPO DE EXPERIENCIA RELACIONADA</t>
  </si>
  <si>
    <t>VALIDACIÓN EXPERIENCIA</t>
  </si>
  <si>
    <t>FECHA EDITADA</t>
  </si>
  <si>
    <t>RELACIONADA</t>
  </si>
  <si>
    <t>PROFESIONAL/LABORAL</t>
  </si>
  <si>
    <r>
      <rPr>
        <b/>
        <sz val="16"/>
        <rFont val="Arial"/>
        <family val="2"/>
      </rPr>
      <t>CERTIFICADO DE CUMPLIMIENTO DE REQUISITOS PARA TOMAR POSESIÓN</t>
    </r>
    <r>
      <rPr>
        <sz val="12"/>
        <rFont val="Arial"/>
        <family val="2"/>
      </rPr>
      <t xml:space="preserve">
Dirección de Gestión Corporativa</t>
    </r>
  </si>
  <si>
    <t>TITULO DE BACHILLER:</t>
  </si>
  <si>
    <t>TITULO DE TECNICO</t>
  </si>
  <si>
    <t>TITULO DE PREGRADO:</t>
  </si>
  <si>
    <t>OBSERVACIÓN2</t>
  </si>
  <si>
    <t>FECHA EDITADA3</t>
  </si>
  <si>
    <t>AÑOS4</t>
  </si>
  <si>
    <t>MESES5</t>
  </si>
  <si>
    <t>DIAS6</t>
  </si>
  <si>
    <t>DEPENDENCIA</t>
  </si>
  <si>
    <t>Fecha de Expedición:</t>
  </si>
  <si>
    <t xml:space="preserve">Revisado por: </t>
  </si>
  <si>
    <t>TITULO DE TECNOLOGO</t>
  </si>
  <si>
    <t>Elaborado por:</t>
  </si>
  <si>
    <t>DIRECTOR (A) DE GESTION CORPORATIVA (E)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</si>
</sst>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sz val="5"/>
      <name val="Arial"/>
      <family val="2"/>
    </font>
    <font>
      <sz val="11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16"/>
      <name val="Arial"/>
      <family val="2"/>
    </font>
    <font>
      <u/>
      <sz val="10"/>
      <color theme="10"/>
      <name val="Arial"/>
      <family val="2"/>
    </font>
    <font>
      <sz val="9"/>
      <name val="Arial"/>
      <family val="2"/>
    </font>
    <font>
      <sz val="9"/>
      <color rgb="FF000000"/>
      <name val="Arial"/>
      <family val="2"/>
    </font>
    <font>
      <sz val="9"/>
      <color theme="1"/>
      <name val="Arial"/>
      <family val="2"/>
    </font>
    <font>
      <b/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4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11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2" xfId="0" applyFont="1" applyFill="1" applyBorder="1"/>
    <xf numFmtId="0" fontId="2" fillId="2" borderId="0" xfId="0" applyFont="1" applyFill="1"/>
    <xf numFmtId="0" fontId="2" fillId="2" borderId="2" xfId="0" applyFont="1" applyFill="1" applyBorder="1"/>
    <xf numFmtId="0" fontId="4" fillId="2" borderId="0" xfId="0" applyFont="1" applyFill="1"/>
    <xf numFmtId="0" fontId="4" fillId="2" borderId="9" xfId="0" applyFont="1" applyFill="1" applyBorder="1"/>
    <xf numFmtId="0" fontId="4" fillId="2" borderId="10" xfId="0" applyFont="1" applyFill="1" applyBorder="1"/>
    <xf numFmtId="0" fontId="2" fillId="2" borderId="24" xfId="0" applyFont="1" applyFill="1" applyBorder="1" applyAlignment="1">
      <alignment vertical="center"/>
    </xf>
    <xf numFmtId="0" fontId="3" fillId="2" borderId="8" xfId="0" applyFont="1" applyFill="1" applyBorder="1"/>
    <xf numFmtId="0" fontId="3" fillId="2" borderId="2" xfId="0" applyFont="1" applyFill="1" applyBorder="1"/>
    <xf numFmtId="0" fontId="2" fillId="2" borderId="27" xfId="0" applyFont="1" applyFill="1" applyBorder="1" applyAlignment="1">
      <alignment vertical="center"/>
    </xf>
    <xf numFmtId="0" fontId="1" fillId="2" borderId="14" xfId="0" applyFont="1" applyFill="1" applyBorder="1"/>
    <xf numFmtId="0" fontId="1" fillId="2" borderId="32" xfId="0" applyFont="1" applyFill="1" applyBorder="1"/>
    <xf numFmtId="0" fontId="2" fillId="2" borderId="27" xfId="0" applyFont="1" applyFill="1" applyBorder="1" applyAlignment="1">
      <alignment vertical="center" wrapText="1"/>
    </xf>
    <xf numFmtId="0" fontId="2" fillId="2" borderId="3" xfId="0" applyFont="1" applyFill="1" applyBorder="1" applyAlignment="1">
      <alignment vertical="center" wrapText="1"/>
    </xf>
    <xf numFmtId="0" fontId="2" fillId="2" borderId="29" xfId="0" applyFont="1" applyFill="1" applyBorder="1" applyAlignment="1">
      <alignment vertical="center" wrapText="1"/>
    </xf>
    <xf numFmtId="0" fontId="2" fillId="2" borderId="5" xfId="0" applyFont="1" applyFill="1" applyBorder="1" applyAlignment="1">
      <alignment vertical="center" wrapText="1"/>
    </xf>
    <xf numFmtId="0" fontId="1" fillId="2" borderId="0" xfId="0" applyFont="1" applyFill="1" applyBorder="1"/>
    <xf numFmtId="15" fontId="2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0" fontId="1" fillId="0" borderId="0" xfId="0" applyFont="1"/>
    <xf numFmtId="0" fontId="11" fillId="0" borderId="4" xfId="0" applyFont="1" applyBorder="1" applyAlignment="1">
      <alignment horizontal="left" vertical="center" wrapText="1"/>
    </xf>
    <xf numFmtId="14" fontId="10" fillId="5" borderId="4" xfId="0" applyNumberFormat="1" applyFont="1" applyFill="1" applyBorder="1" applyAlignment="1">
      <alignment vertical="center" wrapText="1"/>
    </xf>
    <xf numFmtId="14" fontId="10" fillId="5" borderId="4" xfId="0" applyNumberFormat="1" applyFont="1" applyFill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vertical="center"/>
    </xf>
    <xf numFmtId="0" fontId="10" fillId="0" borderId="4" xfId="0" applyFont="1" applyBorder="1"/>
    <xf numFmtId="0" fontId="12" fillId="2" borderId="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wrapText="1"/>
    </xf>
    <xf numFmtId="0" fontId="1" fillId="2" borderId="0" xfId="0" applyFont="1" applyFill="1" applyBorder="1" applyAlignment="1">
      <alignment horizontal="center" wrapText="1"/>
    </xf>
    <xf numFmtId="1" fontId="10" fillId="0" borderId="4" xfId="0" applyNumberFormat="1" applyFont="1" applyBorder="1" applyAlignment="1">
      <alignment horizontal="center" vertical="center"/>
    </xf>
    <xf numFmtId="1" fontId="13" fillId="2" borderId="4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2" fillId="2" borderId="37" xfId="0" applyFont="1" applyFill="1" applyBorder="1" applyAlignment="1">
      <alignment vertical="center"/>
    </xf>
    <xf numFmtId="0" fontId="2" fillId="2" borderId="29" xfId="0" applyFont="1" applyFill="1" applyBorder="1" applyAlignment="1">
      <alignment vertical="center"/>
    </xf>
    <xf numFmtId="0" fontId="1" fillId="2" borderId="28" xfId="0" applyFont="1" applyFill="1" applyBorder="1" applyAlignment="1">
      <alignment vertical="center"/>
    </xf>
    <xf numFmtId="0" fontId="1" fillId="2" borderId="40" xfId="0" applyFont="1" applyFill="1" applyBorder="1" applyAlignment="1">
      <alignment vertical="center"/>
    </xf>
    <xf numFmtId="0" fontId="3" fillId="6" borderId="4" xfId="0" applyFont="1" applyFill="1" applyBorder="1" applyAlignment="1">
      <alignment horizontal="left" vertical="center" wrapText="1"/>
    </xf>
    <xf numFmtId="0" fontId="3" fillId="0" borderId="4" xfId="0" applyFont="1" applyBorder="1"/>
    <xf numFmtId="0" fontId="1" fillId="2" borderId="18" xfId="0" applyFont="1" applyFill="1" applyBorder="1" applyAlignment="1">
      <alignment horizontal="center" vertical="center"/>
    </xf>
    <xf numFmtId="0" fontId="1" fillId="2" borderId="33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4" fontId="1" fillId="6" borderId="3" xfId="0" applyNumberFormat="1" applyFont="1" applyFill="1" applyBorder="1" applyAlignment="1">
      <alignment horizontal="center" vertical="center"/>
    </xf>
    <xf numFmtId="0" fontId="1" fillId="6" borderId="21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6" borderId="4" xfId="0" applyNumberFormat="1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2" fillId="2" borderId="18" xfId="0" applyFont="1" applyFill="1" applyBorder="1" applyAlignment="1">
      <alignment horizontal="center" vertical="center"/>
    </xf>
    <xf numFmtId="0" fontId="2" fillId="2" borderId="33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1" fillId="2" borderId="38" xfId="0" applyFont="1" applyFill="1" applyBorder="1" applyAlignment="1">
      <alignment horizontal="center" vertical="center"/>
    </xf>
    <xf numFmtId="14" fontId="1" fillId="6" borderId="38" xfId="0" applyNumberFormat="1" applyFont="1" applyFill="1" applyBorder="1" applyAlignment="1">
      <alignment horizontal="center" vertical="center"/>
    </xf>
    <xf numFmtId="0" fontId="1" fillId="6" borderId="39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3" fillId="0" borderId="4" xfId="0" applyFont="1" applyBorder="1" applyAlignment="1">
      <alignment horizontal="center"/>
    </xf>
    <xf numFmtId="0" fontId="2" fillId="2" borderId="3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justify"/>
    </xf>
    <xf numFmtId="0" fontId="13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15" fontId="2" fillId="0" borderId="4" xfId="0" applyNumberFormat="1" applyFont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 wrapText="1"/>
    </xf>
    <xf numFmtId="0" fontId="7" fillId="2" borderId="16" xfId="0" applyFont="1" applyFill="1" applyBorder="1" applyAlignment="1">
      <alignment horizontal="center" vertical="center" wrapText="1"/>
    </xf>
    <xf numFmtId="0" fontId="7" fillId="2" borderId="17" xfId="0" applyFont="1" applyFill="1" applyBorder="1" applyAlignment="1">
      <alignment horizontal="center" vertical="center" wrapText="1"/>
    </xf>
    <xf numFmtId="0" fontId="2" fillId="4" borderId="15" xfId="0" applyFont="1" applyFill="1" applyBorder="1" applyAlignment="1">
      <alignment horizontal="center" vertical="center"/>
    </xf>
    <xf numFmtId="0" fontId="2" fillId="4" borderId="16" xfId="0" applyFont="1" applyFill="1" applyBorder="1" applyAlignment="1">
      <alignment horizontal="center" vertical="center"/>
    </xf>
    <xf numFmtId="0" fontId="2" fillId="4" borderId="1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center" vertical="center"/>
    </xf>
    <xf numFmtId="0" fontId="2" fillId="4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28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wrapText="1"/>
    </xf>
    <xf numFmtId="0" fontId="2" fillId="2" borderId="13" xfId="0" applyFont="1" applyFill="1" applyBorder="1" applyAlignment="1">
      <alignment horizontal="center" wrapText="1"/>
    </xf>
    <xf numFmtId="0" fontId="6" fillId="2" borderId="12" xfId="0" applyFont="1" applyFill="1" applyBorder="1" applyAlignment="1">
      <alignment horizontal="center" vertical="center" wrapText="1"/>
    </xf>
    <xf numFmtId="0" fontId="6" fillId="2" borderId="13" xfId="0" applyFont="1" applyFill="1" applyBorder="1" applyAlignment="1">
      <alignment horizontal="center" vertical="center" wrapText="1"/>
    </xf>
    <xf numFmtId="0" fontId="6" fillId="2" borderId="14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/>
    </xf>
    <xf numFmtId="0" fontId="1" fillId="2" borderId="14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1" fillId="2" borderId="20" xfId="0" applyNumberFormat="1" applyFont="1" applyFill="1" applyBorder="1" applyAlignment="1">
      <alignment horizontal="center" vertical="center" wrapText="1"/>
    </xf>
    <xf numFmtId="0" fontId="1" fillId="2" borderId="19" xfId="0" applyNumberFormat="1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3" fontId="1" fillId="2" borderId="20" xfId="0" applyNumberFormat="1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9" fillId="2" borderId="30" xfId="1" applyNumberFormat="1" applyFont="1" applyFill="1" applyBorder="1" applyAlignment="1">
      <alignment horizontal="center" vertical="center" wrapText="1"/>
    </xf>
    <xf numFmtId="0" fontId="1" fillId="2" borderId="34" xfId="0" applyNumberFormat="1" applyFont="1" applyFill="1" applyBorder="1" applyAlignment="1">
      <alignment horizontal="center" vertical="center" wrapText="1"/>
    </xf>
    <xf numFmtId="0" fontId="1" fillId="2" borderId="35" xfId="0" applyNumberFormat="1" applyFont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1114425</xdr:colOff>
      <xdr:row>0</xdr:row>
      <xdr:rowOff>9525</xdr:rowOff>
    </xdr:from>
    <xdr:to>
      <xdr:col>1</xdr:col>
      <xdr:colOff>1707173</xdr:colOff>
      <xdr:row>0</xdr:row>
      <xdr:rowOff>920860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7F649F-92D5-42FA-B510-45192DA94B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9525"/>
          <a:ext cx="2373190" cy="9113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9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14DFD6F-47BF-4982-9916-8CDF88FD44B5}">
  <we:reference id="wa200010215" version="2.0.0.1" store="es-MX" storeType="OMEX"/>
  <we:alternateReferences>
    <we:reference id="WA200010215" version="2.0.0.1" store="WA200010215" storeType="OMEX"/>
  </we:alternateReferences>
  <we:properties>
    <we:property name="bps.codex_control.document_id" value="&quot;07da62d5-e149-490c-a174-39432111f50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BACC88-B508-496E-800B-AA20D8EB31F9}">
  <sheetPr>
    <pageSetUpPr fitToPage="1"/>
  </sheetPr>
  <dimension ref="A1:R75"/>
  <sheetViews>
    <sheetView tabSelected="1" view="pageLayout" topLeftCell="A62" zoomScale="70" zoomScaleNormal="100" zoomScaleSheetLayoutView="85" zoomScalePageLayoutView="70" workbookViewId="0">
      <selection activeCell="H70" sqref="H70"/>
    </sheetView>
  </sheetViews>
  <sheetFormatPr baseColWidth="10" defaultColWidth="0" defaultRowHeight="12.75" zeroHeight="1" x14ac:dyDescent="0.2"/>
  <cols>
    <col min="1" max="1" width="26.7109375" style="1" customWidth="1"/>
    <col min="2" max="2" width="25.7109375" style="1" customWidth="1"/>
    <col min="3" max="4" width="10.42578125" style="1" customWidth="1"/>
    <col min="5" max="5" width="13.42578125" style="1" customWidth="1"/>
    <col min="6" max="6" width="20.140625" style="1" customWidth="1"/>
    <col min="7" max="7" width="13.140625" style="1" customWidth="1"/>
    <col min="8" max="8" width="11.42578125" style="1" customWidth="1"/>
    <col min="9" max="10" width="8.140625" style="1" customWidth="1"/>
    <col min="11" max="11" width="17.7109375" style="1" customWidth="1"/>
    <col min="12" max="12" width="13" style="1" customWidth="1"/>
    <col min="13" max="13" width="7.7109375" style="1" customWidth="1"/>
    <col min="14" max="14" width="8.42578125" style="1" customWidth="1"/>
    <col min="15" max="15" width="7.7109375" style="1" customWidth="1"/>
    <col min="16" max="18" width="0" style="1" hidden="1" customWidth="1"/>
    <col min="19" max="16384" width="11.42578125" style="1" hidden="1"/>
  </cols>
  <sheetData>
    <row r="1" spans="1:15" s="22" customFormat="1" ht="74.25" customHeight="1" thickBot="1" x14ac:dyDescent="0.25">
      <c r="A1" s="94"/>
      <c r="B1" s="95"/>
      <c r="C1" s="95"/>
      <c r="D1" s="96" t="s">
        <v>37</v>
      </c>
      <c r="E1" s="97"/>
      <c r="F1" s="97"/>
      <c r="G1" s="97"/>
      <c r="H1" s="97"/>
      <c r="I1" s="97"/>
      <c r="J1" s="97"/>
      <c r="K1" s="97"/>
      <c r="L1" s="97"/>
      <c r="M1" s="97"/>
      <c r="N1" s="97"/>
      <c r="O1" s="98"/>
    </row>
    <row r="2" spans="1:15" s="22" customFormat="1" ht="54.75" customHeight="1" thickBot="1" x14ac:dyDescent="0.25">
      <c r="A2" s="76" t="s">
        <v>30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8"/>
    </row>
    <row r="3" spans="1:15" ht="21" customHeight="1" thickBot="1" x14ac:dyDescent="0.25">
      <c r="A3" s="92" t="s">
        <v>4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13"/>
    </row>
    <row r="4" spans="1:15" ht="32.25" customHeight="1" x14ac:dyDescent="0.2">
      <c r="A4" s="15" t="s">
        <v>6</v>
      </c>
      <c r="B4" s="109"/>
      <c r="C4" s="109"/>
      <c r="D4" s="88" t="s">
        <v>5</v>
      </c>
      <c r="E4" s="88"/>
      <c r="F4" s="114"/>
      <c r="G4" s="115"/>
      <c r="H4" s="16" t="s">
        <v>28</v>
      </c>
      <c r="I4" s="110"/>
      <c r="J4" s="111"/>
      <c r="K4" s="109" t="s">
        <v>29</v>
      </c>
      <c r="L4" s="109"/>
      <c r="M4" s="116"/>
      <c r="N4" s="117"/>
      <c r="O4" s="118"/>
    </row>
    <row r="5" spans="1:15" ht="32.25" customHeight="1" thickBot="1" x14ac:dyDescent="0.25">
      <c r="A5" s="17" t="s">
        <v>46</v>
      </c>
      <c r="B5" s="65"/>
      <c r="C5" s="65"/>
      <c r="D5" s="18" t="s">
        <v>7</v>
      </c>
      <c r="E5" s="89"/>
      <c r="F5" s="90"/>
      <c r="G5" s="91"/>
      <c r="H5" s="64" t="s">
        <v>10</v>
      </c>
      <c r="I5" s="64"/>
      <c r="J5" s="65"/>
      <c r="K5" s="65"/>
      <c r="L5" s="64" t="s">
        <v>11</v>
      </c>
      <c r="M5" s="64"/>
      <c r="N5" s="112"/>
      <c r="O5" s="113"/>
    </row>
    <row r="6" spans="1:15" ht="15.75" customHeight="1" thickBot="1" x14ac:dyDescent="0.25">
      <c r="A6" s="79" t="s">
        <v>15</v>
      </c>
      <c r="B6" s="80"/>
      <c r="C6" s="80"/>
      <c r="D6" s="80"/>
      <c r="E6" s="80"/>
      <c r="F6" s="80"/>
      <c r="G6" s="80"/>
      <c r="H6" s="80"/>
      <c r="I6" s="80"/>
      <c r="J6" s="80"/>
      <c r="K6" s="80"/>
      <c r="L6" s="80"/>
      <c r="M6" s="80"/>
      <c r="N6" s="80"/>
      <c r="O6" s="81"/>
    </row>
    <row r="7" spans="1:15" ht="15.75" customHeight="1" thickBot="1" x14ac:dyDescent="0.25">
      <c r="A7" s="104" t="s">
        <v>14</v>
      </c>
      <c r="B7" s="105"/>
      <c r="C7" s="105"/>
      <c r="D7" s="105"/>
      <c r="E7" s="105"/>
      <c r="F7" s="106"/>
      <c r="G7" s="107" t="s">
        <v>13</v>
      </c>
      <c r="H7" s="105"/>
      <c r="I7" s="105"/>
      <c r="J7" s="105"/>
      <c r="K7" s="105"/>
      <c r="L7" s="105"/>
      <c r="M7" s="105"/>
      <c r="N7" s="105"/>
      <c r="O7" s="108"/>
    </row>
    <row r="8" spans="1:15" ht="106.5" customHeight="1" thickBot="1" x14ac:dyDescent="0.25">
      <c r="A8" s="99"/>
      <c r="B8" s="100"/>
      <c r="C8" s="100"/>
      <c r="D8" s="100"/>
      <c r="E8" s="100"/>
      <c r="F8" s="100"/>
      <c r="G8" s="101"/>
      <c r="H8" s="102"/>
      <c r="I8" s="102"/>
      <c r="J8" s="102"/>
      <c r="K8" s="102"/>
      <c r="L8" s="102"/>
      <c r="M8" s="102"/>
      <c r="N8" s="102"/>
      <c r="O8" s="103"/>
    </row>
    <row r="9" spans="1:15" ht="18.75" customHeight="1" thickBot="1" x14ac:dyDescent="0.25">
      <c r="A9" s="82" t="s">
        <v>16</v>
      </c>
      <c r="B9" s="83"/>
      <c r="C9" s="83"/>
      <c r="D9" s="83"/>
      <c r="E9" s="83"/>
      <c r="F9" s="83"/>
      <c r="G9" s="83"/>
      <c r="H9" s="83"/>
      <c r="I9" s="83"/>
      <c r="J9" s="83"/>
      <c r="K9" s="83"/>
      <c r="L9" s="83"/>
      <c r="M9" s="83"/>
      <c r="N9" s="83"/>
      <c r="O9" s="84"/>
    </row>
    <row r="10" spans="1:15" ht="17.25" customHeight="1" thickBot="1" x14ac:dyDescent="0.25">
      <c r="A10" s="85" t="s">
        <v>18</v>
      </c>
      <c r="B10" s="86"/>
      <c r="C10" s="86"/>
      <c r="D10" s="86"/>
      <c r="E10" s="86"/>
      <c r="F10" s="86"/>
      <c r="G10" s="86"/>
      <c r="H10" s="86"/>
      <c r="I10" s="86"/>
      <c r="J10" s="86"/>
      <c r="K10" s="86"/>
      <c r="L10" s="86"/>
      <c r="M10" s="86"/>
      <c r="N10" s="86"/>
      <c r="O10" s="87"/>
    </row>
    <row r="11" spans="1:15" ht="34.5" customHeight="1" x14ac:dyDescent="0.2">
      <c r="A11" s="36" t="s">
        <v>38</v>
      </c>
      <c r="B11" s="58"/>
      <c r="C11" s="58"/>
      <c r="D11" s="58"/>
      <c r="E11" s="47" t="s">
        <v>25</v>
      </c>
      <c r="F11" s="47"/>
      <c r="G11" s="47"/>
      <c r="H11" s="58"/>
      <c r="I11" s="58"/>
      <c r="J11" s="58"/>
      <c r="K11" s="58"/>
      <c r="L11" s="47" t="s">
        <v>26</v>
      </c>
      <c r="M11" s="47"/>
      <c r="N11" s="59"/>
      <c r="O11" s="60"/>
    </row>
    <row r="12" spans="1:15" ht="34.5" customHeight="1" x14ac:dyDescent="0.2">
      <c r="A12" s="12" t="s">
        <v>39</v>
      </c>
      <c r="B12" s="42"/>
      <c r="C12" s="43"/>
      <c r="D12" s="44"/>
      <c r="E12" s="55" t="s">
        <v>25</v>
      </c>
      <c r="F12" s="56"/>
      <c r="G12" s="57"/>
      <c r="H12" s="42"/>
      <c r="I12" s="43"/>
      <c r="J12" s="43"/>
      <c r="K12" s="44"/>
      <c r="L12" s="55" t="s">
        <v>26</v>
      </c>
      <c r="M12" s="57"/>
      <c r="N12" s="61"/>
      <c r="O12" s="62"/>
    </row>
    <row r="13" spans="1:15" ht="34.5" customHeight="1" x14ac:dyDescent="0.2">
      <c r="A13" s="12" t="s">
        <v>39</v>
      </c>
      <c r="B13" s="42"/>
      <c r="C13" s="43"/>
      <c r="D13" s="44"/>
      <c r="E13" s="55" t="s">
        <v>25</v>
      </c>
      <c r="F13" s="56"/>
      <c r="G13" s="57"/>
      <c r="H13" s="42"/>
      <c r="I13" s="43"/>
      <c r="J13" s="43"/>
      <c r="K13" s="44"/>
      <c r="L13" s="55" t="s">
        <v>26</v>
      </c>
      <c r="M13" s="57"/>
      <c r="N13" s="61"/>
      <c r="O13" s="62"/>
    </row>
    <row r="14" spans="1:15" ht="34.5" customHeight="1" x14ac:dyDescent="0.2">
      <c r="A14" s="12" t="s">
        <v>39</v>
      </c>
      <c r="B14" s="42"/>
      <c r="C14" s="43"/>
      <c r="D14" s="44"/>
      <c r="E14" s="55" t="s">
        <v>25</v>
      </c>
      <c r="F14" s="56"/>
      <c r="G14" s="57"/>
      <c r="H14" s="42"/>
      <c r="I14" s="43"/>
      <c r="J14" s="43"/>
      <c r="K14" s="44"/>
      <c r="L14" s="55" t="s">
        <v>26</v>
      </c>
      <c r="M14" s="57"/>
      <c r="N14" s="61"/>
      <c r="O14" s="62"/>
    </row>
    <row r="15" spans="1:15" ht="34.5" customHeight="1" x14ac:dyDescent="0.2">
      <c r="A15" s="12" t="s">
        <v>39</v>
      </c>
      <c r="B15" s="42"/>
      <c r="C15" s="43"/>
      <c r="D15" s="44"/>
      <c r="E15" s="55" t="s">
        <v>25</v>
      </c>
      <c r="F15" s="56"/>
      <c r="G15" s="57"/>
      <c r="H15" s="42"/>
      <c r="I15" s="43"/>
      <c r="J15" s="43"/>
      <c r="K15" s="44"/>
      <c r="L15" s="55" t="s">
        <v>26</v>
      </c>
      <c r="M15" s="57"/>
      <c r="N15" s="61"/>
      <c r="O15" s="62"/>
    </row>
    <row r="16" spans="1:15" ht="34.5" customHeight="1" x14ac:dyDescent="0.2">
      <c r="A16" s="12" t="s">
        <v>49</v>
      </c>
      <c r="B16" s="42"/>
      <c r="C16" s="43"/>
      <c r="D16" s="44"/>
      <c r="E16" s="55" t="s">
        <v>25</v>
      </c>
      <c r="F16" s="56"/>
      <c r="G16" s="57"/>
      <c r="H16" s="42"/>
      <c r="I16" s="43"/>
      <c r="J16" s="43"/>
      <c r="K16" s="44"/>
      <c r="L16" s="55" t="s">
        <v>26</v>
      </c>
      <c r="M16" s="57"/>
      <c r="N16" s="61"/>
      <c r="O16" s="62"/>
    </row>
    <row r="17" spans="1:15" ht="34.5" customHeight="1" x14ac:dyDescent="0.2">
      <c r="A17" s="12" t="s">
        <v>49</v>
      </c>
      <c r="B17" s="42"/>
      <c r="C17" s="43"/>
      <c r="D17" s="44"/>
      <c r="E17" s="55" t="s">
        <v>25</v>
      </c>
      <c r="F17" s="56"/>
      <c r="G17" s="57"/>
      <c r="H17" s="42"/>
      <c r="I17" s="43"/>
      <c r="J17" s="43"/>
      <c r="K17" s="44"/>
      <c r="L17" s="55" t="s">
        <v>26</v>
      </c>
      <c r="M17" s="57"/>
      <c r="N17" s="61"/>
      <c r="O17" s="62"/>
    </row>
    <row r="18" spans="1:15" ht="34.5" customHeight="1" x14ac:dyDescent="0.2">
      <c r="A18" s="12" t="s">
        <v>49</v>
      </c>
      <c r="B18" s="42"/>
      <c r="C18" s="43"/>
      <c r="D18" s="44"/>
      <c r="E18" s="55" t="s">
        <v>25</v>
      </c>
      <c r="F18" s="56"/>
      <c r="G18" s="57"/>
      <c r="H18" s="42"/>
      <c r="I18" s="43"/>
      <c r="J18" s="43"/>
      <c r="K18" s="44"/>
      <c r="L18" s="55" t="s">
        <v>26</v>
      </c>
      <c r="M18" s="57"/>
      <c r="N18" s="61"/>
      <c r="O18" s="62"/>
    </row>
    <row r="19" spans="1:15" ht="34.5" customHeight="1" x14ac:dyDescent="0.2">
      <c r="A19" s="12" t="s">
        <v>49</v>
      </c>
      <c r="B19" s="42"/>
      <c r="C19" s="43"/>
      <c r="D19" s="44"/>
      <c r="E19" s="55" t="s">
        <v>25</v>
      </c>
      <c r="F19" s="56"/>
      <c r="G19" s="57"/>
      <c r="H19" s="42"/>
      <c r="I19" s="43"/>
      <c r="J19" s="43"/>
      <c r="K19" s="44"/>
      <c r="L19" s="55" t="s">
        <v>26</v>
      </c>
      <c r="M19" s="57"/>
      <c r="N19" s="61"/>
      <c r="O19" s="62"/>
    </row>
    <row r="20" spans="1:15" ht="34.5" customHeight="1" x14ac:dyDescent="0.2">
      <c r="A20" s="12" t="s">
        <v>40</v>
      </c>
      <c r="B20" s="51"/>
      <c r="C20" s="51"/>
      <c r="D20" s="51"/>
      <c r="E20" s="67" t="s">
        <v>25</v>
      </c>
      <c r="F20" s="67"/>
      <c r="G20" s="67"/>
      <c r="H20" s="52"/>
      <c r="I20" s="52"/>
      <c r="J20" s="52"/>
      <c r="K20" s="52"/>
      <c r="L20" s="67" t="s">
        <v>26</v>
      </c>
      <c r="M20" s="67"/>
      <c r="N20" s="49"/>
      <c r="O20" s="50"/>
    </row>
    <row r="21" spans="1:15" ht="34.5" customHeight="1" x14ac:dyDescent="0.2">
      <c r="A21" s="12" t="s">
        <v>40</v>
      </c>
      <c r="B21" s="51"/>
      <c r="C21" s="51"/>
      <c r="D21" s="51"/>
      <c r="E21" s="67" t="s">
        <v>25</v>
      </c>
      <c r="F21" s="67"/>
      <c r="G21" s="67"/>
      <c r="H21" s="52"/>
      <c r="I21" s="52"/>
      <c r="J21" s="52"/>
      <c r="K21" s="52"/>
      <c r="L21" s="67" t="s">
        <v>26</v>
      </c>
      <c r="M21" s="67"/>
      <c r="N21" s="49"/>
      <c r="O21" s="50"/>
    </row>
    <row r="22" spans="1:15" ht="34.5" customHeight="1" x14ac:dyDescent="0.2">
      <c r="A22" s="12" t="s">
        <v>40</v>
      </c>
      <c r="B22" s="51"/>
      <c r="C22" s="51"/>
      <c r="D22" s="51"/>
      <c r="E22" s="67" t="s">
        <v>25</v>
      </c>
      <c r="F22" s="67"/>
      <c r="G22" s="67"/>
      <c r="H22" s="52"/>
      <c r="I22" s="52"/>
      <c r="J22" s="52"/>
      <c r="K22" s="52"/>
      <c r="L22" s="67" t="s">
        <v>26</v>
      </c>
      <c r="M22" s="67"/>
      <c r="N22" s="49"/>
      <c r="O22" s="50"/>
    </row>
    <row r="23" spans="1:15" ht="34.5" customHeight="1" x14ac:dyDescent="0.2">
      <c r="A23" s="12" t="s">
        <v>40</v>
      </c>
      <c r="B23" s="51"/>
      <c r="C23" s="51"/>
      <c r="D23" s="51"/>
      <c r="E23" s="67" t="s">
        <v>25</v>
      </c>
      <c r="F23" s="67"/>
      <c r="G23" s="67"/>
      <c r="H23" s="52"/>
      <c r="I23" s="52"/>
      <c r="J23" s="52"/>
      <c r="K23" s="52"/>
      <c r="L23" s="67" t="s">
        <v>26</v>
      </c>
      <c r="M23" s="67"/>
      <c r="N23" s="49"/>
      <c r="O23" s="50"/>
    </row>
    <row r="24" spans="1:15" ht="34.5" customHeight="1" x14ac:dyDescent="0.2">
      <c r="A24" s="9" t="s">
        <v>8</v>
      </c>
      <c r="B24" s="46"/>
      <c r="C24" s="46"/>
      <c r="D24" s="46"/>
      <c r="E24" s="45" t="s">
        <v>25</v>
      </c>
      <c r="F24" s="45"/>
      <c r="G24" s="45"/>
      <c r="H24" s="52"/>
      <c r="I24" s="52"/>
      <c r="J24" s="52"/>
      <c r="K24" s="52"/>
      <c r="L24" s="45" t="s">
        <v>26</v>
      </c>
      <c r="M24" s="45"/>
      <c r="N24" s="53"/>
      <c r="O24" s="54"/>
    </row>
    <row r="25" spans="1:15" ht="34.5" customHeight="1" x14ac:dyDescent="0.2">
      <c r="A25" s="9" t="s">
        <v>8</v>
      </c>
      <c r="B25" s="46"/>
      <c r="C25" s="46"/>
      <c r="D25" s="46"/>
      <c r="E25" s="45" t="s">
        <v>25</v>
      </c>
      <c r="F25" s="45"/>
      <c r="G25" s="45"/>
      <c r="H25" s="52"/>
      <c r="I25" s="52"/>
      <c r="J25" s="52"/>
      <c r="K25" s="52"/>
      <c r="L25" s="45" t="s">
        <v>26</v>
      </c>
      <c r="M25" s="45"/>
      <c r="N25" s="53"/>
      <c r="O25" s="54"/>
    </row>
    <row r="26" spans="1:15" ht="34.5" customHeight="1" x14ac:dyDescent="0.2">
      <c r="A26" s="9" t="s">
        <v>8</v>
      </c>
      <c r="B26" s="46"/>
      <c r="C26" s="46"/>
      <c r="D26" s="46"/>
      <c r="E26" s="45" t="s">
        <v>25</v>
      </c>
      <c r="F26" s="45"/>
      <c r="G26" s="45"/>
      <c r="H26" s="52"/>
      <c r="I26" s="52"/>
      <c r="J26" s="52"/>
      <c r="K26" s="52"/>
      <c r="L26" s="45" t="s">
        <v>26</v>
      </c>
      <c r="M26" s="45"/>
      <c r="N26" s="53"/>
      <c r="O26" s="54"/>
    </row>
    <row r="27" spans="1:15" ht="34.5" customHeight="1" x14ac:dyDescent="0.2">
      <c r="A27" s="9" t="s">
        <v>8</v>
      </c>
      <c r="B27" s="46"/>
      <c r="C27" s="46"/>
      <c r="D27" s="46"/>
      <c r="E27" s="45" t="s">
        <v>25</v>
      </c>
      <c r="F27" s="45"/>
      <c r="G27" s="45"/>
      <c r="H27" s="52"/>
      <c r="I27" s="52"/>
      <c r="J27" s="52"/>
      <c r="K27" s="52"/>
      <c r="L27" s="45" t="s">
        <v>26</v>
      </c>
      <c r="M27" s="45"/>
      <c r="N27" s="53"/>
      <c r="O27" s="54"/>
    </row>
    <row r="28" spans="1:15" ht="34.5" customHeight="1" x14ac:dyDescent="0.2">
      <c r="A28" s="9" t="s">
        <v>8</v>
      </c>
      <c r="B28" s="46"/>
      <c r="C28" s="46"/>
      <c r="D28" s="46"/>
      <c r="E28" s="45" t="s">
        <v>25</v>
      </c>
      <c r="F28" s="45"/>
      <c r="G28" s="45"/>
      <c r="H28" s="52"/>
      <c r="I28" s="52"/>
      <c r="J28" s="52"/>
      <c r="K28" s="52"/>
      <c r="L28" s="45" t="s">
        <v>26</v>
      </c>
      <c r="M28" s="45"/>
      <c r="N28" s="53"/>
      <c r="O28" s="54"/>
    </row>
    <row r="29" spans="1:15" ht="34.5" customHeight="1" x14ac:dyDescent="0.2">
      <c r="A29" s="9" t="s">
        <v>8</v>
      </c>
      <c r="B29" s="46"/>
      <c r="C29" s="46"/>
      <c r="D29" s="46"/>
      <c r="E29" s="45" t="s">
        <v>25</v>
      </c>
      <c r="F29" s="45"/>
      <c r="G29" s="45"/>
      <c r="H29" s="52"/>
      <c r="I29" s="52"/>
      <c r="J29" s="52"/>
      <c r="K29" s="52"/>
      <c r="L29" s="45" t="s">
        <v>26</v>
      </c>
      <c r="M29" s="45"/>
      <c r="N29" s="53"/>
      <c r="O29" s="54"/>
    </row>
    <row r="30" spans="1:15" ht="34.5" customHeight="1" x14ac:dyDescent="0.2">
      <c r="A30" s="9" t="s">
        <v>8</v>
      </c>
      <c r="B30" s="46"/>
      <c r="C30" s="46"/>
      <c r="D30" s="46"/>
      <c r="E30" s="45" t="s">
        <v>25</v>
      </c>
      <c r="F30" s="45"/>
      <c r="G30" s="45"/>
      <c r="H30" s="52"/>
      <c r="I30" s="52"/>
      <c r="J30" s="52"/>
      <c r="K30" s="52"/>
      <c r="L30" s="45" t="s">
        <v>26</v>
      </c>
      <c r="M30" s="45"/>
      <c r="N30" s="53"/>
      <c r="O30" s="54"/>
    </row>
    <row r="31" spans="1:15" ht="34.5" customHeight="1" x14ac:dyDescent="0.2">
      <c r="A31" s="9" t="s">
        <v>8</v>
      </c>
      <c r="B31" s="46"/>
      <c r="C31" s="46"/>
      <c r="D31" s="46"/>
      <c r="E31" s="45" t="s">
        <v>25</v>
      </c>
      <c r="F31" s="45"/>
      <c r="G31" s="45"/>
      <c r="H31" s="52"/>
      <c r="I31" s="52"/>
      <c r="J31" s="52"/>
      <c r="K31" s="52"/>
      <c r="L31" s="45" t="s">
        <v>26</v>
      </c>
      <c r="M31" s="45"/>
      <c r="N31" s="53"/>
      <c r="O31" s="54"/>
    </row>
    <row r="32" spans="1:15" ht="34.5" customHeight="1" thickBot="1" x14ac:dyDescent="0.25">
      <c r="A32" s="37" t="s">
        <v>9</v>
      </c>
      <c r="B32" s="48"/>
      <c r="C32" s="48"/>
      <c r="D32" s="48"/>
      <c r="E32" s="75" t="s">
        <v>27</v>
      </c>
      <c r="F32" s="75"/>
      <c r="G32" s="75"/>
      <c r="H32" s="48"/>
      <c r="I32" s="48"/>
      <c r="J32" s="48"/>
      <c r="K32" s="48"/>
      <c r="L32" s="38"/>
      <c r="M32" s="38"/>
      <c r="N32" s="38"/>
      <c r="O32" s="39"/>
    </row>
    <row r="33" spans="1:15" ht="27" customHeight="1" x14ac:dyDescent="0.2">
      <c r="A33" s="72" t="s">
        <v>17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4"/>
    </row>
    <row r="34" spans="1:15" ht="28.5" customHeight="1" x14ac:dyDescent="0.2">
      <c r="A34" s="70" t="s">
        <v>23</v>
      </c>
      <c r="B34" s="70" t="s">
        <v>24</v>
      </c>
      <c r="C34" s="71" t="s">
        <v>19</v>
      </c>
      <c r="D34" s="71" t="s">
        <v>20</v>
      </c>
      <c r="E34" s="71" t="s">
        <v>12</v>
      </c>
      <c r="F34" s="71" t="s">
        <v>31</v>
      </c>
      <c r="G34" s="71"/>
      <c r="H34" s="70" t="s">
        <v>32</v>
      </c>
      <c r="I34" s="70"/>
      <c r="J34" s="70"/>
      <c r="K34" s="71" t="s">
        <v>33</v>
      </c>
      <c r="L34" s="71"/>
      <c r="M34" s="70" t="s">
        <v>2</v>
      </c>
      <c r="N34" s="70"/>
      <c r="O34" s="70"/>
    </row>
    <row r="35" spans="1:15" s="4" customFormat="1" ht="29.25" customHeight="1" x14ac:dyDescent="0.2">
      <c r="A35" s="70"/>
      <c r="B35" s="70"/>
      <c r="C35" s="71"/>
      <c r="D35" s="71"/>
      <c r="E35" s="71"/>
      <c r="F35" s="20" t="s">
        <v>21</v>
      </c>
      <c r="G35" s="20" t="s">
        <v>34</v>
      </c>
      <c r="H35" s="20" t="s">
        <v>0</v>
      </c>
      <c r="I35" s="20" t="s">
        <v>1</v>
      </c>
      <c r="J35" s="20" t="s">
        <v>22</v>
      </c>
      <c r="K35" s="20" t="s">
        <v>41</v>
      </c>
      <c r="L35" s="20" t="s">
        <v>42</v>
      </c>
      <c r="M35" s="20" t="s">
        <v>43</v>
      </c>
      <c r="N35" s="20" t="s">
        <v>44</v>
      </c>
      <c r="O35" s="20" t="s">
        <v>45</v>
      </c>
    </row>
    <row r="36" spans="1:15" ht="135.75" customHeight="1" x14ac:dyDescent="0.2">
      <c r="A36" s="23"/>
      <c r="B36" s="23"/>
      <c r="C36" s="24"/>
      <c r="D36" s="25"/>
      <c r="E36" s="26"/>
      <c r="F36" s="40"/>
      <c r="G36" s="27"/>
      <c r="H36" s="21" t="str">
        <f t="shared" ref="H36:H41" si="0">IF(E36="Relacionada",IF(F36="Traslape Total","-",DATEDIF(C36,D36,"Y")),"-")</f>
        <v>-</v>
      </c>
      <c r="I36" s="21" t="str">
        <f t="shared" ref="I36:I66" si="1">IF(E220="Relacionada",IF(F36="Traslape Total","-",DATEDIF(C36,D36,"YM")),"-")</f>
        <v>-</v>
      </c>
      <c r="J36" s="21" t="str">
        <f t="shared" ref="J36:J41" si="2">IF(E36="Relacionada",IF(F36="Traslape Total","-",DATEDIF(C36,D36,"Md")),"-")</f>
        <v>-</v>
      </c>
      <c r="K36" s="41"/>
      <c r="L36" s="28"/>
      <c r="M36" s="29">
        <f t="shared" ref="M36:M41" si="3">IF(K36="Traslape Total","-",DATEDIF(C36,D36,"Y"))</f>
        <v>0</v>
      </c>
      <c r="N36" s="29">
        <f t="shared" ref="N36:N41" si="4">IF(K36="Traslape Total","-",DATEDIF($C36,$D36,"YM"))</f>
        <v>0</v>
      </c>
      <c r="O36" s="29">
        <f t="shared" ref="O36:O41" si="5">IF(K36="Traslape Total","-",DATEDIF($C36,$D36,"MD"))</f>
        <v>0</v>
      </c>
    </row>
    <row r="37" spans="1:15" ht="135.75" customHeight="1" x14ac:dyDescent="0.2">
      <c r="A37" s="23"/>
      <c r="B37" s="23"/>
      <c r="C37" s="24"/>
      <c r="D37" s="25"/>
      <c r="E37" s="26"/>
      <c r="F37" s="40"/>
      <c r="G37" s="27"/>
      <c r="H37" s="21" t="str">
        <f t="shared" si="0"/>
        <v>-</v>
      </c>
      <c r="I37" s="21" t="str">
        <f t="shared" si="1"/>
        <v>-</v>
      </c>
      <c r="J37" s="21" t="str">
        <f t="shared" si="2"/>
        <v>-</v>
      </c>
      <c r="K37" s="41"/>
      <c r="L37" s="28"/>
      <c r="M37" s="29">
        <f t="shared" si="3"/>
        <v>0</v>
      </c>
      <c r="N37" s="29">
        <f t="shared" si="4"/>
        <v>0</v>
      </c>
      <c r="O37" s="29">
        <f t="shared" si="5"/>
        <v>0</v>
      </c>
    </row>
    <row r="38" spans="1:15" ht="135.75" customHeight="1" x14ac:dyDescent="0.2">
      <c r="A38" s="23"/>
      <c r="B38" s="23"/>
      <c r="C38" s="24"/>
      <c r="D38" s="25"/>
      <c r="E38" s="26"/>
      <c r="F38" s="40"/>
      <c r="G38" s="27"/>
      <c r="H38" s="21" t="str">
        <f t="shared" ref="H38" si="6">IF(E38="Relacionada",IF(F38="Traslape Total","-",DATEDIF(C38,D38,"Y")),"-")</f>
        <v>-</v>
      </c>
      <c r="I38" s="21" t="str">
        <f t="shared" si="1"/>
        <v>-</v>
      </c>
      <c r="J38" s="21" t="str">
        <f t="shared" ref="J38" si="7">IF(E38="Relacionada",IF(F38="Traslape Total","-",DATEDIF(C38,D38,"Md")),"-")</f>
        <v>-</v>
      </c>
      <c r="K38" s="41"/>
      <c r="L38" s="28"/>
      <c r="M38" s="29">
        <f t="shared" ref="M38" si="8">IF(K38="Traslape Total","-",DATEDIF(C38,D38,"Y"))</f>
        <v>0</v>
      </c>
      <c r="N38" s="29">
        <f t="shared" ref="N38" si="9">IF(K38="Traslape Total","-",DATEDIF($C38,$D38,"YM"))</f>
        <v>0</v>
      </c>
      <c r="O38" s="29">
        <f t="shared" ref="O38" si="10">IF(K38="Traslape Total","-",DATEDIF($C38,$D38,"MD"))</f>
        <v>0</v>
      </c>
    </row>
    <row r="39" spans="1:15" ht="135.75" customHeight="1" x14ac:dyDescent="0.2">
      <c r="A39" s="23"/>
      <c r="B39" s="23"/>
      <c r="C39" s="24"/>
      <c r="D39" s="25"/>
      <c r="E39" s="26"/>
      <c r="F39" s="40"/>
      <c r="G39" s="27"/>
      <c r="H39" s="21" t="str">
        <f t="shared" ref="H39:H40" si="11">IF(E39="Relacionada",IF(F39="Traslape Total","-",DATEDIF(C39,D39,"Y")),"-")</f>
        <v>-</v>
      </c>
      <c r="I39" s="21" t="str">
        <f t="shared" si="1"/>
        <v>-</v>
      </c>
      <c r="J39" s="21" t="str">
        <f t="shared" ref="J39:J40" si="12">IF(E39="Relacionada",IF(F39="Traslape Total","-",DATEDIF(C39,D39,"Md")),"-")</f>
        <v>-</v>
      </c>
      <c r="K39" s="41"/>
      <c r="L39" s="28"/>
      <c r="M39" s="29">
        <f t="shared" ref="M39:M40" si="13">IF(K39="Traslape Total","-",DATEDIF(C39,D39,"Y"))</f>
        <v>0</v>
      </c>
      <c r="N39" s="29">
        <f t="shared" ref="N39:N40" si="14">IF(K39="Traslape Total","-",DATEDIF($C39,$D39,"YM"))</f>
        <v>0</v>
      </c>
      <c r="O39" s="29">
        <f t="shared" ref="O39:O40" si="15">IF(K39="Traslape Total","-",DATEDIF($C39,$D39,"MD"))</f>
        <v>0</v>
      </c>
    </row>
    <row r="40" spans="1:15" ht="135.75" customHeight="1" x14ac:dyDescent="0.2">
      <c r="A40" s="23"/>
      <c r="B40" s="23"/>
      <c r="C40" s="24"/>
      <c r="D40" s="25"/>
      <c r="E40" s="26"/>
      <c r="F40" s="40"/>
      <c r="G40" s="27"/>
      <c r="H40" s="21" t="str">
        <f t="shared" si="11"/>
        <v>-</v>
      </c>
      <c r="I40" s="21" t="str">
        <f t="shared" si="1"/>
        <v>-</v>
      </c>
      <c r="J40" s="21" t="str">
        <f t="shared" si="12"/>
        <v>-</v>
      </c>
      <c r="K40" s="41"/>
      <c r="L40" s="28"/>
      <c r="M40" s="29">
        <f t="shared" si="13"/>
        <v>0</v>
      </c>
      <c r="N40" s="29">
        <f t="shared" si="14"/>
        <v>0</v>
      </c>
      <c r="O40" s="29">
        <f t="shared" si="15"/>
        <v>0</v>
      </c>
    </row>
    <row r="41" spans="1:15" ht="135.75" customHeight="1" x14ac:dyDescent="0.2">
      <c r="A41" s="23"/>
      <c r="B41" s="23"/>
      <c r="C41" s="24"/>
      <c r="D41" s="25"/>
      <c r="E41" s="26"/>
      <c r="F41" s="40"/>
      <c r="G41" s="27"/>
      <c r="H41" s="21" t="str">
        <f t="shared" si="0"/>
        <v>-</v>
      </c>
      <c r="I41" s="21" t="str">
        <f t="shared" si="1"/>
        <v>-</v>
      </c>
      <c r="J41" s="21" t="str">
        <f t="shared" si="2"/>
        <v>-</v>
      </c>
      <c r="K41" s="41"/>
      <c r="L41" s="28"/>
      <c r="M41" s="29">
        <f t="shared" si="3"/>
        <v>0</v>
      </c>
      <c r="N41" s="29">
        <f t="shared" si="4"/>
        <v>0</v>
      </c>
      <c r="O41" s="29">
        <f t="shared" si="5"/>
        <v>0</v>
      </c>
    </row>
    <row r="42" spans="1:15" ht="135.75" customHeight="1" x14ac:dyDescent="0.2">
      <c r="A42" s="23"/>
      <c r="B42" s="23"/>
      <c r="C42" s="24"/>
      <c r="D42" s="25"/>
      <c r="E42" s="26"/>
      <c r="F42" s="40"/>
      <c r="G42" s="27"/>
      <c r="H42" s="21" t="str">
        <f t="shared" ref="H42:H66" si="16">IF(E42="Relacionada",IF(F42="Traslape Total","-",DATEDIF(C42,D42,"Y")),"-")</f>
        <v>-</v>
      </c>
      <c r="I42" s="21" t="str">
        <f t="shared" si="1"/>
        <v>-</v>
      </c>
      <c r="J42" s="21" t="str">
        <f t="shared" ref="J42:J66" si="17">IF(E42="Relacionada",IF(F42="Traslape Total","-",DATEDIF(C42,D42,"Md")),"-")</f>
        <v>-</v>
      </c>
      <c r="K42" s="41"/>
      <c r="L42" s="28"/>
      <c r="M42" s="29">
        <f t="shared" ref="M42:M66" si="18">IF(K42="Traslape Total","-",DATEDIF(C42,D42,"Y"))</f>
        <v>0</v>
      </c>
      <c r="N42" s="29">
        <f t="shared" ref="N42:N66" si="19">IF(K42="Traslape Total","-",DATEDIF($C42,$D42,"YM"))</f>
        <v>0</v>
      </c>
      <c r="O42" s="29">
        <f t="shared" ref="O42:O66" si="20">IF(K42="Traslape Total","-",DATEDIF($C42,$D42,"MD"))</f>
        <v>0</v>
      </c>
    </row>
    <row r="43" spans="1:15" ht="135.75" customHeight="1" x14ac:dyDescent="0.2">
      <c r="A43" s="23"/>
      <c r="B43" s="23"/>
      <c r="C43" s="24"/>
      <c r="D43" s="25"/>
      <c r="E43" s="26"/>
      <c r="F43" s="40"/>
      <c r="G43" s="27"/>
      <c r="H43" s="21" t="str">
        <f t="shared" si="16"/>
        <v>-</v>
      </c>
      <c r="I43" s="21" t="str">
        <f t="shared" si="1"/>
        <v>-</v>
      </c>
      <c r="J43" s="21" t="str">
        <f t="shared" si="17"/>
        <v>-</v>
      </c>
      <c r="K43" s="41"/>
      <c r="L43" s="28"/>
      <c r="M43" s="29">
        <f t="shared" si="18"/>
        <v>0</v>
      </c>
      <c r="N43" s="29">
        <f t="shared" si="19"/>
        <v>0</v>
      </c>
      <c r="O43" s="29">
        <f t="shared" si="20"/>
        <v>0</v>
      </c>
    </row>
    <row r="44" spans="1:15" ht="135.75" customHeight="1" x14ac:dyDescent="0.2">
      <c r="A44" s="23"/>
      <c r="B44" s="23"/>
      <c r="C44" s="24"/>
      <c r="D44" s="25"/>
      <c r="E44" s="26"/>
      <c r="F44" s="40"/>
      <c r="G44" s="27"/>
      <c r="H44" s="21" t="str">
        <f t="shared" si="16"/>
        <v>-</v>
      </c>
      <c r="I44" s="21" t="str">
        <f t="shared" si="1"/>
        <v>-</v>
      </c>
      <c r="J44" s="21" t="str">
        <f t="shared" si="17"/>
        <v>-</v>
      </c>
      <c r="K44" s="41"/>
      <c r="L44" s="28"/>
      <c r="M44" s="29">
        <f t="shared" si="18"/>
        <v>0</v>
      </c>
      <c r="N44" s="29">
        <f t="shared" si="19"/>
        <v>0</v>
      </c>
      <c r="O44" s="29">
        <f t="shared" si="20"/>
        <v>0</v>
      </c>
    </row>
    <row r="45" spans="1:15" ht="135.75" customHeight="1" x14ac:dyDescent="0.2">
      <c r="A45" s="23"/>
      <c r="B45" s="23"/>
      <c r="C45" s="24"/>
      <c r="D45" s="25"/>
      <c r="E45" s="26"/>
      <c r="F45" s="40"/>
      <c r="G45" s="27"/>
      <c r="H45" s="21" t="str">
        <f t="shared" si="16"/>
        <v>-</v>
      </c>
      <c r="I45" s="21" t="str">
        <f t="shared" si="1"/>
        <v>-</v>
      </c>
      <c r="J45" s="21" t="str">
        <f t="shared" si="17"/>
        <v>-</v>
      </c>
      <c r="K45" s="41"/>
      <c r="L45" s="28"/>
      <c r="M45" s="29">
        <f t="shared" si="18"/>
        <v>0</v>
      </c>
      <c r="N45" s="29">
        <f t="shared" si="19"/>
        <v>0</v>
      </c>
      <c r="O45" s="29">
        <f t="shared" si="20"/>
        <v>0</v>
      </c>
    </row>
    <row r="46" spans="1:15" ht="135.75" customHeight="1" x14ac:dyDescent="0.2">
      <c r="A46" s="23"/>
      <c r="B46" s="23"/>
      <c r="C46" s="24"/>
      <c r="D46" s="25"/>
      <c r="E46" s="26"/>
      <c r="F46" s="40"/>
      <c r="G46" s="27"/>
      <c r="H46" s="21" t="str">
        <f t="shared" si="16"/>
        <v>-</v>
      </c>
      <c r="I46" s="21" t="str">
        <f t="shared" si="1"/>
        <v>-</v>
      </c>
      <c r="J46" s="21" t="str">
        <f t="shared" si="17"/>
        <v>-</v>
      </c>
      <c r="K46" s="41"/>
      <c r="L46" s="28"/>
      <c r="M46" s="29">
        <f t="shared" si="18"/>
        <v>0</v>
      </c>
      <c r="N46" s="29">
        <f t="shared" si="19"/>
        <v>0</v>
      </c>
      <c r="O46" s="29">
        <f t="shared" si="20"/>
        <v>0</v>
      </c>
    </row>
    <row r="47" spans="1:15" ht="135.75" customHeight="1" x14ac:dyDescent="0.2">
      <c r="A47" s="23"/>
      <c r="B47" s="23"/>
      <c r="C47" s="24"/>
      <c r="D47" s="25"/>
      <c r="E47" s="26"/>
      <c r="F47" s="40"/>
      <c r="G47" s="27"/>
      <c r="H47" s="21" t="str">
        <f t="shared" si="16"/>
        <v>-</v>
      </c>
      <c r="I47" s="21" t="str">
        <f t="shared" si="1"/>
        <v>-</v>
      </c>
      <c r="J47" s="21" t="str">
        <f t="shared" si="17"/>
        <v>-</v>
      </c>
      <c r="K47" s="41"/>
      <c r="L47" s="28"/>
      <c r="M47" s="29">
        <f t="shared" si="18"/>
        <v>0</v>
      </c>
      <c r="N47" s="29">
        <f t="shared" si="19"/>
        <v>0</v>
      </c>
      <c r="O47" s="29">
        <f t="shared" si="20"/>
        <v>0</v>
      </c>
    </row>
    <row r="48" spans="1:15" ht="135.75" customHeight="1" x14ac:dyDescent="0.2">
      <c r="A48" s="23"/>
      <c r="B48" s="23"/>
      <c r="C48" s="24"/>
      <c r="D48" s="25"/>
      <c r="E48" s="26"/>
      <c r="F48" s="40"/>
      <c r="G48" s="27"/>
      <c r="H48" s="21" t="str">
        <f t="shared" si="16"/>
        <v>-</v>
      </c>
      <c r="I48" s="21" t="str">
        <f t="shared" si="1"/>
        <v>-</v>
      </c>
      <c r="J48" s="21" t="str">
        <f t="shared" si="17"/>
        <v>-</v>
      </c>
      <c r="K48" s="41"/>
      <c r="L48" s="28"/>
      <c r="M48" s="29">
        <f t="shared" si="18"/>
        <v>0</v>
      </c>
      <c r="N48" s="29">
        <f t="shared" si="19"/>
        <v>0</v>
      </c>
      <c r="O48" s="29">
        <f t="shared" si="20"/>
        <v>0</v>
      </c>
    </row>
    <row r="49" spans="1:15" ht="135.75" customHeight="1" x14ac:dyDescent="0.2">
      <c r="A49" s="23"/>
      <c r="B49" s="23"/>
      <c r="C49" s="24"/>
      <c r="D49" s="25"/>
      <c r="E49" s="26"/>
      <c r="F49" s="40"/>
      <c r="G49" s="27"/>
      <c r="H49" s="21" t="str">
        <f t="shared" si="16"/>
        <v>-</v>
      </c>
      <c r="I49" s="21" t="str">
        <f t="shared" si="1"/>
        <v>-</v>
      </c>
      <c r="J49" s="21" t="str">
        <f t="shared" si="17"/>
        <v>-</v>
      </c>
      <c r="K49" s="41"/>
      <c r="L49" s="28"/>
      <c r="M49" s="29">
        <f t="shared" si="18"/>
        <v>0</v>
      </c>
      <c r="N49" s="29">
        <f t="shared" si="19"/>
        <v>0</v>
      </c>
      <c r="O49" s="29">
        <f t="shared" si="20"/>
        <v>0</v>
      </c>
    </row>
    <row r="50" spans="1:15" ht="135.75" customHeight="1" x14ac:dyDescent="0.2">
      <c r="A50" s="23"/>
      <c r="B50" s="23"/>
      <c r="C50" s="24"/>
      <c r="D50" s="25"/>
      <c r="E50" s="26"/>
      <c r="F50" s="40"/>
      <c r="G50" s="27"/>
      <c r="H50" s="21" t="str">
        <f t="shared" si="16"/>
        <v>-</v>
      </c>
      <c r="I50" s="21" t="str">
        <f t="shared" si="1"/>
        <v>-</v>
      </c>
      <c r="J50" s="21" t="str">
        <f t="shared" si="17"/>
        <v>-</v>
      </c>
      <c r="K50" s="41"/>
      <c r="L50" s="28"/>
      <c r="M50" s="29">
        <f t="shared" si="18"/>
        <v>0</v>
      </c>
      <c r="N50" s="29">
        <f t="shared" si="19"/>
        <v>0</v>
      </c>
      <c r="O50" s="29">
        <f t="shared" si="20"/>
        <v>0</v>
      </c>
    </row>
    <row r="51" spans="1:15" ht="135.75" customHeight="1" x14ac:dyDescent="0.2">
      <c r="A51" s="23"/>
      <c r="B51" s="23"/>
      <c r="C51" s="24"/>
      <c r="D51" s="25"/>
      <c r="E51" s="26"/>
      <c r="F51" s="40"/>
      <c r="G51" s="27"/>
      <c r="H51" s="21" t="str">
        <f t="shared" si="16"/>
        <v>-</v>
      </c>
      <c r="I51" s="21" t="str">
        <f t="shared" si="1"/>
        <v>-</v>
      </c>
      <c r="J51" s="21" t="str">
        <f t="shared" si="17"/>
        <v>-</v>
      </c>
      <c r="K51" s="41"/>
      <c r="L51" s="28"/>
      <c r="M51" s="29">
        <f t="shared" si="18"/>
        <v>0</v>
      </c>
      <c r="N51" s="29">
        <f t="shared" si="19"/>
        <v>0</v>
      </c>
      <c r="O51" s="29">
        <f t="shared" si="20"/>
        <v>0</v>
      </c>
    </row>
    <row r="52" spans="1:15" ht="135.75" customHeight="1" x14ac:dyDescent="0.2">
      <c r="A52" s="23"/>
      <c r="B52" s="23"/>
      <c r="C52" s="24"/>
      <c r="D52" s="25"/>
      <c r="E52" s="26"/>
      <c r="F52" s="40"/>
      <c r="G52" s="27"/>
      <c r="H52" s="21" t="str">
        <f t="shared" si="16"/>
        <v>-</v>
      </c>
      <c r="I52" s="21" t="str">
        <f t="shared" si="1"/>
        <v>-</v>
      </c>
      <c r="J52" s="21" t="str">
        <f t="shared" si="17"/>
        <v>-</v>
      </c>
      <c r="K52" s="41"/>
      <c r="L52" s="28"/>
      <c r="M52" s="29">
        <f t="shared" si="18"/>
        <v>0</v>
      </c>
      <c r="N52" s="29">
        <f t="shared" si="19"/>
        <v>0</v>
      </c>
      <c r="O52" s="29">
        <f t="shared" si="20"/>
        <v>0</v>
      </c>
    </row>
    <row r="53" spans="1:15" ht="135.75" customHeight="1" x14ac:dyDescent="0.2">
      <c r="A53" s="23"/>
      <c r="B53" s="23"/>
      <c r="C53" s="24"/>
      <c r="D53" s="25"/>
      <c r="E53" s="26"/>
      <c r="F53" s="40"/>
      <c r="G53" s="27"/>
      <c r="H53" s="21" t="str">
        <f t="shared" si="16"/>
        <v>-</v>
      </c>
      <c r="I53" s="21" t="str">
        <f t="shared" si="1"/>
        <v>-</v>
      </c>
      <c r="J53" s="21" t="str">
        <f t="shared" si="17"/>
        <v>-</v>
      </c>
      <c r="K53" s="41"/>
      <c r="L53" s="28"/>
      <c r="M53" s="29">
        <f t="shared" si="18"/>
        <v>0</v>
      </c>
      <c r="N53" s="29">
        <f t="shared" si="19"/>
        <v>0</v>
      </c>
      <c r="O53" s="29">
        <f t="shared" si="20"/>
        <v>0</v>
      </c>
    </row>
    <row r="54" spans="1:15" ht="135.75" customHeight="1" x14ac:dyDescent="0.2">
      <c r="A54" s="23"/>
      <c r="B54" s="23"/>
      <c r="C54" s="24"/>
      <c r="D54" s="25"/>
      <c r="E54" s="26"/>
      <c r="F54" s="40"/>
      <c r="G54" s="27"/>
      <c r="H54" s="21" t="str">
        <f t="shared" si="16"/>
        <v>-</v>
      </c>
      <c r="I54" s="21" t="str">
        <f t="shared" si="1"/>
        <v>-</v>
      </c>
      <c r="J54" s="21" t="str">
        <f t="shared" si="17"/>
        <v>-</v>
      </c>
      <c r="K54" s="41"/>
      <c r="L54" s="28"/>
      <c r="M54" s="29">
        <f t="shared" si="18"/>
        <v>0</v>
      </c>
      <c r="N54" s="29">
        <f t="shared" si="19"/>
        <v>0</v>
      </c>
      <c r="O54" s="29">
        <f t="shared" si="20"/>
        <v>0</v>
      </c>
    </row>
    <row r="55" spans="1:15" ht="135.75" customHeight="1" x14ac:dyDescent="0.2">
      <c r="A55" s="23"/>
      <c r="B55" s="23"/>
      <c r="C55" s="24"/>
      <c r="D55" s="25"/>
      <c r="E55" s="26"/>
      <c r="F55" s="40"/>
      <c r="G55" s="27"/>
      <c r="H55" s="21" t="str">
        <f t="shared" si="16"/>
        <v>-</v>
      </c>
      <c r="I55" s="21" t="str">
        <f t="shared" si="1"/>
        <v>-</v>
      </c>
      <c r="J55" s="21" t="str">
        <f t="shared" si="17"/>
        <v>-</v>
      </c>
      <c r="K55" s="41"/>
      <c r="L55" s="28"/>
      <c r="M55" s="29">
        <f t="shared" si="18"/>
        <v>0</v>
      </c>
      <c r="N55" s="29">
        <f t="shared" si="19"/>
        <v>0</v>
      </c>
      <c r="O55" s="29">
        <f t="shared" si="20"/>
        <v>0</v>
      </c>
    </row>
    <row r="56" spans="1:15" ht="135.75" customHeight="1" x14ac:dyDescent="0.2">
      <c r="A56" s="23"/>
      <c r="B56" s="23"/>
      <c r="C56" s="24"/>
      <c r="D56" s="25"/>
      <c r="E56" s="26"/>
      <c r="F56" s="40"/>
      <c r="G56" s="27"/>
      <c r="H56" s="21" t="str">
        <f t="shared" si="16"/>
        <v>-</v>
      </c>
      <c r="I56" s="21" t="str">
        <f t="shared" si="1"/>
        <v>-</v>
      </c>
      <c r="J56" s="21" t="str">
        <f t="shared" si="17"/>
        <v>-</v>
      </c>
      <c r="K56" s="41"/>
      <c r="L56" s="28"/>
      <c r="M56" s="29">
        <f t="shared" si="18"/>
        <v>0</v>
      </c>
      <c r="N56" s="29">
        <f t="shared" si="19"/>
        <v>0</v>
      </c>
      <c r="O56" s="29">
        <f t="shared" si="20"/>
        <v>0</v>
      </c>
    </row>
    <row r="57" spans="1:15" ht="135.75" customHeight="1" x14ac:dyDescent="0.2">
      <c r="A57" s="23"/>
      <c r="B57" s="23"/>
      <c r="C57" s="24"/>
      <c r="D57" s="25"/>
      <c r="E57" s="26"/>
      <c r="F57" s="40"/>
      <c r="G57" s="27"/>
      <c r="H57" s="21" t="str">
        <f t="shared" si="16"/>
        <v>-</v>
      </c>
      <c r="I57" s="21" t="str">
        <f t="shared" si="1"/>
        <v>-</v>
      </c>
      <c r="J57" s="21" t="str">
        <f t="shared" si="17"/>
        <v>-</v>
      </c>
      <c r="K57" s="41"/>
      <c r="L57" s="28"/>
      <c r="M57" s="29">
        <f t="shared" si="18"/>
        <v>0</v>
      </c>
      <c r="N57" s="29">
        <f t="shared" si="19"/>
        <v>0</v>
      </c>
      <c r="O57" s="29">
        <f t="shared" si="20"/>
        <v>0</v>
      </c>
    </row>
    <row r="58" spans="1:15" ht="135.75" customHeight="1" x14ac:dyDescent="0.2">
      <c r="A58" s="23"/>
      <c r="B58" s="23"/>
      <c r="C58" s="24"/>
      <c r="D58" s="25"/>
      <c r="E58" s="26"/>
      <c r="F58" s="40"/>
      <c r="G58" s="27"/>
      <c r="H58" s="21" t="str">
        <f t="shared" si="16"/>
        <v>-</v>
      </c>
      <c r="I58" s="21" t="str">
        <f t="shared" si="1"/>
        <v>-</v>
      </c>
      <c r="J58" s="21" t="str">
        <f t="shared" si="17"/>
        <v>-</v>
      </c>
      <c r="K58" s="41"/>
      <c r="L58" s="28"/>
      <c r="M58" s="29">
        <f t="shared" si="18"/>
        <v>0</v>
      </c>
      <c r="N58" s="29">
        <f t="shared" si="19"/>
        <v>0</v>
      </c>
      <c r="O58" s="29">
        <f t="shared" si="20"/>
        <v>0</v>
      </c>
    </row>
    <row r="59" spans="1:15" ht="135.75" customHeight="1" x14ac:dyDescent="0.2">
      <c r="A59" s="23"/>
      <c r="B59" s="23"/>
      <c r="C59" s="24"/>
      <c r="D59" s="25"/>
      <c r="E59" s="26"/>
      <c r="F59" s="40"/>
      <c r="G59" s="27"/>
      <c r="H59" s="21" t="str">
        <f t="shared" si="16"/>
        <v>-</v>
      </c>
      <c r="I59" s="21" t="str">
        <f t="shared" si="1"/>
        <v>-</v>
      </c>
      <c r="J59" s="21" t="str">
        <f t="shared" si="17"/>
        <v>-</v>
      </c>
      <c r="K59" s="41"/>
      <c r="L59" s="28"/>
      <c r="M59" s="29">
        <f t="shared" si="18"/>
        <v>0</v>
      </c>
      <c r="N59" s="29">
        <f t="shared" si="19"/>
        <v>0</v>
      </c>
      <c r="O59" s="29">
        <f t="shared" si="20"/>
        <v>0</v>
      </c>
    </row>
    <row r="60" spans="1:15" ht="135.75" customHeight="1" x14ac:dyDescent="0.2">
      <c r="A60" s="23"/>
      <c r="B60" s="23"/>
      <c r="C60" s="24"/>
      <c r="D60" s="25"/>
      <c r="E60" s="26"/>
      <c r="F60" s="40"/>
      <c r="G60" s="27"/>
      <c r="H60" s="21" t="str">
        <f t="shared" si="16"/>
        <v>-</v>
      </c>
      <c r="I60" s="21" t="str">
        <f t="shared" si="1"/>
        <v>-</v>
      </c>
      <c r="J60" s="21" t="str">
        <f t="shared" si="17"/>
        <v>-</v>
      </c>
      <c r="K60" s="41"/>
      <c r="L60" s="28"/>
      <c r="M60" s="29">
        <f t="shared" si="18"/>
        <v>0</v>
      </c>
      <c r="N60" s="29">
        <f t="shared" si="19"/>
        <v>0</v>
      </c>
      <c r="O60" s="29">
        <f t="shared" si="20"/>
        <v>0</v>
      </c>
    </row>
    <row r="61" spans="1:15" ht="135.75" customHeight="1" x14ac:dyDescent="0.2">
      <c r="A61" s="23"/>
      <c r="B61" s="23"/>
      <c r="C61" s="24"/>
      <c r="D61" s="25"/>
      <c r="E61" s="26"/>
      <c r="F61" s="40"/>
      <c r="G61" s="27"/>
      <c r="H61" s="21" t="str">
        <f t="shared" si="16"/>
        <v>-</v>
      </c>
      <c r="I61" s="21" t="str">
        <f t="shared" si="1"/>
        <v>-</v>
      </c>
      <c r="J61" s="21" t="str">
        <f t="shared" si="17"/>
        <v>-</v>
      </c>
      <c r="K61" s="41"/>
      <c r="L61" s="28"/>
      <c r="M61" s="29">
        <f t="shared" si="18"/>
        <v>0</v>
      </c>
      <c r="N61" s="29">
        <f t="shared" si="19"/>
        <v>0</v>
      </c>
      <c r="O61" s="29">
        <f t="shared" si="20"/>
        <v>0</v>
      </c>
    </row>
    <row r="62" spans="1:15" ht="135.75" customHeight="1" x14ac:dyDescent="0.2">
      <c r="A62" s="23"/>
      <c r="B62" s="23"/>
      <c r="C62" s="24"/>
      <c r="D62" s="25"/>
      <c r="E62" s="26"/>
      <c r="F62" s="40"/>
      <c r="G62" s="27"/>
      <c r="H62" s="21" t="str">
        <f t="shared" si="16"/>
        <v>-</v>
      </c>
      <c r="I62" s="21" t="str">
        <f t="shared" si="1"/>
        <v>-</v>
      </c>
      <c r="J62" s="21" t="str">
        <f t="shared" si="17"/>
        <v>-</v>
      </c>
      <c r="K62" s="41"/>
      <c r="L62" s="28"/>
      <c r="M62" s="29">
        <f t="shared" si="18"/>
        <v>0</v>
      </c>
      <c r="N62" s="29">
        <f t="shared" si="19"/>
        <v>0</v>
      </c>
      <c r="O62" s="29">
        <f t="shared" si="20"/>
        <v>0</v>
      </c>
    </row>
    <row r="63" spans="1:15" ht="135.75" customHeight="1" x14ac:dyDescent="0.2">
      <c r="A63" s="23"/>
      <c r="B63" s="23"/>
      <c r="C63" s="24"/>
      <c r="D63" s="25"/>
      <c r="E63" s="26"/>
      <c r="F63" s="40"/>
      <c r="G63" s="27"/>
      <c r="H63" s="21" t="str">
        <f t="shared" si="16"/>
        <v>-</v>
      </c>
      <c r="I63" s="21" t="str">
        <f t="shared" si="1"/>
        <v>-</v>
      </c>
      <c r="J63" s="21" t="str">
        <f t="shared" si="17"/>
        <v>-</v>
      </c>
      <c r="K63" s="41"/>
      <c r="L63" s="28"/>
      <c r="M63" s="29">
        <f t="shared" si="18"/>
        <v>0</v>
      </c>
      <c r="N63" s="29">
        <f t="shared" si="19"/>
        <v>0</v>
      </c>
      <c r="O63" s="29">
        <f t="shared" si="20"/>
        <v>0</v>
      </c>
    </row>
    <row r="64" spans="1:15" ht="135.75" customHeight="1" x14ac:dyDescent="0.2">
      <c r="A64" s="23"/>
      <c r="B64" s="23"/>
      <c r="C64" s="24"/>
      <c r="D64" s="25"/>
      <c r="E64" s="26"/>
      <c r="F64" s="40"/>
      <c r="G64" s="27"/>
      <c r="H64" s="21" t="str">
        <f t="shared" si="16"/>
        <v>-</v>
      </c>
      <c r="I64" s="21" t="str">
        <f t="shared" si="1"/>
        <v>-</v>
      </c>
      <c r="J64" s="21" t="str">
        <f t="shared" si="17"/>
        <v>-</v>
      </c>
      <c r="K64" s="41"/>
      <c r="L64" s="28"/>
      <c r="M64" s="29">
        <f t="shared" si="18"/>
        <v>0</v>
      </c>
      <c r="N64" s="29">
        <f t="shared" si="19"/>
        <v>0</v>
      </c>
      <c r="O64" s="29">
        <f t="shared" si="20"/>
        <v>0</v>
      </c>
    </row>
    <row r="65" spans="1:18" ht="135.75" customHeight="1" x14ac:dyDescent="0.2">
      <c r="A65" s="23"/>
      <c r="B65" s="23"/>
      <c r="C65" s="24"/>
      <c r="D65" s="25"/>
      <c r="E65" s="26"/>
      <c r="F65" s="40"/>
      <c r="G65" s="27"/>
      <c r="H65" s="21" t="str">
        <f t="shared" si="16"/>
        <v>-</v>
      </c>
      <c r="I65" s="21" t="str">
        <f t="shared" si="1"/>
        <v>-</v>
      </c>
      <c r="J65" s="21" t="str">
        <f t="shared" si="17"/>
        <v>-</v>
      </c>
      <c r="K65" s="41"/>
      <c r="L65" s="28"/>
      <c r="M65" s="29">
        <f t="shared" si="18"/>
        <v>0</v>
      </c>
      <c r="N65" s="29">
        <f t="shared" si="19"/>
        <v>0</v>
      </c>
      <c r="O65" s="29">
        <f t="shared" si="20"/>
        <v>0</v>
      </c>
    </row>
    <row r="66" spans="1:18" ht="135.75" customHeight="1" x14ac:dyDescent="0.2">
      <c r="A66" s="23"/>
      <c r="B66" s="23"/>
      <c r="C66" s="24"/>
      <c r="D66" s="25"/>
      <c r="E66" s="26"/>
      <c r="F66" s="40"/>
      <c r="G66" s="27"/>
      <c r="H66" s="21" t="str">
        <f t="shared" si="16"/>
        <v>-</v>
      </c>
      <c r="I66" s="21" t="str">
        <f t="shared" si="1"/>
        <v>-</v>
      </c>
      <c r="J66" s="21" t="str">
        <f t="shared" si="17"/>
        <v>-</v>
      </c>
      <c r="K66" s="41"/>
      <c r="L66" s="28"/>
      <c r="M66" s="29">
        <f t="shared" si="18"/>
        <v>0</v>
      </c>
      <c r="N66" s="29">
        <f t="shared" si="19"/>
        <v>0</v>
      </c>
      <c r="O66" s="29">
        <f t="shared" si="20"/>
        <v>0</v>
      </c>
    </row>
    <row r="67" spans="1:18" s="4" customFormat="1" ht="12.75" customHeight="1" x14ac:dyDescent="0.2">
      <c r="A67" s="68" t="s">
        <v>2</v>
      </c>
      <c r="B67" s="68"/>
      <c r="C67" s="68"/>
      <c r="D67" s="68"/>
      <c r="E67" s="68"/>
      <c r="F67" s="69" t="s">
        <v>35</v>
      </c>
      <c r="G67" s="69"/>
      <c r="H67" s="32">
        <f>SUM(H36:H66)</f>
        <v>0</v>
      </c>
      <c r="I67" s="32">
        <f>SUM(I36:I66)</f>
        <v>0</v>
      </c>
      <c r="J67" s="32">
        <f>SUM(J36:J66)</f>
        <v>0</v>
      </c>
      <c r="K67" s="69" t="s">
        <v>36</v>
      </c>
      <c r="L67" s="69"/>
      <c r="M67" s="32">
        <f>SUM(M36:M66)</f>
        <v>0</v>
      </c>
      <c r="N67" s="32">
        <f>SUM(N36:N66)</f>
        <v>0</v>
      </c>
      <c r="O67" s="32">
        <f>SUM(O36:O66)</f>
        <v>0</v>
      </c>
    </row>
    <row r="68" spans="1:18" ht="13.5" customHeight="1" x14ac:dyDescent="0.2">
      <c r="A68" s="66" t="s">
        <v>3</v>
      </c>
      <c r="B68" s="66"/>
      <c r="C68" s="66"/>
      <c r="D68" s="66"/>
      <c r="E68" s="66"/>
      <c r="F68" s="69"/>
      <c r="G68" s="69"/>
      <c r="H68" s="33">
        <f>+INT((SUM(I36:I66)+INT((SUM(J36:J66)/30)))/12)+H67</f>
        <v>0</v>
      </c>
      <c r="I68" s="34">
        <f>(((SUM(I36:I66)+INT(SUM(J36:J66)/30))/12)-(INT((SUM(I36:I66)+INT((SUM(J36:J66)/30)))/12)))*12</f>
        <v>0</v>
      </c>
      <c r="J68" s="35">
        <f>(SUM(J36:J66)/30-INT(SUM(J36:J66)/30))*30</f>
        <v>0</v>
      </c>
      <c r="K68" s="69"/>
      <c r="L68" s="69"/>
      <c r="M68" s="33">
        <f>+INT((SUM(N36:N66)+INT((SUM(O36:O66)/30)))/12)+M67</f>
        <v>0</v>
      </c>
      <c r="N68" s="34">
        <f>(((SUM(N36:N66)+INT(SUM(O36:O66)/30))/12)-(INT((SUM(N36:N66)+INT((SUM(O36:O66)/30)))/12)))*12</f>
        <v>0</v>
      </c>
      <c r="O68" s="35">
        <f>(SUM(O36:O66)/30-INT(SUM(O36:O66)/30))*30</f>
        <v>0</v>
      </c>
    </row>
    <row r="69" spans="1:18" ht="47.25" customHeight="1" x14ac:dyDescent="0.2">
      <c r="A69" s="30"/>
      <c r="B69" s="31"/>
      <c r="C69" s="31"/>
      <c r="D69" s="31"/>
      <c r="E69" s="31"/>
      <c r="F69" s="31"/>
      <c r="G69" s="31"/>
      <c r="H69" s="31"/>
      <c r="I69" s="31"/>
      <c r="J69" s="19"/>
      <c r="K69" s="19"/>
      <c r="L69" s="19"/>
      <c r="M69" s="19"/>
      <c r="N69" s="19"/>
      <c r="O69" s="2"/>
      <c r="R69" s="1">
        <f>5*12</f>
        <v>60</v>
      </c>
    </row>
    <row r="70" spans="1:18" x14ac:dyDescent="0.2">
      <c r="A70" s="5"/>
      <c r="B70" s="19"/>
      <c r="C70" s="19"/>
      <c r="D70" s="19"/>
      <c r="E70" s="14"/>
      <c r="F70" s="14"/>
      <c r="G70" s="14"/>
      <c r="H70" s="19"/>
      <c r="I70" s="19"/>
      <c r="J70" s="19"/>
      <c r="K70" s="19"/>
      <c r="L70" s="19"/>
      <c r="M70" s="19"/>
      <c r="N70" s="19"/>
      <c r="O70" s="2"/>
    </row>
    <row r="71" spans="1:18" x14ac:dyDescent="0.2">
      <c r="A71" s="3"/>
      <c r="B71" s="19"/>
      <c r="C71" s="19"/>
      <c r="D71" s="19"/>
      <c r="E71" s="63" t="s">
        <v>51</v>
      </c>
      <c r="F71" s="63"/>
      <c r="G71" s="63"/>
      <c r="H71" s="19"/>
      <c r="I71" s="19"/>
      <c r="J71" s="19"/>
      <c r="K71" s="19"/>
      <c r="L71" s="19"/>
      <c r="M71" s="19"/>
      <c r="N71" s="19"/>
      <c r="O71" s="2"/>
    </row>
    <row r="72" spans="1:18" x14ac:dyDescent="0.2">
      <c r="A72" s="3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2"/>
    </row>
    <row r="73" spans="1:18" x14ac:dyDescent="0.2">
      <c r="A73" s="11" t="s">
        <v>47</v>
      </c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2"/>
    </row>
    <row r="74" spans="1:18" x14ac:dyDescent="0.2">
      <c r="A74" s="11" t="s">
        <v>50</v>
      </c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2"/>
    </row>
    <row r="75" spans="1:18" s="6" customFormat="1" ht="12" thickBot="1" x14ac:dyDescent="0.25">
      <c r="A75" s="10" t="s">
        <v>48</v>
      </c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8"/>
    </row>
  </sheetData>
  <mergeCells count="146">
    <mergeCell ref="B29:D29"/>
    <mergeCell ref="E29:G29"/>
    <mergeCell ref="H29:K29"/>
    <mergeCell ref="L29:M29"/>
    <mergeCell ref="N29:O29"/>
    <mergeCell ref="B28:D28"/>
    <mergeCell ref="E28:G28"/>
    <mergeCell ref="H28:K28"/>
    <mergeCell ref="L28:M28"/>
    <mergeCell ref="N28:O28"/>
    <mergeCell ref="B27:D27"/>
    <mergeCell ref="E27:G27"/>
    <mergeCell ref="H27:K27"/>
    <mergeCell ref="L27:M27"/>
    <mergeCell ref="N27:O27"/>
    <mergeCell ref="B26:D26"/>
    <mergeCell ref="E26:G26"/>
    <mergeCell ref="H26:K26"/>
    <mergeCell ref="L26:M26"/>
    <mergeCell ref="N26:O26"/>
    <mergeCell ref="B25:D25"/>
    <mergeCell ref="E25:G25"/>
    <mergeCell ref="H25:K25"/>
    <mergeCell ref="L25:M25"/>
    <mergeCell ref="N25:O25"/>
    <mergeCell ref="B23:D23"/>
    <mergeCell ref="E23:G23"/>
    <mergeCell ref="H23:K23"/>
    <mergeCell ref="L23:M23"/>
    <mergeCell ref="N23:O23"/>
    <mergeCell ref="B24:D24"/>
    <mergeCell ref="B16:D16"/>
    <mergeCell ref="E16:G16"/>
    <mergeCell ref="H16:K16"/>
    <mergeCell ref="L16:M16"/>
    <mergeCell ref="N16:O16"/>
    <mergeCell ref="N15:O15"/>
    <mergeCell ref="B14:D14"/>
    <mergeCell ref="E14:G14"/>
    <mergeCell ref="H14:K14"/>
    <mergeCell ref="L14:M14"/>
    <mergeCell ref="N14:O14"/>
    <mergeCell ref="A2:O2"/>
    <mergeCell ref="A6:O6"/>
    <mergeCell ref="A9:O9"/>
    <mergeCell ref="A10:O10"/>
    <mergeCell ref="D4:E4"/>
    <mergeCell ref="E5:G5"/>
    <mergeCell ref="A3:N3"/>
    <mergeCell ref="A1:C1"/>
    <mergeCell ref="D1:O1"/>
    <mergeCell ref="A8:F8"/>
    <mergeCell ref="G8:O8"/>
    <mergeCell ref="A7:F7"/>
    <mergeCell ref="G7:O7"/>
    <mergeCell ref="B4:C4"/>
    <mergeCell ref="K4:L4"/>
    <mergeCell ref="I4:J4"/>
    <mergeCell ref="N5:O5"/>
    <mergeCell ref="F4:G4"/>
    <mergeCell ref="M4:O4"/>
    <mergeCell ref="E20:G20"/>
    <mergeCell ref="B18:D18"/>
    <mergeCell ref="E18:G18"/>
    <mergeCell ref="H18:K18"/>
    <mergeCell ref="L18:M18"/>
    <mergeCell ref="B22:D22"/>
    <mergeCell ref="E22:G22"/>
    <mergeCell ref="H22:K22"/>
    <mergeCell ref="L22:M22"/>
    <mergeCell ref="B21:D21"/>
    <mergeCell ref="E21:G21"/>
    <mergeCell ref="H21:K21"/>
    <mergeCell ref="L21:M21"/>
    <mergeCell ref="F34:G34"/>
    <mergeCell ref="H34:J34"/>
    <mergeCell ref="K34:L34"/>
    <mergeCell ref="M34:O34"/>
    <mergeCell ref="N17:O17"/>
    <mergeCell ref="N18:O18"/>
    <mergeCell ref="N13:O13"/>
    <mergeCell ref="N22:O22"/>
    <mergeCell ref="N19:O19"/>
    <mergeCell ref="N21:O21"/>
    <mergeCell ref="N30:O30"/>
    <mergeCell ref="A33:O33"/>
    <mergeCell ref="N31:O31"/>
    <mergeCell ref="B30:D30"/>
    <mergeCell ref="E30:G30"/>
    <mergeCell ref="H30:K30"/>
    <mergeCell ref="E32:G32"/>
    <mergeCell ref="B17:D17"/>
    <mergeCell ref="E17:G17"/>
    <mergeCell ref="H17:K17"/>
    <mergeCell ref="L17:M17"/>
    <mergeCell ref="B19:D19"/>
    <mergeCell ref="E19:G19"/>
    <mergeCell ref="H19:K19"/>
    <mergeCell ref="E71:G71"/>
    <mergeCell ref="L5:M5"/>
    <mergeCell ref="B5:C5"/>
    <mergeCell ref="B12:D12"/>
    <mergeCell ref="E12:G12"/>
    <mergeCell ref="H12:K12"/>
    <mergeCell ref="L12:M12"/>
    <mergeCell ref="A68:E68"/>
    <mergeCell ref="B11:D11"/>
    <mergeCell ref="L20:M20"/>
    <mergeCell ref="H20:K20"/>
    <mergeCell ref="E31:G31"/>
    <mergeCell ref="H31:K31"/>
    <mergeCell ref="A67:E67"/>
    <mergeCell ref="H5:I5"/>
    <mergeCell ref="J5:K5"/>
    <mergeCell ref="F67:G68"/>
    <mergeCell ref="L30:M30"/>
    <mergeCell ref="K67:L68"/>
    <mergeCell ref="A34:A35"/>
    <mergeCell ref="B34:B35"/>
    <mergeCell ref="C34:C35"/>
    <mergeCell ref="D34:D35"/>
    <mergeCell ref="E34:E35"/>
    <mergeCell ref="B13:D13"/>
    <mergeCell ref="L31:M31"/>
    <mergeCell ref="B31:D31"/>
    <mergeCell ref="E11:G11"/>
    <mergeCell ref="H32:K32"/>
    <mergeCell ref="B32:D32"/>
    <mergeCell ref="N20:O20"/>
    <mergeCell ref="B20:D20"/>
    <mergeCell ref="E24:G24"/>
    <mergeCell ref="H24:K24"/>
    <mergeCell ref="L24:M24"/>
    <mergeCell ref="N24:O24"/>
    <mergeCell ref="B15:D15"/>
    <mergeCell ref="E15:G15"/>
    <mergeCell ref="H15:K15"/>
    <mergeCell ref="L15:M15"/>
    <mergeCell ref="H11:K11"/>
    <mergeCell ref="L11:M11"/>
    <mergeCell ref="E13:G13"/>
    <mergeCell ref="H13:K13"/>
    <mergeCell ref="L13:M13"/>
    <mergeCell ref="N11:O11"/>
    <mergeCell ref="N12:O12"/>
    <mergeCell ref="L19:M19"/>
  </mergeCells>
  <dataValidations disablePrompts="1" count="1">
    <dataValidation type="list" allowBlank="1" showInputMessage="1" showErrorMessage="1" sqref="E36:E66" xr:uid="{00000000-0002-0000-0000-000000000000}">
      <formula1>"Relacionada,Profesional,Laboral"</formula1>
    </dataValidation>
  </dataValidations>
  <printOptions horizontalCentered="1"/>
  <pageMargins left="0.25" right="0.25" top="0.28333333333333333" bottom="1.3357142857142856" header="0.3" footer="0.3"/>
  <pageSetup scale="68" fitToHeight="0" orientation="landscape" horizontalDpi="4294967294" verticalDpi="4294967294" r:id="rId1"/>
  <headerFooter>
    <oddFooter>&amp;C&amp;"Arial,Negrita"&amp;16&amp;G&amp;
&amp;12CLASIFICACIÓN DE LA INFORMACIÓN: PÚBLICA CLASIFICADA
2311300-FT-318 Versión 01</oddFooter>
  </headerFooter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FORMATO</vt:lpstr>
      <vt:lpstr>FORMATO!Print_Area</vt:lpstr>
    </vt:vector>
  </TitlesOfParts>
  <Company>Escuela Superior de Administración Publica  E.S.A.P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flormmurc</dc:creator>
  <cp:lastModifiedBy>Juan C Martinez Bernal</cp:lastModifiedBy>
  <cp:lastPrinted>2021-07-19T16:40:59Z</cp:lastPrinted>
  <dcterms:created xsi:type="dcterms:W3CDTF">2004-01-15T21:44:44Z</dcterms:created>
  <dcterms:modified xsi:type="dcterms:W3CDTF">2026-10-07T00:52:49Z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DOID">
    <vt:i4>2294254</vt:i4>
  </property>
</Properties>
</file>