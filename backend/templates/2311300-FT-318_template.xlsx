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G:\Unidades compartidas\PROFESIONAL UNIVERSITARIO 219-18\2026\Vinculaciones 2026\NOMBRAMIENTO EN PERIODO DE PRUEBA\NATALI MOSSOS REYES - OP 203194 - P4\"/>
    </mc:Choice>
  </mc:AlternateContent>
  <xr:revisionPtr revIDLastSave="0" documentId="13_ncr:1_{669BA2A2-3522-44AD-9510-CB63039203CB}" xr6:coauthVersionLast="47" xr6:coauthVersionMax="47" xr10:uidLastSave="{00000000-0000-0000-0000-000000000000}"/>
  <bookViews>
    <workbookView xWindow="38280" yWindow="4410" windowWidth="29040" windowHeight="15720" xr2:uid="{00000000-000D-0000-FFFF-FFFF00000000}"/>
  </bookViews>
  <sheets>
    <sheet name="FORMATO" sheetId="98" r:id="rId1"/>
  </sheets>
  <definedNames>
    <definedName name="Print_Area" localSheetId="0">FORMATO!$A$1:$O$40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1" i="98" l="1"/>
  <c r="I21" i="98"/>
  <c r="J21" i="98"/>
  <c r="M21" i="98"/>
  <c r="N21" i="98"/>
  <c r="O21" i="98"/>
  <c r="H22" i="98"/>
  <c r="I22" i="98"/>
  <c r="I33" i="98" s="1"/>
  <c r="J22" i="98"/>
  <c r="J33" i="98" s="1"/>
  <c r="M22" i="98"/>
  <c r="N22" i="98"/>
  <c r="N33" i="98" s="1"/>
  <c r="O22" i="98"/>
  <c r="O33" i="98" s="1"/>
  <c r="H23" i="98"/>
  <c r="I23" i="98"/>
  <c r="J23" i="98"/>
  <c r="M23" i="98"/>
  <c r="N23" i="98"/>
  <c r="O23" i="98"/>
  <c r="H24" i="98"/>
  <c r="I24" i="98"/>
  <c r="J24" i="98"/>
  <c r="M24" i="98"/>
  <c r="N24" i="98"/>
  <c r="O24" i="98"/>
  <c r="O32" i="98" s="1"/>
  <c r="H25" i="98"/>
  <c r="I25" i="98"/>
  <c r="J25" i="98"/>
  <c r="M25" i="98"/>
  <c r="N25" i="98"/>
  <c r="O25" i="98"/>
  <c r="H26" i="98"/>
  <c r="I26" i="98"/>
  <c r="J26" i="98"/>
  <c r="M26" i="98"/>
  <c r="N26" i="98"/>
  <c r="O26" i="98"/>
  <c r="H27" i="98"/>
  <c r="I27" i="98"/>
  <c r="J27" i="98"/>
  <c r="M27" i="98"/>
  <c r="N27" i="98"/>
  <c r="O27" i="98"/>
  <c r="H28" i="98"/>
  <c r="I28" i="98"/>
  <c r="J28" i="98"/>
  <c r="M28" i="98"/>
  <c r="N28" i="98"/>
  <c r="O28" i="98"/>
  <c r="H29" i="98"/>
  <c r="I29" i="98"/>
  <c r="J29" i="98"/>
  <c r="M29" i="98"/>
  <c r="N29" i="98"/>
  <c r="O29" i="98"/>
  <c r="H30" i="98"/>
  <c r="I30" i="98"/>
  <c r="J30" i="98"/>
  <c r="J32" i="98" s="1"/>
  <c r="M30" i="98"/>
  <c r="N30" i="98"/>
  <c r="N32" i="98" s="1"/>
  <c r="O30" i="98"/>
  <c r="H31" i="98"/>
  <c r="H32" i="98" s="1"/>
  <c r="H33" i="98" s="1"/>
  <c r="I31" i="98"/>
  <c r="J31" i="98"/>
  <c r="M31" i="98"/>
  <c r="N31" i="98"/>
  <c r="O31" i="98"/>
  <c r="I32" i="98"/>
  <c r="M32" i="98"/>
  <c r="M33" i="98" s="1"/>
  <c r="R34" i="98"/>
</calcChain>
</file>

<file path=xl/sharedStrings.xml><?xml version="1.0" encoding="utf-8"?>
<sst xmlns="http://schemas.openxmlformats.org/spreadsheetml/2006/main" count="117" uniqueCount="90">
  <si>
    <t>AÑOS</t>
  </si>
  <si>
    <t>MESES</t>
  </si>
  <si>
    <t>TIEMPO DE EXPERIENCIA</t>
  </si>
  <si>
    <t>TOTAL</t>
  </si>
  <si>
    <t>Que el funcionario relacionado a continuación cumple con  los requisitos del cargo solicitado así:</t>
  </si>
  <si>
    <r>
      <rPr>
        <b/>
        <sz val="10"/>
        <rFont val="Arial"/>
        <family val="2"/>
      </rPr>
      <t>DOCUMENTO DE IDENTIDAD:</t>
    </r>
    <r>
      <rPr>
        <sz val="10"/>
        <rFont val="Arial"/>
        <family val="2"/>
      </rPr>
      <t xml:space="preserve"> </t>
    </r>
  </si>
  <si>
    <t>NOMBRE:</t>
  </si>
  <si>
    <t>CARGO:</t>
  </si>
  <si>
    <t>TITULO DE POSGRADO:</t>
  </si>
  <si>
    <t>TARJETA PROFESIONAL:</t>
  </si>
  <si>
    <t>CODIGO:</t>
  </si>
  <si>
    <t>GRADO:</t>
  </si>
  <si>
    <t>TIPO DE EXPERIENCIA</t>
  </si>
  <si>
    <t>FORMACIÓN</t>
  </si>
  <si>
    <t>EXPERIENCIA</t>
  </si>
  <si>
    <t>1. REQUISITOS DEL CARGO</t>
  </si>
  <si>
    <t>2. DOCUMENTOS APORTADOS</t>
  </si>
  <si>
    <t>2.2. EXPERIENCIA</t>
  </si>
  <si>
    <t>2.1. FORMACIÓN</t>
  </si>
  <si>
    <t>DESDE</t>
  </si>
  <si>
    <t>HASTA</t>
  </si>
  <si>
    <t>OBSERVACIÓN</t>
  </si>
  <si>
    <t>DIAS</t>
  </si>
  <si>
    <t>ENTIDAD</t>
  </si>
  <si>
    <t xml:space="preserve">CARGO </t>
  </si>
  <si>
    <t>INSTITUCIÓN EDUCATIVA</t>
  </si>
  <si>
    <t>FECHA DE GRADO</t>
  </si>
  <si>
    <t>FECHA DE EXPEDICIÓN</t>
  </si>
  <si>
    <t>TELEFONO:</t>
  </si>
  <si>
    <t>CORREO ELECTRONICO</t>
  </si>
  <si>
    <t>EL SUSCRITO DIRECTOR (A) DE GESTIÓN CORPORATIVA
HACE CONSTAR:</t>
  </si>
  <si>
    <t>VALIDACIÓN EXP RELACIONADA</t>
  </si>
  <si>
    <t>TIEMPO DE EXPERIENCIA RELACIONADA</t>
  </si>
  <si>
    <t>VALIDACIÓN EXPERIENCIA</t>
  </si>
  <si>
    <t>FECHA EDITADA</t>
  </si>
  <si>
    <t>RELACIONADA</t>
  </si>
  <si>
    <t>PROFESIONAL/LABORAL</t>
  </si>
  <si>
    <r>
      <rPr>
        <b/>
        <sz val="16"/>
        <rFont val="Arial"/>
        <family val="2"/>
      </rPr>
      <t>CERTIFICADO DE CUMPLIMIENTO DE REQUISITOS PARA TOMAR POSESIÓN</t>
    </r>
    <r>
      <rPr>
        <sz val="12"/>
        <rFont val="Arial"/>
        <family val="2"/>
      </rPr>
      <t xml:space="preserve">
Dirección de Gestión Corporativa</t>
    </r>
  </si>
  <si>
    <t>DIRECTOR (A) DE GESTION CORPORATIVA</t>
  </si>
  <si>
    <t>TITULO DE BACHILLER:</t>
  </si>
  <si>
    <t>TITULO DE TECNICO</t>
  </si>
  <si>
    <t>TITULO DE PREGRADO:</t>
  </si>
  <si>
    <t>OBSERVACIÓN2</t>
  </si>
  <si>
    <t>FECHA EDITADA3</t>
  </si>
  <si>
    <t>AÑOS4</t>
  </si>
  <si>
    <t>MESES5</t>
  </si>
  <si>
    <t>DIAS6</t>
  </si>
  <si>
    <t>DIEGO JAVIER RIVERO GONZALEZ</t>
  </si>
  <si>
    <t>diegojavier11@yahoo.com</t>
  </si>
  <si>
    <t>UNIVERSIDAD NACIONAL DE COLOMBIA</t>
  </si>
  <si>
    <t>MAESTRIA EN DERECHO</t>
  </si>
  <si>
    <t>ESPECIALIZACION EN DERECHO ADMINISTRATIVO</t>
  </si>
  <si>
    <t>ESPECIALIZACION EN INSTITUCIONES JURIDICO-PENALES</t>
  </si>
  <si>
    <t>ABOGADO</t>
  </si>
  <si>
    <t>Bachiller Técnico Industrial</t>
  </si>
  <si>
    <t>Instituto Técnico Central La Salle</t>
  </si>
  <si>
    <t>Ministerio de Justicia y del Derecho</t>
  </si>
  <si>
    <t>Profesional Especializado</t>
  </si>
  <si>
    <t>SENA</t>
  </si>
  <si>
    <t>Profesional 06</t>
  </si>
  <si>
    <t>Contraloría General de la República</t>
  </si>
  <si>
    <t>Inpec</t>
  </si>
  <si>
    <t>Servicios de Defensa Legal</t>
  </si>
  <si>
    <t>Abogado Auxiliar</t>
  </si>
  <si>
    <t>Funderechos / Universidad El Bosque</t>
  </si>
  <si>
    <t>Formador</t>
  </si>
  <si>
    <t>Contratista - Abogado Actuaciones Administrativas</t>
  </si>
  <si>
    <t>Cincuenta y cuatro (54) meses de experiencia profesional relacionada con las funciones del cargo.</t>
  </si>
  <si>
    <t>Título profesional en: Derecho; Derecho y Ciencias Sociales; Derecho y Ciencias Políticas: Derecho y Ciencias Humanas: Derecho y Ciencias Administrativas; Derecho Ciencias Políticas y Relaciones Internacionales; Jurisprudencia;
Justicia y Derecho; ó Leyes y Jurisprudencia; del núcleo básico de conocimiento en Derecho y afines.
Título de posgrado en áreas relacionadas con las funciones del cargo.
Tarjeta o matricula profesional en los casos reglamentados por la Ley.</t>
  </si>
  <si>
    <t>DIRECCIÓN DISTRITAL DE DOCTRINA Y ASUNTOS NORMATIVOS</t>
  </si>
  <si>
    <t>PROFESIONAL ESPECIALIZADO</t>
  </si>
  <si>
    <t>Relacionada</t>
  </si>
  <si>
    <t>1 SJD con 1 UNAL</t>
  </si>
  <si>
    <t xml:space="preserve">Universidad Nacional de Colombia /Supersalud </t>
  </si>
  <si>
    <t>Profesional</t>
  </si>
  <si>
    <t>Profesional Universitario 01 Grupo de Investigaciones, Juicios y Jurisdicción Coactiva de la Gerencia Departamental Colegiada de San Andrés</t>
  </si>
  <si>
    <t xml:space="preserve">5 SJD con 2 CGN </t>
  </si>
  <si>
    <t>traslape</t>
  </si>
  <si>
    <t>1 SJD con 7 y 11 INPEC
3 SJD con 4 INPEC</t>
  </si>
  <si>
    <t>Profesional Universitario,  Grado 01 en la Dirección de Estudios Sectoriales Sector Agropecuario en la ciudad de Bogotá D.C</t>
  </si>
  <si>
    <t>3 SJD con 2 Minjusticia
3 SJD con 11 Minjusticia
5 SJD con 13 Minjusticia</t>
  </si>
  <si>
    <t>Profesional Especializado 2028  grado 22 Grupo de Sistemas Locales de Justicia de la Dirección de Métodos Alternativos de Solución de Conflictos</t>
  </si>
  <si>
    <t>Profesional Especializado 2028  grado 20 Dirección de Métodos Alternativos de Solución de Conflictos</t>
  </si>
  <si>
    <t>1 SJD con 1, 2, 3, 7 Minjusticia
3 SJD con 6 Minjusticia
3 SJD con 11, 13  Minjusticia</t>
  </si>
  <si>
    <t>Profesional Especializado 2028  grado 20 Grupo de Sistemas Locales de Justicia de la Dirección de Métodos Alternativos de Solución de Conflictos</t>
  </si>
  <si>
    <t>2 SJD con 1 Minjusticia
3 SJD con 2 Minjusticia
3 SJD con 7  Minjusticia</t>
  </si>
  <si>
    <t>Elaborado por: Cheila Alexandra Alvarado Rojas -Porfesional Univrsitario DGC</t>
  </si>
  <si>
    <t>DEPENDENCIA</t>
  </si>
  <si>
    <t>Revisado por: Karina Suarez Salcedo- Contratista DGC</t>
  </si>
  <si>
    <t>Fecha de Expedición:Ver fecha de firma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</si>
</sst>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5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16"/>
      <name val="Arial"/>
      <family val="2"/>
    </font>
    <font>
      <u/>
      <sz val="10"/>
      <color theme="10"/>
      <name val="Arial"/>
      <family val="2"/>
    </font>
    <font>
      <sz val="10"/>
      <color rgb="FF000000"/>
      <name val="Verdana"/>
      <family val="2"/>
    </font>
    <font>
      <sz val="9"/>
      <color rgb="FF000000"/>
      <name val="Verdana"/>
      <family val="2"/>
    </font>
    <font>
      <sz val="8"/>
      <color rgb="FF000000"/>
      <name val="Verdana"/>
      <family val="2"/>
    </font>
    <font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5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4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2" xfId="0" applyFont="1" applyFill="1" applyBorder="1"/>
    <xf numFmtId="0" fontId="2" fillId="2" borderId="0" xfId="0" applyFont="1" applyFill="1"/>
    <xf numFmtId="0" fontId="2" fillId="2" borderId="2" xfId="0" applyFont="1" applyFill="1" applyBorder="1"/>
    <xf numFmtId="0" fontId="4" fillId="2" borderId="0" xfId="0" applyFont="1" applyFill="1"/>
    <xf numFmtId="0" fontId="4" fillId="2" borderId="9" xfId="0" applyFont="1" applyFill="1" applyBorder="1"/>
    <xf numFmtId="0" fontId="4" fillId="2" borderId="10" xfId="0" applyFont="1" applyFill="1" applyBorder="1"/>
    <xf numFmtId="0" fontId="2" fillId="2" borderId="25" xfId="0" applyFont="1" applyFill="1" applyBorder="1" applyAlignment="1">
      <alignment vertical="center"/>
    </xf>
    <xf numFmtId="0" fontId="3" fillId="2" borderId="8" xfId="0" applyFont="1" applyFill="1" applyBorder="1"/>
    <xf numFmtId="0" fontId="3" fillId="2" borderId="2" xfId="0" applyFont="1" applyFill="1" applyBorder="1"/>
    <xf numFmtId="0" fontId="2" fillId="2" borderId="32" xfId="0" applyFont="1" applyFill="1" applyBorder="1" applyAlignment="1">
      <alignment vertical="center"/>
    </xf>
    <xf numFmtId="0" fontId="2" fillId="2" borderId="41" xfId="0" applyFont="1" applyFill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1" fillId="0" borderId="4" xfId="0" applyFont="1" applyBorder="1"/>
    <xf numFmtId="0" fontId="5" fillId="2" borderId="3" xfId="0" applyFont="1" applyFill="1" applyBorder="1" applyAlignment="1">
      <alignment horizontal="center" vertical="center"/>
    </xf>
    <xf numFmtId="14" fontId="1" fillId="0" borderId="18" xfId="0" applyNumberFormat="1" applyFont="1" applyBorder="1" applyAlignment="1">
      <alignment horizontal="center" vertical="center"/>
    </xf>
    <xf numFmtId="0" fontId="1" fillId="0" borderId="11" xfId="0" applyFont="1" applyBorder="1"/>
    <xf numFmtId="0" fontId="2" fillId="2" borderId="29" xfId="0" applyFont="1" applyFill="1" applyBorder="1" applyAlignment="1">
      <alignment horizontal="center" vertical="center"/>
    </xf>
    <xf numFmtId="0" fontId="1" fillId="0" borderId="22" xfId="0" applyFont="1" applyBorder="1" applyAlignment="1">
      <alignment vertical="center" wrapText="1"/>
    </xf>
    <xf numFmtId="14" fontId="1" fillId="0" borderId="22" xfId="0" applyNumberFormat="1" applyFont="1" applyBorder="1" applyAlignment="1">
      <alignment horizontal="center" vertical="center"/>
    </xf>
    <xf numFmtId="14" fontId="1" fillId="0" borderId="27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2" xfId="0" applyFont="1" applyBorder="1" applyAlignment="1">
      <alignment vertical="center"/>
    </xf>
    <xf numFmtId="0" fontId="1" fillId="0" borderId="28" xfId="0" applyFont="1" applyBorder="1"/>
    <xf numFmtId="0" fontId="1" fillId="0" borderId="22" xfId="0" applyFont="1" applyBorder="1"/>
    <xf numFmtId="1" fontId="2" fillId="2" borderId="22" xfId="0" applyNumberFormat="1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" wrapText="1"/>
    </xf>
    <xf numFmtId="0" fontId="1" fillId="2" borderId="16" xfId="0" applyFont="1" applyFill="1" applyBorder="1" applyAlignment="1">
      <alignment horizontal="center" wrapText="1"/>
    </xf>
    <xf numFmtId="0" fontId="1" fillId="2" borderId="16" xfId="0" applyFont="1" applyFill="1" applyBorder="1"/>
    <xf numFmtId="0" fontId="1" fillId="2" borderId="17" xfId="0" applyFont="1" applyFill="1" applyBorder="1"/>
    <xf numFmtId="0" fontId="6" fillId="2" borderId="12" xfId="0" applyFont="1" applyFill="1" applyBorder="1" applyAlignment="1">
      <alignment horizontal="left"/>
    </xf>
    <xf numFmtId="0" fontId="1" fillId="2" borderId="13" xfId="0" applyFont="1" applyFill="1" applyBorder="1" applyAlignment="1">
      <alignment horizontal="left"/>
    </xf>
    <xf numFmtId="0" fontId="1" fillId="2" borderId="13" xfId="0" applyFont="1" applyFill="1" applyBorder="1"/>
    <xf numFmtId="0" fontId="1" fillId="2" borderId="14" xfId="0" applyFont="1" applyFill="1" applyBorder="1"/>
    <xf numFmtId="0" fontId="1" fillId="2" borderId="40" xfId="0" applyFont="1" applyFill="1" applyBorder="1"/>
    <xf numFmtId="0" fontId="1" fillId="0" borderId="28" xfId="0" applyFont="1" applyBorder="1" applyAlignment="1">
      <alignment vertical="center" wrapText="1"/>
    </xf>
    <xf numFmtId="0" fontId="5" fillId="2" borderId="20" xfId="0" applyFont="1" applyFill="1" applyBorder="1" applyAlignment="1">
      <alignment horizontal="center" vertical="center"/>
    </xf>
    <xf numFmtId="15" fontId="2" fillId="0" borderId="45" xfId="0" applyNumberFormat="1" applyFont="1" applyBorder="1" applyAlignment="1">
      <alignment horizontal="center" vertical="center" wrapText="1"/>
    </xf>
    <xf numFmtId="15" fontId="2" fillId="0" borderId="46" xfId="0" applyNumberFormat="1" applyFont="1" applyBorder="1" applyAlignment="1">
      <alignment horizontal="center" vertical="center" wrapText="1"/>
    </xf>
    <xf numFmtId="15" fontId="2" fillId="0" borderId="41" xfId="0" applyNumberFormat="1" applyFont="1" applyBorder="1" applyAlignment="1">
      <alignment horizontal="center" vertical="center" wrapText="1"/>
    </xf>
    <xf numFmtId="15" fontId="2" fillId="0" borderId="47" xfId="0" applyNumberFormat="1" applyFont="1" applyBorder="1" applyAlignment="1">
      <alignment horizontal="center" vertical="center" wrapText="1"/>
    </xf>
    <xf numFmtId="15" fontId="2" fillId="0" borderId="44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/>
    </xf>
    <xf numFmtId="1" fontId="1" fillId="0" borderId="21" xfId="0" applyNumberFormat="1" applyFont="1" applyBorder="1" applyAlignment="1">
      <alignment horizontal="center" vertical="center"/>
    </xf>
    <xf numFmtId="0" fontId="2" fillId="2" borderId="3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35" xfId="0" applyFont="1" applyFill="1" applyBorder="1" applyAlignment="1">
      <alignment vertical="center" wrapText="1"/>
    </xf>
    <xf numFmtId="0" fontId="2" fillId="2" borderId="5" xfId="0" applyFont="1" applyFill="1" applyBorder="1" applyAlignment="1">
      <alignment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50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14" fillId="0" borderId="25" xfId="0" applyFont="1" applyBorder="1" applyAlignment="1">
      <alignment horizontal="center" vertical="center"/>
    </xf>
    <xf numFmtId="14" fontId="1" fillId="5" borderId="4" xfId="0" applyNumberFormat="1" applyFont="1" applyFill="1" applyBorder="1" applyAlignment="1">
      <alignment vertical="center" wrapText="1"/>
    </xf>
    <xf numFmtId="14" fontId="1" fillId="5" borderId="4" xfId="0" applyNumberFormat="1" applyFont="1" applyFill="1" applyBorder="1" applyAlignment="1">
      <alignment horizontal="center" vertical="center"/>
    </xf>
    <xf numFmtId="0" fontId="14" fillId="6" borderId="25" xfId="0" applyFont="1" applyFill="1" applyBorder="1" applyAlignment="1">
      <alignment horizontal="left" vertical="center" wrapText="1"/>
    </xf>
    <xf numFmtId="0" fontId="1" fillId="6" borderId="25" xfId="0" applyFont="1" applyFill="1" applyBorder="1" applyAlignment="1">
      <alignment horizontal="center" vertical="center"/>
    </xf>
    <xf numFmtId="0" fontId="14" fillId="6" borderId="25" xfId="0" applyFont="1" applyFill="1" applyBorder="1" applyAlignment="1">
      <alignment horizontal="center" vertical="center"/>
    </xf>
    <xf numFmtId="14" fontId="1" fillId="5" borderId="3" xfId="0" applyNumberFormat="1" applyFont="1" applyFill="1" applyBorder="1" applyAlignment="1">
      <alignment horizontal="center"/>
    </xf>
    <xf numFmtId="0" fontId="1" fillId="5" borderId="2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14" fontId="1" fillId="2" borderId="5" xfId="0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4" fontId="1" fillId="5" borderId="4" xfId="0" applyNumberFormat="1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 wrapText="1"/>
    </xf>
    <xf numFmtId="0" fontId="1" fillId="2" borderId="49" xfId="0" applyFont="1" applyFill="1" applyBorder="1" applyAlignment="1">
      <alignment horizont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39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2" fillId="0" borderId="38" xfId="0" applyFont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0" borderId="48" xfId="0" applyFont="1" applyBorder="1" applyAlignment="1">
      <alignment horizontal="center" vertical="justify"/>
    </xf>
    <xf numFmtId="0" fontId="2" fillId="0" borderId="40" xfId="0" applyFont="1" applyBorder="1" applyAlignment="1">
      <alignment horizontal="center" vertical="justify"/>
    </xf>
    <xf numFmtId="0" fontId="1" fillId="2" borderId="5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wrapText="1"/>
    </xf>
    <xf numFmtId="0" fontId="1" fillId="2" borderId="36" xfId="0" applyFont="1" applyFill="1" applyBorder="1" applyAlignment="1">
      <alignment horizontal="center" wrapText="1"/>
    </xf>
    <xf numFmtId="0" fontId="1" fillId="2" borderId="37" xfId="0" applyFont="1" applyFill="1" applyBorder="1" applyAlignment="1">
      <alignment horizontal="center" wrapText="1"/>
    </xf>
    <xf numFmtId="3" fontId="2" fillId="2" borderId="20" xfId="0" applyNumberFormat="1" applyFont="1" applyFill="1" applyBorder="1" applyAlignment="1">
      <alignment horizontal="center" vertical="center" wrapText="1"/>
    </xf>
    <xf numFmtId="0" fontId="2" fillId="2" borderId="19" xfId="0" applyFont="1" applyFill="1" applyBorder="1" applyAlignment="1">
      <alignment horizontal="center" vertical="center" wrapText="1"/>
    </xf>
    <xf numFmtId="0" fontId="10" fillId="2" borderId="3" xfId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21" xfId="0" applyFont="1" applyFill="1" applyBorder="1" applyAlignment="1">
      <alignment horizontal="center" wrapText="1"/>
    </xf>
    <xf numFmtId="0" fontId="2" fillId="2" borderId="12" xfId="0" applyFont="1" applyFill="1" applyBorder="1" applyAlignment="1">
      <alignment horizontal="center" wrapText="1"/>
    </xf>
    <xf numFmtId="0" fontId="2" fillId="2" borderId="13" xfId="0" applyFont="1" applyFill="1" applyBorder="1" applyAlignment="1">
      <alignment horizontal="center" wrapText="1"/>
    </xf>
    <xf numFmtId="0" fontId="7" fillId="2" borderId="12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15" fontId="2" fillId="0" borderId="15" xfId="0" applyNumberFormat="1" applyFont="1" applyBorder="1" applyAlignment="1">
      <alignment horizontal="center" vertical="center" wrapText="1"/>
    </xf>
    <xf numFmtId="15" fontId="2" fillId="0" borderId="17" xfId="0" applyNumberFormat="1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15" fontId="2" fillId="0" borderId="16" xfId="0" applyNumberFormat="1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 wrapText="1"/>
    </xf>
    <xf numFmtId="0" fontId="2" fillId="2" borderId="13" xfId="0" applyFont="1" applyFill="1" applyBorder="1" applyAlignment="1">
      <alignment horizontal="left" vertical="center"/>
    </xf>
    <xf numFmtId="0" fontId="2" fillId="2" borderId="14" xfId="0" applyFont="1" applyFill="1" applyBorder="1" applyAlignment="1">
      <alignment horizontal="left" vertical="center"/>
    </xf>
    <xf numFmtId="0" fontId="2" fillId="2" borderId="30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wrapText="1"/>
    </xf>
    <xf numFmtId="0" fontId="1" fillId="2" borderId="33" xfId="0" applyFont="1" applyFill="1" applyBorder="1" applyAlignment="1">
      <alignment horizontal="center" wrapText="1"/>
    </xf>
    <xf numFmtId="0" fontId="1" fillId="2" borderId="24" xfId="0" applyFont="1" applyFill="1" applyBorder="1" applyAlignment="1">
      <alignment horizontal="center" wrapText="1"/>
    </xf>
    <xf numFmtId="0" fontId="8" fillId="2" borderId="15" xfId="0" applyFont="1" applyFill="1" applyBorder="1" applyAlignment="1">
      <alignment horizontal="center" vertical="center" wrapText="1"/>
    </xf>
    <xf numFmtId="0" fontId="8" fillId="2" borderId="16" xfId="0" applyFont="1" applyFill="1" applyBorder="1" applyAlignment="1">
      <alignment horizontal="center" vertical="center" wrapText="1"/>
    </xf>
    <xf numFmtId="0" fontId="8" fillId="2" borderId="17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m/d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m/d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20" formatCode="d\-mmm\-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tiff"/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1114425</xdr:colOff>
      <xdr:row>0</xdr:row>
      <xdr:rowOff>9525</xdr:rowOff>
    </xdr:from>
    <xdr:to>
      <xdr:col>2</xdr:col>
      <xdr:colOff>485775</xdr:colOff>
      <xdr:row>0</xdr:row>
      <xdr:rowOff>920860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7F649F-92D5-42FA-B510-45192DA94B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525"/>
          <a:ext cx="1247775" cy="1493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9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14DFD6F-47BF-4982-9916-8CDF88FD44B5}">
  <we:reference id="wa200010215" version="2.0.0.1" store="es-MX" storeType="OMEX"/>
  <we:alternateReferences>
    <we:reference id="WA200010215" version="2.0.0.1" store="WA200010215" storeType="OMEX"/>
  </we:alternateReferences>
  <we:properties>
    <we:property name="bps.codex_control.document_id" value="&quot;07da62d5-e149-490c-a174-39432111f50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diegojavier11@yahoo.com" TargetMode="Externa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ACC88-B508-496E-800B-AA20D8EB31F9}">
  <sheetPr>
    <pageSetUpPr fitToPage="1"/>
  </sheetPr>
  <dimension ref="A1:R40"/>
  <sheetViews>
    <sheetView tabSelected="1" zoomScale="85" zoomScaleNormal="85" zoomScalePageLayoutView="25" workbookViewId="0">
      <selection activeCell="A8" sqref="A8:F8"/>
    </sheetView>
  </sheetViews>
  <sheetFormatPr baseColWidth="10" defaultColWidth="0" defaultRowHeight="12.75" x14ac:dyDescent="0.2"/>
  <cols>
    <col min="1" max="1" width="26.7109375" style="1" customWidth="1"/>
    <col min="2" max="2" width="25.7109375" style="1" customWidth="1"/>
    <col min="3" max="4" width="10.42578125" style="1" customWidth="1"/>
    <col min="5" max="5" width="13.42578125" style="1" customWidth="1"/>
    <col min="6" max="6" width="20.140625" style="1" customWidth="1"/>
    <col min="7" max="7" width="13.140625" style="1" customWidth="1"/>
    <col min="8" max="8" width="11.42578125" style="1" customWidth="1"/>
    <col min="9" max="10" width="8.140625" style="1" customWidth="1"/>
    <col min="11" max="11" width="17.7109375" style="1" customWidth="1"/>
    <col min="12" max="12" width="13" style="1" customWidth="1"/>
    <col min="13" max="13" width="7.7109375" style="1" customWidth="1"/>
    <col min="14" max="14" width="8.42578125" style="1" customWidth="1"/>
    <col min="15" max="15" width="7.7109375" style="1" customWidth="1"/>
    <col min="16" max="18" width="0" style="1" hidden="1"/>
    <col min="19" max="16384" width="11.42578125" style="1" hidden="1"/>
  </cols>
  <sheetData>
    <row r="1" spans="1:15" customFormat="1" ht="74.25" customHeight="1" thickBot="1" x14ac:dyDescent="0.25">
      <c r="A1" s="110"/>
      <c r="B1" s="111"/>
      <c r="C1" s="111"/>
      <c r="D1" s="112" t="s">
        <v>37</v>
      </c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4"/>
    </row>
    <row r="2" spans="1:15" customFormat="1" ht="54.75" customHeight="1" thickBot="1" x14ac:dyDescent="0.25">
      <c r="A2" s="133" t="s">
        <v>30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5"/>
    </row>
    <row r="3" spans="1:15" ht="15" thickBot="1" x14ac:dyDescent="0.25">
      <c r="A3" s="39" t="s">
        <v>4</v>
      </c>
      <c r="B3" s="40"/>
      <c r="C3" s="40"/>
      <c r="D3" s="40"/>
      <c r="E3" s="40"/>
      <c r="F3" s="40"/>
      <c r="G3" s="40"/>
      <c r="H3" s="40"/>
      <c r="I3" s="40"/>
      <c r="J3" s="41"/>
      <c r="K3" s="41"/>
      <c r="L3" s="41"/>
      <c r="M3" s="41"/>
      <c r="N3" s="41"/>
      <c r="O3" s="42"/>
    </row>
    <row r="4" spans="1:15" ht="26.25" customHeight="1" x14ac:dyDescent="0.2">
      <c r="A4" s="53" t="s">
        <v>6</v>
      </c>
      <c r="B4" s="101" t="s">
        <v>47</v>
      </c>
      <c r="C4" s="101"/>
      <c r="D4" s="142" t="s">
        <v>5</v>
      </c>
      <c r="E4" s="142"/>
      <c r="F4" s="105">
        <v>79752219</v>
      </c>
      <c r="G4" s="106"/>
      <c r="H4" s="54" t="s">
        <v>28</v>
      </c>
      <c r="I4" s="103">
        <v>3502610835</v>
      </c>
      <c r="J4" s="104"/>
      <c r="K4" s="102" t="s">
        <v>29</v>
      </c>
      <c r="L4" s="102"/>
      <c r="M4" s="107" t="s">
        <v>48</v>
      </c>
      <c r="N4" s="108"/>
      <c r="O4" s="109"/>
    </row>
    <row r="5" spans="1:15" ht="32.1" customHeight="1" thickBot="1" x14ac:dyDescent="0.25">
      <c r="A5" s="55" t="s">
        <v>87</v>
      </c>
      <c r="B5" s="95" t="s">
        <v>69</v>
      </c>
      <c r="C5" s="95"/>
      <c r="D5" s="56" t="s">
        <v>7</v>
      </c>
      <c r="E5" s="130" t="s">
        <v>70</v>
      </c>
      <c r="F5" s="131"/>
      <c r="G5" s="132"/>
      <c r="H5" s="94" t="s">
        <v>10</v>
      </c>
      <c r="I5" s="94"/>
      <c r="J5" s="100">
        <v>222</v>
      </c>
      <c r="K5" s="100"/>
      <c r="L5" s="94" t="s">
        <v>11</v>
      </c>
      <c r="M5" s="94"/>
      <c r="N5" s="145">
        <v>24</v>
      </c>
      <c r="O5" s="144"/>
    </row>
    <row r="6" spans="1:15" ht="15.75" customHeight="1" thickBot="1" x14ac:dyDescent="0.25">
      <c r="A6" s="136" t="s">
        <v>15</v>
      </c>
      <c r="B6" s="137"/>
      <c r="C6" s="137"/>
      <c r="D6" s="137"/>
      <c r="E6" s="137"/>
      <c r="F6" s="137"/>
      <c r="G6" s="137"/>
      <c r="H6" s="137"/>
      <c r="I6" s="137"/>
      <c r="J6" s="137"/>
      <c r="K6" s="137"/>
      <c r="L6" s="137"/>
      <c r="M6" s="137"/>
      <c r="N6" s="137"/>
      <c r="O6" s="138"/>
    </row>
    <row r="7" spans="1:15" ht="15.75" customHeight="1" thickBot="1" x14ac:dyDescent="0.25">
      <c r="A7" s="122" t="s">
        <v>14</v>
      </c>
      <c r="B7" s="123"/>
      <c r="C7" s="123"/>
      <c r="D7" s="123"/>
      <c r="E7" s="123"/>
      <c r="F7" s="127"/>
      <c r="G7" s="128" t="s">
        <v>13</v>
      </c>
      <c r="H7" s="123"/>
      <c r="I7" s="123"/>
      <c r="J7" s="123"/>
      <c r="K7" s="123"/>
      <c r="L7" s="123"/>
      <c r="M7" s="123"/>
      <c r="N7" s="123"/>
      <c r="O7" s="129"/>
    </row>
    <row r="8" spans="1:15" ht="107.25" customHeight="1" thickBot="1" x14ac:dyDescent="0.25">
      <c r="A8" s="122" t="s">
        <v>67</v>
      </c>
      <c r="B8" s="123"/>
      <c r="C8" s="123"/>
      <c r="D8" s="123"/>
      <c r="E8" s="123"/>
      <c r="F8" s="123"/>
      <c r="G8" s="124" t="s">
        <v>68</v>
      </c>
      <c r="H8" s="125"/>
      <c r="I8" s="125"/>
      <c r="J8" s="125"/>
      <c r="K8" s="125"/>
      <c r="L8" s="125"/>
      <c r="M8" s="125"/>
      <c r="N8" s="125"/>
      <c r="O8" s="126"/>
    </row>
    <row r="9" spans="1:15" ht="18.75" customHeight="1" thickBot="1" x14ac:dyDescent="0.25">
      <c r="A9" s="139" t="s">
        <v>16</v>
      </c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1"/>
    </row>
    <row r="10" spans="1:15" ht="17.25" customHeight="1" thickBot="1" x14ac:dyDescent="0.25">
      <c r="A10" s="76" t="s">
        <v>18</v>
      </c>
      <c r="B10" s="77"/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8"/>
    </row>
    <row r="11" spans="1:15" ht="17.25" customHeight="1" x14ac:dyDescent="0.2">
      <c r="A11" s="12" t="s">
        <v>39</v>
      </c>
      <c r="B11" s="70" t="s">
        <v>54</v>
      </c>
      <c r="C11" s="70"/>
      <c r="D11" s="70"/>
      <c r="E11" s="88" t="s">
        <v>25</v>
      </c>
      <c r="F11" s="88"/>
      <c r="G11" s="88"/>
      <c r="H11" s="70" t="s">
        <v>55</v>
      </c>
      <c r="I11" s="70"/>
      <c r="J11" s="70"/>
      <c r="K11" s="70"/>
      <c r="L11" s="89" t="s">
        <v>26</v>
      </c>
      <c r="M11" s="89"/>
      <c r="N11" s="68">
        <v>33943</v>
      </c>
      <c r="O11" s="69"/>
    </row>
    <row r="12" spans="1:15" ht="17.25" customHeight="1" x14ac:dyDescent="0.2">
      <c r="A12" s="12" t="s">
        <v>40</v>
      </c>
      <c r="B12" s="70"/>
      <c r="C12" s="70"/>
      <c r="D12" s="70"/>
      <c r="E12" s="88" t="s">
        <v>25</v>
      </c>
      <c r="F12" s="88"/>
      <c r="G12" s="88"/>
      <c r="H12" s="70"/>
      <c r="I12" s="70"/>
      <c r="J12" s="70"/>
      <c r="K12" s="70"/>
      <c r="L12" s="89" t="s">
        <v>26</v>
      </c>
      <c r="M12" s="89"/>
      <c r="N12" s="70"/>
      <c r="O12" s="71"/>
    </row>
    <row r="13" spans="1:15" ht="19.5" customHeight="1" x14ac:dyDescent="0.2">
      <c r="A13" s="12" t="s">
        <v>41</v>
      </c>
      <c r="B13" s="70" t="s">
        <v>53</v>
      </c>
      <c r="C13" s="70"/>
      <c r="D13" s="70"/>
      <c r="E13" s="88" t="s">
        <v>25</v>
      </c>
      <c r="F13" s="88"/>
      <c r="G13" s="88"/>
      <c r="H13" s="84" t="s">
        <v>49</v>
      </c>
      <c r="I13" s="84"/>
      <c r="J13" s="84"/>
      <c r="K13" s="84"/>
      <c r="L13" s="89" t="s">
        <v>26</v>
      </c>
      <c r="M13" s="89"/>
      <c r="N13" s="68">
        <v>38798</v>
      </c>
      <c r="O13" s="69"/>
    </row>
    <row r="14" spans="1:15" ht="31.5" customHeight="1" x14ac:dyDescent="0.2">
      <c r="A14" s="9" t="s">
        <v>8</v>
      </c>
      <c r="B14" s="143" t="s">
        <v>51</v>
      </c>
      <c r="C14" s="143"/>
      <c r="D14" s="143"/>
      <c r="E14" s="83" t="s">
        <v>25</v>
      </c>
      <c r="F14" s="83"/>
      <c r="G14" s="83"/>
      <c r="H14" s="84" t="s">
        <v>49</v>
      </c>
      <c r="I14" s="84"/>
      <c r="J14" s="84"/>
      <c r="K14" s="84"/>
      <c r="L14" s="85" t="s">
        <v>26</v>
      </c>
      <c r="M14" s="85"/>
      <c r="N14" s="80">
        <v>40227</v>
      </c>
      <c r="O14" s="81"/>
    </row>
    <row r="15" spans="1:15" ht="31.5" customHeight="1" x14ac:dyDescent="0.2">
      <c r="A15" s="9" t="s">
        <v>8</v>
      </c>
      <c r="B15" s="90" t="s">
        <v>52</v>
      </c>
      <c r="C15" s="91"/>
      <c r="D15" s="92"/>
      <c r="E15" s="83" t="s">
        <v>25</v>
      </c>
      <c r="F15" s="83"/>
      <c r="G15" s="83"/>
      <c r="H15" s="84" t="s">
        <v>49</v>
      </c>
      <c r="I15" s="84"/>
      <c r="J15" s="84"/>
      <c r="K15" s="84"/>
      <c r="L15" s="85" t="s">
        <v>26</v>
      </c>
      <c r="M15" s="85"/>
      <c r="N15" s="80">
        <v>38995</v>
      </c>
      <c r="O15" s="81"/>
    </row>
    <row r="16" spans="1:15" ht="19.5" customHeight="1" x14ac:dyDescent="0.2">
      <c r="A16" s="9" t="s">
        <v>8</v>
      </c>
      <c r="B16" s="82" t="s">
        <v>50</v>
      </c>
      <c r="C16" s="82"/>
      <c r="D16" s="82"/>
      <c r="E16" s="83" t="s">
        <v>25</v>
      </c>
      <c r="F16" s="83"/>
      <c r="G16" s="83"/>
      <c r="H16" s="84" t="s">
        <v>49</v>
      </c>
      <c r="I16" s="84"/>
      <c r="J16" s="84"/>
      <c r="K16" s="84"/>
      <c r="L16" s="85" t="s">
        <v>26</v>
      </c>
      <c r="M16" s="85"/>
      <c r="N16" s="80">
        <v>42403</v>
      </c>
      <c r="O16" s="81"/>
    </row>
    <row r="17" spans="1:15" ht="19.5" customHeight="1" thickBot="1" x14ac:dyDescent="0.25">
      <c r="A17" s="13" t="s">
        <v>9</v>
      </c>
      <c r="B17" s="79">
        <v>148958</v>
      </c>
      <c r="C17" s="79"/>
      <c r="D17" s="79"/>
      <c r="E17" s="79"/>
      <c r="F17" s="79"/>
      <c r="G17" s="79"/>
      <c r="H17" s="79"/>
      <c r="I17" s="79"/>
      <c r="J17" s="72" t="s">
        <v>27</v>
      </c>
      <c r="K17" s="72"/>
      <c r="L17" s="73">
        <v>38853</v>
      </c>
      <c r="M17" s="74"/>
      <c r="N17" s="74"/>
      <c r="O17" s="75"/>
    </row>
    <row r="18" spans="1:15" ht="19.5" customHeight="1" thickBot="1" x14ac:dyDescent="0.25">
      <c r="A18" s="76" t="s">
        <v>17</v>
      </c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8"/>
    </row>
    <row r="19" spans="1:15" ht="28.5" customHeight="1" x14ac:dyDescent="0.2">
      <c r="A19" s="18"/>
      <c r="B19" s="19"/>
      <c r="C19" s="19"/>
      <c r="D19" s="19"/>
      <c r="E19" s="19"/>
      <c r="F19" s="115" t="s">
        <v>31</v>
      </c>
      <c r="G19" s="116"/>
      <c r="H19" s="117" t="s">
        <v>32</v>
      </c>
      <c r="I19" s="117"/>
      <c r="J19" s="118"/>
      <c r="K19" s="119" t="s">
        <v>33</v>
      </c>
      <c r="L19" s="119"/>
      <c r="M19" s="120" t="s">
        <v>2</v>
      </c>
      <c r="N19" s="120"/>
      <c r="O19" s="121"/>
    </row>
    <row r="20" spans="1:15" s="4" customFormat="1" ht="29.25" customHeight="1" thickBot="1" x14ac:dyDescent="0.25">
      <c r="A20" s="57" t="s">
        <v>23</v>
      </c>
      <c r="B20" s="58" t="s">
        <v>24</v>
      </c>
      <c r="C20" s="46" t="s">
        <v>19</v>
      </c>
      <c r="D20" s="46" t="s">
        <v>20</v>
      </c>
      <c r="E20" s="47" t="s">
        <v>12</v>
      </c>
      <c r="F20" s="48" t="s">
        <v>21</v>
      </c>
      <c r="G20" s="46" t="s">
        <v>34</v>
      </c>
      <c r="H20" s="46" t="s">
        <v>0</v>
      </c>
      <c r="I20" s="46" t="s">
        <v>1</v>
      </c>
      <c r="J20" s="49" t="s">
        <v>22</v>
      </c>
      <c r="K20" s="50" t="s">
        <v>42</v>
      </c>
      <c r="L20" s="46" t="s">
        <v>43</v>
      </c>
      <c r="M20" s="46" t="s">
        <v>44</v>
      </c>
      <c r="N20" s="46" t="s">
        <v>45</v>
      </c>
      <c r="O20" s="47" t="s">
        <v>46</v>
      </c>
    </row>
    <row r="21" spans="1:15" ht="71.25" customHeight="1" x14ac:dyDescent="0.2">
      <c r="A21" s="59" t="s">
        <v>56</v>
      </c>
      <c r="B21" s="60" t="s">
        <v>84</v>
      </c>
      <c r="C21" s="63">
        <v>45407</v>
      </c>
      <c r="D21" s="64">
        <v>45446</v>
      </c>
      <c r="E21" s="23" t="s">
        <v>71</v>
      </c>
      <c r="F21" s="65" t="s">
        <v>85</v>
      </c>
      <c r="G21" s="20"/>
      <c r="H21" s="16">
        <f>IF(E21="Relacionada",IF(F21="Traslape Total","-",DATEDIF(C21,D21,"Y")),"-")</f>
        <v>0</v>
      </c>
      <c r="I21" s="16" t="str">
        <f>IF(E185="Relacionada",IF(F21="Traslape Total","-",DATEDIF(C21,D21,"YM")),"-")</f>
        <v>-</v>
      </c>
      <c r="J21" s="17">
        <f>IF(E21="Relacionada",IF(F21="Traslape Total","-",DATEDIF(C21,D21,"Md")),"-")</f>
        <v>9</v>
      </c>
      <c r="K21" s="24"/>
      <c r="L21" s="21"/>
      <c r="M21" s="22">
        <f>IF(K21="Traslape Total","-",DATEDIF(C21,D21,"Y"))</f>
        <v>0</v>
      </c>
      <c r="N21" s="22">
        <f>IF(K21="Traslape Total","-",DATEDIF($C21,$D21,"YM"))</f>
        <v>1</v>
      </c>
      <c r="O21" s="45">
        <f>IF(K21="Traslape Total","-",DATEDIF($C21,$D21,"MD"))</f>
        <v>9</v>
      </c>
    </row>
    <row r="22" spans="1:15" ht="77.099999999999994" customHeight="1" x14ac:dyDescent="0.2">
      <c r="A22" s="59" t="s">
        <v>56</v>
      </c>
      <c r="B22" s="60" t="s">
        <v>81</v>
      </c>
      <c r="C22" s="63">
        <v>45213</v>
      </c>
      <c r="D22" s="64">
        <v>45407</v>
      </c>
      <c r="E22" s="23" t="s">
        <v>71</v>
      </c>
      <c r="F22" s="65" t="s">
        <v>83</v>
      </c>
      <c r="G22" s="20"/>
      <c r="H22" s="16">
        <f>IF(E22="Relacionada",IF(F22="Traslape Total","-",DATEDIF(C22,D22,"Y")),"-")</f>
        <v>0</v>
      </c>
      <c r="I22" s="16" t="str">
        <f>IF(E186="Relacionada",IF(F22="Traslape Total","-",DATEDIF(C22,D22,"YM")),"-")</f>
        <v>-</v>
      </c>
      <c r="J22" s="17">
        <f>IF(E22="Relacionada",IF(F22="Traslape Total","-",DATEDIF(C22,D22,"Md")),"-")</f>
        <v>11</v>
      </c>
      <c r="K22" s="24"/>
      <c r="L22" s="21"/>
      <c r="M22" s="22">
        <f>IF(K22="Traslape Total","-",DATEDIF(C22,D22,"Y"))</f>
        <v>0</v>
      </c>
      <c r="N22" s="22">
        <f>IF(K22="Traslape Total","-",DATEDIF($C22,$D22,"YM"))</f>
        <v>6</v>
      </c>
      <c r="O22" s="45">
        <f>IF(K22="Traslape Total","-",DATEDIF($C22,$D22,"MD"))</f>
        <v>11</v>
      </c>
    </row>
    <row r="23" spans="1:15" ht="57" customHeight="1" x14ac:dyDescent="0.2">
      <c r="A23" s="59" t="s">
        <v>56</v>
      </c>
      <c r="B23" s="60" t="s">
        <v>82</v>
      </c>
      <c r="C23" s="63">
        <v>43648</v>
      </c>
      <c r="D23" s="64">
        <v>45212</v>
      </c>
      <c r="E23" s="23" t="s">
        <v>71</v>
      </c>
      <c r="F23" s="65" t="s">
        <v>80</v>
      </c>
      <c r="G23" s="20"/>
      <c r="H23" s="14">
        <f>IF(E23="Relacionada",IF(F23="Traslape Total","-",DATEDIF(C23,D23,"Y")),"-")</f>
        <v>4</v>
      </c>
      <c r="I23" s="14">
        <f>IF(E23="Relacionada",IF(F23="Traslape Total","-",DATEDIF(C23,D23,"YM")),"-")</f>
        <v>3</v>
      </c>
      <c r="J23" s="15">
        <f>IF(E23="Relacionada",IF(F23="Traslape Total","-",DATEDIF(C23,D23,"Md")),"-")</f>
        <v>11</v>
      </c>
      <c r="K23" s="24"/>
      <c r="L23" s="21"/>
      <c r="M23" s="22">
        <f>IF(K23="Traslape Total","-",DATEDIF(C23,D23,"Y"))</f>
        <v>4</v>
      </c>
      <c r="N23" s="22">
        <f>IF(K23="Traslape Total","-",DATEDIF($C23,$D23,"YM"))</f>
        <v>3</v>
      </c>
      <c r="O23" s="45">
        <f>IF(K23="Traslape Total","-",DATEDIF($C23,$D23,"MD"))</f>
        <v>11</v>
      </c>
    </row>
    <row r="24" spans="1:15" ht="32.25" customHeight="1" x14ac:dyDescent="0.2">
      <c r="A24" s="59" t="s">
        <v>58</v>
      </c>
      <c r="B24" s="60" t="s">
        <v>59</v>
      </c>
      <c r="C24" s="63">
        <v>43525</v>
      </c>
      <c r="D24" s="64">
        <v>43616</v>
      </c>
      <c r="E24" s="23" t="s">
        <v>74</v>
      </c>
      <c r="F24" s="62"/>
      <c r="G24" s="20"/>
      <c r="H24" s="14" t="str">
        <f>IF(E24="Relacionada",IF(F24="Traslape Total","-",DATEDIF(C24,D24,"Y")),"-")</f>
        <v>-</v>
      </c>
      <c r="I24" s="14" t="str">
        <f>IF(E24="Relacionada",IF(F24="Traslape Total","-",DATEDIF(C24,D24,"YM")),"-")</f>
        <v>-</v>
      </c>
      <c r="J24" s="15" t="str">
        <f>IF(E24="Relacionada",IF(F24="Traslape Total","-",DATEDIF(C24,D24,"Md")),"-")</f>
        <v>-</v>
      </c>
      <c r="K24" s="24"/>
      <c r="L24" s="21"/>
      <c r="M24" s="22">
        <f>IF(K24="Traslape Total","-",DATEDIF(C24,D24,"Y"))</f>
        <v>0</v>
      </c>
      <c r="N24" s="22">
        <f>IF(K24="Traslape Total","-",DATEDIF($C24,$D24,"YM"))</f>
        <v>2</v>
      </c>
      <c r="O24" s="45">
        <f>IF(K24="Traslape Total","-",DATEDIF($C24,$D24,"MD"))</f>
        <v>30</v>
      </c>
    </row>
    <row r="25" spans="1:15" ht="81.75" customHeight="1" x14ac:dyDescent="0.2">
      <c r="A25" s="59" t="s">
        <v>60</v>
      </c>
      <c r="B25" s="61" t="s">
        <v>79</v>
      </c>
      <c r="C25" s="63">
        <v>42430</v>
      </c>
      <c r="D25" s="64">
        <v>43524</v>
      </c>
      <c r="E25" s="23" t="s">
        <v>74</v>
      </c>
      <c r="F25" s="62"/>
      <c r="G25" s="20"/>
      <c r="H25" s="14" t="str">
        <f>IF(E25="Relacionada",IF(F25="Traslape Total","-",DATEDIF(C25,D25,"Y")),"-")</f>
        <v>-</v>
      </c>
      <c r="I25" s="14" t="str">
        <f>IF(E25="Relacionada",IF(F25="Traslape Total","-",DATEDIF(C25,D25,"YM")),"-")</f>
        <v>-</v>
      </c>
      <c r="J25" s="15" t="str">
        <f>IF(E25="Relacionada",IF(F25="Traslape Total","-",DATEDIF(C25,D25,"Md")),"-")</f>
        <v>-</v>
      </c>
      <c r="K25" s="24"/>
      <c r="L25" s="21"/>
      <c r="M25" s="22">
        <f>IF(K25="Traslape Total","-",DATEDIF(C25,D25,"Y"))</f>
        <v>2</v>
      </c>
      <c r="N25" s="22">
        <f>IF(K25="Traslape Total","-",DATEDIF($C25,$D25,"YM"))</f>
        <v>11</v>
      </c>
      <c r="O25" s="45">
        <f>IF(K25="Traslape Total","-",DATEDIF($C25,$D25,"MD"))</f>
        <v>27</v>
      </c>
    </row>
    <row r="26" spans="1:15" ht="32.25" customHeight="1" x14ac:dyDescent="0.2">
      <c r="A26" s="59" t="s">
        <v>61</v>
      </c>
      <c r="B26" s="60" t="s">
        <v>57</v>
      </c>
      <c r="C26" s="63">
        <v>42341</v>
      </c>
      <c r="D26" s="64">
        <v>42428</v>
      </c>
      <c r="E26" s="23" t="s">
        <v>71</v>
      </c>
      <c r="F26" s="65" t="s">
        <v>78</v>
      </c>
      <c r="G26" s="20"/>
      <c r="H26" s="14">
        <f>IF(E26="Relacionada",IF(F26="Traslape Total","-",DATEDIF(C26,D26,"Y")),"-")</f>
        <v>0</v>
      </c>
      <c r="I26" s="14">
        <f>IF(E26="Relacionada",IF(F26="Traslape Total","-",DATEDIF(C26,D26,"YM")),"-")</f>
        <v>2</v>
      </c>
      <c r="J26" s="15">
        <f>IF(E26="Relacionada",IF(F26="Traslape Total","-",DATEDIF(C26,D26,"Md")),"-")</f>
        <v>25</v>
      </c>
      <c r="K26" s="24"/>
      <c r="L26" s="21"/>
      <c r="M26" s="22">
        <f>IF(K26="Traslape Total","-",DATEDIF(C26,D26,"Y"))</f>
        <v>0</v>
      </c>
      <c r="N26" s="22">
        <f>IF(K26="Traslape Total","-",DATEDIF($C26,$D26,"YM"))</f>
        <v>2</v>
      </c>
      <c r="O26" s="45">
        <f>IF(K26="Traslape Total","-",DATEDIF($C26,$D26,"MD"))</f>
        <v>25</v>
      </c>
    </row>
    <row r="27" spans="1:15" ht="70.5" customHeight="1" x14ac:dyDescent="0.2">
      <c r="A27" s="59" t="s">
        <v>60</v>
      </c>
      <c r="B27" s="61" t="s">
        <v>75</v>
      </c>
      <c r="C27" s="63">
        <v>41396</v>
      </c>
      <c r="D27" s="64">
        <v>41806</v>
      </c>
      <c r="E27" s="23" t="s">
        <v>71</v>
      </c>
      <c r="F27" s="67" t="s">
        <v>76</v>
      </c>
      <c r="G27" s="20"/>
      <c r="H27" s="14">
        <f>IF(E27="Relacionada",IF(F27="Traslape Total","-",DATEDIF(C27,D27,"Y")),"-")</f>
        <v>1</v>
      </c>
      <c r="I27" s="14">
        <f>IF(E27="Relacionada",IF(F27="Traslape Total","-",DATEDIF(C27,D27,"YM")),"-")</f>
        <v>1</v>
      </c>
      <c r="J27" s="15">
        <f>IF(E27="Relacionada",IF(F27="Traslape Total","-",DATEDIF(C27,D27,"Md")),"-")</f>
        <v>14</v>
      </c>
      <c r="K27" s="24"/>
      <c r="L27" s="21"/>
      <c r="M27" s="22">
        <f>IF(K27="Traslape Total","-",DATEDIF(C27,D27,"Y"))</f>
        <v>1</v>
      </c>
      <c r="N27" s="22">
        <f>IF(K27="Traslape Total","-",DATEDIF($C27,$D27,"YM"))</f>
        <v>1</v>
      </c>
      <c r="O27" s="45">
        <f>IF(K27="Traslape Total","-",DATEDIF($C27,$D27,"MD"))</f>
        <v>14</v>
      </c>
    </row>
    <row r="28" spans="1:15" ht="32.25" customHeight="1" x14ac:dyDescent="0.2">
      <c r="A28" s="59" t="s">
        <v>62</v>
      </c>
      <c r="B28" s="60" t="s">
        <v>63</v>
      </c>
      <c r="C28" s="63">
        <v>39814</v>
      </c>
      <c r="D28" s="64">
        <v>41320</v>
      </c>
      <c r="E28" s="23" t="s">
        <v>74</v>
      </c>
      <c r="F28" s="62"/>
      <c r="G28" s="20"/>
      <c r="H28" s="14" t="str">
        <f>IF(E28="Relacionada",IF(F28="Traslape Total","-",DATEDIF(C28,D28,"Y")),"-")</f>
        <v>-</v>
      </c>
      <c r="I28" s="14" t="str">
        <f>IF(E28="Relacionada",IF(F28="Traslape Total","-",DATEDIF(C28,D28,"YM")),"-")</f>
        <v>-</v>
      </c>
      <c r="J28" s="15" t="str">
        <f>IF(E28="Relacionada",IF(F28="Traslape Total","-",DATEDIF(C28,D28,"Md")),"-")</f>
        <v>-</v>
      </c>
      <c r="K28" s="24"/>
      <c r="L28" s="21"/>
      <c r="M28" s="22">
        <f>IF(K28="Traslape Total","-",DATEDIF(C28,D28,"Y"))</f>
        <v>4</v>
      </c>
      <c r="N28" s="22">
        <f>IF(K28="Traslape Total","-",DATEDIF($C28,$D28,"YM"))</f>
        <v>1</v>
      </c>
      <c r="O28" s="45">
        <f>IF(K28="Traslape Total","-",DATEDIF($C28,$D28,"MD"))</f>
        <v>14</v>
      </c>
    </row>
    <row r="29" spans="1:15" ht="32.25" customHeight="1" x14ac:dyDescent="0.2">
      <c r="A29" s="59" t="s">
        <v>64</v>
      </c>
      <c r="B29" s="60" t="s">
        <v>65</v>
      </c>
      <c r="C29" s="63">
        <v>39674</v>
      </c>
      <c r="D29" s="64">
        <v>39796</v>
      </c>
      <c r="E29" s="23" t="s">
        <v>74</v>
      </c>
      <c r="F29" s="62"/>
      <c r="G29" s="20"/>
      <c r="H29" s="14" t="str">
        <f>IF(E29="Relacionada",IF(F29="Traslape Total","-",DATEDIF(C29,D29,"Y")),"-")</f>
        <v>-</v>
      </c>
      <c r="I29" s="14" t="str">
        <f>IF(E29="Relacionada",IF(F29="Traslape Total","-",DATEDIF(C29,D29,"YM")),"-")</f>
        <v>-</v>
      </c>
      <c r="J29" s="15" t="str">
        <f>IF(E29="Relacionada",IF(F29="Traslape Total","-",DATEDIF(C29,D29,"Md")),"-")</f>
        <v>-</v>
      </c>
      <c r="K29" s="24" t="s">
        <v>77</v>
      </c>
      <c r="L29" s="21"/>
      <c r="M29" s="22">
        <f>IF(K29="Traslape Total","-",DATEDIF(C29,D29,"Y"))</f>
        <v>0</v>
      </c>
      <c r="N29" s="22">
        <f>IF(K29="Traslape Total","-",DATEDIF($C29,$D29,"YM"))</f>
        <v>4</v>
      </c>
      <c r="O29" s="45">
        <f>IF(K29="Traslape Total","-",DATEDIF($C29,$D29,"MD"))</f>
        <v>0</v>
      </c>
    </row>
    <row r="30" spans="1:15" ht="32.25" customHeight="1" x14ac:dyDescent="0.2">
      <c r="A30" s="59" t="s">
        <v>73</v>
      </c>
      <c r="B30" s="60" t="s">
        <v>66</v>
      </c>
      <c r="C30" s="63">
        <v>39139</v>
      </c>
      <c r="D30" s="64">
        <v>39386</v>
      </c>
      <c r="E30" s="23" t="s">
        <v>71</v>
      </c>
      <c r="F30" s="66" t="s">
        <v>72</v>
      </c>
      <c r="G30" s="20"/>
      <c r="H30" s="14">
        <f>IF(E30="Relacionada",IF(F30="Traslape Total","-",DATEDIF(C30,D30,"Y")),"-")</f>
        <v>0</v>
      </c>
      <c r="I30" s="14">
        <f>IF(E30="Relacionada",IF(F30="Traslape Total","-",DATEDIF(C30,D30,"YM")),"-")</f>
        <v>8</v>
      </c>
      <c r="J30" s="15">
        <f>IF(E30="Relacionada",IF(F30="Traslape Total","-",DATEDIF(C30,D30,"Md")),"-")</f>
        <v>5</v>
      </c>
      <c r="K30" s="24"/>
      <c r="L30" s="21"/>
      <c r="M30" s="22">
        <f>IF(K30="Traslape Total","-",DATEDIF(C30,D30,"Y"))</f>
        <v>0</v>
      </c>
      <c r="N30" s="22">
        <f>IF(K30="Traslape Total","-",DATEDIF($C30,$D30,"YM"))</f>
        <v>8</v>
      </c>
      <c r="O30" s="45">
        <f>IF(K30="Traslape Total","-",DATEDIF($C30,$D30,"MD"))</f>
        <v>5</v>
      </c>
    </row>
    <row r="31" spans="1:15" ht="32.25" customHeight="1" x14ac:dyDescent="0.2">
      <c r="A31" s="44"/>
      <c r="B31" s="26"/>
      <c r="C31" s="26"/>
      <c r="D31" s="27"/>
      <c r="E31" s="28"/>
      <c r="F31" s="29"/>
      <c r="G31" s="30"/>
      <c r="H31" s="14" t="str">
        <f>IF(E31="Relacionada",IF(F31="Traslape Total","-",DATEDIF(C31,D31,"Y")),"-")</f>
        <v>-</v>
      </c>
      <c r="I31" s="14" t="str">
        <f>IF(E31="Relacionada",IF(F31="Traslape Total","-",DATEDIF(C31,D31,"YM")),"-")</f>
        <v>-</v>
      </c>
      <c r="J31" s="15" t="str">
        <f>IF(E31="Relacionada",IF(F31="Traslape Total","-",DATEDIF(C31,D31,"Md")),"-")</f>
        <v>-</v>
      </c>
      <c r="K31" s="31"/>
      <c r="L31" s="32"/>
      <c r="M31" s="22">
        <f>IF(K31="Traslape Total","-",DATEDIF(C31,D31,"Y"))</f>
        <v>0</v>
      </c>
      <c r="N31" s="22">
        <f>IF(K31="Traslape Total","-",DATEDIF($C31,$D31,"YM"))</f>
        <v>0</v>
      </c>
      <c r="O31" s="45">
        <f>IF(K31="Traslape Total","-",DATEDIF($C31,$D31,"MD"))</f>
        <v>0</v>
      </c>
    </row>
    <row r="32" spans="1:15" s="4" customFormat="1" ht="12.75" customHeight="1" x14ac:dyDescent="0.2">
      <c r="A32" s="98" t="s">
        <v>2</v>
      </c>
      <c r="B32" s="99"/>
      <c r="C32" s="99"/>
      <c r="D32" s="99"/>
      <c r="E32" s="99"/>
      <c r="F32" s="86" t="s">
        <v>35</v>
      </c>
      <c r="G32" s="87"/>
      <c r="H32" s="51">
        <f>SUM(H21:H31)</f>
        <v>5</v>
      </c>
      <c r="I32" s="51">
        <f>SUM(I21:I31)</f>
        <v>14</v>
      </c>
      <c r="J32" s="52">
        <f>SUM(J21:J31)</f>
        <v>75</v>
      </c>
      <c r="K32" s="86" t="s">
        <v>36</v>
      </c>
      <c r="L32" s="87"/>
      <c r="M32" s="51">
        <f>SUM(M21:M31)</f>
        <v>11</v>
      </c>
      <c r="N32" s="51">
        <f>SUM(N21:N31)</f>
        <v>39</v>
      </c>
      <c r="O32" s="52">
        <f>SUM(O21:O31)</f>
        <v>146</v>
      </c>
    </row>
    <row r="33" spans="1:18" ht="13.5" customHeight="1" thickBot="1" x14ac:dyDescent="0.25">
      <c r="A33" s="96" t="s">
        <v>3</v>
      </c>
      <c r="B33" s="97"/>
      <c r="C33" s="97"/>
      <c r="D33" s="97"/>
      <c r="E33" s="97"/>
      <c r="F33" s="86"/>
      <c r="G33" s="87"/>
      <c r="H33" s="33">
        <f>+INT((SUM(I21:I31)+INT((SUM(J21:J31)/30)))/12)+H32</f>
        <v>6</v>
      </c>
      <c r="I33" s="34">
        <f>(((SUM(I21:I31)+INT(SUM(J21:J31)/30))/12)-(INT((SUM(I21:I31)+INT((SUM(J21:J31)/30)))/12)))*12</f>
        <v>3.9999999999999991</v>
      </c>
      <c r="J33" s="25">
        <f>(SUM(J21:J31)/30-INT(SUM(J21:J31)/30))*30</f>
        <v>15</v>
      </c>
      <c r="K33" s="86"/>
      <c r="L33" s="87"/>
      <c r="M33" s="33">
        <f>+INT((SUM(N21:N31)+INT((SUM(O21:O31)/30)))/12)+M32</f>
        <v>14</v>
      </c>
      <c r="N33" s="34">
        <f>(((SUM(N21:N31)+INT(SUM(O21:O31)/30))/12)-(INT((SUM(N21:N31)+INT((SUM(O21:O31)/30)))/12)))*12</f>
        <v>7.0000000000000018</v>
      </c>
      <c r="O33" s="25">
        <f>(SUM(O21:O31)/30-INT(SUM(O21:O31)/30))*30</f>
        <v>25.999999999999986</v>
      </c>
    </row>
    <row r="34" spans="1:18" ht="47.25" customHeight="1" x14ac:dyDescent="0.2">
      <c r="A34" s="35"/>
      <c r="B34" s="36"/>
      <c r="C34" s="36"/>
      <c r="D34" s="36"/>
      <c r="E34" s="36"/>
      <c r="F34" s="36"/>
      <c r="G34" s="36"/>
      <c r="H34" s="36"/>
      <c r="I34" s="36"/>
      <c r="J34" s="37"/>
      <c r="K34" s="37"/>
      <c r="L34" s="37"/>
      <c r="M34" s="37"/>
      <c r="N34" s="37"/>
      <c r="O34" s="38"/>
      <c r="R34" s="1">
        <f>5*12</f>
        <v>60</v>
      </c>
    </row>
    <row r="35" spans="1:18" x14ac:dyDescent="0.2">
      <c r="A35" s="5"/>
      <c r="E35" s="43"/>
      <c r="F35" s="43"/>
      <c r="G35" s="43"/>
      <c r="O35" s="2"/>
    </row>
    <row r="36" spans="1:18" x14ac:dyDescent="0.2">
      <c r="A36" s="3"/>
      <c r="E36" s="93" t="s">
        <v>38</v>
      </c>
      <c r="F36" s="93"/>
      <c r="G36" s="93"/>
      <c r="O36" s="2"/>
    </row>
    <row r="37" spans="1:18" x14ac:dyDescent="0.2">
      <c r="A37" s="3"/>
      <c r="O37" s="2"/>
    </row>
    <row r="38" spans="1:18" x14ac:dyDescent="0.2">
      <c r="A38" s="11" t="s">
        <v>89</v>
      </c>
      <c r="O38" s="2"/>
    </row>
    <row r="39" spans="1:18" x14ac:dyDescent="0.2">
      <c r="A39" s="11" t="s">
        <v>86</v>
      </c>
      <c r="O39" s="2"/>
    </row>
    <row r="40" spans="1:18" s="6" customFormat="1" ht="12" thickBot="1" x14ac:dyDescent="0.25">
      <c r="A40" s="10" t="s">
        <v>88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8"/>
    </row>
  </sheetData>
  <mergeCells count="65">
    <mergeCell ref="A2:O2"/>
    <mergeCell ref="A6:O6"/>
    <mergeCell ref="A9:O9"/>
    <mergeCell ref="A10:O10"/>
    <mergeCell ref="D4:E4"/>
    <mergeCell ref="A1:C1"/>
    <mergeCell ref="D1:O1"/>
    <mergeCell ref="F19:G19"/>
    <mergeCell ref="H19:J19"/>
    <mergeCell ref="K19:L19"/>
    <mergeCell ref="M19:O19"/>
    <mergeCell ref="A8:F8"/>
    <mergeCell ref="G8:O8"/>
    <mergeCell ref="A7:F7"/>
    <mergeCell ref="G7:O7"/>
    <mergeCell ref="B4:C4"/>
    <mergeCell ref="K4:L4"/>
    <mergeCell ref="I4:J4"/>
    <mergeCell ref="N5:O5"/>
    <mergeCell ref="F4:G4"/>
    <mergeCell ref="M4:O4"/>
    <mergeCell ref="E5:G5"/>
    <mergeCell ref="E11:G11"/>
    <mergeCell ref="H11:K11"/>
    <mergeCell ref="L11:M11"/>
    <mergeCell ref="A32:E32"/>
    <mergeCell ref="H5:I5"/>
    <mergeCell ref="J5:K5"/>
    <mergeCell ref="F32:G33"/>
    <mergeCell ref="N16:O16"/>
    <mergeCell ref="E36:G36"/>
    <mergeCell ref="L5:M5"/>
    <mergeCell ref="B5:C5"/>
    <mergeCell ref="B12:D12"/>
    <mergeCell ref="E12:G12"/>
    <mergeCell ref="H12:K12"/>
    <mergeCell ref="L12:M12"/>
    <mergeCell ref="A33:E33"/>
    <mergeCell ref="B11:D11"/>
    <mergeCell ref="L13:M13"/>
    <mergeCell ref="H13:K13"/>
    <mergeCell ref="E15:G15"/>
    <mergeCell ref="H15:K15"/>
    <mergeCell ref="L15:M15"/>
    <mergeCell ref="B15:D15"/>
    <mergeCell ref="L16:M16"/>
    <mergeCell ref="K32:L33"/>
    <mergeCell ref="N13:O13"/>
    <mergeCell ref="B13:D13"/>
    <mergeCell ref="E14:G14"/>
    <mergeCell ref="H14:K14"/>
    <mergeCell ref="L14:M14"/>
    <mergeCell ref="N14:O14"/>
    <mergeCell ref="B14:D14"/>
    <mergeCell ref="E13:G13"/>
    <mergeCell ref="N11:O11"/>
    <mergeCell ref="N12:O12"/>
    <mergeCell ref="J17:K17"/>
    <mergeCell ref="L17:O17"/>
    <mergeCell ref="A18:O18"/>
    <mergeCell ref="B17:I17"/>
    <mergeCell ref="N15:O15"/>
    <mergeCell ref="B16:D16"/>
    <mergeCell ref="E16:G16"/>
    <mergeCell ref="H16:K16"/>
  </mergeCells>
  <dataValidations count="1">
    <dataValidation type="list" allowBlank="1" showInputMessage="1" showErrorMessage="1" sqref="E21:E31" xr:uid="{00000000-0002-0000-0000-000000000000}">
      <formula1>"Relacionada,Profesional,Laboral"</formula1>
    </dataValidation>
  </dataValidations>
  <hyperlinks>
    <hyperlink ref="M4" r:id="rId1" xr:uid="{9DAEFFC6-8C54-4D0C-B1B7-C4F2700670D9}"/>
  </hyperlinks>
  <printOptions horizontalCentered="1"/>
  <pageMargins left="0.23622047244094491" right="0.23622047244094491" top="0.39370078740157483" bottom="1.3779527559055118" header="0.19685039370078741" footer="0.19685039370078741"/>
  <pageSetup scale="49" orientation="portrait" horizontalDpi="4294967294" verticalDpi="4294967294" r:id="rId2"/>
  <headerFooter>
    <oddFooter>&amp;C&amp;"Arial,Negrita"&amp;16&amp;G
CLASIFICACIÓN DE LA INFORMACIÓN: PÚBLICA CLASIFICADA
2311300-FT-318 Versión 01&amp;G</oddFooter>
  </headerFooter>
  <drawing r:id="rId3"/>
  <legacyDrawingHF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FORMATO</vt:lpstr>
      <vt:lpstr>FORMATO!Print_Area</vt:lpstr>
    </vt:vector>
  </TitlesOfParts>
  <Company>Escuela Superior de Administración Publica  E.S.A.P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flormmurc</dc:creator>
  <cp:lastModifiedBy>Juan C Martinez Bernal</cp:lastModifiedBy>
  <cp:lastPrinted>2021-07-19T16:40:59Z</cp:lastPrinted>
  <dcterms:created xsi:type="dcterms:W3CDTF">2004-01-15T21:44:44Z</dcterms:created>
  <dcterms:modified xsi:type="dcterms:W3CDTF">2026-10-01T19:47:50Z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DOID">
    <vt:i4>2294254</vt:i4>
  </property>
</Properties>
</file>