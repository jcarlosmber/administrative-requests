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martinezb\Desktop\Sin logo\Con Logo - copia\"/>
    </mc:Choice>
  </mc:AlternateContent>
  <bookViews>
    <workbookView xWindow="-105" yWindow="-105" windowWidth="19425" windowHeight="10305"/>
  </bookViews>
  <sheets>
    <sheet name="FORMATO" sheetId="97" r:id="rId1"/>
  </sheets>
  <definedNames>
    <definedName name="Print_Area" localSheetId="0">FORMATO!$A$1:$O$37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97" l="1"/>
  <c r="N20" i="97"/>
  <c r="O20" i="97"/>
  <c r="M21" i="97"/>
  <c r="N21" i="97"/>
  <c r="O21" i="97"/>
  <c r="M22" i="97"/>
  <c r="N22" i="97"/>
  <c r="O22" i="97"/>
  <c r="M23" i="97"/>
  <c r="N23" i="97"/>
  <c r="O23" i="97"/>
  <c r="M24" i="97"/>
  <c r="N24" i="97"/>
  <c r="O24" i="97"/>
  <c r="M25" i="97"/>
  <c r="N25" i="97"/>
  <c r="O25" i="97"/>
  <c r="H22" i="97"/>
  <c r="I22" i="97"/>
  <c r="J22" i="97"/>
  <c r="H23" i="97"/>
  <c r="I23" i="97"/>
  <c r="J23" i="97"/>
  <c r="H24" i="97"/>
  <c r="I24" i="97"/>
  <c r="J24" i="97"/>
  <c r="H25" i="97"/>
  <c r="I25" i="97"/>
  <c r="J25" i="97"/>
  <c r="M19" i="97" l="1"/>
  <c r="O19" i="97"/>
  <c r="N19" i="97"/>
  <c r="J20" i="97"/>
  <c r="J21" i="97"/>
  <c r="I19" i="97"/>
  <c r="J19" i="97"/>
  <c r="I20" i="97"/>
  <c r="I21" i="97"/>
  <c r="H20" i="97"/>
  <c r="H21" i="97"/>
  <c r="H19" i="97"/>
  <c r="M29" i="97" l="1"/>
  <c r="M30" i="97" s="1"/>
  <c r="H29" i="97"/>
  <c r="H30" i="97" s="1"/>
  <c r="I29" i="97"/>
  <c r="O30" i="97"/>
  <c r="J30" i="97"/>
  <c r="N30" i="97"/>
  <c r="N29" i="97"/>
  <c r="I30" i="97"/>
  <c r="O29" i="97"/>
  <c r="J29" i="97"/>
</calcChain>
</file>

<file path=xl/sharedStrings.xml><?xml version="1.0" encoding="utf-8"?>
<sst xmlns="http://schemas.openxmlformats.org/spreadsheetml/2006/main" count="58" uniqueCount="51">
  <si>
    <t>AÑOS</t>
  </si>
  <si>
    <t>MESES</t>
  </si>
  <si>
    <t>TIEMPO DE EXPERIENCIA</t>
  </si>
  <si>
    <t>TOTAL</t>
  </si>
  <si>
    <t>Que el funcionario relacionado a continuación cumple con  los requisitos del cargo solicitado así:</t>
  </si>
  <si>
    <r>
      <rPr>
        <b/>
        <sz val="10"/>
        <rFont val="Arial"/>
        <family val="2"/>
      </rPr>
      <t>DOCUMENTO DE IDENTIDAD:</t>
    </r>
    <r>
      <rPr>
        <sz val="10"/>
        <rFont val="Arial"/>
        <family val="2"/>
      </rPr>
      <t xml:space="preserve"> </t>
    </r>
  </si>
  <si>
    <t>NOMBRE:</t>
  </si>
  <si>
    <t>CARGO:</t>
  </si>
  <si>
    <t xml:space="preserve">Elaborado por: </t>
  </si>
  <si>
    <t>TITULO DE POSGRADO:</t>
  </si>
  <si>
    <t>TARJETA PROFESIONAL:</t>
  </si>
  <si>
    <t>DEPENDEDENCIA</t>
  </si>
  <si>
    <t>CODIGO:</t>
  </si>
  <si>
    <t>GRADO:</t>
  </si>
  <si>
    <t>Revisado por:</t>
  </si>
  <si>
    <t>TIPO DE EXPERIENCIA</t>
  </si>
  <si>
    <t>FORMACIÓN</t>
  </si>
  <si>
    <t>EXPERIENCIA</t>
  </si>
  <si>
    <t>1. REQUISITOS DEL CARGO</t>
  </si>
  <si>
    <t>2. DOCUMENTOS APORTADOS</t>
  </si>
  <si>
    <t>2.2. EXPERIENCIA</t>
  </si>
  <si>
    <t>2.1. FORMACIÓN</t>
  </si>
  <si>
    <t>DESDE</t>
  </si>
  <si>
    <t>HASTA</t>
  </si>
  <si>
    <t>OBSERVACIÓN</t>
  </si>
  <si>
    <t>DIAS</t>
  </si>
  <si>
    <t>ENTIDAD</t>
  </si>
  <si>
    <t xml:space="preserve">CARGO </t>
  </si>
  <si>
    <t>INSTITUCIÓN EDUCATIVA</t>
  </si>
  <si>
    <t>FECHA DE GRADO</t>
  </si>
  <si>
    <t>FECHA DE EXPEDICIÓN</t>
  </si>
  <si>
    <t>TELEFONO:</t>
  </si>
  <si>
    <t>CORREO ELECTRONICO</t>
  </si>
  <si>
    <t>EL SUSCRITO DIRECTOR (A) DE GESTIÓN CORPORATIVA
HACE CONSTAR:</t>
  </si>
  <si>
    <t>VALIDACIÓN EXP RELACIONADA</t>
  </si>
  <si>
    <t>TIEMPO DE EXPERIENCIA RELACIONADA</t>
  </si>
  <si>
    <t>VALIDACIÓN EXPERIENCIA</t>
  </si>
  <si>
    <t>FECHA EDITADA</t>
  </si>
  <si>
    <t>RELACIONADA</t>
  </si>
  <si>
    <t>PROFESIONAL/LABORAL</t>
  </si>
  <si>
    <r>
      <rPr>
        <b/>
        <sz val="16"/>
        <rFont val="Arial"/>
        <family val="2"/>
      </rPr>
      <t>CERTIFICADO DE CUMPLIMIENTO DE REQUISITOS PARA TOMAR POSESIÓN</t>
    </r>
    <r>
      <rPr>
        <sz val="12"/>
        <rFont val="Arial"/>
        <family val="2"/>
      </rPr>
      <t xml:space="preserve">
Dirección de Gestión Corporativa</t>
    </r>
  </si>
  <si>
    <t>DIRECTOR (A) DE GESTION CORPORATIVA</t>
  </si>
  <si>
    <t>Fecha de Expedición:</t>
  </si>
  <si>
    <t>TITULO DE BACHILLER:</t>
  </si>
  <si>
    <t>TITULO DE TECNICO</t>
  </si>
  <si>
    <t>TITULO DE PREGRADO:</t>
  </si>
  <si>
    <t>OBSERVACIÓN2</t>
  </si>
  <si>
    <t>FECHA EDITADA3</t>
  </si>
  <si>
    <t>AÑOS4</t>
  </si>
  <si>
    <t>MESES5</t>
  </si>
  <si>
    <t>DIAS6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</si>
</sst>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5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4" fillId="2" borderId="0" xfId="0" applyFont="1" applyFill="1"/>
    <xf numFmtId="0" fontId="4" fillId="2" borderId="9" xfId="0" applyFont="1" applyFill="1" applyBorder="1"/>
    <xf numFmtId="0" fontId="4" fillId="2" borderId="10" xfId="0" applyFont="1" applyFill="1" applyBorder="1"/>
    <xf numFmtId="0" fontId="2" fillId="2" borderId="25" xfId="0" applyFont="1" applyFill="1" applyBorder="1" applyAlignment="1">
      <alignment vertical="center"/>
    </xf>
    <xf numFmtId="0" fontId="3" fillId="2" borderId="8" xfId="0" applyFont="1" applyFill="1" applyBorder="1"/>
    <xf numFmtId="0" fontId="3" fillId="2" borderId="2" xfId="0" applyFont="1" applyFill="1" applyBorder="1"/>
    <xf numFmtId="0" fontId="2" fillId="2" borderId="35" xfId="0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 wrapText="1"/>
    </xf>
    <xf numFmtId="14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/>
    <xf numFmtId="0" fontId="5" fillId="2" borderId="3" xfId="0" applyFont="1" applyFill="1" applyBorder="1" applyAlignment="1">
      <alignment horizontal="center" vertical="center"/>
    </xf>
    <xf numFmtId="14" fontId="1" fillId="0" borderId="20" xfId="0" applyNumberFormat="1" applyFont="1" applyFill="1" applyBorder="1" applyAlignment="1">
      <alignment horizontal="center" vertical="center"/>
    </xf>
    <xf numFmtId="14" fontId="1" fillId="0" borderId="18" xfId="0" applyNumberFormat="1" applyFont="1" applyFill="1" applyBorder="1" applyAlignment="1">
      <alignment horizontal="center" vertical="center"/>
    </xf>
    <xf numFmtId="0" fontId="1" fillId="0" borderId="11" xfId="0" applyFont="1" applyFill="1" applyBorder="1"/>
    <xf numFmtId="0" fontId="1" fillId="0" borderId="32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6" xfId="0" applyFont="1" applyFill="1" applyBorder="1"/>
    <xf numFmtId="0" fontId="2" fillId="2" borderId="29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 wrapText="1"/>
    </xf>
    <xf numFmtId="14" fontId="1" fillId="0" borderId="22" xfId="0" applyNumberFormat="1" applyFont="1" applyFill="1" applyBorder="1" applyAlignment="1">
      <alignment horizontal="center" vertical="center"/>
    </xf>
    <xf numFmtId="14" fontId="1" fillId="0" borderId="27" xfId="0" applyNumberFormat="1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9" xfId="0" applyFont="1" applyFill="1" applyBorder="1"/>
    <xf numFmtId="0" fontId="1" fillId="0" borderId="28" xfId="0" applyFont="1" applyFill="1" applyBorder="1"/>
    <xf numFmtId="0" fontId="1" fillId="0" borderId="22" xfId="0" applyFont="1" applyFill="1" applyBorder="1"/>
    <xf numFmtId="1" fontId="2" fillId="2" borderId="22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6" xfId="0" applyFont="1" applyFill="1" applyBorder="1"/>
    <xf numFmtId="0" fontId="1" fillId="2" borderId="17" xfId="0" applyFont="1" applyFill="1" applyBorder="1"/>
    <xf numFmtId="0" fontId="6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40" xfId="0" applyFont="1" applyFill="1" applyBorder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9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 wrapText="1"/>
    </xf>
    <xf numFmtId="0" fontId="1" fillId="0" borderId="28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/>
    </xf>
    <xf numFmtId="0" fontId="1" fillId="0" borderId="18" xfId="0" applyFont="1" applyFill="1" applyBorder="1"/>
    <xf numFmtId="0" fontId="1" fillId="0" borderId="27" xfId="0" applyFont="1" applyFill="1" applyBorder="1"/>
    <xf numFmtId="0" fontId="2" fillId="0" borderId="44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15" fontId="2" fillId="0" borderId="45" xfId="0" applyNumberFormat="1" applyFont="1" applyFill="1" applyBorder="1" applyAlignment="1">
      <alignment horizontal="center" vertical="center" wrapText="1"/>
    </xf>
    <xf numFmtId="15" fontId="2" fillId="0" borderId="46" xfId="0" applyNumberFormat="1" applyFont="1" applyFill="1" applyBorder="1" applyAlignment="1">
      <alignment horizontal="center" vertical="center" wrapText="1"/>
    </xf>
    <xf numFmtId="15" fontId="2" fillId="0" borderId="41" xfId="0" applyNumberFormat="1" applyFont="1" applyFill="1" applyBorder="1" applyAlignment="1">
      <alignment horizontal="center" vertical="center" wrapText="1"/>
    </xf>
    <xf numFmtId="15" fontId="2" fillId="0" borderId="47" xfId="0" applyNumberFormat="1" applyFont="1" applyFill="1" applyBorder="1" applyAlignment="1">
      <alignment horizontal="center" vertical="center" wrapText="1"/>
    </xf>
    <xf numFmtId="15" fontId="2" fillId="0" borderId="44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5" fontId="2" fillId="0" borderId="15" xfId="0" applyNumberFormat="1" applyFont="1" applyFill="1" applyBorder="1" applyAlignment="1">
      <alignment horizontal="center" vertical="center" wrapText="1"/>
    </xf>
    <xf numFmtId="15" fontId="2" fillId="0" borderId="17" xfId="0" applyNumberFormat="1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15" fontId="2" fillId="0" borderId="16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" fillId="0" borderId="38" xfId="0" applyFont="1" applyFill="1" applyBorder="1" applyAlignment="1">
      <alignment horizontal="center"/>
    </xf>
    <xf numFmtId="0" fontId="2" fillId="0" borderId="39" xfId="0" applyFont="1" applyFill="1" applyBorder="1" applyAlignment="1">
      <alignment horizontal="center"/>
    </xf>
    <xf numFmtId="0" fontId="2" fillId="0" borderId="48" xfId="0" applyFont="1" applyFill="1" applyBorder="1" applyAlignment="1">
      <alignment horizontal="center" vertical="justify"/>
    </xf>
    <xf numFmtId="0" fontId="2" fillId="0" borderId="40" xfId="0" applyFont="1" applyFill="1" applyBorder="1" applyAlignment="1">
      <alignment horizontal="center" vertical="justify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9525"/>
          <a:ext cx="2390775" cy="9113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18:O28" totalsRowShown="0" headerRowDxfId="18" dataDxfId="16" headerRowBorderDxfId="17" tableBorderDxfId="15">
  <autoFilter ref="A18:O28"/>
  <tableColumns count="15">
    <tableColumn id="1" name="ENTIDAD" dataDxfId="14"/>
    <tableColumn id="2" name="CARGO " dataDxfId="13"/>
    <tableColumn id="3" name="DESDE" dataDxfId="12"/>
    <tableColumn id="4" name="HASTA" dataDxfId="11"/>
    <tableColumn id="5" name="TIPO DE EXPERIENCIA" dataDxfId="10"/>
    <tableColumn id="6" name="OBSERVACIÓN" dataDxfId="9"/>
    <tableColumn id="7" name="FECHA EDITADA" dataDxfId="8"/>
    <tableColumn id="8" name="AÑOS" dataDxfId="7"/>
    <tableColumn id="9" name="MESES" dataDxfId="6"/>
    <tableColumn id="10" name="DIAS" dataDxfId="5"/>
    <tableColumn id="11" name="OBSERVACIÓN2" dataDxfId="4"/>
    <tableColumn id="12" name="FECHA EDITADA3" dataDxfId="3"/>
    <tableColumn id="13" name="AÑOS4" dataDxfId="2"/>
    <tableColumn id="14" name="MESES5" dataDxfId="1"/>
    <tableColumn id="15" name="DIAS6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O37"/>
  <sheetViews>
    <sheetView tabSelected="1" view="pageLayout" zoomScale="25" zoomScaleNormal="70" zoomScalePageLayoutView="25" workbookViewId="0">
      <selection activeCell="A8" sqref="A8:F8"/>
    </sheetView>
  </sheetViews>
  <sheetFormatPr baseColWidth="10" defaultColWidth="11.42578125" defaultRowHeight="12.75" x14ac:dyDescent="0.2"/>
  <cols>
    <col min="1" max="1" width="26.7109375" style="1" customWidth="1"/>
    <col min="2" max="2" width="18.5703125" style="1" customWidth="1"/>
    <col min="3" max="4" width="10.5703125" style="1" customWidth="1"/>
    <col min="5" max="5" width="16.28515625" style="1" customWidth="1"/>
    <col min="6" max="6" width="16.710937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6384" width="11.42578125" style="1"/>
  </cols>
  <sheetData>
    <row r="1" spans="1:15" customFormat="1" ht="74.25" customHeight="1" thickBot="1" x14ac:dyDescent="0.25">
      <c r="A1" s="80"/>
      <c r="B1" s="81"/>
      <c r="C1" s="81"/>
      <c r="D1" s="82" t="s">
        <v>40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1:15" customFormat="1" ht="54.75" customHeight="1" thickBot="1" x14ac:dyDescent="0.25">
      <c r="A2" s="100" t="s">
        <v>33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15" thickBot="1" x14ac:dyDescent="0.25">
      <c r="A3" s="56" t="s">
        <v>4</v>
      </c>
      <c r="B3" s="57"/>
      <c r="C3" s="57"/>
      <c r="D3" s="57"/>
      <c r="E3" s="57"/>
      <c r="F3" s="57"/>
      <c r="G3" s="57"/>
      <c r="H3" s="57"/>
      <c r="I3" s="57"/>
      <c r="J3" s="58"/>
      <c r="K3" s="58"/>
      <c r="L3" s="58"/>
      <c r="M3" s="58"/>
      <c r="N3" s="58"/>
      <c r="O3" s="59"/>
    </row>
    <row r="4" spans="1:15" ht="18.75" customHeight="1" x14ac:dyDescent="0.2">
      <c r="A4" s="14" t="s">
        <v>6</v>
      </c>
      <c r="B4" s="113"/>
      <c r="C4" s="113"/>
      <c r="D4" s="112" t="s">
        <v>5</v>
      </c>
      <c r="E4" s="112"/>
      <c r="F4" s="127"/>
      <c r="G4" s="128"/>
      <c r="H4" s="15" t="s">
        <v>31</v>
      </c>
      <c r="I4" s="115"/>
      <c r="J4" s="116"/>
      <c r="K4" s="114" t="s">
        <v>32</v>
      </c>
      <c r="L4" s="114"/>
      <c r="M4" s="120"/>
      <c r="N4" s="120"/>
      <c r="O4" s="129"/>
    </row>
    <row r="5" spans="1:15" ht="19.5" customHeight="1" thickBot="1" x14ac:dyDescent="0.25">
      <c r="A5" s="13" t="s">
        <v>11</v>
      </c>
      <c r="B5" s="119"/>
      <c r="C5" s="119"/>
      <c r="D5" s="16" t="s">
        <v>7</v>
      </c>
      <c r="E5" s="97"/>
      <c r="F5" s="98"/>
      <c r="G5" s="99"/>
      <c r="H5" s="118" t="s">
        <v>12</v>
      </c>
      <c r="I5" s="118"/>
      <c r="J5" s="126"/>
      <c r="K5" s="126"/>
      <c r="L5" s="118" t="s">
        <v>13</v>
      </c>
      <c r="M5" s="118"/>
      <c r="N5" s="119"/>
      <c r="O5" s="125"/>
    </row>
    <row r="6" spans="1:15" ht="15.75" customHeight="1" thickBot="1" x14ac:dyDescent="0.25">
      <c r="A6" s="103" t="s">
        <v>18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5"/>
    </row>
    <row r="7" spans="1:15" ht="15.75" customHeight="1" thickBot="1" x14ac:dyDescent="0.25">
      <c r="A7" s="92" t="s">
        <v>17</v>
      </c>
      <c r="B7" s="93"/>
      <c r="C7" s="93"/>
      <c r="D7" s="93"/>
      <c r="E7" s="93"/>
      <c r="F7" s="95"/>
      <c r="G7" s="96" t="s">
        <v>16</v>
      </c>
      <c r="H7" s="93"/>
      <c r="I7" s="93"/>
      <c r="J7" s="93"/>
      <c r="K7" s="93"/>
      <c r="L7" s="93"/>
      <c r="M7" s="93"/>
      <c r="N7" s="93"/>
      <c r="O7" s="94"/>
    </row>
    <row r="8" spans="1:15" ht="67.5" customHeight="1" thickBot="1" x14ac:dyDescent="0.25">
      <c r="A8" s="92"/>
      <c r="B8" s="93"/>
      <c r="C8" s="93"/>
      <c r="D8" s="93"/>
      <c r="E8" s="93"/>
      <c r="F8" s="93"/>
      <c r="G8" s="92"/>
      <c r="H8" s="93"/>
      <c r="I8" s="93"/>
      <c r="J8" s="93"/>
      <c r="K8" s="93"/>
      <c r="L8" s="93"/>
      <c r="M8" s="93"/>
      <c r="N8" s="93"/>
      <c r="O8" s="94"/>
    </row>
    <row r="9" spans="1:15" ht="18.75" customHeight="1" thickBot="1" x14ac:dyDescent="0.25">
      <c r="A9" s="106" t="s">
        <v>19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8"/>
    </row>
    <row r="10" spans="1:15" ht="17.25" customHeight="1" thickBot="1" x14ac:dyDescent="0.25">
      <c r="A10" s="109" t="s">
        <v>21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1"/>
    </row>
    <row r="11" spans="1:15" ht="17.25" customHeight="1" x14ac:dyDescent="0.2">
      <c r="A11" s="14" t="s">
        <v>43</v>
      </c>
      <c r="B11" s="120"/>
      <c r="C11" s="120"/>
      <c r="D11" s="120"/>
      <c r="E11" s="113" t="s">
        <v>28</v>
      </c>
      <c r="F11" s="113"/>
      <c r="G11" s="113"/>
      <c r="H11" s="120"/>
      <c r="I11" s="120"/>
      <c r="J11" s="120"/>
      <c r="K11" s="120"/>
      <c r="L11" s="114" t="s">
        <v>29</v>
      </c>
      <c r="M11" s="114"/>
      <c r="N11" s="120"/>
      <c r="O11" s="129"/>
    </row>
    <row r="12" spans="1:15" ht="17.25" customHeight="1" x14ac:dyDescent="0.2">
      <c r="A12" s="14" t="s">
        <v>44</v>
      </c>
      <c r="B12" s="120"/>
      <c r="C12" s="120"/>
      <c r="D12" s="120"/>
      <c r="E12" s="113" t="s">
        <v>28</v>
      </c>
      <c r="F12" s="113"/>
      <c r="G12" s="113"/>
      <c r="H12" s="120"/>
      <c r="I12" s="120"/>
      <c r="J12" s="120"/>
      <c r="K12" s="120"/>
      <c r="L12" s="114" t="s">
        <v>29</v>
      </c>
      <c r="M12" s="114"/>
      <c r="N12" s="120"/>
      <c r="O12" s="129"/>
    </row>
    <row r="13" spans="1:15" ht="19.5" customHeight="1" x14ac:dyDescent="0.2">
      <c r="A13" s="14" t="s">
        <v>45</v>
      </c>
      <c r="B13" s="120"/>
      <c r="C13" s="120"/>
      <c r="D13" s="120"/>
      <c r="E13" s="113" t="s">
        <v>28</v>
      </c>
      <c r="F13" s="113"/>
      <c r="G13" s="113"/>
      <c r="H13" s="120"/>
      <c r="I13" s="120"/>
      <c r="J13" s="120"/>
      <c r="K13" s="120"/>
      <c r="L13" s="114" t="s">
        <v>29</v>
      </c>
      <c r="M13" s="114"/>
      <c r="N13" s="120"/>
      <c r="O13" s="129"/>
    </row>
    <row r="14" spans="1:15" ht="19.5" customHeight="1" x14ac:dyDescent="0.2">
      <c r="A14" s="10" t="s">
        <v>9</v>
      </c>
      <c r="B14" s="132"/>
      <c r="C14" s="132"/>
      <c r="D14" s="132"/>
      <c r="E14" s="132" t="s">
        <v>28</v>
      </c>
      <c r="F14" s="132"/>
      <c r="G14" s="132"/>
      <c r="H14" s="133"/>
      <c r="I14" s="133"/>
      <c r="J14" s="133"/>
      <c r="K14" s="133"/>
      <c r="L14" s="134" t="s">
        <v>29</v>
      </c>
      <c r="M14" s="134"/>
      <c r="N14" s="133"/>
      <c r="O14" s="135"/>
    </row>
    <row r="15" spans="1:15" ht="19.5" customHeight="1" thickBot="1" x14ac:dyDescent="0.25">
      <c r="A15" s="17" t="s">
        <v>10</v>
      </c>
      <c r="B15" s="118"/>
      <c r="C15" s="118"/>
      <c r="D15" s="118"/>
      <c r="E15" s="118"/>
      <c r="F15" s="118"/>
      <c r="G15" s="118"/>
      <c r="H15" s="118"/>
      <c r="I15" s="118"/>
      <c r="J15" s="136" t="s">
        <v>30</v>
      </c>
      <c r="K15" s="136"/>
      <c r="L15" s="126"/>
      <c r="M15" s="126"/>
      <c r="N15" s="126"/>
      <c r="O15" s="137"/>
    </row>
    <row r="16" spans="1:15" ht="19.5" customHeight="1" thickBot="1" x14ac:dyDescent="0.25">
      <c r="A16" s="109" t="s">
        <v>20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1"/>
    </row>
    <row r="17" spans="1:15" ht="28.5" customHeight="1" x14ac:dyDescent="0.2">
      <c r="A17" s="25"/>
      <c r="B17" s="26"/>
      <c r="C17" s="26"/>
      <c r="D17" s="26"/>
      <c r="E17" s="26"/>
      <c r="F17" s="85" t="s">
        <v>34</v>
      </c>
      <c r="G17" s="86"/>
      <c r="H17" s="87" t="s">
        <v>35</v>
      </c>
      <c r="I17" s="87"/>
      <c r="J17" s="88"/>
      <c r="K17" s="89" t="s">
        <v>36</v>
      </c>
      <c r="L17" s="89"/>
      <c r="M17" s="90" t="s">
        <v>2</v>
      </c>
      <c r="N17" s="90"/>
      <c r="O17" s="91"/>
    </row>
    <row r="18" spans="1:15" s="5" customFormat="1" ht="29.25" customHeight="1" thickBot="1" x14ac:dyDescent="0.25">
      <c r="A18" s="71" t="s">
        <v>26</v>
      </c>
      <c r="B18" s="72" t="s">
        <v>27</v>
      </c>
      <c r="C18" s="73" t="s">
        <v>22</v>
      </c>
      <c r="D18" s="73" t="s">
        <v>23</v>
      </c>
      <c r="E18" s="74" t="s">
        <v>15</v>
      </c>
      <c r="F18" s="75" t="s">
        <v>24</v>
      </c>
      <c r="G18" s="73" t="s">
        <v>37</v>
      </c>
      <c r="H18" s="73" t="s">
        <v>0</v>
      </c>
      <c r="I18" s="73" t="s">
        <v>1</v>
      </c>
      <c r="J18" s="76" t="s">
        <v>25</v>
      </c>
      <c r="K18" s="77" t="s">
        <v>46</v>
      </c>
      <c r="L18" s="73" t="s">
        <v>47</v>
      </c>
      <c r="M18" s="73" t="s">
        <v>48</v>
      </c>
      <c r="N18" s="73" t="s">
        <v>49</v>
      </c>
      <c r="O18" s="74" t="s">
        <v>50</v>
      </c>
    </row>
    <row r="19" spans="1:15" s="63" customFormat="1" ht="32.25" customHeight="1" x14ac:dyDescent="0.2">
      <c r="A19" s="64"/>
      <c r="B19" s="61"/>
      <c r="C19" s="61"/>
      <c r="D19" s="18"/>
      <c r="E19" s="34"/>
      <c r="F19" s="37"/>
      <c r="G19" s="19"/>
      <c r="H19" s="19" t="str">
        <f>IF(E19="Relacionada",IF(F19="Traslape Total","-",DATEDIF(C19,D19,"Y")),"-")</f>
        <v>-</v>
      </c>
      <c r="I19" s="19" t="str">
        <f>IF(E19="Relacionada",IF(F19="Traslape Total","-",DATEDIF(C19,D19,"YM")),"-")</f>
        <v>-</v>
      </c>
      <c r="J19" s="20" t="str">
        <f>IF(E19="Relacionada",IF(F19="Traslape Total","-",DATEDIF(C19,D19,"Md")),"-")</f>
        <v>-</v>
      </c>
      <c r="K19" s="28"/>
      <c r="L19" s="27"/>
      <c r="M19" s="33">
        <f>IF(K19="Traslape Total","-",DATEDIF(C19,D19,"Y"))</f>
        <v>0</v>
      </c>
      <c r="N19" s="33">
        <f t="shared" ref="N19" si="0">IF(K19="Traslape Total","-",DATEDIF($C19,$D19,"YM"))</f>
        <v>0</v>
      </c>
      <c r="O19" s="68">
        <f t="shared" ref="O19" si="1">IF(K19="Traslape Total","-",DATEDIF($C19,$D19,"MD"))</f>
        <v>0</v>
      </c>
    </row>
    <row r="20" spans="1:15" s="63" customFormat="1" ht="32.25" customHeight="1" x14ac:dyDescent="0.2">
      <c r="A20" s="65"/>
      <c r="B20" s="62"/>
      <c r="C20" s="62"/>
      <c r="D20" s="22"/>
      <c r="E20" s="35"/>
      <c r="F20" s="38"/>
      <c r="G20" s="23"/>
      <c r="H20" s="23" t="str">
        <f t="shared" ref="H20:H22" si="2">IF(E20="Relacionada",IF(F20="Traslape Total","-",DATEDIF(C20,D20,"Y")),"-")</f>
        <v>-</v>
      </c>
      <c r="I20" s="23" t="str">
        <f t="shared" ref="I20:I21" si="3">IF(E179="Relacionada",IF(F20="Traslape Total","-",DATEDIF(C20,D20,"YM")),"-")</f>
        <v>-</v>
      </c>
      <c r="J20" s="24" t="str">
        <f t="shared" ref="J20:J22" si="4">IF(E20="Relacionada",IF(F20="Traslape Total","-",DATEDIF(C20,D20,"Md")),"-")</f>
        <v>-</v>
      </c>
      <c r="K20" s="30"/>
      <c r="L20" s="29"/>
      <c r="M20" s="33">
        <f t="shared" ref="M20:M25" si="5">IF(K20="Traslape Total","-",DATEDIF(C20,D20,"Y"))</f>
        <v>0</v>
      </c>
      <c r="N20" s="33">
        <f t="shared" ref="N20:N25" si="6">IF(K20="Traslape Total","-",DATEDIF($C20,$D20,"YM"))</f>
        <v>0</v>
      </c>
      <c r="O20" s="68">
        <f t="shared" ref="O20:O25" si="7">IF(K20="Traslape Total","-",DATEDIF($C20,$D20,"MD"))</f>
        <v>0</v>
      </c>
    </row>
    <row r="21" spans="1:15" s="63" customFormat="1" ht="32.25" customHeight="1" x14ac:dyDescent="0.2">
      <c r="A21" s="65"/>
      <c r="B21" s="62"/>
      <c r="C21" s="62"/>
      <c r="D21" s="22"/>
      <c r="E21" s="35"/>
      <c r="F21" s="38"/>
      <c r="G21" s="23"/>
      <c r="H21" s="23" t="str">
        <f t="shared" si="2"/>
        <v>-</v>
      </c>
      <c r="I21" s="23" t="str">
        <f t="shared" si="3"/>
        <v>-</v>
      </c>
      <c r="J21" s="24" t="str">
        <f t="shared" si="4"/>
        <v>-</v>
      </c>
      <c r="K21" s="30"/>
      <c r="L21" s="23"/>
      <c r="M21" s="33">
        <f t="shared" si="5"/>
        <v>0</v>
      </c>
      <c r="N21" s="33">
        <f t="shared" si="6"/>
        <v>0</v>
      </c>
      <c r="O21" s="68">
        <f t="shared" si="7"/>
        <v>0</v>
      </c>
    </row>
    <row r="22" spans="1:15" ht="32.25" customHeight="1" x14ac:dyDescent="0.2">
      <c r="A22" s="66"/>
      <c r="B22" s="21"/>
      <c r="C22" s="21"/>
      <c r="D22" s="22"/>
      <c r="E22" s="35"/>
      <c r="F22" s="38"/>
      <c r="G22" s="31"/>
      <c r="H22" s="19" t="str">
        <f t="shared" si="2"/>
        <v>-</v>
      </c>
      <c r="I22" s="19" t="str">
        <f t="shared" ref="I22" si="8">IF(E22="Relacionada",IF(F22="Traslape Total","-",DATEDIF(C22,D22,"YM")),"-")</f>
        <v>-</v>
      </c>
      <c r="J22" s="20" t="str">
        <f t="shared" si="4"/>
        <v>-</v>
      </c>
      <c r="K22" s="36"/>
      <c r="L22" s="32"/>
      <c r="M22" s="33">
        <f t="shared" si="5"/>
        <v>0</v>
      </c>
      <c r="N22" s="33">
        <f t="shared" si="6"/>
        <v>0</v>
      </c>
      <c r="O22" s="68">
        <f t="shared" si="7"/>
        <v>0</v>
      </c>
    </row>
    <row r="23" spans="1:15" ht="32.25" customHeight="1" x14ac:dyDescent="0.2">
      <c r="A23" s="66"/>
      <c r="B23" s="21"/>
      <c r="C23" s="21"/>
      <c r="D23" s="22"/>
      <c r="E23" s="35"/>
      <c r="F23" s="38"/>
      <c r="G23" s="31"/>
      <c r="H23" s="23" t="str">
        <f t="shared" ref="H23:H25" si="9">IF(E23="Relacionada",IF(F23="Traslape Total","-",DATEDIF(C23,D23,"Y")),"-")</f>
        <v>-</v>
      </c>
      <c r="I23" s="23" t="str">
        <f t="shared" ref="I23:I24" si="10">IF(E182="Relacionada",IF(F23="Traslape Total","-",DATEDIF(C23,D23,"YM")),"-")</f>
        <v>-</v>
      </c>
      <c r="J23" s="24" t="str">
        <f t="shared" ref="J23:J25" si="11">IF(E23="Relacionada",IF(F23="Traslape Total","-",DATEDIF(C23,D23,"Md")),"-")</f>
        <v>-</v>
      </c>
      <c r="K23" s="36"/>
      <c r="L23" s="32"/>
      <c r="M23" s="33">
        <f t="shared" si="5"/>
        <v>0</v>
      </c>
      <c r="N23" s="33">
        <f t="shared" si="6"/>
        <v>0</v>
      </c>
      <c r="O23" s="68">
        <f t="shared" si="7"/>
        <v>0</v>
      </c>
    </row>
    <row r="24" spans="1:15" ht="32.25" customHeight="1" x14ac:dyDescent="0.2">
      <c r="A24" s="66"/>
      <c r="B24" s="21"/>
      <c r="C24" s="21"/>
      <c r="D24" s="22"/>
      <c r="E24" s="35"/>
      <c r="F24" s="38"/>
      <c r="G24" s="31"/>
      <c r="H24" s="23" t="str">
        <f t="shared" si="9"/>
        <v>-</v>
      </c>
      <c r="I24" s="23" t="str">
        <f t="shared" si="10"/>
        <v>-</v>
      </c>
      <c r="J24" s="24" t="str">
        <f t="shared" si="11"/>
        <v>-</v>
      </c>
      <c r="K24" s="36"/>
      <c r="L24" s="32"/>
      <c r="M24" s="33">
        <f t="shared" si="5"/>
        <v>0</v>
      </c>
      <c r="N24" s="33">
        <f t="shared" si="6"/>
        <v>0</v>
      </c>
      <c r="O24" s="68">
        <f t="shared" si="7"/>
        <v>0</v>
      </c>
    </row>
    <row r="25" spans="1:15" ht="32.25" customHeight="1" x14ac:dyDescent="0.2">
      <c r="A25" s="66"/>
      <c r="B25" s="21"/>
      <c r="C25" s="21"/>
      <c r="D25" s="22"/>
      <c r="E25" s="35"/>
      <c r="F25" s="38"/>
      <c r="G25" s="31"/>
      <c r="H25" s="19" t="str">
        <f t="shared" si="9"/>
        <v>-</v>
      </c>
      <c r="I25" s="19" t="str">
        <f t="shared" ref="I25" si="12">IF(E25="Relacionada",IF(F25="Traslape Total","-",DATEDIF(C25,D25,"YM")),"-")</f>
        <v>-</v>
      </c>
      <c r="J25" s="20" t="str">
        <f t="shared" si="11"/>
        <v>-</v>
      </c>
      <c r="K25" s="36"/>
      <c r="L25" s="32"/>
      <c r="M25" s="33">
        <f t="shared" si="5"/>
        <v>0</v>
      </c>
      <c r="N25" s="33">
        <f t="shared" si="6"/>
        <v>0</v>
      </c>
      <c r="O25" s="68">
        <f t="shared" si="7"/>
        <v>0</v>
      </c>
    </row>
    <row r="26" spans="1:15" ht="32.25" customHeight="1" x14ac:dyDescent="0.2">
      <c r="A26" s="66"/>
      <c r="B26" s="21"/>
      <c r="C26" s="21"/>
      <c r="D26" s="22"/>
      <c r="E26" s="35"/>
      <c r="F26" s="38"/>
      <c r="G26" s="31"/>
      <c r="H26" s="31"/>
      <c r="I26" s="23"/>
      <c r="J26" s="39"/>
      <c r="K26" s="36"/>
      <c r="L26" s="32"/>
      <c r="M26" s="32"/>
      <c r="N26" s="32"/>
      <c r="O26" s="69"/>
    </row>
    <row r="27" spans="1:15" ht="32.25" customHeight="1" x14ac:dyDescent="0.2">
      <c r="A27" s="66"/>
      <c r="B27" s="21"/>
      <c r="C27" s="21"/>
      <c r="D27" s="22"/>
      <c r="E27" s="35"/>
      <c r="F27" s="38"/>
      <c r="G27" s="31"/>
      <c r="H27" s="31"/>
      <c r="I27" s="23"/>
      <c r="J27" s="39"/>
      <c r="K27" s="36"/>
      <c r="L27" s="32"/>
      <c r="M27" s="32"/>
      <c r="N27" s="32"/>
      <c r="O27" s="69"/>
    </row>
    <row r="28" spans="1:15" ht="32.25" customHeight="1" x14ac:dyDescent="0.2">
      <c r="A28" s="67"/>
      <c r="B28" s="41"/>
      <c r="C28" s="41"/>
      <c r="D28" s="42"/>
      <c r="E28" s="43"/>
      <c r="F28" s="44"/>
      <c r="G28" s="45"/>
      <c r="H28" s="45"/>
      <c r="I28" s="46"/>
      <c r="J28" s="47"/>
      <c r="K28" s="48"/>
      <c r="L28" s="49"/>
      <c r="M28" s="49"/>
      <c r="N28" s="49"/>
      <c r="O28" s="70"/>
    </row>
    <row r="29" spans="1:15" s="5" customFormat="1" ht="12.75" customHeight="1" x14ac:dyDescent="0.2">
      <c r="A29" s="123" t="s">
        <v>2</v>
      </c>
      <c r="B29" s="124"/>
      <c r="C29" s="124"/>
      <c r="D29" s="124"/>
      <c r="E29" s="124"/>
      <c r="F29" s="130" t="s">
        <v>38</v>
      </c>
      <c r="G29" s="131"/>
      <c r="H29" s="78">
        <f>SUM(H19:H28)</f>
        <v>0</v>
      </c>
      <c r="I29" s="78">
        <f t="shared" ref="I29:J29" si="13">SUM(I19:I28)</f>
        <v>0</v>
      </c>
      <c r="J29" s="79">
        <f t="shared" si="13"/>
        <v>0</v>
      </c>
      <c r="K29" s="130" t="s">
        <v>39</v>
      </c>
      <c r="L29" s="131"/>
      <c r="M29" s="78">
        <f>SUM(M19:M28)</f>
        <v>0</v>
      </c>
      <c r="N29" s="78">
        <f t="shared" ref="N29" si="14">SUM(N19:N28)</f>
        <v>0</v>
      </c>
      <c r="O29" s="79">
        <f t="shared" ref="O29" si="15">SUM(O19:O28)</f>
        <v>0</v>
      </c>
    </row>
    <row r="30" spans="1:15" ht="13.5" customHeight="1" thickBot="1" x14ac:dyDescent="0.25">
      <c r="A30" s="121" t="s">
        <v>3</v>
      </c>
      <c r="B30" s="122"/>
      <c r="C30" s="122"/>
      <c r="D30" s="122"/>
      <c r="E30" s="122"/>
      <c r="F30" s="130"/>
      <c r="G30" s="131"/>
      <c r="H30" s="50">
        <f>+INT((SUM(I19:I28)+INT((SUM(J19:J28)/30)))/12)+H29</f>
        <v>0</v>
      </c>
      <c r="I30" s="51">
        <f>(((SUM(I19:I28)+INT(SUM(J19:J28)/30))/12)-(INT((SUM(I19:I28)+INT((SUM(J19:J28)/30)))/12)))*12</f>
        <v>0</v>
      </c>
      <c r="J30" s="40">
        <f>(SUM(J19:J28)/30-INT(SUM(J19:J28)/30))*30</f>
        <v>0</v>
      </c>
      <c r="K30" s="130"/>
      <c r="L30" s="131"/>
      <c r="M30" s="50">
        <f>+INT((SUM(N19:N28)+INT((SUM(O19:O28)/30)))/12)+M29</f>
        <v>0</v>
      </c>
      <c r="N30" s="51">
        <f>(((SUM(N19:N28)+INT(SUM(O19:O28)/30))/12)-(INT((SUM(N19:N28)+INT((SUM(O19:O28)/30)))/12)))*12</f>
        <v>0</v>
      </c>
      <c r="O30" s="40">
        <f>(SUM(O19:O28)/30-INT(SUM(O19:O28)/30))*30</f>
        <v>0</v>
      </c>
    </row>
    <row r="31" spans="1:15" ht="47.25" customHeight="1" x14ac:dyDescent="0.2">
      <c r="A31" s="52"/>
      <c r="B31" s="53"/>
      <c r="C31" s="53"/>
      <c r="D31" s="53"/>
      <c r="E31" s="53"/>
      <c r="F31" s="53"/>
      <c r="G31" s="53"/>
      <c r="H31" s="53"/>
      <c r="I31" s="53"/>
      <c r="J31" s="54"/>
      <c r="K31" s="54"/>
      <c r="L31" s="54"/>
      <c r="M31" s="54"/>
      <c r="N31" s="54"/>
      <c r="O31" s="55"/>
    </row>
    <row r="32" spans="1:15" x14ac:dyDescent="0.2">
      <c r="A32" s="6"/>
      <c r="B32" s="4"/>
      <c r="C32" s="4"/>
      <c r="D32" s="4"/>
      <c r="E32" s="60"/>
      <c r="F32" s="60"/>
      <c r="G32" s="60"/>
      <c r="H32" s="4"/>
      <c r="I32" s="4"/>
      <c r="J32" s="4"/>
      <c r="K32" s="4"/>
      <c r="L32" s="4"/>
      <c r="M32" s="4"/>
      <c r="N32" s="4"/>
      <c r="O32" s="2"/>
    </row>
    <row r="33" spans="1:15" x14ac:dyDescent="0.2">
      <c r="A33" s="3"/>
      <c r="B33" s="4"/>
      <c r="C33" s="4"/>
      <c r="D33" s="4"/>
      <c r="E33" s="117" t="s">
        <v>41</v>
      </c>
      <c r="F33" s="117"/>
      <c r="G33" s="117"/>
      <c r="H33" s="4"/>
      <c r="I33" s="4"/>
      <c r="J33" s="4"/>
      <c r="K33" s="4"/>
      <c r="L33" s="4"/>
      <c r="M33" s="4"/>
      <c r="N33" s="4"/>
      <c r="O33" s="2"/>
    </row>
    <row r="34" spans="1:15" x14ac:dyDescent="0.2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/>
    </row>
    <row r="35" spans="1:15" x14ac:dyDescent="0.2">
      <c r="A35" s="3" t="s">
        <v>42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/>
    </row>
    <row r="36" spans="1:15" x14ac:dyDescent="0.2">
      <c r="A36" s="12" t="s">
        <v>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/>
    </row>
    <row r="37" spans="1:15" s="7" customFormat="1" ht="12" thickBot="1" x14ac:dyDescent="0.25">
      <c r="A37" s="11" t="s">
        <v>14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</row>
  </sheetData>
  <mergeCells count="55">
    <mergeCell ref="N11:O11"/>
    <mergeCell ref="N12:O12"/>
    <mergeCell ref="J15:K15"/>
    <mergeCell ref="L15:O15"/>
    <mergeCell ref="A16:O16"/>
    <mergeCell ref="B15:I15"/>
    <mergeCell ref="F29:G30"/>
    <mergeCell ref="K29:L30"/>
    <mergeCell ref="N13:O13"/>
    <mergeCell ref="B13:D13"/>
    <mergeCell ref="E14:G14"/>
    <mergeCell ref="H14:K14"/>
    <mergeCell ref="L14:M14"/>
    <mergeCell ref="N14:O14"/>
    <mergeCell ref="B14:D14"/>
    <mergeCell ref="E13:G13"/>
    <mergeCell ref="L13:M13"/>
    <mergeCell ref="H13:K13"/>
    <mergeCell ref="N5:O5"/>
    <mergeCell ref="H5:I5"/>
    <mergeCell ref="J5:K5"/>
    <mergeCell ref="F4:G4"/>
    <mergeCell ref="M4:O4"/>
    <mergeCell ref="B4:C4"/>
    <mergeCell ref="K4:L4"/>
    <mergeCell ref="I4:J4"/>
    <mergeCell ref="E33:G33"/>
    <mergeCell ref="L5:M5"/>
    <mergeCell ref="B5:C5"/>
    <mergeCell ref="B12:D12"/>
    <mergeCell ref="E12:G12"/>
    <mergeCell ref="H12:K12"/>
    <mergeCell ref="L12:M12"/>
    <mergeCell ref="A30:E30"/>
    <mergeCell ref="B11:D11"/>
    <mergeCell ref="E11:G11"/>
    <mergeCell ref="H11:K11"/>
    <mergeCell ref="L11:M11"/>
    <mergeCell ref="A29:E29"/>
    <mergeCell ref="A1:C1"/>
    <mergeCell ref="D1:O1"/>
    <mergeCell ref="F17:G17"/>
    <mergeCell ref="H17:J17"/>
    <mergeCell ref="K17:L17"/>
    <mergeCell ref="M17:O17"/>
    <mergeCell ref="A8:F8"/>
    <mergeCell ref="G8:O8"/>
    <mergeCell ref="A7:F7"/>
    <mergeCell ref="G7:O7"/>
    <mergeCell ref="E5:G5"/>
    <mergeCell ref="A2:O2"/>
    <mergeCell ref="A6:O6"/>
    <mergeCell ref="A9:O9"/>
    <mergeCell ref="A10:O10"/>
    <mergeCell ref="D4:E4"/>
  </mergeCells>
  <dataValidations disablePrompts="1" count="1">
    <dataValidation type="list" allowBlank="1" showInputMessage="1" showErrorMessage="1" sqref="E19:E28">
      <formula1>"Relacionada,Profesional,Laboral"</formula1>
    </dataValidation>
  </dataValidations>
  <printOptions horizontalCentered="1"/>
  <pageMargins left="0.23622047244094491" right="0.23622047244094491" top="0.39370078740157483" bottom="1.3779527559055118" header="0.19685039370078741" footer="0.19685039370078741"/>
  <pageSetup scale="53" orientation="portrait" horizontalDpi="4294967294" verticalDpi="4294967294" r:id="rId1"/>
  <headerFooter>
    <oddFooter>&amp;C&amp;"Arial,Negrita"&amp;16&amp;G
CLASIFICACIÓN DE LA INFORMACIÓN: PÚBLICA CLASIFICADA
2311300-FT-318 Versión 01&amp;G</oddFooter>
  </headerFooter>
  <drawing r:id="rId2"/>
  <legacyDrawingHF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FORMATO!Print_Area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Carlos Martínez Bernal</cp:lastModifiedBy>
  <cp:lastPrinted>2021-07-19T16:40:59Z</cp:lastPrinted>
  <dcterms:created xsi:type="dcterms:W3CDTF">2004-01-15T21:44:44Z</dcterms:created>
  <dcterms:modified xsi:type="dcterms:W3CDTF">2025-03-03T22:01:09Z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2294254</vt:i4>
  </property>
</Properties>
</file>