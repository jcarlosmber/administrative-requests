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mvalderramap\Desktop\"/>
    </mc:Choice>
  </mc:AlternateContent>
  <bookViews>
    <workbookView xWindow="0" yWindow="0" windowWidth="28800" windowHeight="11880" tabRatio="764"/>
  </bookViews>
  <sheets>
    <sheet name="2311300-FT-028" sheetId="1" r:id="rId1"/>
    <sheet name="Lista Deplegable" sheetId="2" state="hidden" r:id="rId2"/>
  </sheets>
  <definedNames>
    <definedName name="_xlnm._FilterDatabase" localSheetId="1" hidden="1">'Lista Deplegable'!$B$2:$C$37</definedName>
    <definedName name="_xlnm.Print_Area" localSheetId="0">'2311300-FT-028'!$B$3:$R$48</definedName>
    <definedName name="nivel">'Lista Deplegable'!$B$42:$C$59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4" i="1" l="1"/>
  <c r="C22" i="1"/>
  <c r="C25" i="1"/>
  <c r="G20" i="1"/>
  <c r="F19" i="1" s="1"/>
  <c r="C40" i="1" l="1"/>
</calcChain>
</file>

<file path=xl/sharedStrings.xml><?xml version="1.0" encoding="utf-8"?>
<sst xmlns="http://schemas.openxmlformats.org/spreadsheetml/2006/main" count="203" uniqueCount="157">
  <si>
    <t>FIRMA DEL JEFE INMEDIATO</t>
  </si>
  <si>
    <t>Nota:</t>
  </si>
  <si>
    <t>Nivel</t>
  </si>
  <si>
    <t>DEPENDENCIA</t>
  </si>
  <si>
    <t>NIVEL</t>
  </si>
  <si>
    <t>Cédula de Ciudadanía:</t>
  </si>
  <si>
    <t>PERMISOS Y LICENCIAS</t>
  </si>
  <si>
    <t>Jornada Electoral</t>
  </si>
  <si>
    <t>Descanso compensatorio por haber sufragado</t>
  </si>
  <si>
    <t>Descanso compensatorio por Jurado de votación</t>
  </si>
  <si>
    <t>Capacitación como Jurado de votación</t>
  </si>
  <si>
    <t>Permiso Remunerado</t>
  </si>
  <si>
    <t>Calamidad doméstica</t>
  </si>
  <si>
    <t>Salario Emocional</t>
  </si>
  <si>
    <t>Incentivo uso de bicicleta</t>
  </si>
  <si>
    <t>Licencia por luto</t>
  </si>
  <si>
    <t>Licencia No Remunerada</t>
  </si>
  <si>
    <t>Licencia Remunerada</t>
  </si>
  <si>
    <t>Tarde de juego</t>
  </si>
  <si>
    <t>DENOMINACIÓN DE EMPLEO</t>
  </si>
  <si>
    <t>*Cédula de Ciudadanía:</t>
  </si>
  <si>
    <t>*Denominación del Empleo:</t>
  </si>
  <si>
    <t>*Solicito permiso y/o licencia por concepto de:</t>
  </si>
  <si>
    <t>*A partir del día:</t>
  </si>
  <si>
    <t>*Hasta el día:</t>
  </si>
  <si>
    <t>*Hora Inicio:</t>
  </si>
  <si>
    <t>*Hora Fin:</t>
  </si>
  <si>
    <t>*Nombre Completo Servidor(a):</t>
  </si>
  <si>
    <t>*Dependencia a la que está asignado(a):</t>
  </si>
  <si>
    <t xml:space="preserve">SI </t>
  </si>
  <si>
    <t>NO</t>
  </si>
  <si>
    <t>Anexar los siguientes soportes:  Certificado Electoral expedido al sufragante</t>
  </si>
  <si>
    <t>Anexar los siguientes soportes:  Certificado de prestación de servicio como Jurado de Votación, expedido por la Registraduría Nacional del Estado Civil.</t>
  </si>
  <si>
    <t>Anexar los siguientes soportes:  Una vez se reincorpore el ejercicio de sus funciones, justificar ante el nominador o su delegado el motivo que la originó con soportes necesarios para demostrarla.</t>
  </si>
  <si>
    <t>Anexar los siguientes soportes:  Copia de la matrícula durante el tiempo que dure la licencia, acreditar la duración del programa académico.</t>
  </si>
  <si>
    <t>CÓDIGO</t>
  </si>
  <si>
    <t>VERSIÓN</t>
  </si>
  <si>
    <t>PÁGINA</t>
  </si>
  <si>
    <t>1 de 1</t>
  </si>
  <si>
    <t>PROCESO</t>
  </si>
  <si>
    <t>Nombre Identitario:</t>
  </si>
  <si>
    <t>Servidor(a) Público(a) a encargar</t>
  </si>
  <si>
    <t>Anexar los siguientes soportes:  N.A.</t>
  </si>
  <si>
    <t>Anexar los siguientes soportes:  Citación a capacitación como Jurado de votación</t>
  </si>
  <si>
    <t>De conformidad con lo dispuesto en el artículo 105 del Decreto 2241 de 1986 Código Electoral, los jurados de votación que trabajen en el sector público o privado tendrán derecho a un (1) día compensatorio de descanso remunerado dentro de los cuarenta y cinco (45) días hábiles siguientes a la votación.</t>
  </si>
  <si>
    <t>La inasistencia a la capacitación programada por la Registraduría y a la prestación del servicio el día de las elecciones, será sancionable conforme al Código Electoral y la Ley 1952 de 2019 (Código General Disciplinario)</t>
  </si>
  <si>
    <t xml:space="preserve">Se otorga al empleado por solicitud propia y sin remuneración, hasta por sesenta (60) días hábiles al año, continuos o discontinuos. En caso de causa justificada, podrá prorrogarse hasta por treinta (30) días hábiles más. Cuando la solicitud no obedezca a razones de fuerza mayor o de caso fortuito, se analizará la oportunidad de concederla teniendo en cuenta las necesidades del servicio. </t>
  </si>
  <si>
    <t xml:space="preserve">Anexar los siguientes soportes:  Soportes que justifican la solicitud. </t>
  </si>
  <si>
    <t xml:space="preserve">Se otorga al empleado por solicitud propia y sin remuneración, la cual no podrá ser mayor de doce (12) meses, prorrogable por un término igual hasta por dos (2) veces. Revisar requisitos de la Circular 003 del 5 de julio de 2022 o aquella que la modifique, derogue o adicione. </t>
  </si>
  <si>
    <t xml:space="preserve">Se otorga hasta tres (3) días hábiles al servidor(a) que presente una calamidad doméstica, situación que deberá informarse inmediatamente el jefe inmediato. </t>
  </si>
  <si>
    <t>GESTIÓN DEL TALENTO HUMANO</t>
  </si>
  <si>
    <t>TIPO PERMISO</t>
  </si>
  <si>
    <t>MOTIVO PERMISO</t>
  </si>
  <si>
    <t>DESCRIPCION PERMISOS</t>
  </si>
  <si>
    <t>SOPORTE</t>
  </si>
  <si>
    <t>Anexar los siguientes soportes: Circular y/o correo remitido por la institución educativa</t>
  </si>
  <si>
    <t>FORMATO</t>
  </si>
  <si>
    <t>Anexar los siguientes soportes:  Presentar dentro de los treinta (30) días siguientes a la ocurrencia del hecho: Certificado de defunción del fallecido y la acreditación del parentesco.
Para a aquellos servidores (as), cuyas exequias se realicen por fuera del Distrito Capital, allegar soporte que acredite el lugar de las exequias.</t>
  </si>
  <si>
    <t xml:space="preserve">Reuniones escolares de los(as) hijos(as) </t>
  </si>
  <si>
    <t xml:space="preserve">Acompañamiento citas médicas hijos </t>
  </si>
  <si>
    <t>Acompañamiento citas médicas  padres</t>
  </si>
  <si>
    <t>Anexar los siguientes soportes:  documento que demuestre la fecha y hora de la cita médica.</t>
  </si>
  <si>
    <t>Cuidado especial Animales de compañía</t>
  </si>
  <si>
    <t>Fallecimiento animal de Compañía</t>
  </si>
  <si>
    <t>Anexar los siguientes soportes: Documento que certifiquen la situación acaecida por la mascota (enfermedad, atención especial),  expedida por el  prestador del servicio o Clinica Veterinaria.</t>
  </si>
  <si>
    <t>Anexar los siguientes soportes: Documento que certifique el fallecimiento del animal de compañía expedido por el prestador del servicio o Clinica Veterinaria.</t>
  </si>
  <si>
    <t>2311300-FT-028</t>
  </si>
  <si>
    <t>OFICINA ASESORA DE PLANEACIÓN</t>
  </si>
  <si>
    <t>OFICINA DE LAS TECNOLOGÍAS DE LA INFORMACIÓN Y LAS COMUNICACIONES</t>
  </si>
  <si>
    <t>DESPACHO SECRETARÍA JURÍDICA</t>
  </si>
  <si>
    <t>DIRECCIÓN DE GESTIÓN CORPORATIVA</t>
  </si>
  <si>
    <t>DIRECCIÓN DISTRITAL DE GESTION JUDICIAL</t>
  </si>
  <si>
    <t>DIRECCIÓN DISTRITAL DE ASUNTOS DISCIPLINARIOS</t>
  </si>
  <si>
    <t>DIRECCIÓN DISTRITAL DE INSPECCIÓN, VIGILANCIA Y CONTROL</t>
  </si>
  <si>
    <t>DIRECCIÓN DISTRITAL DE DOCTRINA Y ASUNTOS NORMATIVOS</t>
  </si>
  <si>
    <t>SUBSECRETARÍA JURÍDICA DISTRITAL</t>
  </si>
  <si>
    <t>OFICINA DE CONTROL INTERNO</t>
  </si>
  <si>
    <t>DIRECCIÓN DISTRITAL DE POLÍTICA JURÍDICA</t>
  </si>
  <si>
    <t>JEFE DE OFICINA ASESORA</t>
  </si>
  <si>
    <t>JEFE DE OFICINA</t>
  </si>
  <si>
    <t>ASESOR</t>
  </si>
  <si>
    <t>AUXILIAR ADMINISTRATIVO</t>
  </si>
  <si>
    <t>SECRETARIO EJECUTIVO</t>
  </si>
  <si>
    <t>SECRETARIO</t>
  </si>
  <si>
    <t>CONDUCTOR</t>
  </si>
  <si>
    <t>AUXILIAR SERVICIOS GENERALES</t>
  </si>
  <si>
    <t>SECRETARIO DE DESPACHO</t>
  </si>
  <si>
    <t>SUBSECRETARIO</t>
  </si>
  <si>
    <t>DIRECTOR TÉCNICO</t>
  </si>
  <si>
    <t>PROFESIONAL ESPECIALIZADO</t>
  </si>
  <si>
    <t>PROFESIONAL UNIVERSITARIO</t>
  </si>
  <si>
    <t>TÉCNICO OPERATIVO</t>
  </si>
  <si>
    <t>DIRECTIVO</t>
  </si>
  <si>
    <t>ASISTENCIAL</t>
  </si>
  <si>
    <t>PROFESIONAL</t>
  </si>
  <si>
    <t>Artículo 3° de la Ley No. 1857 de 2017 "Por medio de la cual se modifica la ley 1361 de 2009 para adicionar y complementar las medidas de protección de la familia y se dictan otras disposiciones” La Entidad otorga un día hábil por semestre para que el servidor disfrute este tiempo con su familia. Cabe aclarar que atendiendo lo preceptuado, el día se debe disfrutar en el respectivo semestre y por tanto no es acumulable. El servidor acordará con su jefe inmediato el día a disfrutar con su familia e informará mediante memorando electrónico a la Dirección de Gestión Corporativa.
La solicitud deberá realizarse mediante el diligenciamiento del formato FT-028 o instrumento diseñado para tal fin, previamente concertado y con visto bueno del jefe inmediato en aras de garantizar la continuidad en la prestación del servicio. Este formato deberá ser radicado y enviado por SIGA a laProceso de Talento Humano, una vez sea autorizado, con mínimo tres (3) días hábiles de anticipación a su disfrute. para que repose en la Historia Laboral y sea reportado en la base de ausentismo.</t>
  </si>
  <si>
    <t>Se debe remitir a laProceso de Talento Humano dentro de los treinta (30) días siguientes a la celebración el certificado de matrimonio.</t>
  </si>
  <si>
    <t>Todo(a) servidor(a) que contraiga matrimonio tiene derecho a cinco (5) días hábiles continuos de permiso remunerado. Este permiso se puede utilizar, a elección del servidor(a) en el día del matrimonio y en los días inmediatamente posteriores a su celebración. El jefe de la dependencia debe enviar mediante memorando electrónico a la Dirección de Gestión Corporativa la novedad.
La solicitud de este beneficio deberá realizarse mediante el diligenciamiento del formato FT-028 o instrumento diseñado para tal fin, previamente concertado y con visto bueno del jefe inmediato en aras de garantizar la continuidad en la prestación del servicio. Este formato deberá ser radicado y enviado por SIGA al Proceso de Talento Humano, una vez sea autorizado, con mínimo cinco (5) días hábiles de anticipación a su disfrute. para que repose en la Historia Laboral y sea reportado en la base de ausentismo.</t>
  </si>
  <si>
    <t>La entidad concede a los(as) servidores(as) públicos(as) hasta cuatro (4) horas de permiso laboral remunerado por trimestre por cada uno de sus hijos (as), a quienes lo requieran para asistir a reuniones de padres convocadas por las instituciones académicas en donde estudian sus hijos(as).
La solicitud deberá realizarse mediante el diligenciamiento del formato FT-028 o instrumento diseñado para tal fin, previamente concertado y con visto bueno del jefe inmediato en aras de garantizar la continuidad en la prestación del servicio. 
Este formato deberá ser radicado y enviado por SIGA al Proceso de Talento Humano, una vez sea autorizado, para que repose en la Historia Laboral y sea reportado en la base de ausentismo.</t>
  </si>
  <si>
    <t>En cumplimiento de la Directiva 002 de marzo de 2017, expedida por el Alcalde Mayor de Bogotá, se otorgará a los servidores de la entidad que tengan hijos entre 0 y 10 años de edad, una tarde de juego de cuatro (4) horas remuneradas, en uno de los días de la semana de receso del mes de octubre para que puedan compartir con sus hijos y afiancen los lazos familiares. Deberá ser concertado con su superior inmediato, sin que se afecte la prestación del servicio, el jefe de oficina enviará la información mediante memorando radicado a la Dirección de Gestión Corporativa.
La solicitud de este beneficio deberá realizarse mediante el diligenciamiento del formato FT-028 o instrumento diseñado para tal fin, previamente concertado y con visto bueno del jefe inmediato en aras de garantizar la continuidad en la prestación del servicio. Este formato deberá ser radicado y enviado por SIGA al Proceso de Talento Humano, una vez sea autorizado, con mínimo tres (3) días hábiles de anticipación a su disfrute. para que repose en la Historia Laboral y sea reportado en la base de ausentismo.</t>
  </si>
  <si>
    <t>Los empleados públicos tendrán derecho de cinco (5) días hábiles, contados a partir del fallecimiento de su cónyuge, compañero o compañera permanente o de un familiar hasta el grado segundo de consanguinidad, primero de afinidad y segundo civil, de acuerdo a lo establecido en la Ley 1635 de 2013.  Revisar requisitos de la Circular 003 del 5 de julio de 2022 o aquella que la modifique, derogue o adicione. 
La solicitud deberá realizarse mediante el diligenciamiento del formato FT-028 o instrumento diseñado para tal fin, previamente concertado y con visto bueno del jefe inmediato en aras de garantizar la continuidad en la prestación del servicio. Este formato deberá ser radicado y enviado por SIGA al Proceso de Talento Humano una vez sea autorizado, para que repose en la Historia Laboral y sea reportado en la base de ausentismo.</t>
  </si>
  <si>
    <t>Cinco días por matrimonio</t>
  </si>
  <si>
    <t xml:space="preserve">Celebración de cumpleaños. </t>
  </si>
  <si>
    <t xml:space="preserve">Día de la familia. </t>
  </si>
  <si>
    <t>Reconociendo las familias interespecie donde se integran animales de compañía, la Secretaría Jurídica Distrital,  concederá permiso remunerado hasta por Un (1) día, cuando estos enfermen o requieran cuidado especial, siempre que se presenten los soportes que justifiquen la situación.
Para el disfrute de este beneficio, el animal de compañía debe estar reportado al Proceso de Talento Humano.
La solicitud deberá realizarse mediante el diligenciamiento del formato FT-028 o instrumento diseñado para tal fin, previamente concertado y con visto bueno del jefe inmediato en aras de garantizar la continuidad en la prestación del servicio. 
Este formato deberá ser radicado y enviado por SIGA al Proceso de Talento Humano, una vez sea autorizado, para que repose en la Historia Laboral y sea reportado en la base de ausentismo.</t>
  </si>
  <si>
    <t>Permiso mujeres gestantes</t>
  </si>
  <si>
    <t>Anexar los siguientes soportes: N.A</t>
  </si>
  <si>
    <t>Reconociendo las familias interespecie donde se integran animales de compañía, la Secretaría Jurídica Distrital., en el caso que se reporte el lamentable fallecimiento del animal de compañía, se concederá dos (2) días hábiles.  Para lo cual, deberán presentarse los soportes que justifiquen la situación, previo visto bueno del jefe inmediato en aras de garantizar la continuidad en la prestación del servicio. 
Para el disfrute de este beneficio, el animal de compañía debe estar reportado  a laProceso de Talento Humano.
La solicitud deberá realizarse mediante el diligenciamiento del formato FT-028 o instrumento diseñado para tal fin, previamente concertado y con visto bueno del jefe inmediato en aras de garantizar la continuidad en la prestación del servicio. 
Este formato deberá ser radicado y enviado por SIGA al Proceso de Talento Humano, una vez sea autorizado, para que repose en la Historia Laboral y sea reportado en la base de ausentismo.</t>
  </si>
  <si>
    <t>Anexar los siguientes soportes: El servidor que desee hacer uso del incentivo, debe registrar los recorridos en la Dirección de Gestión Corporativa, acompañado de la evidencia.</t>
  </si>
  <si>
    <t>Tiempo preciado con los bebés</t>
  </si>
  <si>
    <t>Salario Emocional-acuerdo sindical</t>
  </si>
  <si>
    <t xml:space="preserve">En el marco de la Directiva 006, la Secretaría Jurídica en concordancia con la protección especial constitucional a Ia maternidad, concederá a solicitud de Ia gestante, un permiso remunerado de una (1) hora diaria  a partir de Ia semana 32 de gestación, el cual deberá estar armonizado con las necesidades del servicio.
</t>
  </si>
  <si>
    <t>Licencia Ordinario</t>
  </si>
  <si>
    <t xml:space="preserve">Licencia para adelantar estudios </t>
  </si>
  <si>
    <t>Los servidores y servidoras tendrán Un (1) día de permiso remunerado dentro de la vigencia del plan, como beneficio con motivo de la celebración de su cumpleaños, el cual será concedido por el superior jerárquico, garantizando la prestación del servicio.
La solicitud deberá realizarse mediante el diligenciamiento del formato FT-028 o instrumento diseñado para tal fin, previamente concertado y con visto bueno del jefe inmediato en aras de garantizar la continuidad en la prestación del servicio. Este formato deberá ser radicado y enviado por SIGA al proceso de Talento Humano, una vez sea autorizado, con mínimo tres (3) días hábiles de anticipación a su disfrute. para que repose en la Historia Laboral y sea reportado en la base de ausentismo.</t>
  </si>
  <si>
    <r>
      <t>De conformidad con lo dispuesto en el Artículo 3° de la Ley 403 de 27 de agosto de 1997, "</t>
    </r>
    <r>
      <rPr>
        <i/>
        <sz val="10"/>
        <color theme="1"/>
        <rFont val="Arial"/>
        <family val="2"/>
      </rPr>
      <t>El ciudadano tendrá derecho a media jornada de descanso compensatorio remunerado por el tiempo que utilice para cumplir su función como elector. Tal descanso se disfrutará en el mes siguiente al día de la votación, de común acuerdo con el empleador".</t>
    </r>
  </si>
  <si>
    <t>Permiso académico compensado</t>
  </si>
  <si>
    <t>Al empleado público se le podrá otorgar permiso académico compensado de hasta dos (2) horas diarias o hasta cuarenta (40) horas mensuales, por dos (2) años, prorrogables por un (1) año, para adelantar programas académicos de educación superior en la modalidad de posgrado en instituciones legalmente reconocidas. El otorgamiento del permiso estará sujeto a las necesidades del servicio, a juicio del jefe del organismo. En el acto que se confiere el permiso se deberá consagrar la forma de compensación del tiempo que se utilice para adelantar los estudios, para lo cual se le podrá variar la jornada laboral del servidor dentro de los límites señalados en la ley.</t>
  </si>
  <si>
    <t xml:space="preserve">Anexar los siguientes soportes: certificado de acaédmico, que señale el horario del desarrollo de las clases </t>
  </si>
  <si>
    <t>Actividades Deportivas (Internacionales)</t>
  </si>
  <si>
    <t xml:space="preserve">Se concederá a los servidores públicos que sean seleccionados para representar al país en competiciones o eventos deportivos internacionales en calidad de deportistas, dirigentes, personal técnico y auxiliar, científico y de juzgamiento. </t>
  </si>
  <si>
    <t>Anexar los siguientes soportes:  Certificación de la autoridad competente que lo acredite como representante del país en actividades deportivas</t>
  </si>
  <si>
    <t xml:space="preserve">Licenica maternidad </t>
  </si>
  <si>
    <t>Licencia de paternidad</t>
  </si>
  <si>
    <t>Anexar los documentos señalados en la normatividad vigente.</t>
  </si>
  <si>
    <t>La licencia de paternidad es un descanso remunerado al que tienen derecho los padres (tanto biológicos como adoptantes) para poder acompañar, vincularse y cuidar a su hijo durante los primeros días tras su llegada a la familia, por un tiempo de 14 días calendario.</t>
  </si>
  <si>
    <t>La licencia de maternidad es un descanso remunerado garantizado por la ley para que las madres puedan recuperarse físicamente y dedicar tiempo al cuidado de su bebé recién nacido o adoptado, por una duración de 18 semanas</t>
  </si>
  <si>
    <t>Licencia por enfermedad</t>
  </si>
  <si>
    <t>Licencias por riesgos laborales</t>
  </si>
  <si>
    <t>Incapacidad médica</t>
  </si>
  <si>
    <t>La licencia por enfermedad o incapacidad médica es un periodo de descanso físico o mental ordenado por un médico tratante. Durante este tiempo, el trabajador se ausenta temporalmente de sus labores para recuperar su salud y recibe un auxilio económico en reemplazo de su salario.</t>
  </si>
  <si>
    <t>Anexar los documentos señalados en el procedimiento 2311300-PR-094</t>
  </si>
  <si>
    <t>Incapacidad médico laboral</t>
  </si>
  <si>
    <t>Licencias por riesgos laborales: se conoce legalmente como incapacidad de origen laboral. Esta se da cuando un trabajador sufre una afectación de salud debido a un accidente de trabajo o a una enfermedad laboral (derivada de las funciones que realiza).</t>
  </si>
  <si>
    <t>Para ejercer la docencia universitaria.</t>
  </si>
  <si>
    <t xml:space="preserve">Al empleado público se le podrá otorgar permiso remunerado para ejercer la docencia universitaria en hora cátedra hasta por cinco (5) horas semanales. El otorgamiento del permiso estará sujeto a las necesidades del servicio a juicio del jefe inmediato. Revisar requisitos de la Circular 003 del 5 de julio de 2022 o aquella que la modifique, derogue o adicione. </t>
  </si>
  <si>
    <t xml:space="preserve">Anexar los siguientes soportes: Certificación de vinculación expedida por la institución de educación superior que indique el horario en el cual se dictarán las clases. </t>
  </si>
  <si>
    <t xml:space="preserve">Por justa causa (por causas diferentes a las relacionadas anteriormente). </t>
  </si>
  <si>
    <r>
      <t xml:space="preserve">Se concederá al servidor(a) hasta tres (3) días hábiles cuando media justa causa por casusas diferentes a las señaladas anteriormente, será el jefe inmediato del servidor (a) el (la) encargado(a) de autorizar o negar según las necesidades del servicio y conforme al principio de razonabilidad.El otorgamiento del permiso estará sujeto a las necesidades del servicio, a juicio del jefe inmediato.
</t>
    </r>
    <r>
      <rPr>
        <b/>
        <sz val="10"/>
        <rFont val="Arial"/>
        <family val="2"/>
      </rPr>
      <t>Ejemplo</t>
    </r>
    <r>
      <rPr>
        <sz val="10"/>
        <rFont val="Arial"/>
        <family val="2"/>
      </rPr>
      <t>: diligencias personales ante Notaría</t>
    </r>
  </si>
  <si>
    <t>Asistencia a citas médicas</t>
  </si>
  <si>
    <t>El permiso para citas médicas y otras especialidades  garantiza que las y  los trabajadores puedan ausentarse de su lugar de trabajo por el tiempo estrictamente necesario para recibir atención en salud.</t>
  </si>
  <si>
    <t>Anexar los siguientes soportes: documento que demuestre la fecha y hora de la cita médica.</t>
  </si>
  <si>
    <t>Por favor remitir al proceso de Gestión de Talento Humano este formato diligenciado con los soporte respectivos a través de SIGA.</t>
  </si>
  <si>
    <t xml:space="preserve">Con el objetivo de proteger la dimensión familiar, la Secretaría Jurídica Distrital otorgará a los(as) servidores(as) públicos(as, permiso hasta por cuatro (4) horas de su jornada laboral para acompañar a  las citas médicas a sus hijos y/o padres.
La solicitud deberá realizarse mediante el diligenciamiento del formato FT-028 o instrumento diseñado para tal fin, previamente concertado y con visto bueno del jefe inmediato en aras de garantizar la continuidad en la prestación del servicio. 
Este formato deberá ser radicado y enviado por SIGA al Proceso de Talento Humano, una vez sea autorizado, para que repose en la Historia Laboral y sea reportado en la base de ausentismo. 
</t>
  </si>
  <si>
    <t>Con el objetivo de proteger la dimensión familiar, la Secretaría Jurídica Distrital otorgará a los(as) servidores(as) públicos(as, permiso hasta por cuatro (4) horas de su jornada laboral para acompañar a  las citas médicas a sus hijos y/o padres. 
La solicitud deberá realizarse mediante el diligenciamiento del formato FT-028 o instrumento diseñado para tal fin, previamente concertado y con visto bueno del jefe inmediato en aras de garantizar la continuidad en la prestación del servicio. 
Este formato deberá ser radicado y enviado por SIGA al Proceso de Talento Humano, una vez sea autorizado, para que repose en la Historia Laboral y sea reportado en la base de ausentismo.</t>
  </si>
  <si>
    <t>Reconocimiento institucional por tiempo de servicio</t>
  </si>
  <si>
    <t>La Secretaría Jurídica Distrital, en atención al tiempo de servicio de sus servidores públicos, otorgará un reconocimiento que consiste en un (1) único día de descanso por cada cinco (5) años de servicio cumplidos en la entidad.
Quienes a la fecha de suscripción del presente acuerdo cuenten con más de cinco (5) años de vinculación, solo podrán acceder a un (1) día de descanso. Por lo tanto, no es posible acumular días de descanso por la antigüedad total acumulada hacia atrás.</t>
  </si>
  <si>
    <t>Se otorgará un (1) día de descanso compensatorio remunerado por semestre a los servidores de los niveles asistencial, técnico y profesional que sean formalmente designados y cumplan al menos seis (6) meses en el rol dentro de los siguientes grupos de trabajo: COPASST, COMISIÓN DE PERSONAL, COMITÉ DE CONVIVENCIA LABORAL, ATENCIÓN A LA CIUDADANÍA, BRIGADISTAS Y GESTORES INSTITUCIONALES, en virtud de lo pactado en los acuerdos laborales.</t>
  </si>
  <si>
    <t>Reconocimiento por rol el Gestor institucional.</t>
  </si>
  <si>
    <t>Atendiendo lo preceptuado en el artículo 5° de la Ley 1811 de 2016 y la Resolución 129 de 2018 emitida por la Dirección de Gestión Corporativa, se concederá medio día laboral libre remunerado por cada treinta (30) veces que se certifique haber llegado a trabajar en bicicleta. Para el efecto, el servidor que desee hacer uso del incentivo, debe registrar los recorridos en la Dirección de Gestión Corporativa, acompañado de la evidencia.
La solicitud de este beneficio deberá realizarse mediante el diligenciamiento del formato FT-028 o instrumento diseñado para tal fin, previamente concertado y con visto bueno del jefe inmediato en aras de garantizar la continuidad en la prestación del servicio. Este formato deberá ser radicado y enviado por SIGA a laProceso de Talento Humano, una vez sea autorizado, con mínimo tres (3) días hábiles de anticipación a su disfrute. para que repose en la Historia Laboral y sea reportado en la base de ausentismo.</t>
  </si>
  <si>
    <r>
      <t xml:space="preserve">En cumplimiento de la Directiva Distrital 002 de 2017 y en extensión de la Ley 2306 de 2023, se concede a las servidoras públicas de la entidad un descanso remunerado dentro de su jornada laboral para compartir con su hijo(a), concertado previamente con el jefe inmediato para no afectar el servicio (pudiendo tomarse al inicio o al final de la jornada), bajo los siguientes términos:
</t>
    </r>
    <r>
      <rPr>
        <b/>
        <sz val="10"/>
        <rFont val="Arial"/>
        <family val="2"/>
      </rPr>
      <t>Durante el primer año de vida del bebé</t>
    </r>
    <r>
      <rPr>
        <sz val="10"/>
        <rFont val="Arial"/>
        <family val="2"/>
      </rPr>
      <t xml:space="preserve">: Una (1) hora diaria dentro de la jornada laboral, destinada a la lactancia o al cuidado del menor.
</t>
    </r>
    <r>
      <rPr>
        <b/>
        <sz val="10"/>
        <rFont val="Arial"/>
        <family val="2"/>
      </rPr>
      <t>Desde el primer año y hasta los dos (2) años de edad:</t>
    </r>
    <r>
      <rPr>
        <sz val="10"/>
        <rFont val="Arial"/>
        <family val="2"/>
      </rPr>
      <t xml:space="preserve"> Un (1) descanso diario de treinta (30) minutos, siempre que se mantenga y manifieste la práctica de lactancia materna continua.</t>
    </r>
  </si>
  <si>
    <t xml:space="preserve">Incentivo a mejores servidores/as. </t>
  </si>
  <si>
    <t>Como incentivo al desempeño excelente, la Secretaría Jurídica Distrital reconocerá dos (2) días de bienestar anuales a un (1) servidor de cada nivel de empleo que haya obtenido una evaluación de desempeño sobresaliente del 100%.
Este incentivo se asignará mediante sorteo en el acto anual de reconocimientos entre los servidores que cumplan con dicho puntaje, excluyendo a quienes ya resulten ganadores de los incentivos pecuniarios y no pecuniarios al mejor servidor de la entidad. El disfrute de estos días deberá concertarse con el jefe inmediato para garantizar la continuidad del servicio.</t>
  </si>
  <si>
    <r>
      <rPr>
        <b/>
        <i/>
        <sz val="12"/>
        <rFont val="Arial"/>
        <family val="2"/>
      </rPr>
      <t>Atención: Antes de pasar a pdf por favor diligenciar todos los campos con</t>
    </r>
    <r>
      <rPr>
        <b/>
        <i/>
        <sz val="16"/>
        <rFont val="Arial"/>
        <family val="2"/>
      </rPr>
      <t xml:space="preserve"> *</t>
    </r>
    <r>
      <rPr>
        <b/>
        <i/>
        <sz val="13"/>
        <rFont val="Arial"/>
        <family val="2"/>
      </rPr>
      <t xml:space="preserve">. </t>
    </r>
  </si>
  <si>
    <r>
      <t xml:space="preserve">En caso de ser </t>
    </r>
    <r>
      <rPr>
        <b/>
        <u/>
        <sz val="10"/>
        <color indexed="8"/>
        <rFont val="Arial"/>
        <family val="2"/>
      </rPr>
      <t>Directivo</t>
    </r>
    <r>
      <rPr>
        <b/>
        <sz val="10"/>
        <color indexed="8"/>
        <rFont val="Arial"/>
        <family val="2"/>
      </rPr>
      <t xml:space="preserve"> por favor indicar nombre del(la) servidor(a) que quedará en </t>
    </r>
    <r>
      <rPr>
        <b/>
        <u/>
        <sz val="10"/>
        <color indexed="8"/>
        <rFont val="Arial"/>
        <family val="2"/>
      </rPr>
      <t>Encargo.</t>
    </r>
    <r>
      <rPr>
        <b/>
        <sz val="10"/>
        <color rgb="FF000000"/>
        <rFont val="Arial"/>
        <family val="2"/>
      </rPr>
      <t xml:space="preserve"> </t>
    </r>
    <r>
      <rPr>
        <b/>
        <sz val="10"/>
        <color theme="1"/>
        <rFont val="Arial"/>
        <family val="2"/>
      </rPr>
      <t>(El cual debe ser aprobado en todos los casos por el Secretario(a) Jurídico)</t>
    </r>
  </si>
  <si>
    <t>Círculo de Mujeres</t>
  </si>
  <si>
    <t>La Secretaría Jurídica Distrital otorgará permiso a la servidora pública para asistir a la sesión del “Círculo de Mujeres”, la cual se desarrollará de forma trimestral dentro de la jornada laboral por una duración de dos (2) horas, en cumplimiento de los compromisos de bienestar emocional, diálogo y fortalecimiento del clima laboral de la entidad, garantizando la continuidad en la prestación del servicio.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</si>
</sst>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240A]h:mm:ss\ AM/PM;@"/>
    <numFmt numFmtId="166" formatCode="[$-240A]dddd\,\ dd&quot; de &quot;mmmm&quot; de &quot;yyyy;@"/>
  </numFmts>
  <fonts count="20" x14ac:knownFonts="1">
    <font>
      <sz val="11"/>
      <color theme="1"/>
      <name val="Calibri"/>
      <family val="2"/>
      <scheme val="minor"/>
    </font>
    <font>
      <b/>
      <sz val="10"/>
      <color indexed="8"/>
      <name val="Arial"/>
      <family val="2"/>
    </font>
    <font>
      <b/>
      <i/>
      <sz val="12"/>
      <name val="Arial"/>
      <family val="2"/>
    </font>
    <font>
      <b/>
      <i/>
      <sz val="13"/>
      <name val="Arial"/>
      <family val="2"/>
    </font>
    <font>
      <b/>
      <i/>
      <sz val="16"/>
      <name val="Arial"/>
      <family val="2"/>
    </font>
    <font>
      <sz val="10"/>
      <name val="Arial"/>
      <family val="2"/>
    </font>
    <font>
      <b/>
      <u/>
      <sz val="10"/>
      <color indexed="8"/>
      <name val="Arial"/>
      <family val="2"/>
    </font>
    <font>
      <b/>
      <sz val="10"/>
      <color theme="1"/>
      <name val="Arial"/>
      <family val="2"/>
    </font>
    <font>
      <b/>
      <i/>
      <u/>
      <sz val="12"/>
      <color rgb="FFFF0000"/>
      <name val="Calibri"/>
      <family val="2"/>
      <scheme val="minor"/>
    </font>
    <font>
      <sz val="10"/>
      <color theme="1"/>
      <name val="Arial"/>
      <family val="2"/>
    </font>
    <font>
      <b/>
      <i/>
      <sz val="10"/>
      <color theme="1"/>
      <name val="Arial"/>
      <family val="2"/>
    </font>
    <font>
      <b/>
      <u/>
      <sz val="10"/>
      <color rgb="FFFF0000"/>
      <name val="Arial"/>
      <family val="2"/>
    </font>
    <font>
      <b/>
      <i/>
      <u/>
      <sz val="10"/>
      <color rgb="FFFF0000"/>
      <name val="Arial"/>
      <family val="2"/>
    </font>
    <font>
      <sz val="9"/>
      <color theme="1"/>
      <name val="Arial"/>
      <family val="2"/>
    </font>
    <font>
      <b/>
      <sz val="10"/>
      <color rgb="FFFF0000"/>
      <name val="Arial"/>
      <family val="2"/>
    </font>
    <font>
      <b/>
      <sz val="10"/>
      <color theme="3" tint="-0.249977111117893"/>
      <name val="Arial"/>
      <family val="2"/>
    </font>
    <font>
      <b/>
      <sz val="9"/>
      <color rgb="FFFF0000"/>
      <name val="Arial"/>
      <family val="2"/>
    </font>
    <font>
      <i/>
      <sz val="10"/>
      <color theme="1"/>
      <name val="Arial"/>
      <family val="2"/>
    </font>
    <font>
      <b/>
      <sz val="10"/>
      <name val="Arial"/>
      <family val="2"/>
    </font>
    <font>
      <b/>
      <sz val="10"/>
      <color rgb="FF000000"/>
      <name val="Arial"/>
      <family val="2"/>
    </font>
  </fonts>
  <fills count="5">
    <fill>
      <patternFill patternType="none"/>
    </fill>
    <fill>
      <patternFill patternType="gray125"/>
    </fill>
    <fill>
      <patternFill patternType="solid">
        <fgColor rgb="FFFFFF00"/>
        <bgColor indexed="64"/>
      </patternFill>
    </fill>
    <fill>
      <patternFill patternType="solid">
        <fgColor rgb="FFFFFFEF"/>
        <bgColor indexed="64"/>
      </patternFill>
    </fill>
    <fill>
      <patternFill patternType="solid">
        <fgColor theme="0"/>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top/>
      <bottom/>
      <diagonal/>
    </border>
    <border>
      <left style="hair">
        <color indexed="64"/>
      </left>
      <right style="hair">
        <color indexed="64"/>
      </right>
      <top style="medium">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93">
    <xf numFmtId="0" fontId="0" fillId="0" borderId="0" xfId="0"/>
    <xf numFmtId="0" fontId="9" fillId="0" borderId="0" xfId="0" applyFont="1" applyAlignment="1" applyProtection="1">
      <alignment vertical="center"/>
      <protection hidden="1"/>
    </xf>
    <xf numFmtId="0" fontId="9" fillId="0" borderId="0" xfId="0" applyFont="1" applyAlignment="1" applyProtection="1">
      <alignment horizontal="center" vertical="center"/>
      <protection hidden="1"/>
    </xf>
    <xf numFmtId="0" fontId="10" fillId="0" borderId="4" xfId="0" applyFont="1" applyBorder="1" applyAlignment="1" applyProtection="1">
      <alignment vertical="center"/>
      <protection hidden="1"/>
    </xf>
    <xf numFmtId="0" fontId="3" fillId="2" borderId="0" xfId="0" applyFont="1" applyFill="1" applyAlignment="1" applyProtection="1">
      <alignment vertical="center"/>
      <protection locked="0"/>
    </xf>
    <xf numFmtId="0" fontId="0" fillId="0" borderId="0" xfId="0" applyAlignment="1" applyProtection="1">
      <alignment vertical="center"/>
      <protection locked="0"/>
    </xf>
    <xf numFmtId="0" fontId="8" fillId="0" borderId="0" xfId="0" applyFont="1" applyAlignment="1" applyProtection="1">
      <alignment horizontal="left" vertical="center"/>
      <protection locked="0"/>
    </xf>
    <xf numFmtId="0" fontId="9" fillId="0" borderId="5" xfId="0" applyFont="1" applyBorder="1" applyAlignment="1" applyProtection="1">
      <alignment vertical="center"/>
      <protection hidden="1"/>
    </xf>
    <xf numFmtId="0" fontId="12" fillId="0" borderId="0" xfId="0" applyFont="1" applyAlignment="1" applyProtection="1">
      <alignment horizontal="left" vertical="center"/>
      <protection hidden="1"/>
    </xf>
    <xf numFmtId="0" fontId="11" fillId="0" borderId="0" xfId="0" applyFont="1" applyAlignment="1" applyProtection="1">
      <alignment vertical="center"/>
      <protection hidden="1"/>
    </xf>
    <xf numFmtId="0" fontId="9" fillId="0" borderId="6" xfId="0" applyFont="1" applyBorder="1" applyAlignment="1" applyProtection="1">
      <alignment horizontal="right" vertical="center"/>
      <protection hidden="1"/>
    </xf>
    <xf numFmtId="0" fontId="5" fillId="0" borderId="3" xfId="0" applyFont="1" applyBorder="1" applyAlignment="1" applyProtection="1">
      <alignment horizontal="center" vertical="center"/>
      <protection locked="0"/>
    </xf>
    <xf numFmtId="0" fontId="5" fillId="0" borderId="0" xfId="0" applyFont="1" applyAlignment="1" applyProtection="1">
      <alignment horizontal="center" vertical="center"/>
      <protection hidden="1"/>
    </xf>
    <xf numFmtId="0" fontId="5" fillId="0" borderId="0" xfId="0" applyFont="1" applyAlignment="1" applyProtection="1">
      <alignment vertical="center"/>
      <protection hidden="1"/>
    </xf>
    <xf numFmtId="0" fontId="7" fillId="0" borderId="0" xfId="0" applyFont="1" applyAlignment="1" applyProtection="1">
      <alignment horizontal="center" vertical="center"/>
      <protection hidden="1"/>
    </xf>
    <xf numFmtId="0" fontId="10" fillId="0" borderId="0" xfId="0" applyFont="1" applyAlignment="1" applyProtection="1">
      <alignment horizontal="left" vertical="center" wrapText="1"/>
      <protection hidden="1"/>
    </xf>
    <xf numFmtId="0" fontId="7" fillId="0" borderId="0" xfId="0" applyFont="1" applyAlignment="1" applyProtection="1">
      <alignment horizontal="left" vertical="center" wrapText="1"/>
      <protection hidden="1"/>
    </xf>
    <xf numFmtId="0" fontId="9" fillId="0" borderId="0" xfId="0" applyFont="1" applyAlignment="1" applyProtection="1">
      <alignment horizontal="left" vertical="center"/>
      <protection hidden="1"/>
    </xf>
    <xf numFmtId="0" fontId="9" fillId="4" borderId="0" xfId="0" applyFont="1" applyFill="1" applyAlignment="1">
      <alignment vertical="center" wrapText="1"/>
    </xf>
    <xf numFmtId="0" fontId="9" fillId="4" borderId="0" xfId="0" applyFont="1" applyFill="1" applyAlignment="1">
      <alignment vertical="center"/>
    </xf>
    <xf numFmtId="0" fontId="7" fillId="4" borderId="2" xfId="0" applyFont="1" applyFill="1" applyBorder="1" applyAlignment="1">
      <alignment horizontal="center" vertical="center" wrapText="1"/>
    </xf>
    <xf numFmtId="0" fontId="7" fillId="4" borderId="2" xfId="0" applyFont="1" applyFill="1" applyBorder="1" applyAlignment="1">
      <alignment horizontal="center" vertical="center"/>
    </xf>
    <xf numFmtId="0" fontId="7" fillId="4" borderId="1" xfId="0" applyFont="1" applyFill="1" applyBorder="1" applyAlignment="1">
      <alignment horizontal="center" vertical="center" wrapText="1"/>
    </xf>
    <xf numFmtId="0" fontId="9" fillId="4" borderId="0" xfId="0" applyFont="1" applyFill="1" applyAlignment="1">
      <alignment horizontal="center" vertical="center"/>
    </xf>
    <xf numFmtId="0" fontId="9" fillId="0" borderId="0" xfId="0" applyFont="1" applyAlignment="1" applyProtection="1">
      <alignment horizontal="right" vertical="center"/>
      <protection hidden="1"/>
    </xf>
    <xf numFmtId="164" fontId="9" fillId="0" borderId="9" xfId="0" applyNumberFormat="1" applyFont="1" applyBorder="1" applyAlignment="1">
      <alignment vertical="center" wrapText="1"/>
    </xf>
    <xf numFmtId="0" fontId="9" fillId="0" borderId="0" xfId="0" applyFont="1" applyAlignment="1">
      <alignment vertical="center"/>
    </xf>
    <xf numFmtId="0" fontId="9" fillId="0" borderId="0" xfId="0" applyFont="1" applyAlignment="1">
      <alignment vertical="center" wrapText="1"/>
    </xf>
    <xf numFmtId="0" fontId="9" fillId="0" borderId="2" xfId="0" applyFont="1" applyBorder="1" applyAlignment="1">
      <alignment vertical="center" wrapText="1"/>
    </xf>
    <xf numFmtId="164" fontId="9" fillId="0" borderId="8" xfId="0" applyNumberFormat="1" applyFont="1" applyBorder="1" applyAlignment="1">
      <alignment vertical="center" wrapText="1"/>
    </xf>
    <xf numFmtId="0" fontId="9" fillId="0" borderId="0" xfId="0" applyFont="1" applyAlignment="1">
      <alignment horizontal="center" vertical="center"/>
    </xf>
    <xf numFmtId="0" fontId="13" fillId="0" borderId="0" xfId="0" applyFont="1" applyAlignment="1">
      <alignment vertical="center" wrapText="1"/>
    </xf>
    <xf numFmtId="164" fontId="7" fillId="0" borderId="0" xfId="0" applyNumberFormat="1" applyFont="1" applyAlignment="1">
      <alignment vertical="center" wrapText="1"/>
    </xf>
    <xf numFmtId="0" fontId="7" fillId="0" borderId="1" xfId="0" applyFont="1" applyBorder="1" applyAlignment="1">
      <alignment horizontal="center" vertical="center" wrapText="1"/>
    </xf>
    <xf numFmtId="0" fontId="9" fillId="0" borderId="2" xfId="0" applyFont="1" applyBorder="1" applyAlignment="1">
      <alignment vertical="center"/>
    </xf>
    <xf numFmtId="0" fontId="7" fillId="0" borderId="0" xfId="0" applyFont="1" applyAlignment="1">
      <alignment vertical="center" wrapText="1"/>
    </xf>
    <xf numFmtId="0" fontId="5" fillId="0" borderId="2" xfId="0" applyFont="1" applyBorder="1" applyAlignment="1">
      <alignment vertical="center" wrapText="1"/>
    </xf>
    <xf numFmtId="164" fontId="9" fillId="0" borderId="0" xfId="0" applyNumberFormat="1" applyFont="1" applyAlignment="1">
      <alignment vertical="center" wrapText="1"/>
    </xf>
    <xf numFmtId="0" fontId="9" fillId="0" borderId="2" xfId="0" applyFont="1" applyBorder="1" applyAlignment="1">
      <alignment horizontal="justify" vertical="center" wrapText="1"/>
    </xf>
    <xf numFmtId="0" fontId="7" fillId="0" borderId="2" xfId="0" applyFont="1" applyBorder="1" applyAlignment="1" applyProtection="1">
      <alignment horizontal="center" vertical="center" wrapText="1"/>
      <protection hidden="1"/>
    </xf>
    <xf numFmtId="0" fontId="15" fillId="3" borderId="4" xfId="0" applyFont="1" applyFill="1" applyBorder="1" applyAlignment="1" applyProtection="1">
      <alignment horizontal="center" vertical="center" wrapText="1"/>
      <protection hidden="1"/>
    </xf>
    <xf numFmtId="0" fontId="15" fillId="3" borderId="5" xfId="0" applyFont="1" applyFill="1" applyBorder="1" applyAlignment="1" applyProtection="1">
      <alignment horizontal="center" vertical="center" wrapText="1"/>
      <protection hidden="1"/>
    </xf>
    <xf numFmtId="0" fontId="15" fillId="3" borderId="12" xfId="0" applyFont="1" applyFill="1" applyBorder="1" applyAlignment="1" applyProtection="1">
      <alignment horizontal="center" vertical="center" wrapText="1"/>
      <protection hidden="1"/>
    </xf>
    <xf numFmtId="0" fontId="15" fillId="3" borderId="7" xfId="0" applyFont="1" applyFill="1" applyBorder="1" applyAlignment="1" applyProtection="1">
      <alignment horizontal="center" vertical="center" wrapText="1"/>
      <protection hidden="1"/>
    </xf>
    <xf numFmtId="0" fontId="15" fillId="3" borderId="0" xfId="0" applyFont="1" applyFill="1" applyAlignment="1" applyProtection="1">
      <alignment horizontal="center" vertical="center" wrapText="1"/>
      <protection hidden="1"/>
    </xf>
    <xf numFmtId="0" fontId="15" fillId="3" borderId="6" xfId="0" applyFont="1" applyFill="1" applyBorder="1" applyAlignment="1" applyProtection="1">
      <alignment horizontal="center" vertical="center" wrapText="1"/>
      <protection hidden="1"/>
    </xf>
    <xf numFmtId="0" fontId="15" fillId="3" borderId="14" xfId="0" applyFont="1" applyFill="1" applyBorder="1" applyAlignment="1" applyProtection="1">
      <alignment horizontal="center" vertical="center" wrapText="1"/>
      <protection hidden="1"/>
    </xf>
    <xf numFmtId="0" fontId="15" fillId="3" borderId="3" xfId="0" applyFont="1" applyFill="1" applyBorder="1" applyAlignment="1" applyProtection="1">
      <alignment horizontal="center" vertical="center" wrapText="1"/>
      <protection hidden="1"/>
    </xf>
    <xf numFmtId="0" fontId="15" fillId="3" borderId="15" xfId="0" applyFont="1" applyFill="1" applyBorder="1" applyAlignment="1" applyProtection="1">
      <alignment horizontal="center" vertical="center" wrapText="1"/>
      <protection hidden="1"/>
    </xf>
    <xf numFmtId="0" fontId="9" fillId="0" borderId="0" xfId="0" applyFont="1" applyAlignment="1" applyProtection="1">
      <alignment horizontal="right" vertical="center"/>
      <protection hidden="1"/>
    </xf>
    <xf numFmtId="0" fontId="7" fillId="0" borderId="4" xfId="0" applyFont="1" applyBorder="1" applyAlignment="1" applyProtection="1">
      <alignment horizontal="center" vertical="center" wrapText="1"/>
      <protection hidden="1"/>
    </xf>
    <xf numFmtId="0" fontId="7" fillId="0" borderId="5" xfId="0" applyFont="1" applyBorder="1" applyAlignment="1" applyProtection="1">
      <alignment horizontal="center" vertical="center" wrapText="1"/>
      <protection hidden="1"/>
    </xf>
    <xf numFmtId="0" fontId="7" fillId="0" borderId="12" xfId="0" applyFont="1" applyBorder="1" applyAlignment="1" applyProtection="1">
      <alignment horizontal="center" vertical="center" wrapText="1"/>
      <protection hidden="1"/>
    </xf>
    <xf numFmtId="0" fontId="7" fillId="0" borderId="14" xfId="0" applyFont="1" applyBorder="1" applyAlignment="1" applyProtection="1">
      <alignment horizontal="center" vertical="center" wrapText="1"/>
      <protection hidden="1"/>
    </xf>
    <xf numFmtId="0" fontId="7" fillId="0" borderId="3" xfId="0" applyFont="1" applyBorder="1" applyAlignment="1" applyProtection="1">
      <alignment horizontal="center" vertical="center" wrapText="1"/>
      <protection hidden="1"/>
    </xf>
    <xf numFmtId="0" fontId="7" fillId="0" borderId="15" xfId="0" applyFont="1" applyBorder="1" applyAlignment="1" applyProtection="1">
      <alignment horizontal="center" vertical="center" wrapText="1"/>
      <protection hidden="1"/>
    </xf>
    <xf numFmtId="0" fontId="7" fillId="0" borderId="10" xfId="0" applyFont="1" applyBorder="1" applyAlignment="1" applyProtection="1">
      <alignment horizontal="center" vertical="center"/>
      <protection hidden="1"/>
    </xf>
    <xf numFmtId="0" fontId="7" fillId="0" borderId="11" xfId="0" applyFont="1" applyBorder="1" applyAlignment="1" applyProtection="1">
      <alignment horizontal="center" vertical="center"/>
      <protection hidden="1"/>
    </xf>
    <xf numFmtId="0" fontId="7" fillId="0" borderId="13" xfId="0" applyFont="1" applyBorder="1" applyAlignment="1" applyProtection="1">
      <alignment horizontal="center" vertical="center"/>
      <protection hidden="1"/>
    </xf>
    <xf numFmtId="0" fontId="9" fillId="0" borderId="0" xfId="0" applyFont="1" applyAlignment="1" applyProtection="1">
      <alignment horizontal="left" vertical="center"/>
      <protection hidden="1"/>
    </xf>
    <xf numFmtId="0" fontId="16" fillId="3" borderId="4" xfId="0" applyFont="1" applyFill="1" applyBorder="1" applyAlignment="1" applyProtection="1">
      <alignment horizontal="center" vertical="center" wrapText="1"/>
      <protection hidden="1"/>
    </xf>
    <xf numFmtId="0" fontId="16" fillId="3" borderId="5" xfId="0" applyFont="1" applyFill="1" applyBorder="1" applyAlignment="1" applyProtection="1">
      <alignment horizontal="center" vertical="center" wrapText="1"/>
      <protection hidden="1"/>
    </xf>
    <xf numFmtId="0" fontId="16" fillId="3" borderId="12" xfId="0" applyFont="1" applyFill="1" applyBorder="1" applyAlignment="1" applyProtection="1">
      <alignment horizontal="center" vertical="center" wrapText="1"/>
      <protection hidden="1"/>
    </xf>
    <xf numFmtId="0" fontId="16" fillId="3" borderId="7" xfId="0" applyFont="1" applyFill="1" applyBorder="1" applyAlignment="1" applyProtection="1">
      <alignment horizontal="center" vertical="center" wrapText="1"/>
      <protection hidden="1"/>
    </xf>
    <xf numFmtId="0" fontId="16" fillId="3" borderId="0" xfId="0" applyFont="1" applyFill="1" applyAlignment="1" applyProtection="1">
      <alignment horizontal="center" vertical="center" wrapText="1"/>
      <protection hidden="1"/>
    </xf>
    <xf numFmtId="0" fontId="16" fillId="3" borderId="6" xfId="0" applyFont="1" applyFill="1" applyBorder="1" applyAlignment="1" applyProtection="1">
      <alignment horizontal="center" vertical="center" wrapText="1"/>
      <protection hidden="1"/>
    </xf>
    <xf numFmtId="0" fontId="16" fillId="3" borderId="14" xfId="0" applyFont="1" applyFill="1" applyBorder="1" applyAlignment="1" applyProtection="1">
      <alignment horizontal="center" vertical="center" wrapText="1"/>
      <protection hidden="1"/>
    </xf>
    <xf numFmtId="0" fontId="16" fillId="3" borderId="3" xfId="0" applyFont="1" applyFill="1" applyBorder="1" applyAlignment="1" applyProtection="1">
      <alignment horizontal="center" vertical="center" wrapText="1"/>
      <protection hidden="1"/>
    </xf>
    <xf numFmtId="0" fontId="16" fillId="3" borderId="15" xfId="0" applyFont="1" applyFill="1" applyBorder="1" applyAlignment="1" applyProtection="1">
      <alignment horizontal="center" vertical="center" wrapText="1"/>
      <protection hidden="1"/>
    </xf>
    <xf numFmtId="0" fontId="9" fillId="0" borderId="3" xfId="0" applyFont="1" applyBorder="1" applyAlignment="1" applyProtection="1">
      <alignment horizontal="center" vertical="center"/>
      <protection locked="0"/>
    </xf>
    <xf numFmtId="0" fontId="5" fillId="0" borderId="3" xfId="0" applyFont="1" applyBorder="1" applyAlignment="1" applyProtection="1">
      <alignment horizontal="center" vertical="center"/>
      <protection locked="0"/>
    </xf>
    <xf numFmtId="0" fontId="9" fillId="0" borderId="2" xfId="0" applyFont="1" applyBorder="1" applyAlignment="1" applyProtection="1">
      <alignment horizontal="center" vertical="center"/>
      <protection hidden="1"/>
    </xf>
    <xf numFmtId="0" fontId="14" fillId="0" borderId="11" xfId="0" applyFont="1" applyBorder="1" applyAlignment="1" applyProtection="1">
      <alignment horizontal="left" vertical="center"/>
      <protection hidden="1"/>
    </xf>
    <xf numFmtId="0" fontId="14" fillId="0" borderId="13" xfId="0" applyFont="1" applyBorder="1" applyAlignment="1" applyProtection="1">
      <alignment horizontal="left" vertical="center"/>
      <protection hidden="1"/>
    </xf>
    <xf numFmtId="0" fontId="7" fillId="0" borderId="4" xfId="0" applyFont="1" applyBorder="1" applyAlignment="1" applyProtection="1">
      <alignment horizontal="center" vertical="center"/>
      <protection hidden="1"/>
    </xf>
    <xf numFmtId="0" fontId="7" fillId="0" borderId="12" xfId="0" applyFont="1" applyBorder="1" applyAlignment="1" applyProtection="1">
      <alignment horizontal="center" vertical="center"/>
      <protection hidden="1"/>
    </xf>
    <xf numFmtId="0" fontId="7" fillId="0" borderId="14" xfId="0" applyFont="1" applyBorder="1" applyAlignment="1" applyProtection="1">
      <alignment horizontal="center" vertical="center"/>
      <protection hidden="1"/>
    </xf>
    <xf numFmtId="0" fontId="7" fillId="0" borderId="15" xfId="0" applyFont="1" applyBorder="1" applyAlignment="1" applyProtection="1">
      <alignment horizontal="center" vertical="center"/>
      <protection hidden="1"/>
    </xf>
    <xf numFmtId="0" fontId="9" fillId="0" borderId="0" xfId="0" applyFont="1" applyAlignment="1" applyProtection="1">
      <alignment horizontal="center" vertical="center"/>
      <protection hidden="1"/>
    </xf>
    <xf numFmtId="0" fontId="9" fillId="0" borderId="3" xfId="0" applyFont="1" applyBorder="1" applyAlignment="1" applyProtection="1">
      <alignment horizontal="center" vertical="center"/>
      <protection hidden="1"/>
    </xf>
    <xf numFmtId="166" fontId="9" fillId="0" borderId="2" xfId="0" applyNumberFormat="1" applyFont="1" applyBorder="1" applyAlignment="1" applyProtection="1">
      <alignment horizontal="center" vertical="center" wrapText="1"/>
      <protection locked="0"/>
    </xf>
    <xf numFmtId="0" fontId="7" fillId="0" borderId="5" xfId="0" applyFont="1" applyBorder="1" applyAlignment="1" applyProtection="1">
      <alignment horizontal="center" vertical="center"/>
      <protection hidden="1"/>
    </xf>
    <xf numFmtId="0" fontId="7" fillId="0" borderId="2" xfId="0" applyFont="1" applyBorder="1" applyAlignment="1" applyProtection="1">
      <alignment horizontal="center" vertical="center"/>
      <protection hidden="1"/>
    </xf>
    <xf numFmtId="3" fontId="9" fillId="0" borderId="3" xfId="0" applyNumberFormat="1" applyFont="1" applyBorder="1" applyAlignment="1" applyProtection="1">
      <alignment horizontal="center" vertical="center"/>
      <protection locked="0"/>
    </xf>
    <xf numFmtId="165" fontId="9" fillId="0" borderId="2" xfId="0" applyNumberFormat="1" applyFont="1" applyBorder="1" applyAlignment="1" applyProtection="1">
      <alignment horizontal="center" vertical="center"/>
      <protection locked="0"/>
    </xf>
    <xf numFmtId="0" fontId="7" fillId="0" borderId="10" xfId="0" applyFont="1" applyBorder="1" applyAlignment="1" applyProtection="1">
      <alignment horizontal="center" vertical="center" wrapText="1"/>
      <protection locked="0"/>
    </xf>
    <xf numFmtId="0" fontId="7" fillId="0" borderId="11" xfId="0" applyFont="1" applyBorder="1" applyAlignment="1" applyProtection="1">
      <alignment horizontal="center" vertical="center" wrapText="1"/>
      <protection locked="0"/>
    </xf>
    <xf numFmtId="0" fontId="7" fillId="0" borderId="11" xfId="0" applyFont="1" applyBorder="1" applyAlignment="1" applyProtection="1">
      <alignment horizontal="center" vertical="center" wrapText="1"/>
      <protection hidden="1"/>
    </xf>
    <xf numFmtId="0" fontId="7" fillId="0" borderId="13" xfId="0" applyFont="1" applyBorder="1" applyAlignment="1" applyProtection="1">
      <alignment horizontal="center" vertical="center" wrapText="1"/>
      <protection hidden="1"/>
    </xf>
    <xf numFmtId="0" fontId="7" fillId="0" borderId="0" xfId="0" applyFont="1" applyAlignment="1" applyProtection="1">
      <alignment horizontal="center" vertical="center"/>
      <protection hidden="1"/>
    </xf>
    <xf numFmtId="3" fontId="9" fillId="0" borderId="11" xfId="0" applyNumberFormat="1" applyFont="1" applyBorder="1" applyAlignment="1" applyProtection="1">
      <alignment horizontal="center" vertical="center"/>
      <protection locked="0"/>
    </xf>
    <xf numFmtId="0" fontId="10" fillId="0" borderId="0" xfId="0" applyFont="1" applyAlignment="1" applyProtection="1">
      <alignment horizontal="left" vertical="center" wrapText="1"/>
      <protection hidden="1"/>
    </xf>
    <xf numFmtId="0" fontId="7" fillId="0" borderId="0" xfId="0" applyFont="1" applyAlignment="1" applyProtection="1">
      <alignment horizontal="left" vertical="center" wrapText="1"/>
      <protection hidden="1"/>
    </xf>
  </cellXfs>
  <cellStyles count="1">
    <cellStyle name="Normal" xfId="0" builtinId="0"/>
  </cellStyles>
  <dxfs count="4">
    <dxf>
      <font>
        <b/>
        <i val="0"/>
        <color rgb="FFFF0000"/>
      </font>
      <fill>
        <patternFill>
          <bgColor rgb="FFFFFF00"/>
        </patternFill>
      </fill>
    </dxf>
    <dxf>
      <fill>
        <patternFill>
          <bgColor theme="0" tint="-0.14996795556505021"/>
        </patternFill>
      </fill>
    </dxf>
    <dxf>
      <fill>
        <patternFill>
          <bgColor theme="0" tint="-0.24994659260841701"/>
        </patternFill>
      </fill>
    </dxf>
    <dxf>
      <font>
        <color theme="3" tint="-0.24994659260841701"/>
      </font>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262891</xdr:colOff>
      <xdr:row>1</xdr:row>
      <xdr:rowOff>238126</xdr:rowOff>
    </xdr:from>
    <xdr:to>
      <xdr:col>3</xdr:col>
      <xdr:colOff>586740</xdr:colOff>
      <xdr:row>4</xdr:row>
      <xdr:rowOff>201972</xdr:rowOff>
    </xdr:to>
    <xdr:pic>
      <xdr:nvPicPr>
        <xdr:cNvPr id="3" name="Imagen 2">
          <a:extLst>
            <a:ext uri="{FF2B5EF4-FFF2-40B4-BE49-F238E27FC236}">
              <a16:creationId xmlns:a16="http://schemas.microsoft.com/office/drawing/2014/main" id="{5DABADDB-DF45-28A0-2AF0-42DE73F10B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1071" y="421006"/>
          <a:ext cx="1413509" cy="741086"/>
        </a:xfrm>
        <a:prstGeom prst="rect">
          <a:avLst/>
        </a:prstGeom>
      </xdr:spPr>
    </xdr:pic>
    <xdr:clientData/>
  </xdr:twoCellAnchor>
  <xdr:twoCellAnchor editAs="oneCell">
    <xdr:from>
      <xdr:col>2</xdr:col>
      <xdr:colOff>87631</xdr:colOff>
      <xdr:row>2</xdr:row>
      <xdr:rowOff>47627</xdr:rowOff>
    </xdr:from>
    <xdr:to>
      <xdr:col>3</xdr:col>
      <xdr:colOff>693420</xdr:colOff>
      <xdr:row>4</xdr:row>
      <xdr:rowOff>160197</xdr:rowOff>
    </xdr:to>
    <xdr:pic>
      <xdr:nvPicPr>
        <xdr:cNvPr id="2" name="Imagen 1">
          <a:extLst>
            <a:ext uri="{FF2B5EF4-FFF2-40B4-BE49-F238E27FC236}">
              <a16:creationId xmlns:a16="http://schemas.microsoft.com/office/drawing/2014/main" id="{45811F01-E5BB-BB55-CAB5-63530479A7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5811" y="489587"/>
          <a:ext cx="1695449" cy="630730"/>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pageSetUpPr fitToPage="1"/>
  </sheetPr>
  <dimension ref="B2:U48"/>
  <sheetViews>
    <sheetView showGridLines="0" tabSelected="1" view="pageBreakPreview" zoomScaleNormal="100" zoomScaleSheetLayoutView="100" zoomScalePageLayoutView="80" workbookViewId="0">
      <pane xSplit="1" ySplit="2" topLeftCell="B6" activePane="bottomRight" state="frozen"/>
      <selection pane="topRight" activeCell="B1" sqref="B1"/>
      <selection pane="bottomLeft" activeCell="A3" sqref="A3"/>
      <selection pane="bottomRight" activeCell="P17" sqref="P17"/>
    </sheetView>
  </sheetViews>
  <sheetFormatPr baseColWidth="10" defaultColWidth="11.42578125" defaultRowHeight="15" x14ac:dyDescent="0.25"/>
  <cols>
    <col min="1" max="1" width="6.42578125" style="5" customWidth="1"/>
    <col min="2" max="2" width="3.42578125" style="5" customWidth="1"/>
    <col min="3" max="3" width="15.85546875" style="5" customWidth="1"/>
    <col min="4" max="4" width="14" style="5" customWidth="1"/>
    <col min="5" max="5" width="13.85546875" style="5" customWidth="1"/>
    <col min="6" max="6" width="11.140625" style="5" customWidth="1"/>
    <col min="7" max="12" width="1.7109375" style="5" customWidth="1"/>
    <col min="13" max="13" width="15.85546875" style="5" customWidth="1"/>
    <col min="14" max="14" width="6.85546875" style="5" customWidth="1"/>
    <col min="15" max="15" width="1.28515625" style="5" customWidth="1"/>
    <col min="16" max="16" width="5.85546875" style="5" customWidth="1"/>
    <col min="17" max="17" width="25.5703125" style="5" customWidth="1"/>
    <col min="18" max="18" width="1.28515625" style="5" customWidth="1"/>
    <col min="19" max="19" width="7" style="5" customWidth="1"/>
    <col min="20" max="16384" width="11.42578125" style="5"/>
  </cols>
  <sheetData>
    <row r="2" spans="2:18" ht="20.25" x14ac:dyDescent="0.25">
      <c r="B2" s="4" t="s">
        <v>153</v>
      </c>
    </row>
    <row r="3" spans="2:18" ht="27.75" customHeight="1" x14ac:dyDescent="0.25">
      <c r="B3" s="71"/>
      <c r="C3" s="71"/>
      <c r="D3" s="71"/>
      <c r="E3" s="74" t="s">
        <v>39</v>
      </c>
      <c r="F3" s="75"/>
      <c r="G3" s="50" t="s">
        <v>50</v>
      </c>
      <c r="H3" s="51"/>
      <c r="I3" s="51"/>
      <c r="J3" s="51"/>
      <c r="K3" s="51"/>
      <c r="L3" s="51"/>
      <c r="M3" s="52"/>
      <c r="N3" s="56" t="s">
        <v>35</v>
      </c>
      <c r="O3" s="57"/>
      <c r="P3" s="58"/>
      <c r="Q3" s="56" t="s">
        <v>66</v>
      </c>
      <c r="R3" s="58"/>
    </row>
    <row r="4" spans="2:18" ht="13.5" customHeight="1" x14ac:dyDescent="0.25">
      <c r="B4" s="71"/>
      <c r="C4" s="71"/>
      <c r="D4" s="71"/>
      <c r="E4" s="76"/>
      <c r="F4" s="77"/>
      <c r="G4" s="53"/>
      <c r="H4" s="54"/>
      <c r="I4" s="54"/>
      <c r="J4" s="54"/>
      <c r="K4" s="54"/>
      <c r="L4" s="54"/>
      <c r="M4" s="55"/>
      <c r="N4" s="74" t="s">
        <v>36</v>
      </c>
      <c r="O4" s="81"/>
      <c r="P4" s="75"/>
      <c r="Q4" s="74">
        <v>2</v>
      </c>
      <c r="R4" s="75"/>
    </row>
    <row r="5" spans="2:18" ht="16.5" customHeight="1" x14ac:dyDescent="0.25">
      <c r="B5" s="71"/>
      <c r="C5" s="71"/>
      <c r="D5" s="71"/>
      <c r="E5" s="39" t="s">
        <v>56</v>
      </c>
      <c r="F5" s="39"/>
      <c r="G5" s="56" t="s">
        <v>6</v>
      </c>
      <c r="H5" s="57"/>
      <c r="I5" s="57"/>
      <c r="J5" s="57"/>
      <c r="K5" s="57"/>
      <c r="L5" s="57"/>
      <c r="M5" s="58"/>
      <c r="N5" s="82" t="s">
        <v>37</v>
      </c>
      <c r="O5" s="82"/>
      <c r="P5" s="82"/>
      <c r="Q5" s="82" t="s">
        <v>38</v>
      </c>
      <c r="R5" s="82"/>
    </row>
    <row r="6" spans="2:18" x14ac:dyDescent="0.25">
      <c r="B6" s="1"/>
      <c r="C6" s="1"/>
      <c r="D6" s="1"/>
      <c r="E6" s="1"/>
      <c r="F6" s="1"/>
      <c r="G6" s="1"/>
      <c r="H6" s="1"/>
      <c r="I6" s="1"/>
      <c r="J6" s="1"/>
      <c r="K6" s="1"/>
      <c r="L6" s="1"/>
      <c r="M6" s="1"/>
      <c r="N6" s="1"/>
      <c r="O6" s="1"/>
      <c r="P6" s="1"/>
      <c r="Q6" s="1"/>
      <c r="R6" s="1"/>
    </row>
    <row r="7" spans="2:18" x14ac:dyDescent="0.25">
      <c r="B7" s="1"/>
      <c r="C7" s="1"/>
      <c r="D7" s="14"/>
      <c r="E7" s="14"/>
      <c r="F7" s="1"/>
      <c r="G7" s="1"/>
      <c r="H7" s="1"/>
      <c r="I7" s="1"/>
      <c r="J7" s="1"/>
      <c r="K7" s="1"/>
      <c r="L7" s="1"/>
      <c r="M7" s="1"/>
      <c r="N7" s="1"/>
      <c r="O7" s="1"/>
      <c r="P7" s="1"/>
      <c r="Q7" s="1"/>
      <c r="R7" s="1"/>
    </row>
    <row r="8" spans="2:18" ht="12.75" customHeight="1" x14ac:dyDescent="0.25">
      <c r="B8" s="1"/>
      <c r="C8" s="59" t="s">
        <v>27</v>
      </c>
      <c r="D8" s="59"/>
      <c r="E8" s="59"/>
      <c r="F8" s="69"/>
      <c r="G8" s="69"/>
      <c r="H8" s="69"/>
      <c r="I8" s="69"/>
      <c r="J8" s="69"/>
      <c r="K8" s="69"/>
      <c r="L8" s="69"/>
      <c r="M8" s="69"/>
      <c r="N8" s="69"/>
      <c r="O8" s="69"/>
      <c r="P8" s="69"/>
      <c r="Q8" s="69"/>
      <c r="R8" s="1"/>
    </row>
    <row r="9" spans="2:18" ht="6" customHeight="1" x14ac:dyDescent="0.25">
      <c r="B9" s="1"/>
      <c r="C9" s="1"/>
      <c r="D9" s="1"/>
      <c r="E9" s="1"/>
      <c r="F9" s="1"/>
      <c r="G9" s="1"/>
      <c r="H9" s="1"/>
      <c r="I9" s="1"/>
      <c r="J9" s="1"/>
      <c r="K9" s="1"/>
      <c r="L9" s="1"/>
      <c r="M9" s="1"/>
      <c r="N9" s="1"/>
      <c r="O9" s="1"/>
      <c r="P9" s="1"/>
      <c r="Q9" s="1"/>
      <c r="R9" s="1"/>
    </row>
    <row r="10" spans="2:18" ht="15.75" customHeight="1" x14ac:dyDescent="0.25">
      <c r="B10" s="1"/>
      <c r="C10" s="59" t="s">
        <v>20</v>
      </c>
      <c r="D10" s="59"/>
      <c r="E10" s="59"/>
      <c r="F10" s="83"/>
      <c r="G10" s="83"/>
      <c r="H10" s="83"/>
      <c r="I10" s="83"/>
      <c r="J10" s="83"/>
      <c r="K10" s="83"/>
      <c r="L10" s="83"/>
      <c r="M10" s="83"/>
      <c r="N10" s="83"/>
      <c r="O10" s="83"/>
      <c r="P10" s="83"/>
      <c r="Q10" s="83"/>
      <c r="R10" s="2"/>
    </row>
    <row r="11" spans="2:18" ht="5.0999999999999996" customHeight="1" x14ac:dyDescent="0.25">
      <c r="B11" s="1"/>
      <c r="C11" s="2"/>
      <c r="D11" s="2"/>
      <c r="E11" s="2"/>
      <c r="F11" s="2"/>
      <c r="G11" s="2"/>
      <c r="H11" s="2"/>
      <c r="I11" s="2"/>
      <c r="J11" s="2"/>
      <c r="K11" s="2"/>
      <c r="L11" s="2"/>
      <c r="M11" s="2"/>
      <c r="N11" s="2"/>
      <c r="O11" s="2"/>
      <c r="P11" s="2"/>
      <c r="Q11" s="2"/>
      <c r="R11" s="2"/>
    </row>
    <row r="12" spans="2:18" ht="12.6" customHeight="1" x14ac:dyDescent="0.25">
      <c r="B12" s="1"/>
      <c r="C12" s="59" t="s">
        <v>40</v>
      </c>
      <c r="D12" s="59"/>
      <c r="E12" s="59"/>
      <c r="F12" s="69"/>
      <c r="G12" s="69"/>
      <c r="H12" s="69"/>
      <c r="I12" s="69"/>
      <c r="J12" s="69"/>
      <c r="K12" s="69"/>
      <c r="L12" s="69"/>
      <c r="M12" s="69"/>
      <c r="N12" s="69"/>
      <c r="O12" s="69"/>
      <c r="P12" s="69"/>
      <c r="Q12" s="69"/>
      <c r="R12" s="2"/>
    </row>
    <row r="13" spans="2:18" ht="5.0999999999999996" customHeight="1" x14ac:dyDescent="0.25">
      <c r="B13" s="1"/>
      <c r="C13" s="1"/>
      <c r="D13" s="1"/>
      <c r="E13" s="1"/>
      <c r="F13" s="1"/>
      <c r="G13" s="1"/>
      <c r="H13" s="1"/>
      <c r="I13" s="1"/>
      <c r="J13" s="1"/>
      <c r="K13" s="1"/>
      <c r="L13" s="1"/>
      <c r="M13" s="1"/>
      <c r="N13" s="1"/>
      <c r="O13" s="1"/>
      <c r="P13" s="1"/>
      <c r="Q13" s="1"/>
      <c r="R13" s="1"/>
    </row>
    <row r="14" spans="2:18" ht="12.75" customHeight="1" x14ac:dyDescent="0.25">
      <c r="B14" s="1"/>
      <c r="C14" s="59" t="s">
        <v>21</v>
      </c>
      <c r="D14" s="59"/>
      <c r="E14" s="59"/>
      <c r="F14" s="70"/>
      <c r="G14" s="70"/>
      <c r="H14" s="70"/>
      <c r="I14" s="70"/>
      <c r="J14" s="70"/>
      <c r="K14" s="70"/>
      <c r="L14" s="70"/>
      <c r="M14" s="70"/>
      <c r="N14" s="70"/>
      <c r="O14" s="12"/>
      <c r="P14" s="13" t="s">
        <v>2</v>
      </c>
      <c r="Q14" s="11" t="str">
        <f>IF(F14="","",VLOOKUP(F14,nivel,2,FALSE))</f>
        <v/>
      </c>
      <c r="R14" s="1"/>
    </row>
    <row r="15" spans="2:18" ht="5.0999999999999996" customHeight="1" x14ac:dyDescent="0.25">
      <c r="B15" s="1"/>
      <c r="C15" s="2"/>
      <c r="D15" s="1"/>
      <c r="E15" s="1"/>
      <c r="F15" s="1"/>
      <c r="G15" s="1"/>
      <c r="H15" s="1"/>
      <c r="I15" s="1"/>
      <c r="J15" s="1"/>
      <c r="K15" s="1"/>
      <c r="L15" s="1"/>
      <c r="M15" s="1"/>
      <c r="N15" s="1"/>
      <c r="O15" s="1"/>
      <c r="P15" s="1"/>
      <c r="Q15" s="1"/>
      <c r="R15" s="1"/>
    </row>
    <row r="16" spans="2:18" ht="13.15" customHeight="1" x14ac:dyDescent="0.25">
      <c r="B16" s="1"/>
      <c r="C16" s="59" t="s">
        <v>28</v>
      </c>
      <c r="D16" s="59"/>
      <c r="E16" s="59"/>
      <c r="F16" s="69"/>
      <c r="G16" s="69"/>
      <c r="H16" s="69"/>
      <c r="I16" s="69"/>
      <c r="J16" s="69"/>
      <c r="K16" s="69"/>
      <c r="L16" s="69"/>
      <c r="M16" s="69"/>
      <c r="N16" s="69"/>
      <c r="O16" s="69"/>
      <c r="P16" s="69"/>
      <c r="Q16" s="69"/>
      <c r="R16" s="1"/>
    </row>
    <row r="17" spans="2:21" ht="9.75" customHeight="1" x14ac:dyDescent="0.25">
      <c r="B17" s="1"/>
      <c r="C17" s="1"/>
      <c r="D17" s="1"/>
      <c r="E17" s="1"/>
      <c r="F17" s="1"/>
      <c r="G17" s="1"/>
      <c r="H17" s="1"/>
      <c r="I17" s="1"/>
      <c r="J17" s="1"/>
      <c r="K17" s="1"/>
      <c r="L17" s="1"/>
      <c r="M17" s="1"/>
      <c r="N17" s="1"/>
      <c r="O17" s="1"/>
      <c r="P17" s="1"/>
      <c r="Q17" s="1"/>
      <c r="R17" s="1"/>
    </row>
    <row r="18" spans="2:21" ht="9.75" customHeight="1" x14ac:dyDescent="0.25">
      <c r="B18" s="1"/>
      <c r="C18" s="1"/>
      <c r="D18" s="1"/>
      <c r="E18" s="1"/>
      <c r="F18" s="1"/>
      <c r="G18" s="1"/>
      <c r="H18" s="1"/>
      <c r="I18" s="1"/>
      <c r="J18" s="1"/>
      <c r="K18" s="1"/>
      <c r="L18" s="1"/>
      <c r="M18" s="1"/>
      <c r="N18" s="1"/>
      <c r="O18" s="1"/>
      <c r="P18" s="1"/>
      <c r="Q18" s="1"/>
      <c r="R18" s="1"/>
    </row>
    <row r="19" spans="2:21" ht="15.75" customHeight="1" x14ac:dyDescent="0.25">
      <c r="B19" s="1"/>
      <c r="C19" s="3" t="s">
        <v>22</v>
      </c>
      <c r="D19" s="7"/>
      <c r="E19" s="7"/>
      <c r="F19" s="72" t="str">
        <f>IF(G20="","↓̅ (Despliegue la lista y escoga el motivo de su permiso)","")</f>
        <v>↓̅ (Despliegue la lista y escoga el motivo de su permiso)</v>
      </c>
      <c r="G19" s="72"/>
      <c r="H19" s="72"/>
      <c r="I19" s="72"/>
      <c r="J19" s="72"/>
      <c r="K19" s="72"/>
      <c r="L19" s="72"/>
      <c r="M19" s="72"/>
      <c r="N19" s="72"/>
      <c r="O19" s="72"/>
      <c r="P19" s="72"/>
      <c r="Q19" s="73"/>
      <c r="R19" s="1"/>
    </row>
    <row r="20" spans="2:21" ht="27.75" customHeight="1" x14ac:dyDescent="0.25">
      <c r="B20" s="1"/>
      <c r="C20" s="85"/>
      <c r="D20" s="86"/>
      <c r="E20" s="86"/>
      <c r="F20" s="86"/>
      <c r="G20" s="87" t="str">
        <f>IF(C20&lt;&gt;0,VLOOKUP(C20,'Lista Deplegable'!E2:F37,2,FALSE),"")</f>
        <v/>
      </c>
      <c r="H20" s="87"/>
      <c r="I20" s="87"/>
      <c r="J20" s="87"/>
      <c r="K20" s="87"/>
      <c r="L20" s="87"/>
      <c r="M20" s="87"/>
      <c r="N20" s="87"/>
      <c r="O20" s="87"/>
      <c r="P20" s="87"/>
      <c r="Q20" s="88"/>
      <c r="R20" s="1"/>
    </row>
    <row r="21" spans="2:21" ht="8.25" customHeight="1" x14ac:dyDescent="0.25">
      <c r="B21" s="1"/>
      <c r="C21" s="1"/>
      <c r="D21" s="1"/>
      <c r="E21" s="1"/>
      <c r="F21" s="1"/>
      <c r="G21" s="1"/>
      <c r="H21" s="1"/>
      <c r="I21" s="1"/>
      <c r="J21" s="1"/>
      <c r="K21" s="1"/>
      <c r="L21" s="1"/>
      <c r="M21" s="1"/>
      <c r="N21" s="1"/>
      <c r="O21" s="1"/>
      <c r="P21" s="1"/>
      <c r="Q21" s="1"/>
      <c r="R21" s="1"/>
    </row>
    <row r="22" spans="2:21" ht="58.9" customHeight="1" x14ac:dyDescent="0.25">
      <c r="B22" s="1"/>
      <c r="C22" s="40" t="str">
        <f>IF(C20&lt;&gt;0,VLOOKUP(C20,'Lista Deplegable'!E2:H37,4,FALSE),"")</f>
        <v/>
      </c>
      <c r="D22" s="41"/>
      <c r="E22" s="41"/>
      <c r="F22" s="41"/>
      <c r="G22" s="41"/>
      <c r="H22" s="41"/>
      <c r="I22" s="41"/>
      <c r="J22" s="41"/>
      <c r="K22" s="41"/>
      <c r="L22" s="41"/>
      <c r="M22" s="41"/>
      <c r="N22" s="41"/>
      <c r="O22" s="41"/>
      <c r="P22" s="41"/>
      <c r="Q22" s="42"/>
      <c r="R22" s="1"/>
      <c r="U22" s="6"/>
    </row>
    <row r="23" spans="2:21" ht="1.9" customHeight="1" x14ac:dyDescent="0.25">
      <c r="B23" s="1"/>
      <c r="C23" s="43"/>
      <c r="D23" s="44"/>
      <c r="E23" s="44"/>
      <c r="F23" s="44"/>
      <c r="G23" s="44"/>
      <c r="H23" s="44"/>
      <c r="I23" s="44"/>
      <c r="J23" s="44"/>
      <c r="K23" s="44"/>
      <c r="L23" s="44"/>
      <c r="M23" s="44"/>
      <c r="N23" s="44"/>
      <c r="O23" s="44"/>
      <c r="P23" s="44"/>
      <c r="Q23" s="45"/>
      <c r="R23" s="1"/>
    </row>
    <row r="24" spans="2:21" ht="10.15" customHeight="1" x14ac:dyDescent="0.25">
      <c r="B24" s="1"/>
      <c r="C24" s="46"/>
      <c r="D24" s="47"/>
      <c r="E24" s="47"/>
      <c r="F24" s="47"/>
      <c r="G24" s="47"/>
      <c r="H24" s="47"/>
      <c r="I24" s="47"/>
      <c r="J24" s="47"/>
      <c r="K24" s="47"/>
      <c r="L24" s="47"/>
      <c r="M24" s="47"/>
      <c r="N24" s="47"/>
      <c r="O24" s="47"/>
      <c r="P24" s="47"/>
      <c r="Q24" s="48"/>
      <c r="R24" s="1"/>
    </row>
    <row r="25" spans="2:21" ht="30.75" customHeight="1" x14ac:dyDescent="0.25">
      <c r="B25" s="1"/>
      <c r="C25" s="60" t="str">
        <f>IF(C20&gt;0,VLOOKUP(C20,'Lista Deplegable'!E2:G37,3,0),"")</f>
        <v/>
      </c>
      <c r="D25" s="61"/>
      <c r="E25" s="61"/>
      <c r="F25" s="61"/>
      <c r="G25" s="61"/>
      <c r="H25" s="61"/>
      <c r="I25" s="61"/>
      <c r="J25" s="61"/>
      <c r="K25" s="61"/>
      <c r="L25" s="61"/>
      <c r="M25" s="61"/>
      <c r="N25" s="61"/>
      <c r="O25" s="61"/>
      <c r="P25" s="61"/>
      <c r="Q25" s="62"/>
      <c r="R25" s="1"/>
    </row>
    <row r="26" spans="2:21" ht="15" customHeight="1" x14ac:dyDescent="0.25">
      <c r="B26" s="1"/>
      <c r="C26" s="63"/>
      <c r="D26" s="64"/>
      <c r="E26" s="64"/>
      <c r="F26" s="64"/>
      <c r="G26" s="64"/>
      <c r="H26" s="64"/>
      <c r="I26" s="64"/>
      <c r="J26" s="64"/>
      <c r="K26" s="64"/>
      <c r="L26" s="64"/>
      <c r="M26" s="64"/>
      <c r="N26" s="64"/>
      <c r="O26" s="64"/>
      <c r="P26" s="64"/>
      <c r="Q26" s="65"/>
      <c r="R26" s="1"/>
    </row>
    <row r="27" spans="2:21" ht="27" customHeight="1" x14ac:dyDescent="0.25">
      <c r="B27" s="1"/>
      <c r="C27" s="63"/>
      <c r="D27" s="64"/>
      <c r="E27" s="64"/>
      <c r="F27" s="64"/>
      <c r="G27" s="64"/>
      <c r="H27" s="64"/>
      <c r="I27" s="64"/>
      <c r="J27" s="64"/>
      <c r="K27" s="64"/>
      <c r="L27" s="64"/>
      <c r="M27" s="64"/>
      <c r="N27" s="64"/>
      <c r="O27" s="64"/>
      <c r="P27" s="64"/>
      <c r="Q27" s="65"/>
      <c r="R27" s="1"/>
    </row>
    <row r="28" spans="2:21" ht="11.45" customHeight="1" x14ac:dyDescent="0.25">
      <c r="B28" s="1"/>
      <c r="C28" s="63"/>
      <c r="D28" s="64"/>
      <c r="E28" s="64"/>
      <c r="F28" s="64"/>
      <c r="G28" s="64"/>
      <c r="H28" s="64"/>
      <c r="I28" s="64"/>
      <c r="J28" s="64"/>
      <c r="K28" s="64"/>
      <c r="L28" s="64"/>
      <c r="M28" s="64"/>
      <c r="N28" s="64"/>
      <c r="O28" s="64"/>
      <c r="P28" s="64"/>
      <c r="Q28" s="65"/>
      <c r="R28" s="1"/>
    </row>
    <row r="29" spans="2:21" ht="11.45" customHeight="1" x14ac:dyDescent="0.25">
      <c r="B29" s="1"/>
      <c r="C29" s="63"/>
      <c r="D29" s="64"/>
      <c r="E29" s="64"/>
      <c r="F29" s="64"/>
      <c r="G29" s="64"/>
      <c r="H29" s="64"/>
      <c r="I29" s="64"/>
      <c r="J29" s="64"/>
      <c r="K29" s="64"/>
      <c r="L29" s="64"/>
      <c r="M29" s="64"/>
      <c r="N29" s="64"/>
      <c r="O29" s="64"/>
      <c r="P29" s="64"/>
      <c r="Q29" s="65"/>
      <c r="R29" s="1"/>
    </row>
    <row r="30" spans="2:21" ht="27" customHeight="1" x14ac:dyDescent="0.25">
      <c r="B30" s="1"/>
      <c r="C30" s="63"/>
      <c r="D30" s="64"/>
      <c r="E30" s="64"/>
      <c r="F30" s="64"/>
      <c r="G30" s="64"/>
      <c r="H30" s="64"/>
      <c r="I30" s="64"/>
      <c r="J30" s="64"/>
      <c r="K30" s="64"/>
      <c r="L30" s="64"/>
      <c r="M30" s="64"/>
      <c r="N30" s="64"/>
      <c r="O30" s="64"/>
      <c r="P30" s="64"/>
      <c r="Q30" s="65"/>
      <c r="R30" s="1"/>
    </row>
    <row r="31" spans="2:21" ht="17.45" customHeight="1" x14ac:dyDescent="0.25">
      <c r="B31" s="1"/>
      <c r="C31" s="66"/>
      <c r="D31" s="67"/>
      <c r="E31" s="67"/>
      <c r="F31" s="67"/>
      <c r="G31" s="67"/>
      <c r="H31" s="67"/>
      <c r="I31" s="67"/>
      <c r="J31" s="67"/>
      <c r="K31" s="67"/>
      <c r="L31" s="67"/>
      <c r="M31" s="67"/>
      <c r="N31" s="67"/>
      <c r="O31" s="67"/>
      <c r="P31" s="67"/>
      <c r="Q31" s="68"/>
      <c r="R31" s="1"/>
    </row>
    <row r="32" spans="2:21" ht="8.25" customHeight="1" x14ac:dyDescent="0.25">
      <c r="B32" s="1"/>
      <c r="C32" s="1"/>
      <c r="D32" s="1"/>
      <c r="E32" s="1"/>
      <c r="F32" s="1"/>
      <c r="G32" s="1"/>
      <c r="H32" s="1"/>
      <c r="I32" s="1"/>
      <c r="J32" s="1"/>
      <c r="K32" s="1"/>
      <c r="L32" s="1"/>
      <c r="M32" s="1"/>
      <c r="N32" s="1"/>
      <c r="O32" s="1"/>
      <c r="P32" s="1"/>
      <c r="Q32" s="1"/>
      <c r="R32" s="1"/>
    </row>
    <row r="33" spans="2:18" ht="21.75" customHeight="1" x14ac:dyDescent="0.25">
      <c r="B33" s="1"/>
      <c r="C33" s="24" t="s">
        <v>23</v>
      </c>
      <c r="D33" s="80"/>
      <c r="E33" s="80"/>
      <c r="F33" s="80"/>
      <c r="G33" s="2"/>
      <c r="H33" s="2"/>
      <c r="I33" s="2"/>
      <c r="J33" s="2"/>
      <c r="K33" s="2"/>
      <c r="L33" s="2"/>
      <c r="M33" s="49" t="s">
        <v>25</v>
      </c>
      <c r="N33" s="49"/>
      <c r="O33" s="10"/>
      <c r="P33" s="84"/>
      <c r="Q33" s="84"/>
      <c r="R33" s="17"/>
    </row>
    <row r="34" spans="2:18" ht="21.75" customHeight="1" x14ac:dyDescent="0.25">
      <c r="B34" s="1"/>
      <c r="C34" s="24" t="s">
        <v>24</v>
      </c>
      <c r="D34" s="80"/>
      <c r="E34" s="80"/>
      <c r="F34" s="80"/>
      <c r="G34" s="2"/>
      <c r="H34" s="2"/>
      <c r="I34" s="2"/>
      <c r="J34" s="2"/>
      <c r="K34" s="2"/>
      <c r="L34" s="2"/>
      <c r="M34" s="49" t="s">
        <v>26</v>
      </c>
      <c r="N34" s="49"/>
      <c r="O34" s="10"/>
      <c r="P34" s="84"/>
      <c r="Q34" s="84"/>
      <c r="R34" s="17"/>
    </row>
    <row r="35" spans="2:18" ht="10.5" customHeight="1" x14ac:dyDescent="0.25">
      <c r="B35" s="1"/>
      <c r="C35" s="1"/>
      <c r="D35" s="1"/>
      <c r="E35" s="1"/>
      <c r="F35" s="1"/>
      <c r="G35" s="1"/>
      <c r="H35" s="1"/>
      <c r="I35" s="1"/>
      <c r="J35" s="1"/>
      <c r="K35" s="1"/>
      <c r="L35" s="1"/>
      <c r="M35" s="1"/>
      <c r="N35" s="1"/>
      <c r="O35" s="1"/>
      <c r="P35" s="1"/>
      <c r="Q35" s="1"/>
      <c r="R35" s="1"/>
    </row>
    <row r="36" spans="2:18" ht="19.5" customHeight="1" x14ac:dyDescent="0.25">
      <c r="B36" s="1"/>
      <c r="C36" s="92" t="s">
        <v>154</v>
      </c>
      <c r="D36" s="92"/>
      <c r="E36" s="92"/>
      <c r="F36" s="92"/>
      <c r="G36" s="92"/>
      <c r="H36" s="92"/>
      <c r="I36" s="92"/>
      <c r="J36" s="92"/>
      <c r="K36" s="92"/>
      <c r="L36" s="92"/>
      <c r="M36" s="92"/>
      <c r="N36" s="92"/>
      <c r="O36" s="92"/>
      <c r="P36" s="92"/>
      <c r="Q36" s="92"/>
      <c r="R36" s="16"/>
    </row>
    <row r="37" spans="2:18" ht="20.100000000000001" customHeight="1" x14ac:dyDescent="0.25">
      <c r="B37" s="1"/>
      <c r="C37" s="92"/>
      <c r="D37" s="92"/>
      <c r="E37" s="92"/>
      <c r="F37" s="92"/>
      <c r="G37" s="92"/>
      <c r="H37" s="92"/>
      <c r="I37" s="92"/>
      <c r="J37" s="92"/>
      <c r="K37" s="92"/>
      <c r="L37" s="92"/>
      <c r="M37" s="92"/>
      <c r="N37" s="92"/>
      <c r="O37" s="92"/>
      <c r="P37" s="92"/>
      <c r="Q37" s="92"/>
      <c r="R37" s="16"/>
    </row>
    <row r="38" spans="2:18" ht="12" customHeight="1" x14ac:dyDescent="0.25">
      <c r="B38" s="1"/>
      <c r="C38" s="1" t="s">
        <v>41</v>
      </c>
      <c r="D38" s="1"/>
      <c r="E38" s="1"/>
      <c r="F38" s="69"/>
      <c r="G38" s="69"/>
      <c r="H38" s="69"/>
      <c r="I38" s="69"/>
      <c r="J38" s="69"/>
      <c r="K38" s="69"/>
      <c r="L38" s="69"/>
      <c r="M38" s="69"/>
      <c r="N38" s="69"/>
      <c r="O38" s="69"/>
      <c r="P38" s="69"/>
      <c r="Q38" s="69"/>
      <c r="R38" s="2"/>
    </row>
    <row r="39" spans="2:18" ht="18.75" customHeight="1" x14ac:dyDescent="0.25">
      <c r="B39" s="1"/>
      <c r="C39" s="1" t="s">
        <v>5</v>
      </c>
      <c r="D39" s="1"/>
      <c r="E39" s="1"/>
      <c r="F39" s="90"/>
      <c r="G39" s="90"/>
      <c r="H39" s="90"/>
      <c r="I39" s="90"/>
      <c r="J39" s="90"/>
      <c r="K39" s="90"/>
      <c r="L39" s="90"/>
      <c r="M39" s="90"/>
      <c r="N39" s="90"/>
      <c r="O39" s="90"/>
      <c r="P39" s="90"/>
      <c r="Q39" s="90"/>
      <c r="R39" s="1"/>
    </row>
    <row r="40" spans="2:18" ht="17.25" customHeight="1" x14ac:dyDescent="0.25">
      <c r="B40" s="1"/>
      <c r="C40" s="8" t="str">
        <f>IF(OR(F38=0,F39=0),IF(Q14="Directivo","*Favor llenar los datos completos del Encargado*",""),"")</f>
        <v/>
      </c>
      <c r="D40" s="17"/>
      <c r="E40" s="2"/>
      <c r="F40" s="2"/>
      <c r="G40" s="2"/>
      <c r="H40" s="2"/>
      <c r="I40" s="2"/>
      <c r="J40" s="2"/>
      <c r="K40" s="2"/>
      <c r="L40" s="2"/>
      <c r="M40" s="2"/>
      <c r="N40" s="9"/>
      <c r="O40" s="9"/>
      <c r="P40" s="9"/>
      <c r="Q40" s="9"/>
      <c r="R40" s="1"/>
    </row>
    <row r="41" spans="2:18" x14ac:dyDescent="0.25">
      <c r="B41" s="1"/>
      <c r="C41" s="1"/>
      <c r="D41" s="1"/>
      <c r="E41" s="1"/>
      <c r="F41" s="1"/>
      <c r="G41" s="1"/>
      <c r="H41" s="1"/>
      <c r="I41" s="1"/>
      <c r="J41" s="1"/>
      <c r="K41" s="1"/>
      <c r="L41" s="1"/>
      <c r="M41" s="1"/>
      <c r="N41" s="1"/>
      <c r="O41" s="1"/>
      <c r="P41" s="1"/>
      <c r="Q41" s="1"/>
      <c r="R41" s="1"/>
    </row>
    <row r="42" spans="2:18" x14ac:dyDescent="0.25">
      <c r="B42" s="1"/>
      <c r="C42" s="1"/>
      <c r="D42" s="1"/>
      <c r="E42" s="78"/>
      <c r="F42" s="78"/>
      <c r="G42" s="78"/>
      <c r="H42" s="78"/>
      <c r="I42" s="78"/>
      <c r="J42" s="78"/>
      <c r="K42" s="78"/>
      <c r="L42" s="78"/>
      <c r="M42" s="78"/>
      <c r="N42" s="78"/>
      <c r="O42" s="1"/>
      <c r="P42" s="1"/>
      <c r="Q42" s="1"/>
      <c r="R42" s="1"/>
    </row>
    <row r="43" spans="2:18" x14ac:dyDescent="0.25">
      <c r="B43" s="1"/>
      <c r="C43" s="1"/>
      <c r="D43" s="1"/>
      <c r="E43" s="79"/>
      <c r="F43" s="79"/>
      <c r="G43" s="79"/>
      <c r="H43" s="79"/>
      <c r="I43" s="79"/>
      <c r="J43" s="79"/>
      <c r="K43" s="79"/>
      <c r="L43" s="79"/>
      <c r="M43" s="79"/>
      <c r="N43" s="79"/>
      <c r="O43" s="1"/>
      <c r="P43" s="1"/>
      <c r="Q43" s="1"/>
      <c r="R43" s="1"/>
    </row>
    <row r="44" spans="2:18" x14ac:dyDescent="0.25">
      <c r="B44" s="1"/>
      <c r="C44" s="1"/>
      <c r="D44" s="1"/>
      <c r="E44" s="81" t="s">
        <v>0</v>
      </c>
      <c r="F44" s="81"/>
      <c r="G44" s="81"/>
      <c r="H44" s="81"/>
      <c r="I44" s="81"/>
      <c r="J44" s="81"/>
      <c r="K44" s="81"/>
      <c r="L44" s="81"/>
      <c r="M44" s="81"/>
      <c r="N44" s="81"/>
      <c r="O44" s="14"/>
      <c r="P44" s="1"/>
      <c r="Q44" s="1"/>
      <c r="R44" s="1"/>
    </row>
    <row r="45" spans="2:18" ht="6.75" customHeight="1" x14ac:dyDescent="0.25">
      <c r="B45" s="1"/>
      <c r="C45" s="1"/>
      <c r="D45" s="1"/>
      <c r="E45" s="1"/>
      <c r="F45" s="1"/>
      <c r="G45" s="1"/>
      <c r="H45" s="1"/>
      <c r="I45" s="1"/>
      <c r="J45" s="1"/>
      <c r="K45" s="1"/>
      <c r="L45" s="1"/>
      <c r="M45" s="1"/>
      <c r="N45" s="1"/>
      <c r="O45" s="1"/>
      <c r="P45" s="1"/>
      <c r="Q45" s="1"/>
      <c r="R45" s="1"/>
    </row>
    <row r="46" spans="2:18" x14ac:dyDescent="0.25">
      <c r="B46" s="1"/>
      <c r="C46" s="89" t="s">
        <v>1</v>
      </c>
      <c r="D46" s="91" t="s">
        <v>142</v>
      </c>
      <c r="E46" s="91"/>
      <c r="F46" s="91"/>
      <c r="G46" s="91"/>
      <c r="H46" s="91"/>
      <c r="I46" s="91"/>
      <c r="J46" s="91"/>
      <c r="K46" s="91"/>
      <c r="L46" s="91"/>
      <c r="M46" s="91"/>
      <c r="N46" s="91"/>
      <c r="O46" s="91"/>
      <c r="P46" s="91"/>
      <c r="Q46" s="91"/>
      <c r="R46" s="15"/>
    </row>
    <row r="47" spans="2:18" ht="10.5" customHeight="1" x14ac:dyDescent="0.25">
      <c r="B47" s="1"/>
      <c r="C47" s="89"/>
      <c r="D47" s="91"/>
      <c r="E47" s="91"/>
      <c r="F47" s="91"/>
      <c r="G47" s="91"/>
      <c r="H47" s="91"/>
      <c r="I47" s="91"/>
      <c r="J47" s="91"/>
      <c r="K47" s="91"/>
      <c r="L47" s="91"/>
      <c r="M47" s="91"/>
      <c r="N47" s="91"/>
      <c r="O47" s="91"/>
      <c r="P47" s="91"/>
      <c r="Q47" s="91"/>
      <c r="R47" s="15"/>
    </row>
    <row r="48" spans="2:18" ht="5.25" customHeight="1" x14ac:dyDescent="0.25">
      <c r="B48" s="1"/>
      <c r="C48" s="1"/>
      <c r="D48" s="1"/>
      <c r="E48" s="1"/>
      <c r="F48" s="1"/>
      <c r="G48" s="1"/>
      <c r="H48" s="1"/>
      <c r="I48" s="1"/>
      <c r="J48" s="1"/>
      <c r="K48" s="1"/>
      <c r="L48" s="1"/>
      <c r="M48" s="1"/>
      <c r="N48" s="1"/>
      <c r="O48" s="1"/>
      <c r="P48" s="1"/>
      <c r="Q48" s="1"/>
      <c r="R48" s="1"/>
    </row>
  </sheetData>
  <dataConsolidate/>
  <mergeCells count="39">
    <mergeCell ref="G20:Q20"/>
    <mergeCell ref="C46:C47"/>
    <mergeCell ref="F39:Q39"/>
    <mergeCell ref="D46:Q47"/>
    <mergeCell ref="C36:Q37"/>
    <mergeCell ref="E44:N44"/>
    <mergeCell ref="F38:Q38"/>
    <mergeCell ref="B3:D5"/>
    <mergeCell ref="F19:Q19"/>
    <mergeCell ref="C16:E16"/>
    <mergeCell ref="E3:F4"/>
    <mergeCell ref="E42:N43"/>
    <mergeCell ref="D33:F33"/>
    <mergeCell ref="D34:F34"/>
    <mergeCell ref="C10:E10"/>
    <mergeCell ref="N4:P4"/>
    <mergeCell ref="Q4:R4"/>
    <mergeCell ref="N5:P5"/>
    <mergeCell ref="Q5:R5"/>
    <mergeCell ref="F10:Q10"/>
    <mergeCell ref="P33:Q33"/>
    <mergeCell ref="P34:Q34"/>
    <mergeCell ref="C20:F20"/>
    <mergeCell ref="E5:F5"/>
    <mergeCell ref="C22:Q24"/>
    <mergeCell ref="M33:N33"/>
    <mergeCell ref="M34:N34"/>
    <mergeCell ref="G3:M4"/>
    <mergeCell ref="N3:P3"/>
    <mergeCell ref="C8:E8"/>
    <mergeCell ref="C25:Q31"/>
    <mergeCell ref="Q3:R3"/>
    <mergeCell ref="C12:E12"/>
    <mergeCell ref="F12:Q12"/>
    <mergeCell ref="G5:M5"/>
    <mergeCell ref="F14:N14"/>
    <mergeCell ref="F16:Q16"/>
    <mergeCell ref="F8:Q8"/>
    <mergeCell ref="C14:E14"/>
  </mergeCells>
  <conditionalFormatting sqref="C22 C25">
    <cfRule type="containsBlanks" dxfId="3" priority="14">
      <formula>LEN(TRIM(C22))=0</formula>
    </cfRule>
  </conditionalFormatting>
  <conditionalFormatting sqref="C20:F20">
    <cfRule type="containsBlanks" dxfId="2" priority="15">
      <formula>LEN(TRIM(C20))=0</formula>
    </cfRule>
  </conditionalFormatting>
  <conditionalFormatting sqref="G20:Q20">
    <cfRule type="containsBlanks" dxfId="1" priority="4">
      <formula>LEN(TRIM(G20))=0</formula>
    </cfRule>
  </conditionalFormatting>
  <conditionalFormatting sqref="N40:O40">
    <cfRule type="expression" dxfId="0" priority="13">
      <formula>IF(Q15="Directivo","Advertencia","")</formula>
    </cfRule>
  </conditionalFormatting>
  <dataValidations xWindow="931" yWindow="540" count="6">
    <dataValidation type="time" allowBlank="1" showInputMessage="1" showErrorMessage="1" promptTitle="Hora Fin Permiso" prompt="Por favor ingrese HORA MILITAR. _x000a__x000a_NOTA. Si usted es servidor de la DIRECCIÓN DEL SISTEMA DISTRITAL DE SERVICIO A LA CIUDADANÍA (DSDSC) y, solicita un permiso hasta las 5:30 pm, por favor indicarlo en el espacio de abajo exclusivo para servidores de DSDSC." sqref="P34:Q34">
      <formula1>0.25</formula1>
      <formula2>0.9375</formula2>
    </dataValidation>
    <dataValidation type="time" allowBlank="1" showInputMessage="1" showErrorMessage="1" promptTitle="Hora Inicio Permiso" prompt="Por favor ingrese HORA MILITAR" sqref="P33:Q33">
      <formula1>0.25</formula1>
      <formula2>0.916666666666667</formula2>
    </dataValidation>
    <dataValidation type="whole" allowBlank="1" showInputMessage="1" showErrorMessage="1" sqref="F10 F39">
      <formula1>999999</formula1>
      <formula2>1999999999</formula2>
    </dataValidation>
    <dataValidation allowBlank="1" showInputMessage="1" showErrorMessage="1" promptTitle="Nombre completo" prompt="Ingresar Nombres y Apellidos del Servidor Público." sqref="F8:Q8"/>
    <dataValidation type="whole" allowBlank="1" showInputMessage="1" showErrorMessage="1" sqref="E40:M40">
      <formula1>20000000</formula1>
      <formula2>1999999999</formula2>
    </dataValidation>
    <dataValidation allowBlank="1" showInputMessage="1" showErrorMessage="1" promptTitle="Nombre Identitario." prompt="Nombre que el ciudadano o ciudadana usualmente usa en caso de haberse identificado como transgenerista." sqref="F12:Q12"/>
  </dataValidations>
  <printOptions horizontalCentered="1"/>
  <pageMargins left="0.19685039370078741" right="0.15748031496062992" top="0.39370078740157483" bottom="0.98425196850393704" header="0" footer="0.39370078740157483"/>
  <pageSetup scale="82" orientation="portrait" r:id="rId1"/>
  <headerFooter>
    <oddFooter>&amp;C&amp;G
CLASIFICACIÓN DE LA INFORMACIÓN: PÚBLICA 
2311300-FT- 028   Versión 2</oddFooter>
  </headerFooter>
  <drawing r:id="rId2"/>
  <legacyDrawingHF r:id="rId3"/>
  <extLst>
    <ext xmlns:x14="http://schemas.microsoft.com/office/spreadsheetml/2009/9/main" uri="{CCE6A557-97BC-4b89-ADB6-D9C93CAAB3DF}">
      <x14:dataValidations xmlns:xm="http://schemas.microsoft.com/office/excel/2006/main" xWindow="931" yWindow="540" count="3">
        <x14:dataValidation type="list" allowBlank="1" showInputMessage="1" showErrorMessage="1">
          <x14:formula1>
            <xm:f>'Lista Deplegable'!$B$43:$B$59</xm:f>
          </x14:formula1>
          <xm:sqref>F14:N14</xm:sqref>
        </x14:dataValidation>
        <x14:dataValidation type="list" allowBlank="1" showInputMessage="1" showErrorMessage="1">
          <x14:formula1>
            <xm:f>'Lista Deplegable'!$B$3:$B$35</xm:f>
          </x14:formula1>
          <xm:sqref>F16:Q16</xm:sqref>
        </x14:dataValidation>
        <x14:dataValidation type="list" allowBlank="1" showInputMessage="1" showErrorMessage="1">
          <x14:formula1>
            <xm:f>'Lista Deplegable'!$E$2:$E$33</xm:f>
          </x14:formula1>
          <xm:sqref>C20:F20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rgb="FFFFFF00"/>
  </sheetPr>
  <dimension ref="B1:J69"/>
  <sheetViews>
    <sheetView showGridLines="0" topLeftCell="G5" zoomScale="90" zoomScaleNormal="90" workbookViewId="0">
      <selection activeCell="H8" sqref="H8"/>
    </sheetView>
  </sheetViews>
  <sheetFormatPr baseColWidth="10" defaultColWidth="11.42578125" defaultRowHeight="12.75" x14ac:dyDescent="0.25"/>
  <cols>
    <col min="1" max="1" width="1.5703125" style="26" customWidth="1"/>
    <col min="2" max="2" width="40.140625" style="27" customWidth="1"/>
    <col min="3" max="3" width="20.140625" style="26" bestFit="1" customWidth="1"/>
    <col min="4" max="4" width="6.5703125" style="26" customWidth="1"/>
    <col min="5" max="5" width="25.7109375" style="27" customWidth="1"/>
    <col min="6" max="6" width="20.28515625" style="26" customWidth="1"/>
    <col min="7" max="7" width="97.7109375" style="27" customWidth="1"/>
    <col min="8" max="8" width="63.28515625" style="27" customWidth="1"/>
    <col min="9" max="9" width="19.5703125" style="27" customWidth="1"/>
    <col min="10" max="10" width="14.28515625" style="27" customWidth="1"/>
    <col min="11" max="16384" width="11.42578125" style="26"/>
  </cols>
  <sheetData>
    <row r="1" spans="2:10" s="19" customFormat="1" ht="13.5" thickBot="1" x14ac:dyDescent="0.3">
      <c r="B1" s="18"/>
      <c r="E1" s="20" t="s">
        <v>52</v>
      </c>
      <c r="F1" s="21" t="s">
        <v>51</v>
      </c>
      <c r="G1" s="20" t="s">
        <v>53</v>
      </c>
      <c r="H1" s="20" t="s">
        <v>54</v>
      </c>
      <c r="I1" s="18"/>
      <c r="J1" s="18"/>
    </row>
    <row r="2" spans="2:10" s="19" customFormat="1" ht="46.15" customHeight="1" thickBot="1" x14ac:dyDescent="0.3">
      <c r="B2" s="22" t="s">
        <v>3</v>
      </c>
      <c r="C2" s="23" t="s">
        <v>29</v>
      </c>
      <c r="E2" s="28" t="s">
        <v>10</v>
      </c>
      <c r="F2" s="28" t="s">
        <v>7</v>
      </c>
      <c r="G2" s="28" t="s">
        <v>45</v>
      </c>
      <c r="H2" s="28" t="s">
        <v>43</v>
      </c>
      <c r="I2" s="18"/>
      <c r="J2" s="18"/>
    </row>
    <row r="3" spans="2:10" ht="51" x14ac:dyDescent="0.25">
      <c r="B3" s="29" t="s">
        <v>67</v>
      </c>
      <c r="C3" s="30" t="s">
        <v>30</v>
      </c>
      <c r="E3" s="28" t="s">
        <v>8</v>
      </c>
      <c r="F3" s="28" t="s">
        <v>7</v>
      </c>
      <c r="G3" s="28" t="s">
        <v>115</v>
      </c>
      <c r="H3" s="28" t="s">
        <v>31</v>
      </c>
    </row>
    <row r="4" spans="2:10" ht="47.45" customHeight="1" x14ac:dyDescent="0.25">
      <c r="B4" s="25" t="s">
        <v>68</v>
      </c>
      <c r="C4" s="31"/>
      <c r="E4" s="28" t="s">
        <v>9</v>
      </c>
      <c r="F4" s="28" t="s">
        <v>7</v>
      </c>
      <c r="G4" s="28" t="s">
        <v>44</v>
      </c>
      <c r="H4" s="28" t="s">
        <v>32</v>
      </c>
    </row>
    <row r="5" spans="2:10" ht="57.6" customHeight="1" x14ac:dyDescent="0.25">
      <c r="B5" s="25" t="s">
        <v>69</v>
      </c>
      <c r="E5" s="36" t="s">
        <v>105</v>
      </c>
      <c r="F5" s="36" t="s">
        <v>11</v>
      </c>
      <c r="G5" s="36" t="s">
        <v>111</v>
      </c>
      <c r="H5" s="36" t="s">
        <v>42</v>
      </c>
    </row>
    <row r="6" spans="2:10" ht="51.6" customHeight="1" x14ac:dyDescent="0.25">
      <c r="B6" s="25" t="s">
        <v>70</v>
      </c>
      <c r="E6" s="28" t="s">
        <v>12</v>
      </c>
      <c r="F6" s="28" t="s">
        <v>11</v>
      </c>
      <c r="G6" s="28" t="s">
        <v>49</v>
      </c>
      <c r="H6" s="28" t="s">
        <v>33</v>
      </c>
    </row>
    <row r="7" spans="2:10" ht="25.5" x14ac:dyDescent="0.25">
      <c r="B7" s="25" t="s">
        <v>71</v>
      </c>
      <c r="E7" s="28" t="s">
        <v>139</v>
      </c>
      <c r="F7" s="28" t="s">
        <v>11</v>
      </c>
      <c r="G7" s="28" t="s">
        <v>140</v>
      </c>
      <c r="H7" s="28" t="s">
        <v>141</v>
      </c>
    </row>
    <row r="8" spans="2:10" ht="105.6" customHeight="1" x14ac:dyDescent="0.25">
      <c r="B8" s="25" t="s">
        <v>72</v>
      </c>
      <c r="E8" s="28" t="s">
        <v>59</v>
      </c>
      <c r="F8" s="28" t="s">
        <v>11</v>
      </c>
      <c r="G8" s="28" t="s">
        <v>143</v>
      </c>
      <c r="H8" s="28" t="s">
        <v>61</v>
      </c>
    </row>
    <row r="9" spans="2:10" ht="124.9" customHeight="1" x14ac:dyDescent="0.25">
      <c r="B9" s="25" t="s">
        <v>73</v>
      </c>
      <c r="E9" s="28" t="s">
        <v>60</v>
      </c>
      <c r="F9" s="28" t="s">
        <v>11</v>
      </c>
      <c r="G9" s="28" t="s">
        <v>144</v>
      </c>
      <c r="H9" s="28" t="s">
        <v>61</v>
      </c>
    </row>
    <row r="10" spans="2:10" ht="69.599999999999994" customHeight="1" x14ac:dyDescent="0.25">
      <c r="B10" s="25" t="s">
        <v>74</v>
      </c>
      <c r="E10" s="28" t="s">
        <v>134</v>
      </c>
      <c r="F10" s="28" t="s">
        <v>11</v>
      </c>
      <c r="G10" s="28" t="s">
        <v>135</v>
      </c>
      <c r="H10" s="28" t="s">
        <v>136</v>
      </c>
    </row>
    <row r="11" spans="2:10" ht="76.5" x14ac:dyDescent="0.25">
      <c r="B11" s="25" t="s">
        <v>75</v>
      </c>
      <c r="E11" s="36" t="s">
        <v>116</v>
      </c>
      <c r="F11" s="36" t="s">
        <v>11</v>
      </c>
      <c r="G11" s="36" t="s">
        <v>117</v>
      </c>
      <c r="H11" s="36" t="s">
        <v>118</v>
      </c>
    </row>
    <row r="12" spans="2:10" ht="63.75" x14ac:dyDescent="0.25">
      <c r="B12" s="25" t="s">
        <v>76</v>
      </c>
      <c r="E12" s="36" t="s">
        <v>137</v>
      </c>
      <c r="F12" s="36" t="s">
        <v>11</v>
      </c>
      <c r="G12" s="36" t="s">
        <v>138</v>
      </c>
      <c r="H12" s="36" t="s">
        <v>42</v>
      </c>
    </row>
    <row r="13" spans="2:10" ht="114.75" x14ac:dyDescent="0.25">
      <c r="B13" s="25" t="s">
        <v>77</v>
      </c>
      <c r="E13" s="28" t="s">
        <v>102</v>
      </c>
      <c r="F13" s="28" t="s">
        <v>13</v>
      </c>
      <c r="G13" s="38" t="s">
        <v>114</v>
      </c>
      <c r="H13" s="28" t="s">
        <v>42</v>
      </c>
    </row>
    <row r="14" spans="2:10" ht="153" x14ac:dyDescent="0.25">
      <c r="B14" s="37"/>
      <c r="E14" s="28" t="s">
        <v>103</v>
      </c>
      <c r="F14" s="28" t="s">
        <v>13</v>
      </c>
      <c r="G14" s="28" t="s">
        <v>95</v>
      </c>
      <c r="H14" s="28" t="s">
        <v>42</v>
      </c>
    </row>
    <row r="15" spans="2:10" ht="127.5" x14ac:dyDescent="0.25">
      <c r="B15" s="37"/>
      <c r="E15" s="28" t="s">
        <v>101</v>
      </c>
      <c r="F15" s="28" t="s">
        <v>13</v>
      </c>
      <c r="G15" s="28" t="s">
        <v>97</v>
      </c>
      <c r="H15" s="28" t="s">
        <v>96</v>
      </c>
    </row>
    <row r="16" spans="2:10" ht="127.5" x14ac:dyDescent="0.25">
      <c r="B16" s="37"/>
      <c r="E16" s="28" t="s">
        <v>58</v>
      </c>
      <c r="F16" s="28" t="s">
        <v>13</v>
      </c>
      <c r="G16" s="28" t="s">
        <v>98</v>
      </c>
      <c r="H16" s="28" t="s">
        <v>55</v>
      </c>
    </row>
    <row r="17" spans="2:8" ht="153" x14ac:dyDescent="0.25">
      <c r="B17" s="37"/>
      <c r="E17" s="28" t="s">
        <v>18</v>
      </c>
      <c r="F17" s="28" t="s">
        <v>13</v>
      </c>
      <c r="G17" s="28" t="s">
        <v>99</v>
      </c>
      <c r="H17" s="28" t="s">
        <v>42</v>
      </c>
    </row>
    <row r="18" spans="2:8" ht="115.9" customHeight="1" x14ac:dyDescent="0.25">
      <c r="B18" s="37"/>
      <c r="E18" s="28" t="s">
        <v>14</v>
      </c>
      <c r="F18" s="28" t="s">
        <v>13</v>
      </c>
      <c r="G18" s="28" t="s">
        <v>149</v>
      </c>
      <c r="H18" s="28" t="s">
        <v>108</v>
      </c>
    </row>
    <row r="19" spans="2:8" ht="115.9" customHeight="1" x14ac:dyDescent="0.25">
      <c r="B19" s="37"/>
      <c r="E19" s="36" t="s">
        <v>109</v>
      </c>
      <c r="F19" s="28" t="s">
        <v>110</v>
      </c>
      <c r="G19" s="36" t="s">
        <v>150</v>
      </c>
      <c r="H19" s="36" t="s">
        <v>42</v>
      </c>
    </row>
    <row r="20" spans="2:8" ht="71.45" customHeight="1" x14ac:dyDescent="0.25">
      <c r="B20" s="37"/>
      <c r="E20" s="28" t="s">
        <v>145</v>
      </c>
      <c r="F20" s="28" t="s">
        <v>110</v>
      </c>
      <c r="G20" s="28" t="s">
        <v>146</v>
      </c>
      <c r="H20" s="28" t="s">
        <v>106</v>
      </c>
    </row>
    <row r="21" spans="2:8" ht="90" customHeight="1" x14ac:dyDescent="0.25">
      <c r="B21" s="37"/>
      <c r="E21" s="28" t="s">
        <v>148</v>
      </c>
      <c r="F21" s="28" t="s">
        <v>110</v>
      </c>
      <c r="G21" s="28" t="s">
        <v>147</v>
      </c>
      <c r="H21" s="28" t="s">
        <v>106</v>
      </c>
    </row>
    <row r="22" spans="2:8" ht="102" x14ac:dyDescent="0.25">
      <c r="B22" s="37"/>
      <c r="E22" s="28" t="s">
        <v>151</v>
      </c>
      <c r="F22" s="28" t="s">
        <v>110</v>
      </c>
      <c r="G22" s="28" t="s">
        <v>152</v>
      </c>
      <c r="H22" s="28" t="s">
        <v>106</v>
      </c>
    </row>
    <row r="23" spans="2:8" ht="51" x14ac:dyDescent="0.25">
      <c r="B23" s="37"/>
      <c r="E23" s="28" t="s">
        <v>155</v>
      </c>
      <c r="F23" s="28" t="s">
        <v>110</v>
      </c>
      <c r="G23" s="28" t="s">
        <v>156</v>
      </c>
      <c r="H23" s="28" t="s">
        <v>106</v>
      </c>
    </row>
    <row r="24" spans="2:8" ht="61.9" customHeight="1" x14ac:dyDescent="0.25">
      <c r="B24" s="37"/>
      <c r="E24" s="36" t="s">
        <v>62</v>
      </c>
      <c r="F24" s="36" t="s">
        <v>110</v>
      </c>
      <c r="G24" s="36" t="s">
        <v>104</v>
      </c>
      <c r="H24" s="36" t="s">
        <v>64</v>
      </c>
    </row>
    <row r="25" spans="2:8" ht="165.75" x14ac:dyDescent="0.25">
      <c r="B25" s="37"/>
      <c r="E25" s="36" t="s">
        <v>63</v>
      </c>
      <c r="F25" s="36" t="s">
        <v>110</v>
      </c>
      <c r="G25" s="36" t="s">
        <v>107</v>
      </c>
      <c r="H25" s="36" t="s">
        <v>65</v>
      </c>
    </row>
    <row r="26" spans="2:8" ht="44.45" customHeight="1" x14ac:dyDescent="0.25">
      <c r="B26" s="37"/>
      <c r="E26" s="36" t="s">
        <v>15</v>
      </c>
      <c r="F26" s="36" t="s">
        <v>17</v>
      </c>
      <c r="G26" s="36" t="s">
        <v>100</v>
      </c>
      <c r="H26" s="36" t="s">
        <v>57</v>
      </c>
    </row>
    <row r="27" spans="2:8" ht="54.6" customHeight="1" x14ac:dyDescent="0.25">
      <c r="B27" s="37"/>
      <c r="E27" s="36" t="s">
        <v>122</v>
      </c>
      <c r="F27" s="36" t="s">
        <v>17</v>
      </c>
      <c r="G27" s="36" t="s">
        <v>126</v>
      </c>
      <c r="H27" s="36" t="s">
        <v>124</v>
      </c>
    </row>
    <row r="28" spans="2:8" ht="38.25" x14ac:dyDescent="0.25">
      <c r="B28" s="37"/>
      <c r="E28" s="36" t="s">
        <v>119</v>
      </c>
      <c r="F28" s="36" t="s">
        <v>17</v>
      </c>
      <c r="G28" s="36" t="s">
        <v>120</v>
      </c>
      <c r="H28" s="36" t="s">
        <v>121</v>
      </c>
    </row>
    <row r="29" spans="2:8" ht="69.599999999999994" customHeight="1" x14ac:dyDescent="0.25">
      <c r="B29" s="37"/>
      <c r="E29" s="36" t="s">
        <v>123</v>
      </c>
      <c r="F29" s="36" t="s">
        <v>17</v>
      </c>
      <c r="G29" s="36" t="s">
        <v>125</v>
      </c>
      <c r="H29" s="36" t="s">
        <v>124</v>
      </c>
    </row>
    <row r="30" spans="2:8" ht="38.25" x14ac:dyDescent="0.25">
      <c r="B30" s="37"/>
      <c r="E30" s="36" t="s">
        <v>127</v>
      </c>
      <c r="F30" s="36" t="s">
        <v>129</v>
      </c>
      <c r="G30" s="36" t="s">
        <v>130</v>
      </c>
      <c r="H30" s="36" t="s">
        <v>131</v>
      </c>
    </row>
    <row r="31" spans="2:8" ht="51" x14ac:dyDescent="0.25">
      <c r="B31" s="37"/>
      <c r="E31" s="28" t="s">
        <v>112</v>
      </c>
      <c r="F31" s="28" t="s">
        <v>16</v>
      </c>
      <c r="G31" s="28" t="s">
        <v>46</v>
      </c>
      <c r="H31" s="28" t="s">
        <v>47</v>
      </c>
    </row>
    <row r="32" spans="2:8" ht="38.25" x14ac:dyDescent="0.25">
      <c r="B32" s="37"/>
      <c r="E32" s="28" t="s">
        <v>113</v>
      </c>
      <c r="F32" s="28" t="s">
        <v>16</v>
      </c>
      <c r="G32" s="28" t="s">
        <v>48</v>
      </c>
      <c r="H32" s="28" t="s">
        <v>34</v>
      </c>
    </row>
    <row r="33" spans="2:8" ht="38.25" x14ac:dyDescent="0.25">
      <c r="B33" s="37"/>
      <c r="E33" s="36" t="s">
        <v>128</v>
      </c>
      <c r="F33" s="36" t="s">
        <v>132</v>
      </c>
      <c r="G33" s="36" t="s">
        <v>133</v>
      </c>
      <c r="H33" s="36" t="s">
        <v>131</v>
      </c>
    </row>
    <row r="34" spans="2:8" x14ac:dyDescent="0.25">
      <c r="B34" s="37"/>
    </row>
    <row r="35" spans="2:8" x14ac:dyDescent="0.25">
      <c r="B35" s="37"/>
    </row>
    <row r="36" spans="2:8" x14ac:dyDescent="0.25">
      <c r="B36" s="26"/>
    </row>
    <row r="37" spans="2:8" x14ac:dyDescent="0.25">
      <c r="B37" s="26"/>
      <c r="F37" s="27"/>
    </row>
    <row r="38" spans="2:8" x14ac:dyDescent="0.25">
      <c r="B38" s="26"/>
    </row>
    <row r="39" spans="2:8" x14ac:dyDescent="0.25">
      <c r="B39" s="26"/>
    </row>
    <row r="40" spans="2:8" x14ac:dyDescent="0.25">
      <c r="B40" s="26"/>
    </row>
    <row r="41" spans="2:8" ht="13.5" thickBot="1" x14ac:dyDescent="0.3"/>
    <row r="42" spans="2:8" ht="13.5" thickBot="1" x14ac:dyDescent="0.3">
      <c r="B42" s="32" t="s">
        <v>19</v>
      </c>
      <c r="C42" s="33" t="s">
        <v>4</v>
      </c>
    </row>
    <row r="43" spans="2:8" x14ac:dyDescent="0.25">
      <c r="B43" s="28" t="s">
        <v>80</v>
      </c>
      <c r="C43" s="34" t="s">
        <v>80</v>
      </c>
    </row>
    <row r="44" spans="2:8" x14ac:dyDescent="0.25">
      <c r="B44" s="28" t="s">
        <v>78</v>
      </c>
      <c r="C44" s="34" t="s">
        <v>80</v>
      </c>
    </row>
    <row r="45" spans="2:8" x14ac:dyDescent="0.25">
      <c r="B45" s="28" t="s">
        <v>81</v>
      </c>
      <c r="C45" s="34" t="s">
        <v>93</v>
      </c>
    </row>
    <row r="46" spans="2:8" x14ac:dyDescent="0.25">
      <c r="B46" s="28" t="s">
        <v>85</v>
      </c>
      <c r="C46" s="34" t="s">
        <v>93</v>
      </c>
    </row>
    <row r="47" spans="2:8" x14ac:dyDescent="0.25">
      <c r="B47" s="28" t="s">
        <v>84</v>
      </c>
      <c r="C47" s="34" t="s">
        <v>93</v>
      </c>
    </row>
    <row r="48" spans="2:8" x14ac:dyDescent="0.25">
      <c r="B48" s="28" t="s">
        <v>83</v>
      </c>
      <c r="C48" s="34" t="s">
        <v>93</v>
      </c>
    </row>
    <row r="49" spans="2:3" x14ac:dyDescent="0.25">
      <c r="B49" s="28" t="s">
        <v>82</v>
      </c>
      <c r="C49" s="34" t="s">
        <v>93</v>
      </c>
    </row>
    <row r="50" spans="2:3" x14ac:dyDescent="0.25">
      <c r="B50" s="28" t="s">
        <v>88</v>
      </c>
      <c r="C50" s="34" t="s">
        <v>92</v>
      </c>
    </row>
    <row r="51" spans="2:3" x14ac:dyDescent="0.25">
      <c r="B51" s="28" t="s">
        <v>79</v>
      </c>
      <c r="C51" s="34" t="s">
        <v>92</v>
      </c>
    </row>
    <row r="52" spans="2:3" x14ac:dyDescent="0.25">
      <c r="B52" s="28" t="s">
        <v>86</v>
      </c>
      <c r="C52" s="34" t="s">
        <v>92</v>
      </c>
    </row>
    <row r="53" spans="2:3" x14ac:dyDescent="0.25">
      <c r="B53" s="28" t="s">
        <v>87</v>
      </c>
      <c r="C53" s="34" t="s">
        <v>92</v>
      </c>
    </row>
    <row r="54" spans="2:3" x14ac:dyDescent="0.25">
      <c r="B54" s="28" t="s">
        <v>89</v>
      </c>
      <c r="C54" s="34" t="s">
        <v>94</v>
      </c>
    </row>
    <row r="55" spans="2:3" x14ac:dyDescent="0.25">
      <c r="B55" s="28" t="s">
        <v>90</v>
      </c>
      <c r="C55" s="34" t="s">
        <v>94</v>
      </c>
    </row>
    <row r="56" spans="2:3" x14ac:dyDescent="0.25">
      <c r="B56" s="28" t="s">
        <v>91</v>
      </c>
      <c r="C56" s="34" t="s">
        <v>91</v>
      </c>
    </row>
    <row r="57" spans="2:3" x14ac:dyDescent="0.25">
      <c r="B57" s="28"/>
      <c r="C57" s="34"/>
    </row>
    <row r="58" spans="2:3" x14ac:dyDescent="0.25">
      <c r="B58" s="28"/>
      <c r="C58" s="34"/>
    </row>
    <row r="59" spans="2:3" x14ac:dyDescent="0.25">
      <c r="B59" s="28"/>
      <c r="C59" s="34"/>
    </row>
    <row r="64" spans="2:3" x14ac:dyDescent="0.25">
      <c r="B64" s="35"/>
    </row>
    <row r="67" spans="2:2" x14ac:dyDescent="0.25">
      <c r="B67" s="35"/>
    </row>
    <row r="68" spans="2:2" x14ac:dyDescent="0.25">
      <c r="B68" s="35"/>
    </row>
    <row r="69" spans="2:2" x14ac:dyDescent="0.25">
      <c r="B69" s="35"/>
    </row>
  </sheetData>
  <sheetProtection sheet="1" objects="1" scenarios="1" formatCells="0" formatColumns="0"/>
  <autoFilter ref="B2:C37">
    <sortState ref="B3:C37">
      <sortCondition ref="B2:B37"/>
    </sortState>
  </autoFilter>
  <sortState ref="B43:C56">
    <sortCondition ref="C43:C56"/>
    <sortCondition ref="B43:B56"/>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2311300-FT-028</vt:lpstr>
      <vt:lpstr>Lista Deplegable</vt:lpstr>
      <vt:lpstr>'2311300-FT-028'!Área_de_impresión</vt:lpstr>
      <vt:lpstr>nivel</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Magda Ibeth Cuervo Cepeda</dc:creator>
  <cp:lastModifiedBy>Maria Teresa Valderrama Pereira</cp:lastModifiedBy>
  <cp:lastPrinted>2026-07-16T17:11:45Z</cp:lastPrinted>
  <dcterms:created xsi:type="dcterms:W3CDTF">2018-04-24T20:51:11Z</dcterms:created>
  <dcterms:modified xsi:type="dcterms:W3CDTF">2026-07-29T20:04:02Z</dcterms:modified>
</cp:coreProperties>
</file>