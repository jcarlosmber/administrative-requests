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3.xml" ContentType="application/vnd.openxmlformats-officedocument.spreadsheetml.comments+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Unidades compartidas\NOMINA-PARES\Planta de Personal\PLANTA 2026\OCTUBRE\"/>
    </mc:Choice>
  </mc:AlternateContent>
  <xr:revisionPtr revIDLastSave="0" documentId="13_ncr:1_{B123F7AE-22DC-4E71-892F-3990B88DFA5C}" xr6:coauthVersionLast="47" xr6:coauthVersionMax="47" xr10:uidLastSave="{00000000-0000-0000-0000-000000000000}"/>
  <bookViews>
    <workbookView xWindow="-120" yWindow="-120" windowWidth="29040" windowHeight="15720" activeTab="5" xr2:uid="{00000000-000D-0000-FFFF-FFFF00000000}"/>
  </bookViews>
  <sheets>
    <sheet name="Hoja4 (2)" sheetId="1" r:id="rId1"/>
    <sheet name="PLANTA INICIAL" sheetId="2" state="hidden" r:id="rId2"/>
    <sheet name="PLANTA INICIAL (2)" sheetId="3" state="hidden" r:id="rId3"/>
    <sheet name="ESCALERAS" sheetId="4" state="hidden" r:id="rId4"/>
    <sheet name="Hoja4" sheetId="5" state="hidden" r:id="rId5"/>
    <sheet name="PLANTA SJD" sheetId="6" r:id="rId6"/>
    <sheet name="ESTADO FUNCIONAL DE LA PLANTA" sheetId="7" state="hidden" r:id="rId7"/>
    <sheet name="PLANTA SJD (2)" sheetId="8" state="hidden" r:id="rId8"/>
    <sheet name="PLANTA PERNO" sheetId="9" r:id="rId9"/>
    <sheet name="Hoja3" sheetId="10" r:id="rId10"/>
    <sheet name="datos" sheetId="11" r:id="rId11"/>
    <sheet name="PORCENTAJES FACTORES" sheetId="12" r:id="rId12"/>
    <sheet name="SIDEAP" sheetId="13" r:id="rId13"/>
    <sheet name="ESCALA SALRIAL" sheetId="14" state="hidden" r:id="rId14"/>
    <sheet name="Hoja2" sheetId="15" state="hidden" r:id="rId15"/>
    <sheet name="Hoja1" sheetId="16" state="hidden" r:id="rId16"/>
  </sheets>
  <definedNames>
    <definedName name="_xlnm._FilterDatabase" localSheetId="13" hidden="1">'ESCALA SALRIAL'!$A$1:$AB$48</definedName>
    <definedName name="_xlnm._FilterDatabase" localSheetId="1" hidden="1">'PLANTA INICIAL'!$A$1:$AI$171</definedName>
    <definedName name="_xlnm._FilterDatabase" localSheetId="2" hidden="1">'PLANTA INICIAL (2)'!$A$1:$AL$171</definedName>
    <definedName name="_xlnm._FilterDatabase" localSheetId="5" hidden="1">'PLANTA SJD'!$A$4:$BQ$189</definedName>
    <definedName name="_xlnm._FilterDatabase" localSheetId="7" hidden="1">'PLANTA SJD (2)'!$A$4:$BS$178</definedName>
    <definedName name="_xlnm._FilterDatabase" localSheetId="11" hidden="1">'PORCENTAJES FACTORES'!$A$1:$N$156</definedName>
    <definedName name="_xlnm._FilterDatabase" localSheetId="12" hidden="1">SIDEAP!$A$1:$G$1</definedName>
    <definedName name="BASE_PORCENTAJES">'PORCENTAJES FACTORES'!$B$1:$N$981</definedName>
    <definedName name="DTS" localSheetId="0">#REF!</definedName>
    <definedName name="DTS" localSheetId="2">#REF!</definedName>
    <definedName name="DTS" localSheetId="7">#REF!</definedName>
    <definedName name="DTS">#REF!</definedName>
    <definedName name="PLANTA_PERNO">'PLANTA PERNO'!$A$9:$AP$828</definedName>
    <definedName name="PLANTA_PERSONAL_SJD" localSheetId="7">'PLANTA SJD (2)'!$A$4:$AR$174</definedName>
    <definedName name="PLANTA_PERSONAL_SJD">'PLANTA SJD'!$A$4:$AP$174</definedName>
  </definedNames>
  <calcPr calcId="191029" iterate="1"/>
  <pivotCaches>
    <pivotCache cacheId="7" r:id="rId17"/>
    <pivotCache cacheId="11" r:id="rId18"/>
    <pivotCache cacheId="15" r:id="rId19"/>
    <pivotCache cacheId="19" r:id="rId2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4" roundtripDataChecksum="FI5rFatkPCJ1aupfVmlHNaaUcIFVcaHrHnzWSSeQ3eI="/>
    </ext>
  </extLst>
</workbook>
</file>

<file path=xl/calcChain.xml><?xml version="1.0" encoding="utf-8"?>
<calcChain xmlns="http://schemas.openxmlformats.org/spreadsheetml/2006/main">
  <c r="D21" i="16" l="1"/>
  <c r="C21" i="16"/>
  <c r="B21" i="16"/>
  <c r="D7" i="15"/>
  <c r="D48" i="14"/>
  <c r="G48" i="14" s="1"/>
  <c r="C48" i="14"/>
  <c r="H48" i="14" s="1"/>
  <c r="I48" i="14" s="1"/>
  <c r="H47" i="14"/>
  <c r="I47" i="14" s="1"/>
  <c r="D47" i="14"/>
  <c r="G47" i="14" s="1"/>
  <c r="C47" i="14"/>
  <c r="H46" i="14"/>
  <c r="I46" i="14" s="1"/>
  <c r="D46" i="14"/>
  <c r="G46" i="14" s="1"/>
  <c r="C46" i="14"/>
  <c r="D45" i="14"/>
  <c r="G45" i="14" s="1"/>
  <c r="C45" i="14"/>
  <c r="H45" i="14" s="1"/>
  <c r="I45" i="14" s="1"/>
  <c r="D44" i="14"/>
  <c r="G44" i="14" s="1"/>
  <c r="C44" i="14"/>
  <c r="H44" i="14" s="1"/>
  <c r="I44" i="14" s="1"/>
  <c r="H43" i="14"/>
  <c r="I43" i="14" s="1"/>
  <c r="G43" i="14"/>
  <c r="D43" i="14"/>
  <c r="C43" i="14"/>
  <c r="G42" i="14"/>
  <c r="D42" i="14"/>
  <c r="C42" i="14"/>
  <c r="H42" i="14" s="1"/>
  <c r="I42" i="14" s="1"/>
  <c r="G41" i="14"/>
  <c r="D41" i="14"/>
  <c r="C41" i="14"/>
  <c r="H41" i="14" s="1"/>
  <c r="I41" i="14" s="1"/>
  <c r="G40" i="14"/>
  <c r="D40" i="14"/>
  <c r="C40" i="14"/>
  <c r="H40" i="14" s="1"/>
  <c r="I40" i="14" s="1"/>
  <c r="G39" i="14"/>
  <c r="D39" i="14"/>
  <c r="C39" i="14"/>
  <c r="H39" i="14" s="1"/>
  <c r="I39" i="14" s="1"/>
  <c r="I38" i="14"/>
  <c r="H38" i="14"/>
  <c r="D38" i="14"/>
  <c r="G38" i="14" s="1"/>
  <c r="C38" i="14"/>
  <c r="D37" i="14"/>
  <c r="G37" i="14" s="1"/>
  <c r="C37" i="14"/>
  <c r="H37" i="14" s="1"/>
  <c r="I37" i="14" s="1"/>
  <c r="D36" i="14"/>
  <c r="G36" i="14" s="1"/>
  <c r="C36" i="14"/>
  <c r="H36" i="14" s="1"/>
  <c r="I36" i="14" s="1"/>
  <c r="H35" i="14"/>
  <c r="I35" i="14" s="1"/>
  <c r="G35" i="14"/>
  <c r="D35" i="14"/>
  <c r="C35" i="14"/>
  <c r="G34" i="14"/>
  <c r="D34" i="14"/>
  <c r="C34" i="14"/>
  <c r="H34" i="14" s="1"/>
  <c r="I34" i="14" s="1"/>
  <c r="G33" i="14"/>
  <c r="D33" i="14"/>
  <c r="C33" i="14"/>
  <c r="H33" i="14" s="1"/>
  <c r="I33" i="14" s="1"/>
  <c r="G32" i="14"/>
  <c r="D32" i="14"/>
  <c r="C32" i="14"/>
  <c r="H32" i="14" s="1"/>
  <c r="I32" i="14" s="1"/>
  <c r="H31" i="14"/>
  <c r="I31" i="14" s="1"/>
  <c r="G31" i="14"/>
  <c r="D31" i="14"/>
  <c r="C31" i="14"/>
  <c r="I30" i="14"/>
  <c r="H30" i="14"/>
  <c r="D30" i="14"/>
  <c r="G30" i="14" s="1"/>
  <c r="C30" i="14"/>
  <c r="D29" i="14"/>
  <c r="G29" i="14" s="1"/>
  <c r="C29" i="14"/>
  <c r="H29" i="14" s="1"/>
  <c r="I29" i="14" s="1"/>
  <c r="G28" i="14"/>
  <c r="D28" i="14"/>
  <c r="C28" i="14"/>
  <c r="H28" i="14" s="1"/>
  <c r="I28" i="14" s="1"/>
  <c r="I27" i="14"/>
  <c r="H27" i="14"/>
  <c r="D27" i="14"/>
  <c r="G27" i="14" s="1"/>
  <c r="C27" i="14"/>
  <c r="J26" i="14"/>
  <c r="J27" i="14" s="1"/>
  <c r="G26" i="14"/>
  <c r="D26" i="14"/>
  <c r="C26" i="14"/>
  <c r="H26" i="14" s="1"/>
  <c r="I26" i="14" s="1"/>
  <c r="H25" i="14"/>
  <c r="I25" i="14" s="1"/>
  <c r="G25" i="14"/>
  <c r="D25" i="14"/>
  <c r="C25" i="14"/>
  <c r="J24" i="14"/>
  <c r="D24" i="14"/>
  <c r="G24" i="14" s="1"/>
  <c r="C24" i="14"/>
  <c r="H24" i="14" s="1"/>
  <c r="I24" i="14" s="1"/>
  <c r="J23" i="14"/>
  <c r="J22" i="14" s="1"/>
  <c r="H23" i="14"/>
  <c r="I23" i="14" s="1"/>
  <c r="G23" i="14"/>
  <c r="C23" i="14"/>
  <c r="H22" i="14"/>
  <c r="I22" i="14" s="1"/>
  <c r="G22" i="14"/>
  <c r="C22" i="14"/>
  <c r="I21" i="14"/>
  <c r="H21" i="14"/>
  <c r="D21" i="14"/>
  <c r="G21" i="14" s="1"/>
  <c r="C21" i="14"/>
  <c r="D20" i="14"/>
  <c r="G20" i="14" s="1"/>
  <c r="C20" i="14"/>
  <c r="H20" i="14" s="1"/>
  <c r="I20" i="14" s="1"/>
  <c r="D19" i="14"/>
  <c r="G19" i="14" s="1"/>
  <c r="C19" i="14"/>
  <c r="H19" i="14" s="1"/>
  <c r="I19" i="14" s="1"/>
  <c r="H18" i="14"/>
  <c r="I18" i="14" s="1"/>
  <c r="G18" i="14"/>
  <c r="D18" i="14"/>
  <c r="C18" i="14"/>
  <c r="G17" i="14"/>
  <c r="D17" i="14"/>
  <c r="C17" i="14"/>
  <c r="H17" i="14" s="1"/>
  <c r="I17" i="14" s="1"/>
  <c r="D16" i="14"/>
  <c r="G16" i="14" s="1"/>
  <c r="C16" i="14"/>
  <c r="H16" i="14" s="1"/>
  <c r="I16" i="14" s="1"/>
  <c r="G15" i="14"/>
  <c r="D15" i="14"/>
  <c r="D51" i="14" s="1"/>
  <c r="C15" i="14"/>
  <c r="H15" i="14" s="1"/>
  <c r="I15" i="14" s="1"/>
  <c r="H14" i="14"/>
  <c r="I14" i="14" s="1"/>
  <c r="G14" i="14"/>
  <c r="D14" i="14"/>
  <c r="C14" i="14"/>
  <c r="I13" i="14"/>
  <c r="H13" i="14"/>
  <c r="D13" i="14"/>
  <c r="G13" i="14" s="1"/>
  <c r="C13" i="14"/>
  <c r="D12" i="14"/>
  <c r="G12" i="14" s="1"/>
  <c r="C12" i="14"/>
  <c r="H12" i="14" s="1"/>
  <c r="I12" i="14" s="1"/>
  <c r="D11" i="14"/>
  <c r="G11" i="14" s="1"/>
  <c r="C11" i="14"/>
  <c r="H11" i="14" s="1"/>
  <c r="I11" i="14" s="1"/>
  <c r="H10" i="14"/>
  <c r="I10" i="14" s="1"/>
  <c r="G10" i="14"/>
  <c r="D10" i="14"/>
  <c r="C10" i="14"/>
  <c r="G9" i="14"/>
  <c r="D9" i="14"/>
  <c r="C9" i="14"/>
  <c r="H9" i="14" s="1"/>
  <c r="I9" i="14" s="1"/>
  <c r="D8" i="14"/>
  <c r="G8" i="14" s="1"/>
  <c r="C8" i="14"/>
  <c r="H8" i="14" s="1"/>
  <c r="I8" i="14" s="1"/>
  <c r="G7" i="14"/>
  <c r="D7" i="14"/>
  <c r="C7" i="14"/>
  <c r="H7" i="14" s="1"/>
  <c r="I7" i="14" s="1"/>
  <c r="H6" i="14"/>
  <c r="I6" i="14" s="1"/>
  <c r="G6" i="14"/>
  <c r="D6" i="14"/>
  <c r="C6" i="14"/>
  <c r="I5" i="14"/>
  <c r="H5" i="14"/>
  <c r="D5" i="14"/>
  <c r="G5" i="14" s="1"/>
  <c r="C5" i="14"/>
  <c r="D4" i="14"/>
  <c r="G4" i="14" s="1"/>
  <c r="C4" i="14"/>
  <c r="H4" i="14" s="1"/>
  <c r="I4" i="14" s="1"/>
  <c r="D3" i="14"/>
  <c r="G3" i="14" s="1"/>
  <c r="C3" i="14"/>
  <c r="H3" i="14" s="1"/>
  <c r="I3" i="14" s="1"/>
  <c r="H2" i="14"/>
  <c r="I2" i="14" s="1"/>
  <c r="G2" i="14"/>
  <c r="D2" i="14"/>
  <c r="C2" i="14"/>
  <c r="E171" i="13"/>
  <c r="G171" i="13" s="1"/>
  <c r="E170" i="13"/>
  <c r="G170" i="13" s="1"/>
  <c r="E169" i="13"/>
  <c r="G169" i="13" s="1"/>
  <c r="E168" i="13"/>
  <c r="G168" i="13" s="1"/>
  <c r="E167" i="13"/>
  <c r="G167" i="13" s="1"/>
  <c r="E166" i="13"/>
  <c r="G166" i="13" s="1"/>
  <c r="E165" i="13"/>
  <c r="G165" i="13" s="1"/>
  <c r="E164" i="13"/>
  <c r="G164" i="13" s="1"/>
  <c r="E163" i="13"/>
  <c r="G163" i="13" s="1"/>
  <c r="E162" i="13"/>
  <c r="G162" i="13" s="1"/>
  <c r="E161" i="13"/>
  <c r="E160" i="13"/>
  <c r="G160" i="13" s="1"/>
  <c r="E159" i="13"/>
  <c r="G159" i="13" s="1"/>
  <c r="E158" i="13"/>
  <c r="G158" i="13" s="1"/>
  <c r="E157" i="13"/>
  <c r="G157" i="13" s="1"/>
  <c r="E156" i="13"/>
  <c r="G156" i="13" s="1"/>
  <c r="E155" i="13"/>
  <c r="G155" i="13" s="1"/>
  <c r="E154" i="13"/>
  <c r="G154" i="13" s="1"/>
  <c r="E153" i="13"/>
  <c r="E152" i="13"/>
  <c r="G152" i="13" s="1"/>
  <c r="E151" i="13"/>
  <c r="G151" i="13" s="1"/>
  <c r="E150" i="13"/>
  <c r="G150" i="13" s="1"/>
  <c r="E149" i="13"/>
  <c r="G149" i="13" s="1"/>
  <c r="E148" i="13"/>
  <c r="G148" i="13" s="1"/>
  <c r="E147" i="13"/>
  <c r="G147" i="13" s="1"/>
  <c r="E146" i="13"/>
  <c r="G146" i="13" s="1"/>
  <c r="E145" i="13"/>
  <c r="E144" i="13"/>
  <c r="G144" i="13" s="1"/>
  <c r="E143" i="13"/>
  <c r="G143" i="13" s="1"/>
  <c r="E142" i="13"/>
  <c r="G142" i="13" s="1"/>
  <c r="E141" i="13"/>
  <c r="G141" i="13" s="1"/>
  <c r="E140" i="13"/>
  <c r="G140" i="13" s="1"/>
  <c r="E139" i="13"/>
  <c r="G139" i="13" s="1"/>
  <c r="E138" i="13"/>
  <c r="G138" i="13" s="1"/>
  <c r="E137" i="13"/>
  <c r="E136" i="13"/>
  <c r="G136" i="13" s="1"/>
  <c r="E135" i="13"/>
  <c r="G135" i="13" s="1"/>
  <c r="E134" i="13"/>
  <c r="G134" i="13" s="1"/>
  <c r="E133" i="13"/>
  <c r="G133" i="13" s="1"/>
  <c r="E132" i="13"/>
  <c r="G132" i="13" s="1"/>
  <c r="E131" i="13"/>
  <c r="G131" i="13" s="1"/>
  <c r="E130" i="13"/>
  <c r="G130" i="13" s="1"/>
  <c r="E129" i="13"/>
  <c r="E128" i="13"/>
  <c r="G128" i="13" s="1"/>
  <c r="E127" i="13"/>
  <c r="G127" i="13" s="1"/>
  <c r="E126" i="13"/>
  <c r="G126" i="13" s="1"/>
  <c r="E125" i="13"/>
  <c r="G125" i="13" s="1"/>
  <c r="E124" i="13"/>
  <c r="G124" i="13" s="1"/>
  <c r="E123" i="13"/>
  <c r="G123" i="13" s="1"/>
  <c r="E122" i="13"/>
  <c r="G122" i="13" s="1"/>
  <c r="E121" i="13"/>
  <c r="E120" i="13"/>
  <c r="G120" i="13" s="1"/>
  <c r="E119" i="13"/>
  <c r="G119" i="13" s="1"/>
  <c r="E118" i="13"/>
  <c r="G118" i="13" s="1"/>
  <c r="E117" i="13"/>
  <c r="G117" i="13" s="1"/>
  <c r="E116" i="13"/>
  <c r="G116" i="13" s="1"/>
  <c r="E115" i="13"/>
  <c r="G115" i="13" s="1"/>
  <c r="E114" i="13"/>
  <c r="G114" i="13" s="1"/>
  <c r="E113" i="13"/>
  <c r="E112" i="13"/>
  <c r="G112" i="13" s="1"/>
  <c r="E111" i="13"/>
  <c r="G111" i="13" s="1"/>
  <c r="E110" i="13"/>
  <c r="G110" i="13" s="1"/>
  <c r="E109" i="13"/>
  <c r="G109" i="13" s="1"/>
  <c r="E108" i="13"/>
  <c r="G108" i="13" s="1"/>
  <c r="E107" i="13"/>
  <c r="G107" i="13" s="1"/>
  <c r="E106" i="13"/>
  <c r="G106" i="13" s="1"/>
  <c r="E105" i="13"/>
  <c r="E104" i="13"/>
  <c r="G104" i="13" s="1"/>
  <c r="E103" i="13"/>
  <c r="G103" i="13" s="1"/>
  <c r="E102" i="13"/>
  <c r="G102" i="13" s="1"/>
  <c r="E101" i="13"/>
  <c r="G101" i="13" s="1"/>
  <c r="E100" i="13"/>
  <c r="G100" i="13" s="1"/>
  <c r="E99" i="13"/>
  <c r="G99" i="13" s="1"/>
  <c r="E98" i="13"/>
  <c r="G98" i="13" s="1"/>
  <c r="E97" i="13"/>
  <c r="E96" i="13"/>
  <c r="G96" i="13" s="1"/>
  <c r="E95" i="13"/>
  <c r="G95" i="13" s="1"/>
  <c r="E94" i="13"/>
  <c r="G94" i="13" s="1"/>
  <c r="E93" i="13"/>
  <c r="G93" i="13" s="1"/>
  <c r="E92" i="13"/>
  <c r="G92" i="13" s="1"/>
  <c r="E91" i="13"/>
  <c r="F91" i="13" s="1"/>
  <c r="E90" i="13"/>
  <c r="G90" i="13" s="1"/>
  <c r="E89" i="13"/>
  <c r="E88" i="13"/>
  <c r="G88" i="13" s="1"/>
  <c r="E87" i="13"/>
  <c r="G87" i="13" s="1"/>
  <c r="E86" i="13"/>
  <c r="G86" i="13" s="1"/>
  <c r="E85" i="13"/>
  <c r="G85" i="13" s="1"/>
  <c r="E84" i="13"/>
  <c r="G84" i="13" s="1"/>
  <c r="E83" i="13"/>
  <c r="G83" i="13" s="1"/>
  <c r="E82" i="13"/>
  <c r="G82" i="13" s="1"/>
  <c r="E81" i="13"/>
  <c r="E80" i="13"/>
  <c r="G80" i="13" s="1"/>
  <c r="E79" i="13"/>
  <c r="G79" i="13" s="1"/>
  <c r="E78" i="13"/>
  <c r="G78" i="13" s="1"/>
  <c r="E77" i="13"/>
  <c r="G77" i="13" s="1"/>
  <c r="E76" i="13"/>
  <c r="G76" i="13" s="1"/>
  <c r="E75" i="13"/>
  <c r="G75" i="13" s="1"/>
  <c r="E74" i="13"/>
  <c r="G74" i="13" s="1"/>
  <c r="E73" i="13"/>
  <c r="E72" i="13"/>
  <c r="G72" i="13" s="1"/>
  <c r="E71" i="13"/>
  <c r="G71" i="13" s="1"/>
  <c r="E70" i="13"/>
  <c r="G70" i="13" s="1"/>
  <c r="E69" i="13"/>
  <c r="G69" i="13" s="1"/>
  <c r="E68" i="13"/>
  <c r="G68" i="13" s="1"/>
  <c r="E67" i="13"/>
  <c r="G67" i="13" s="1"/>
  <c r="E66" i="13"/>
  <c r="G66" i="13" s="1"/>
  <c r="E65" i="13"/>
  <c r="E64" i="13"/>
  <c r="G64" i="13" s="1"/>
  <c r="E63" i="13"/>
  <c r="G63" i="13" s="1"/>
  <c r="E62" i="13"/>
  <c r="G62" i="13" s="1"/>
  <c r="E61" i="13"/>
  <c r="G61" i="13" s="1"/>
  <c r="E60" i="13"/>
  <c r="G60" i="13" s="1"/>
  <c r="E59" i="13"/>
  <c r="G59" i="13" s="1"/>
  <c r="E58" i="13"/>
  <c r="G58" i="13" s="1"/>
  <c r="E57" i="13"/>
  <c r="E56" i="13"/>
  <c r="G56" i="13" s="1"/>
  <c r="E55" i="13"/>
  <c r="G55" i="13" s="1"/>
  <c r="E54" i="13"/>
  <c r="G54" i="13" s="1"/>
  <c r="E53" i="13"/>
  <c r="G53" i="13" s="1"/>
  <c r="E52" i="13"/>
  <c r="G52" i="13" s="1"/>
  <c r="E51" i="13"/>
  <c r="G51" i="13" s="1"/>
  <c r="E50" i="13"/>
  <c r="G50" i="13" s="1"/>
  <c r="E49" i="13"/>
  <c r="E48" i="13"/>
  <c r="F48" i="13" s="1"/>
  <c r="E47" i="13"/>
  <c r="G47" i="13" s="1"/>
  <c r="E46" i="13"/>
  <c r="G46" i="13" s="1"/>
  <c r="E45" i="13"/>
  <c r="G45" i="13" s="1"/>
  <c r="E44" i="13"/>
  <c r="G44" i="13" s="1"/>
  <c r="E43" i="13"/>
  <c r="E42" i="13"/>
  <c r="G42" i="13" s="1"/>
  <c r="E41" i="13"/>
  <c r="E40" i="13"/>
  <c r="G40" i="13" s="1"/>
  <c r="E39" i="13"/>
  <c r="E38" i="13"/>
  <c r="G38" i="13" s="1"/>
  <c r="E37" i="13"/>
  <c r="G37" i="13" s="1"/>
  <c r="E36" i="13"/>
  <c r="G36" i="13" s="1"/>
  <c r="E35" i="13"/>
  <c r="E34" i="13"/>
  <c r="G34" i="13" s="1"/>
  <c r="E33" i="13"/>
  <c r="E32" i="13"/>
  <c r="G32" i="13" s="1"/>
  <c r="E31" i="13"/>
  <c r="E30" i="13"/>
  <c r="G30" i="13" s="1"/>
  <c r="E29" i="13"/>
  <c r="G29" i="13" s="1"/>
  <c r="E28" i="13"/>
  <c r="G28" i="13" s="1"/>
  <c r="E27" i="13"/>
  <c r="E26" i="13"/>
  <c r="G26" i="13" s="1"/>
  <c r="E25" i="13"/>
  <c r="E24" i="13"/>
  <c r="G24" i="13" s="1"/>
  <c r="E23" i="13"/>
  <c r="E22" i="13"/>
  <c r="G22" i="13" s="1"/>
  <c r="E21" i="13"/>
  <c r="E20" i="13"/>
  <c r="G20" i="13" s="1"/>
  <c r="E19" i="13"/>
  <c r="E18" i="13"/>
  <c r="G18" i="13" s="1"/>
  <c r="E17" i="13"/>
  <c r="E16" i="13"/>
  <c r="G16" i="13" s="1"/>
  <c r="E15" i="13"/>
  <c r="E14" i="13"/>
  <c r="G14" i="13" s="1"/>
  <c r="E13" i="13"/>
  <c r="G13" i="13" s="1"/>
  <c r="E12" i="13"/>
  <c r="G12" i="13" s="1"/>
  <c r="E11" i="13"/>
  <c r="E10" i="13"/>
  <c r="G10" i="13" s="1"/>
  <c r="E9" i="13"/>
  <c r="G9" i="13" s="1"/>
  <c r="E8" i="13"/>
  <c r="G8" i="13" s="1"/>
  <c r="E7" i="13"/>
  <c r="E6" i="13"/>
  <c r="G6" i="13" s="1"/>
  <c r="E5" i="13"/>
  <c r="E4" i="13"/>
  <c r="G4" i="13" s="1"/>
  <c r="E3" i="13"/>
  <c r="E2" i="13"/>
  <c r="G2" i="13" s="1"/>
  <c r="C5" i="11"/>
  <c r="AN179" i="8"/>
  <c r="AU178" i="8"/>
  <c r="AU177" i="8"/>
  <c r="AW174" i="8"/>
  <c r="AX174" i="8" s="1"/>
  <c r="AU174" i="8"/>
  <c r="AO174" i="8"/>
  <c r="AN174" i="8"/>
  <c r="AM174" i="8"/>
  <c r="AD174" i="8"/>
  <c r="P174" i="8"/>
  <c r="N174" i="8" s="1"/>
  <c r="J174" i="8"/>
  <c r="I174" i="8"/>
  <c r="H174" i="8"/>
  <c r="E174" i="8"/>
  <c r="Y174" i="8" s="1"/>
  <c r="AU173" i="8"/>
  <c r="AW173" i="8" s="1"/>
  <c r="AX173" i="8" s="1"/>
  <c r="AO173" i="8"/>
  <c r="AN173" i="8"/>
  <c r="AM173" i="8"/>
  <c r="AD173" i="8"/>
  <c r="P173" i="8"/>
  <c r="N173" i="8" s="1"/>
  <c r="J173" i="8"/>
  <c r="I173" i="8"/>
  <c r="H173" i="8"/>
  <c r="E173" i="8"/>
  <c r="M173" i="8" s="1"/>
  <c r="G173" i="8" s="1"/>
  <c r="AU172" i="8"/>
  <c r="AW172" i="8" s="1"/>
  <c r="AX172" i="8" s="1"/>
  <c r="AO172" i="8"/>
  <c r="AN172" i="8"/>
  <c r="AM172" i="8"/>
  <c r="AD172" i="8"/>
  <c r="P172" i="8"/>
  <c r="J172" i="8"/>
  <c r="I172" i="8"/>
  <c r="H172" i="8"/>
  <c r="E172" i="8"/>
  <c r="Y172" i="8" s="1"/>
  <c r="AU171" i="8"/>
  <c r="AW171" i="8" s="1"/>
  <c r="AX171" i="8" s="1"/>
  <c r="AO171" i="8"/>
  <c r="AN171" i="8"/>
  <c r="AM171" i="8"/>
  <c r="AD171" i="8"/>
  <c r="P171" i="8"/>
  <c r="N171" i="8" s="1"/>
  <c r="J171" i="8"/>
  <c r="I171" i="8"/>
  <c r="H171" i="8"/>
  <c r="E171" i="8"/>
  <c r="M171" i="8" s="1"/>
  <c r="G171" i="8" s="1"/>
  <c r="AX170" i="8"/>
  <c r="AW170" i="8"/>
  <c r="AU170" i="8"/>
  <c r="AO170" i="8"/>
  <c r="AN170" i="8"/>
  <c r="AM170" i="8"/>
  <c r="AD170" i="8"/>
  <c r="P170" i="8"/>
  <c r="N170" i="8" s="1"/>
  <c r="J170" i="8"/>
  <c r="I170" i="8"/>
  <c r="H170" i="8"/>
  <c r="E170" i="8"/>
  <c r="M170" i="8" s="1"/>
  <c r="G170" i="8" s="1"/>
  <c r="AX169" i="8"/>
  <c r="AU169" i="8"/>
  <c r="AW169" i="8" s="1"/>
  <c r="AO169" i="8"/>
  <c r="AN169" i="8"/>
  <c r="AM169" i="8"/>
  <c r="AD169" i="8"/>
  <c r="P169" i="8"/>
  <c r="N169" i="8" s="1"/>
  <c r="J169" i="8"/>
  <c r="I169" i="8"/>
  <c r="H169" i="8"/>
  <c r="E169" i="8"/>
  <c r="M169" i="8" s="1"/>
  <c r="G169" i="8" s="1"/>
  <c r="AW168" i="8"/>
  <c r="AX168" i="8" s="1"/>
  <c r="AU168" i="8"/>
  <c r="AO168" i="8"/>
  <c r="AN168" i="8"/>
  <c r="AM168" i="8"/>
  <c r="AD168" i="8"/>
  <c r="P168" i="8"/>
  <c r="N168" i="8" s="1"/>
  <c r="J168" i="8"/>
  <c r="I168" i="8"/>
  <c r="H168" i="8"/>
  <c r="E168" i="8"/>
  <c r="Y168" i="8" s="1"/>
  <c r="AW167" i="8"/>
  <c r="AX167" i="8" s="1"/>
  <c r="AU167" i="8"/>
  <c r="AO167" i="8"/>
  <c r="AN167" i="8"/>
  <c r="AM167" i="8"/>
  <c r="AD167" i="8"/>
  <c r="P167" i="8"/>
  <c r="N167" i="8" s="1"/>
  <c r="J167" i="8"/>
  <c r="I167" i="8"/>
  <c r="H167" i="8"/>
  <c r="E167" i="8"/>
  <c r="M167" i="8" s="1"/>
  <c r="G167" i="8" s="1"/>
  <c r="AW166" i="8"/>
  <c r="AX166" i="8" s="1"/>
  <c r="AU166" i="8"/>
  <c r="AO166" i="8"/>
  <c r="AN166" i="8"/>
  <c r="AM166" i="8"/>
  <c r="AD166" i="8"/>
  <c r="P166" i="8"/>
  <c r="N166" i="8" s="1"/>
  <c r="J166" i="8"/>
  <c r="I166" i="8"/>
  <c r="H166" i="8"/>
  <c r="E166" i="8"/>
  <c r="Y166" i="8" s="1"/>
  <c r="AU165" i="8"/>
  <c r="AW165" i="8" s="1"/>
  <c r="AX165" i="8" s="1"/>
  <c r="AO165" i="8"/>
  <c r="AN165" i="8"/>
  <c r="AM165" i="8"/>
  <c r="AD165" i="8"/>
  <c r="P165" i="8"/>
  <c r="N165" i="8" s="1"/>
  <c r="J165" i="8"/>
  <c r="I165" i="8"/>
  <c r="H165" i="8"/>
  <c r="E165" i="8"/>
  <c r="M165" i="8" s="1"/>
  <c r="G165" i="8" s="1"/>
  <c r="AU164" i="8"/>
  <c r="AW164" i="8" s="1"/>
  <c r="AX164" i="8" s="1"/>
  <c r="AO164" i="8"/>
  <c r="AN164" i="8"/>
  <c r="AM164" i="8"/>
  <c r="AD164" i="8"/>
  <c r="P164" i="8"/>
  <c r="J164" i="8"/>
  <c r="I164" i="8"/>
  <c r="H164" i="8"/>
  <c r="E164" i="8"/>
  <c r="M164" i="8" s="1"/>
  <c r="G164" i="8" s="1"/>
  <c r="AU163" i="8"/>
  <c r="AW163" i="8" s="1"/>
  <c r="AX163" i="8" s="1"/>
  <c r="AO163" i="8"/>
  <c r="AN163" i="8"/>
  <c r="AM163" i="8"/>
  <c r="AD163" i="8"/>
  <c r="P163" i="8"/>
  <c r="J163" i="8"/>
  <c r="I163" i="8"/>
  <c r="H163" i="8"/>
  <c r="E163" i="8"/>
  <c r="Y163" i="8" s="1"/>
  <c r="AW162" i="8"/>
  <c r="AX162" i="8" s="1"/>
  <c r="AU162" i="8"/>
  <c r="AO162" i="8"/>
  <c r="AN162" i="8"/>
  <c r="AM162" i="8"/>
  <c r="AD162" i="8"/>
  <c r="P162" i="8"/>
  <c r="N162" i="8" s="1"/>
  <c r="J162" i="8"/>
  <c r="I162" i="8"/>
  <c r="H162" i="8"/>
  <c r="E162" i="8"/>
  <c r="Y162" i="8" s="1"/>
  <c r="AW161" i="8"/>
  <c r="AX161" i="8" s="1"/>
  <c r="AU161" i="8"/>
  <c r="AO161" i="8"/>
  <c r="AN161" i="8"/>
  <c r="AM161" i="8"/>
  <c r="AD161" i="8"/>
  <c r="P161" i="8"/>
  <c r="N161" i="8" s="1"/>
  <c r="J161" i="8"/>
  <c r="I161" i="8"/>
  <c r="H161" i="8"/>
  <c r="E161" i="8"/>
  <c r="Y161" i="8" s="1"/>
  <c r="AX160" i="8"/>
  <c r="AW160" i="8"/>
  <c r="AU160" i="8"/>
  <c r="AO160" i="8"/>
  <c r="AN160" i="8"/>
  <c r="AM160" i="8"/>
  <c r="AD160" i="8"/>
  <c r="P160" i="8"/>
  <c r="N160" i="8" s="1"/>
  <c r="J160" i="8"/>
  <c r="I160" i="8"/>
  <c r="H160" i="8"/>
  <c r="E160" i="8"/>
  <c r="Y160" i="8" s="1"/>
  <c r="AW159" i="8"/>
  <c r="AX159" i="8" s="1"/>
  <c r="AU159" i="8"/>
  <c r="AO159" i="8"/>
  <c r="AN159" i="8"/>
  <c r="AM159" i="8"/>
  <c r="AD159" i="8"/>
  <c r="P159" i="8"/>
  <c r="N159" i="8" s="1"/>
  <c r="J159" i="8"/>
  <c r="I159" i="8"/>
  <c r="H159" i="8"/>
  <c r="E159" i="8"/>
  <c r="M159" i="8" s="1"/>
  <c r="G159" i="8" s="1"/>
  <c r="AW158" i="8"/>
  <c r="AX158" i="8" s="1"/>
  <c r="AU158" i="8"/>
  <c r="AO158" i="8"/>
  <c r="AN158" i="8"/>
  <c r="AM158" i="8"/>
  <c r="AD158" i="8"/>
  <c r="P158" i="8"/>
  <c r="N158" i="8" s="1"/>
  <c r="J158" i="8"/>
  <c r="I158" i="8"/>
  <c r="H158" i="8"/>
  <c r="E158" i="8"/>
  <c r="Y158" i="8" s="1"/>
  <c r="AW157" i="8"/>
  <c r="AX157" i="8" s="1"/>
  <c r="AU157" i="8"/>
  <c r="AO157" i="8"/>
  <c r="AN157" i="8"/>
  <c r="AM157" i="8"/>
  <c r="AD157" i="8"/>
  <c r="P157" i="8"/>
  <c r="J157" i="8"/>
  <c r="I157" i="8"/>
  <c r="H157" i="8"/>
  <c r="E157" i="8"/>
  <c r="Y157" i="8" s="1"/>
  <c r="AU156" i="8"/>
  <c r="AW156" i="8" s="1"/>
  <c r="AX156" i="8" s="1"/>
  <c r="AO156" i="8"/>
  <c r="AN156" i="8"/>
  <c r="AM156" i="8"/>
  <c r="AD156" i="8"/>
  <c r="P156" i="8"/>
  <c r="N156" i="8" s="1"/>
  <c r="J156" i="8"/>
  <c r="I156" i="8"/>
  <c r="H156" i="8"/>
  <c r="E156" i="8"/>
  <c r="Y156" i="8" s="1"/>
  <c r="BA155" i="8"/>
  <c r="BA156" i="8" s="1"/>
  <c r="AU155" i="8"/>
  <c r="AW155" i="8" s="1"/>
  <c r="AX155" i="8" s="1"/>
  <c r="AO155" i="8"/>
  <c r="AN155" i="8"/>
  <c r="AM155" i="8"/>
  <c r="AD155" i="8"/>
  <c r="P155" i="8"/>
  <c r="N155" i="8" s="1"/>
  <c r="J155" i="8"/>
  <c r="I155" i="8"/>
  <c r="H155" i="8"/>
  <c r="E155" i="8"/>
  <c r="Y155" i="8" s="1"/>
  <c r="AU154" i="8"/>
  <c r="AW154" i="8" s="1"/>
  <c r="AX154" i="8" s="1"/>
  <c r="AO154" i="8"/>
  <c r="AN154" i="8"/>
  <c r="AM154" i="8"/>
  <c r="AD154" i="8"/>
  <c r="P154" i="8"/>
  <c r="N154" i="8" s="1"/>
  <c r="J154" i="8"/>
  <c r="I154" i="8"/>
  <c r="H154" i="8"/>
  <c r="E154" i="8"/>
  <c r="Y154" i="8" s="1"/>
  <c r="AU153" i="8"/>
  <c r="AW153" i="8" s="1"/>
  <c r="AX153" i="8" s="1"/>
  <c r="AO153" i="8"/>
  <c r="AN153" i="8"/>
  <c r="AM153" i="8"/>
  <c r="AD153" i="8"/>
  <c r="P153" i="8"/>
  <c r="N153" i="8" s="1"/>
  <c r="J153" i="8"/>
  <c r="I153" i="8"/>
  <c r="H153" i="8"/>
  <c r="E153" i="8"/>
  <c r="Y153" i="8" s="1"/>
  <c r="AX152" i="8"/>
  <c r="AW152" i="8"/>
  <c r="AU152" i="8"/>
  <c r="AO152" i="8"/>
  <c r="AN152" i="8"/>
  <c r="AM152" i="8"/>
  <c r="AD152" i="8"/>
  <c r="P152" i="8"/>
  <c r="N152" i="8" s="1"/>
  <c r="J152" i="8"/>
  <c r="I152" i="8"/>
  <c r="H152" i="8"/>
  <c r="E152" i="8"/>
  <c r="Y152" i="8" s="1"/>
  <c r="AW151" i="8"/>
  <c r="AX151" i="8" s="1"/>
  <c r="AU151" i="8"/>
  <c r="AO151" i="8"/>
  <c r="AN151" i="8"/>
  <c r="AM151" i="8"/>
  <c r="AD151" i="8"/>
  <c r="P151" i="8"/>
  <c r="N151" i="8" s="1"/>
  <c r="J151" i="8"/>
  <c r="I151" i="8"/>
  <c r="H151" i="8"/>
  <c r="E151" i="8"/>
  <c r="Y151" i="8" s="1"/>
  <c r="AW150" i="8"/>
  <c r="AX150" i="8" s="1"/>
  <c r="AU150" i="8"/>
  <c r="AO150" i="8"/>
  <c r="AN150" i="8"/>
  <c r="AM150" i="8"/>
  <c r="AD150" i="8"/>
  <c r="P150" i="8"/>
  <c r="N150" i="8" s="1"/>
  <c r="J150" i="8"/>
  <c r="I150" i="8"/>
  <c r="H150" i="8"/>
  <c r="E150" i="8"/>
  <c r="M150" i="8" s="1"/>
  <c r="G150" i="8" s="1"/>
  <c r="AW149" i="8"/>
  <c r="AX149" i="8" s="1"/>
  <c r="AU149" i="8"/>
  <c r="AO149" i="8"/>
  <c r="AN149" i="8"/>
  <c r="AM149" i="8"/>
  <c r="AD149" i="8"/>
  <c r="P149" i="8"/>
  <c r="J149" i="8"/>
  <c r="I149" i="8"/>
  <c r="H149" i="8"/>
  <c r="E149" i="8"/>
  <c r="Y149" i="8" s="1"/>
  <c r="AU148" i="8"/>
  <c r="AW148" i="8" s="1"/>
  <c r="AX148" i="8" s="1"/>
  <c r="AO148" i="8"/>
  <c r="AN148" i="8"/>
  <c r="AM148" i="8"/>
  <c r="AD148" i="8"/>
  <c r="P148" i="8"/>
  <c r="N148" i="8" s="1"/>
  <c r="J148" i="8"/>
  <c r="I148" i="8"/>
  <c r="H148" i="8"/>
  <c r="E148" i="8"/>
  <c r="M148" i="8" s="1"/>
  <c r="G148" i="8" s="1"/>
  <c r="AU147" i="8"/>
  <c r="AW147" i="8" s="1"/>
  <c r="AX147" i="8" s="1"/>
  <c r="AO147" i="8"/>
  <c r="AN147" i="8"/>
  <c r="AM147" i="8"/>
  <c r="AD147" i="8"/>
  <c r="P147" i="8"/>
  <c r="N147" i="8" s="1"/>
  <c r="J147" i="8"/>
  <c r="I147" i="8"/>
  <c r="H147" i="8"/>
  <c r="E147" i="8"/>
  <c r="M147" i="8" s="1"/>
  <c r="G147" i="8" s="1"/>
  <c r="AU146" i="8"/>
  <c r="AW146" i="8" s="1"/>
  <c r="AX146" i="8" s="1"/>
  <c r="AO146" i="8"/>
  <c r="AN146" i="8"/>
  <c r="AM146" i="8"/>
  <c r="AD146" i="8"/>
  <c r="P146" i="8"/>
  <c r="N146" i="8" s="1"/>
  <c r="J146" i="8"/>
  <c r="I146" i="8"/>
  <c r="H146" i="8"/>
  <c r="E146" i="8"/>
  <c r="Y146" i="8" s="1"/>
  <c r="AU145" i="8"/>
  <c r="AW145" i="8" s="1"/>
  <c r="AX145" i="8" s="1"/>
  <c r="AO145" i="8"/>
  <c r="AN145" i="8"/>
  <c r="AM145" i="8"/>
  <c r="AD145" i="8"/>
  <c r="P145" i="8"/>
  <c r="N145" i="8" s="1"/>
  <c r="J145" i="8"/>
  <c r="I145" i="8"/>
  <c r="H145" i="8"/>
  <c r="E145" i="8"/>
  <c r="M145" i="8" s="1"/>
  <c r="G145" i="8" s="1"/>
  <c r="AX144" i="8"/>
  <c r="AW144" i="8"/>
  <c r="AU144" i="8"/>
  <c r="AO144" i="8"/>
  <c r="AN144" i="8"/>
  <c r="AM144" i="8"/>
  <c r="AD144" i="8"/>
  <c r="P144" i="8"/>
  <c r="N144" i="8" s="1"/>
  <c r="J144" i="8"/>
  <c r="I144" i="8"/>
  <c r="H144" i="8"/>
  <c r="E144" i="8"/>
  <c r="Y144" i="8" s="1"/>
  <c r="AW143" i="8"/>
  <c r="AX143" i="8" s="1"/>
  <c r="AU143" i="8"/>
  <c r="AO143" i="8"/>
  <c r="AN143" i="8"/>
  <c r="AM143" i="8"/>
  <c r="AD143" i="8"/>
  <c r="P143" i="8"/>
  <c r="N143" i="8" s="1"/>
  <c r="J143" i="8"/>
  <c r="I143" i="8"/>
  <c r="H143" i="8"/>
  <c r="E143" i="8"/>
  <c r="Y143" i="8" s="1"/>
  <c r="AW142" i="8"/>
  <c r="AX142" i="8" s="1"/>
  <c r="AU142" i="8"/>
  <c r="AO142" i="8"/>
  <c r="AN142" i="8"/>
  <c r="AM142" i="8"/>
  <c r="AD142" i="8"/>
  <c r="P142" i="8"/>
  <c r="N142" i="8" s="1"/>
  <c r="J142" i="8"/>
  <c r="I142" i="8"/>
  <c r="H142" i="8"/>
  <c r="E142" i="8"/>
  <c r="M142" i="8" s="1"/>
  <c r="G142" i="8" s="1"/>
  <c r="AW141" i="8"/>
  <c r="AX141" i="8" s="1"/>
  <c r="AU141" i="8"/>
  <c r="AO141" i="8"/>
  <c r="AN141" i="8"/>
  <c r="AM141" i="8"/>
  <c r="AD141" i="8"/>
  <c r="P141" i="8"/>
  <c r="N141" i="8" s="1"/>
  <c r="J141" i="8"/>
  <c r="I141" i="8"/>
  <c r="H141" i="8"/>
  <c r="E141" i="8"/>
  <c r="M141" i="8" s="1"/>
  <c r="G141" i="8" s="1"/>
  <c r="AU140" i="8"/>
  <c r="AW140" i="8" s="1"/>
  <c r="AX140" i="8" s="1"/>
  <c r="AO140" i="8"/>
  <c r="AN140" i="8"/>
  <c r="AM140" i="8"/>
  <c r="AD140" i="8"/>
  <c r="P140" i="8"/>
  <c r="N140" i="8" s="1"/>
  <c r="J140" i="8"/>
  <c r="I140" i="8"/>
  <c r="H140" i="8"/>
  <c r="E140" i="8"/>
  <c r="M140" i="8" s="1"/>
  <c r="G140" i="8" s="1"/>
  <c r="AU139" i="8"/>
  <c r="AW139" i="8" s="1"/>
  <c r="AX139" i="8" s="1"/>
  <c r="AO139" i="8"/>
  <c r="AN139" i="8"/>
  <c r="AM139" i="8"/>
  <c r="AD139" i="8"/>
  <c r="P139" i="8"/>
  <c r="N139" i="8" s="1"/>
  <c r="J139" i="8"/>
  <c r="I139" i="8"/>
  <c r="H139" i="8"/>
  <c r="E139" i="8"/>
  <c r="M139" i="8" s="1"/>
  <c r="G139" i="8" s="1"/>
  <c r="AU138" i="8"/>
  <c r="AW138" i="8" s="1"/>
  <c r="AX138" i="8" s="1"/>
  <c r="AO138" i="8"/>
  <c r="AN138" i="8"/>
  <c r="AM138" i="8"/>
  <c r="AD138" i="8"/>
  <c r="P138" i="8"/>
  <c r="N138" i="8" s="1"/>
  <c r="J138" i="8"/>
  <c r="I138" i="8"/>
  <c r="H138" i="8"/>
  <c r="E138" i="8"/>
  <c r="M138" i="8" s="1"/>
  <c r="G138" i="8" s="1"/>
  <c r="AU137" i="8"/>
  <c r="AW137" i="8" s="1"/>
  <c r="AX137" i="8" s="1"/>
  <c r="AO137" i="8"/>
  <c r="AN137" i="8"/>
  <c r="AM137" i="8"/>
  <c r="AD137" i="8"/>
  <c r="P137" i="8"/>
  <c r="N137" i="8" s="1"/>
  <c r="J137" i="8"/>
  <c r="I137" i="8"/>
  <c r="H137" i="8"/>
  <c r="E137" i="8"/>
  <c r="Y137" i="8" s="1"/>
  <c r="AX136" i="8"/>
  <c r="AW136" i="8"/>
  <c r="AU136" i="8"/>
  <c r="AO136" i="8"/>
  <c r="AN136" i="8"/>
  <c r="AM136" i="8"/>
  <c r="AD136" i="8"/>
  <c r="P136" i="8"/>
  <c r="N136" i="8" s="1"/>
  <c r="J136" i="8"/>
  <c r="I136" i="8"/>
  <c r="H136" i="8"/>
  <c r="E136" i="8"/>
  <c r="Y136" i="8" s="1"/>
  <c r="AW135" i="8"/>
  <c r="AX135" i="8" s="1"/>
  <c r="AU135" i="8"/>
  <c r="AO135" i="8"/>
  <c r="AN135" i="8"/>
  <c r="AM135" i="8"/>
  <c r="AD135" i="8"/>
  <c r="P135" i="8"/>
  <c r="N135" i="8" s="1"/>
  <c r="J135" i="8"/>
  <c r="I135" i="8"/>
  <c r="H135" i="8"/>
  <c r="E135" i="8"/>
  <c r="Y135" i="8" s="1"/>
  <c r="AW134" i="8"/>
  <c r="AX134" i="8" s="1"/>
  <c r="AU134" i="8"/>
  <c r="AO134" i="8"/>
  <c r="AN134" i="8"/>
  <c r="AM134" i="8"/>
  <c r="AD134" i="8"/>
  <c r="P134" i="8"/>
  <c r="N134" i="8" s="1"/>
  <c r="J134" i="8"/>
  <c r="I134" i="8"/>
  <c r="H134" i="8"/>
  <c r="E134" i="8"/>
  <c r="AW133" i="8"/>
  <c r="AX133" i="8" s="1"/>
  <c r="AU133" i="8"/>
  <c r="AO133" i="8"/>
  <c r="AN133" i="8"/>
  <c r="AM133" i="8"/>
  <c r="AD133" i="8"/>
  <c r="P133" i="8"/>
  <c r="N133" i="8" s="1"/>
  <c r="J133" i="8"/>
  <c r="I133" i="8"/>
  <c r="H133" i="8"/>
  <c r="E133" i="8"/>
  <c r="M133" i="8" s="1"/>
  <c r="G133" i="8" s="1"/>
  <c r="AU132" i="8"/>
  <c r="AW132" i="8" s="1"/>
  <c r="AX132" i="8" s="1"/>
  <c r="AO132" i="8"/>
  <c r="AN132" i="8"/>
  <c r="AM132" i="8"/>
  <c r="AD132" i="8"/>
  <c r="P132" i="8"/>
  <c r="N132" i="8" s="1"/>
  <c r="J132" i="8"/>
  <c r="I132" i="8"/>
  <c r="H132" i="8"/>
  <c r="E132" i="8"/>
  <c r="M132" i="8" s="1"/>
  <c r="G132" i="8" s="1"/>
  <c r="AW131" i="8"/>
  <c r="AX131" i="8" s="1"/>
  <c r="AU131" i="8"/>
  <c r="AO131" i="8"/>
  <c r="AN131" i="8"/>
  <c r="AM131" i="8"/>
  <c r="AD131" i="8"/>
  <c r="P131" i="8"/>
  <c r="N131" i="8" s="1"/>
  <c r="J131" i="8"/>
  <c r="I131" i="8"/>
  <c r="H131" i="8"/>
  <c r="E131" i="8"/>
  <c r="Y131" i="8" s="1"/>
  <c r="AX130" i="8"/>
  <c r="AU130" i="8"/>
  <c r="AW130" i="8" s="1"/>
  <c r="AO130" i="8"/>
  <c r="AN130" i="8"/>
  <c r="AM130" i="8"/>
  <c r="AD130" i="8"/>
  <c r="P130" i="8"/>
  <c r="J130" i="8"/>
  <c r="I130" i="8"/>
  <c r="H130" i="8"/>
  <c r="E130" i="8"/>
  <c r="AU129" i="8"/>
  <c r="AW129" i="8" s="1"/>
  <c r="AX129" i="8" s="1"/>
  <c r="AO129" i="8"/>
  <c r="AN129" i="8"/>
  <c r="AM129" i="8"/>
  <c r="AD129" i="8"/>
  <c r="P129" i="8"/>
  <c r="N129" i="8" s="1"/>
  <c r="J129" i="8"/>
  <c r="I129" i="8"/>
  <c r="H129" i="8"/>
  <c r="E129" i="8"/>
  <c r="Y129" i="8" s="1"/>
  <c r="AW128" i="8"/>
  <c r="AX128" i="8" s="1"/>
  <c r="AU128" i="8"/>
  <c r="AO128" i="8"/>
  <c r="AN128" i="8"/>
  <c r="AM128" i="8"/>
  <c r="P128" i="8"/>
  <c r="J128" i="8"/>
  <c r="I128" i="8"/>
  <c r="H128" i="8"/>
  <c r="E128" i="8"/>
  <c r="M128" i="8" s="1"/>
  <c r="G128" i="8" s="1"/>
  <c r="AU127" i="8"/>
  <c r="AW127" i="8" s="1"/>
  <c r="AX127" i="8" s="1"/>
  <c r="AO127" i="8"/>
  <c r="AN127" i="8"/>
  <c r="AM127" i="8"/>
  <c r="AD127" i="8"/>
  <c r="P127" i="8"/>
  <c r="N127" i="8" s="1"/>
  <c r="J127" i="8"/>
  <c r="I127" i="8"/>
  <c r="H127" i="8"/>
  <c r="E127" i="8"/>
  <c r="Y127" i="8" s="1"/>
  <c r="AX126" i="8"/>
  <c r="AW126" i="8"/>
  <c r="AU126" i="8"/>
  <c r="AO126" i="8"/>
  <c r="AN126" i="8"/>
  <c r="AM126" i="8"/>
  <c r="AD126" i="8"/>
  <c r="P126" i="8"/>
  <c r="N126" i="8" s="1"/>
  <c r="J126" i="8"/>
  <c r="I126" i="8"/>
  <c r="H126" i="8"/>
  <c r="E126" i="8"/>
  <c r="Y126" i="8" s="1"/>
  <c r="AX125" i="8"/>
  <c r="AW125" i="8"/>
  <c r="AU125" i="8"/>
  <c r="AO125" i="8"/>
  <c r="AN125" i="8"/>
  <c r="AM125" i="8"/>
  <c r="AD125" i="8"/>
  <c r="P125" i="8"/>
  <c r="N125" i="8" s="1"/>
  <c r="J125" i="8"/>
  <c r="I125" i="8"/>
  <c r="H125" i="8"/>
  <c r="E125" i="8"/>
  <c r="Y125" i="8" s="1"/>
  <c r="AX124" i="8"/>
  <c r="AW124" i="8"/>
  <c r="AU124" i="8"/>
  <c r="AO124" i="8"/>
  <c r="AN124" i="8"/>
  <c r="AM124" i="8"/>
  <c r="AD124" i="8"/>
  <c r="P124" i="8"/>
  <c r="N124" i="8" s="1"/>
  <c r="J124" i="8"/>
  <c r="I124" i="8"/>
  <c r="H124" i="8"/>
  <c r="E124" i="8"/>
  <c r="AU123" i="8"/>
  <c r="AW123" i="8" s="1"/>
  <c r="AX123" i="8" s="1"/>
  <c r="AO123" i="8"/>
  <c r="AN123" i="8"/>
  <c r="AM123" i="8"/>
  <c r="AD123" i="8"/>
  <c r="P123" i="8"/>
  <c r="J123" i="8"/>
  <c r="I123" i="8"/>
  <c r="H123" i="8"/>
  <c r="E123" i="8"/>
  <c r="AW122" i="8"/>
  <c r="AX122" i="8" s="1"/>
  <c r="AU122" i="8"/>
  <c r="AO122" i="8"/>
  <c r="AN122" i="8"/>
  <c r="AM122" i="8"/>
  <c r="AD122" i="8"/>
  <c r="P122" i="8"/>
  <c r="J122" i="8"/>
  <c r="I122" i="8"/>
  <c r="H122" i="8"/>
  <c r="E122" i="8"/>
  <c r="AW121" i="8"/>
  <c r="AX121" i="8" s="1"/>
  <c r="AU121" i="8"/>
  <c r="AO121" i="8"/>
  <c r="AN121" i="8"/>
  <c r="AM121" i="8"/>
  <c r="AD121" i="8"/>
  <c r="P121" i="8"/>
  <c r="N121" i="8" s="1"/>
  <c r="J121" i="8"/>
  <c r="I121" i="8"/>
  <c r="H121" i="8"/>
  <c r="E121" i="8"/>
  <c r="Y121" i="8" s="1"/>
  <c r="AU120" i="8"/>
  <c r="AW120" i="8" s="1"/>
  <c r="AX120" i="8" s="1"/>
  <c r="AO120" i="8"/>
  <c r="AN120" i="8"/>
  <c r="AM120" i="8"/>
  <c r="AD120" i="8"/>
  <c r="P120" i="8"/>
  <c r="N120" i="8" s="1"/>
  <c r="J120" i="8"/>
  <c r="I120" i="8"/>
  <c r="H120" i="8"/>
  <c r="E120" i="8"/>
  <c r="Y120" i="8" s="1"/>
  <c r="AU119" i="8"/>
  <c r="AW119" i="8" s="1"/>
  <c r="AX119" i="8" s="1"/>
  <c r="AO119" i="8"/>
  <c r="AN119" i="8"/>
  <c r="AM119" i="8"/>
  <c r="AD119" i="8"/>
  <c r="P119" i="8"/>
  <c r="N119" i="8" s="1"/>
  <c r="J119" i="8"/>
  <c r="I119" i="8"/>
  <c r="H119" i="8"/>
  <c r="E119" i="8"/>
  <c r="Y119" i="8" s="1"/>
  <c r="AU118" i="8"/>
  <c r="AW118" i="8" s="1"/>
  <c r="AX118" i="8" s="1"/>
  <c r="AO118" i="8"/>
  <c r="AN118" i="8"/>
  <c r="AM118" i="8"/>
  <c r="AD118" i="8"/>
  <c r="P118" i="8"/>
  <c r="N118" i="8" s="1"/>
  <c r="J118" i="8"/>
  <c r="I118" i="8"/>
  <c r="H118" i="8"/>
  <c r="E118" i="8"/>
  <c r="Y118" i="8" s="1"/>
  <c r="AX117" i="8"/>
  <c r="AW117" i="8"/>
  <c r="AU117" i="8"/>
  <c r="AO117" i="8"/>
  <c r="AN117" i="8"/>
  <c r="AM117" i="8"/>
  <c r="AD117" i="8"/>
  <c r="P117" i="8"/>
  <c r="J117" i="8"/>
  <c r="I117" i="8"/>
  <c r="H117" i="8"/>
  <c r="E117" i="8"/>
  <c r="Y117" i="8" s="1"/>
  <c r="AW116" i="8"/>
  <c r="AX116" i="8" s="1"/>
  <c r="AU116" i="8"/>
  <c r="AO116" i="8"/>
  <c r="AN116" i="8"/>
  <c r="AM116" i="8"/>
  <c r="AD116" i="8"/>
  <c r="P116" i="8"/>
  <c r="N116" i="8" s="1"/>
  <c r="J116" i="8"/>
  <c r="I116" i="8"/>
  <c r="H116" i="8"/>
  <c r="E116" i="8"/>
  <c r="AW115" i="8"/>
  <c r="AX115" i="8" s="1"/>
  <c r="AU115" i="8"/>
  <c r="AO115" i="8"/>
  <c r="AN115" i="8"/>
  <c r="AM115" i="8"/>
  <c r="AD115" i="8"/>
  <c r="P115" i="8"/>
  <c r="J115" i="8"/>
  <c r="I115" i="8"/>
  <c r="H115" i="8"/>
  <c r="E115" i="8"/>
  <c r="M115" i="8" s="1"/>
  <c r="G115" i="8" s="1"/>
  <c r="AU114" i="8"/>
  <c r="AW114" i="8" s="1"/>
  <c r="AX114" i="8" s="1"/>
  <c r="AO114" i="8"/>
  <c r="AN114" i="8"/>
  <c r="AM114" i="8"/>
  <c r="AD114" i="8"/>
  <c r="P114" i="8"/>
  <c r="N114" i="8" s="1"/>
  <c r="J114" i="8"/>
  <c r="I114" i="8"/>
  <c r="H114" i="8"/>
  <c r="E114" i="8"/>
  <c r="Y114" i="8" s="1"/>
  <c r="AU113" i="8"/>
  <c r="AW113" i="8" s="1"/>
  <c r="AX113" i="8" s="1"/>
  <c r="AO113" i="8"/>
  <c r="AN113" i="8"/>
  <c r="AM113" i="8"/>
  <c r="AD113" i="8"/>
  <c r="P113" i="8"/>
  <c r="J113" i="8"/>
  <c r="I113" i="8"/>
  <c r="H113" i="8"/>
  <c r="E113" i="8"/>
  <c r="Y113" i="8" s="1"/>
  <c r="AU112" i="8"/>
  <c r="AW112" i="8" s="1"/>
  <c r="AX112" i="8" s="1"/>
  <c r="AO112" i="8"/>
  <c r="AN112" i="8"/>
  <c r="AM112" i="8"/>
  <c r="AD112" i="8"/>
  <c r="P112" i="8"/>
  <c r="J112" i="8"/>
  <c r="I112" i="8"/>
  <c r="H112" i="8"/>
  <c r="E112" i="8"/>
  <c r="M112" i="8" s="1"/>
  <c r="G112" i="8" s="1"/>
  <c r="AX111" i="8"/>
  <c r="AU111" i="8"/>
  <c r="AW111" i="8" s="1"/>
  <c r="AO111" i="8"/>
  <c r="AN111" i="8"/>
  <c r="AM111" i="8"/>
  <c r="AD111" i="8"/>
  <c r="P111" i="8"/>
  <c r="N111" i="8" s="1"/>
  <c r="J111" i="8"/>
  <c r="I111" i="8"/>
  <c r="H111" i="8"/>
  <c r="E111" i="8"/>
  <c r="M111" i="8" s="1"/>
  <c r="G111" i="8" s="1"/>
  <c r="AU110" i="8"/>
  <c r="AW110" i="8" s="1"/>
  <c r="AX110" i="8" s="1"/>
  <c r="AO110" i="8"/>
  <c r="AN110" i="8"/>
  <c r="AM110" i="8"/>
  <c r="AD110" i="8"/>
  <c r="P110" i="8"/>
  <c r="J110" i="8"/>
  <c r="I110" i="8"/>
  <c r="H110" i="8"/>
  <c r="E110" i="8"/>
  <c r="M110" i="8" s="1"/>
  <c r="G110" i="8" s="1"/>
  <c r="AX109" i="8"/>
  <c r="AW109" i="8"/>
  <c r="AU109" i="8"/>
  <c r="AO109" i="8"/>
  <c r="AN109" i="8"/>
  <c r="AM109" i="8"/>
  <c r="AD109" i="8"/>
  <c r="P109" i="8"/>
  <c r="N109" i="8" s="1"/>
  <c r="J109" i="8"/>
  <c r="I109" i="8"/>
  <c r="H109" i="8"/>
  <c r="E109" i="8"/>
  <c r="AX108" i="8"/>
  <c r="AW108" i="8"/>
  <c r="AU108" i="8"/>
  <c r="AO108" i="8"/>
  <c r="AN108" i="8"/>
  <c r="AM108" i="8"/>
  <c r="AD108" i="8"/>
  <c r="P108" i="8"/>
  <c r="J108" i="8"/>
  <c r="I108" i="8"/>
  <c r="H108" i="8"/>
  <c r="E108" i="8"/>
  <c r="M108" i="8" s="1"/>
  <c r="G108" i="8" s="1"/>
  <c r="AW107" i="8"/>
  <c r="AX107" i="8" s="1"/>
  <c r="AU107" i="8"/>
  <c r="AO107" i="8"/>
  <c r="AN107" i="8"/>
  <c r="AM107" i="8"/>
  <c r="AD107" i="8"/>
  <c r="P107" i="8"/>
  <c r="N107" i="8" s="1"/>
  <c r="J107" i="8"/>
  <c r="I107" i="8"/>
  <c r="H107" i="8"/>
  <c r="E107" i="8"/>
  <c r="Y107" i="8" s="1"/>
  <c r="AX106" i="8"/>
  <c r="AW106" i="8"/>
  <c r="AU106" i="8"/>
  <c r="AO106" i="8"/>
  <c r="AN106" i="8"/>
  <c r="AM106" i="8"/>
  <c r="AD106" i="8"/>
  <c r="P106" i="8"/>
  <c r="J106" i="8"/>
  <c r="I106" i="8"/>
  <c r="H106" i="8"/>
  <c r="E106" i="8"/>
  <c r="Y106" i="8" s="1"/>
  <c r="AW105" i="8"/>
  <c r="AX105" i="8" s="1"/>
  <c r="AU105" i="8"/>
  <c r="AO105" i="8"/>
  <c r="AN105" i="8"/>
  <c r="AM105" i="8"/>
  <c r="AD105" i="8"/>
  <c r="P105" i="8"/>
  <c r="N105" i="8" s="1"/>
  <c r="J105" i="8"/>
  <c r="I105" i="8"/>
  <c r="H105" i="8"/>
  <c r="E105" i="8"/>
  <c r="Y105" i="8" s="1"/>
  <c r="AU104" i="8"/>
  <c r="AW104" i="8" s="1"/>
  <c r="AX104" i="8" s="1"/>
  <c r="AO104" i="8"/>
  <c r="AN104" i="8"/>
  <c r="AM104" i="8"/>
  <c r="AD104" i="8"/>
  <c r="P104" i="8"/>
  <c r="N104" i="8" s="1"/>
  <c r="J104" i="8"/>
  <c r="I104" i="8"/>
  <c r="H104" i="8"/>
  <c r="E104" i="8"/>
  <c r="M104" i="8" s="1"/>
  <c r="G104" i="8" s="1"/>
  <c r="AW103" i="8"/>
  <c r="AX103" i="8" s="1"/>
  <c r="AU103" i="8"/>
  <c r="AO103" i="8"/>
  <c r="AN103" i="8"/>
  <c r="AM103" i="8"/>
  <c r="AD103" i="8"/>
  <c r="P103" i="8"/>
  <c r="N103" i="8" s="1"/>
  <c r="J103" i="8"/>
  <c r="I103" i="8"/>
  <c r="H103" i="8"/>
  <c r="E103" i="8"/>
  <c r="Y103" i="8" s="1"/>
  <c r="AU102" i="8"/>
  <c r="AW102" i="8" s="1"/>
  <c r="AX102" i="8" s="1"/>
  <c r="AO102" i="8"/>
  <c r="AN102" i="8"/>
  <c r="AM102" i="8"/>
  <c r="AD102" i="8"/>
  <c r="P102" i="8"/>
  <c r="N102" i="8" s="1"/>
  <c r="J102" i="8"/>
  <c r="I102" i="8"/>
  <c r="H102" i="8"/>
  <c r="E102" i="8"/>
  <c r="M102" i="8" s="1"/>
  <c r="G102" i="8" s="1"/>
  <c r="AX101" i="8"/>
  <c r="AW101" i="8"/>
  <c r="AU101" i="8"/>
  <c r="AO101" i="8"/>
  <c r="AN101" i="8"/>
  <c r="AM101" i="8"/>
  <c r="AD101" i="8"/>
  <c r="P101" i="8"/>
  <c r="J101" i="8"/>
  <c r="I101" i="8"/>
  <c r="H101" i="8"/>
  <c r="E101" i="8"/>
  <c r="Y101" i="8" s="1"/>
  <c r="AU100" i="8"/>
  <c r="AW100" i="8" s="1"/>
  <c r="AX100" i="8" s="1"/>
  <c r="AO100" i="8"/>
  <c r="AN100" i="8"/>
  <c r="AM100" i="8"/>
  <c r="AD100" i="8"/>
  <c r="P100" i="8"/>
  <c r="J100" i="8"/>
  <c r="I100" i="8"/>
  <c r="H100" i="8"/>
  <c r="E100" i="8"/>
  <c r="AW99" i="8"/>
  <c r="AX99" i="8" s="1"/>
  <c r="AU99" i="8"/>
  <c r="AO99" i="8"/>
  <c r="AN99" i="8"/>
  <c r="AM99" i="8"/>
  <c r="AD99" i="8"/>
  <c r="P99" i="8"/>
  <c r="J99" i="8"/>
  <c r="I99" i="8"/>
  <c r="H99" i="8"/>
  <c r="E99" i="8"/>
  <c r="AW98" i="8"/>
  <c r="AX98" i="8" s="1"/>
  <c r="AU98" i="8"/>
  <c r="AO98" i="8"/>
  <c r="AN98" i="8"/>
  <c r="AM98" i="8"/>
  <c r="AD98" i="8"/>
  <c r="P98" i="8"/>
  <c r="N98" i="8" s="1"/>
  <c r="J98" i="8"/>
  <c r="I98" i="8"/>
  <c r="H98" i="8"/>
  <c r="E98" i="8"/>
  <c r="Y98" i="8" s="1"/>
  <c r="AX97" i="8"/>
  <c r="AW97" i="8"/>
  <c r="AU97" i="8"/>
  <c r="AO97" i="8"/>
  <c r="AN97" i="8"/>
  <c r="AM97" i="8"/>
  <c r="AD97" i="8"/>
  <c r="P97" i="8"/>
  <c r="N97" i="8" s="1"/>
  <c r="J97" i="8"/>
  <c r="I97" i="8"/>
  <c r="H97" i="8"/>
  <c r="E97" i="8"/>
  <c r="Y97" i="8" s="1"/>
  <c r="AX96" i="8"/>
  <c r="AU96" i="8"/>
  <c r="AW96" i="8" s="1"/>
  <c r="AO96" i="8"/>
  <c r="AN96" i="8"/>
  <c r="AM96" i="8"/>
  <c r="AD96" i="8"/>
  <c r="P96" i="8"/>
  <c r="J96" i="8"/>
  <c r="I96" i="8"/>
  <c r="H96" i="8"/>
  <c r="E96" i="8"/>
  <c r="Y96" i="8" s="1"/>
  <c r="AW95" i="8"/>
  <c r="AX95" i="8" s="1"/>
  <c r="AU95" i="8"/>
  <c r="AO95" i="8"/>
  <c r="AN95" i="8"/>
  <c r="AM95" i="8"/>
  <c r="AD95" i="8"/>
  <c r="P95" i="8"/>
  <c r="N95" i="8" s="1"/>
  <c r="J95" i="8"/>
  <c r="I95" i="8"/>
  <c r="H95" i="8"/>
  <c r="E95" i="8"/>
  <c r="Y95" i="8" s="1"/>
  <c r="AX94" i="8"/>
  <c r="AU94" i="8"/>
  <c r="AW94" i="8" s="1"/>
  <c r="AO94" i="8"/>
  <c r="AN94" i="8"/>
  <c r="AM94" i="8"/>
  <c r="AD94" i="8"/>
  <c r="P94" i="8"/>
  <c r="J94" i="8"/>
  <c r="I94" i="8"/>
  <c r="H94" i="8"/>
  <c r="E94" i="8"/>
  <c r="Y94" i="8" s="1"/>
  <c r="AW93" i="8"/>
  <c r="AX93" i="8" s="1"/>
  <c r="AU93" i="8"/>
  <c r="AO93" i="8"/>
  <c r="AN93" i="8"/>
  <c r="AM93" i="8"/>
  <c r="AD93" i="8"/>
  <c r="P93" i="8"/>
  <c r="J93" i="8"/>
  <c r="I93" i="8"/>
  <c r="H93" i="8"/>
  <c r="E93" i="8"/>
  <c r="AU92" i="8"/>
  <c r="AO92" i="8"/>
  <c r="AN92" i="8"/>
  <c r="AM92" i="8"/>
  <c r="AD92" i="8"/>
  <c r="P92" i="8"/>
  <c r="N92" i="8" s="1"/>
  <c r="J92" i="8"/>
  <c r="I92" i="8"/>
  <c r="H92" i="8"/>
  <c r="E92" i="8"/>
  <c r="M92" i="8" s="1"/>
  <c r="G92" i="8" s="1"/>
  <c r="AW91" i="8"/>
  <c r="AX91" i="8" s="1"/>
  <c r="AU91" i="8"/>
  <c r="AO91" i="8"/>
  <c r="AN91" i="8"/>
  <c r="AM91" i="8"/>
  <c r="AD91" i="8"/>
  <c r="P91" i="8"/>
  <c r="J91" i="8"/>
  <c r="I91" i="8"/>
  <c r="H91" i="8"/>
  <c r="E91" i="8"/>
  <c r="Y91" i="8" s="1"/>
  <c r="AU90" i="8"/>
  <c r="AW90" i="8" s="1"/>
  <c r="AX90" i="8" s="1"/>
  <c r="AO90" i="8"/>
  <c r="AN90" i="8"/>
  <c r="AM90" i="8"/>
  <c r="AD90" i="8"/>
  <c r="P90" i="8"/>
  <c r="J90" i="8"/>
  <c r="I90" i="8"/>
  <c r="H90" i="8"/>
  <c r="E90" i="8"/>
  <c r="M90" i="8" s="1"/>
  <c r="G90" i="8" s="1"/>
  <c r="AX89" i="8"/>
  <c r="AW89" i="8"/>
  <c r="AU89" i="8"/>
  <c r="AO89" i="8"/>
  <c r="AN89" i="8"/>
  <c r="AM89" i="8"/>
  <c r="AD89" i="8"/>
  <c r="P89" i="8"/>
  <c r="N89" i="8" s="1"/>
  <c r="J89" i="8"/>
  <c r="I89" i="8"/>
  <c r="H89" i="8"/>
  <c r="E89" i="8"/>
  <c r="Y89" i="8" s="1"/>
  <c r="AU88" i="8"/>
  <c r="AW88" i="8" s="1"/>
  <c r="AX88" i="8" s="1"/>
  <c r="AO88" i="8"/>
  <c r="AN88" i="8"/>
  <c r="AM88" i="8"/>
  <c r="AD88" i="8"/>
  <c r="P88" i="8"/>
  <c r="J88" i="8"/>
  <c r="I88" i="8"/>
  <c r="H88" i="8"/>
  <c r="E88" i="8"/>
  <c r="AU87" i="8"/>
  <c r="AW87" i="8" s="1"/>
  <c r="AX87" i="8" s="1"/>
  <c r="AO87" i="8"/>
  <c r="AN87" i="8"/>
  <c r="AM87" i="8"/>
  <c r="AD87" i="8"/>
  <c r="P87" i="8"/>
  <c r="N87" i="8" s="1"/>
  <c r="J87" i="8"/>
  <c r="I87" i="8"/>
  <c r="H87" i="8"/>
  <c r="E87" i="8"/>
  <c r="AU86" i="8"/>
  <c r="AW86" i="8" s="1"/>
  <c r="AX86" i="8" s="1"/>
  <c r="AO86" i="8"/>
  <c r="AN86" i="8"/>
  <c r="AM86" i="8"/>
  <c r="AD86" i="8"/>
  <c r="P86" i="8"/>
  <c r="N86" i="8" s="1"/>
  <c r="J86" i="8"/>
  <c r="I86" i="8"/>
  <c r="H86" i="8"/>
  <c r="E86" i="8"/>
  <c r="Y86" i="8" s="1"/>
  <c r="AU85" i="8"/>
  <c r="AW85" i="8" s="1"/>
  <c r="AX85" i="8" s="1"/>
  <c r="AO85" i="8"/>
  <c r="AN85" i="8"/>
  <c r="AM85" i="8"/>
  <c r="AD85" i="8"/>
  <c r="P85" i="8"/>
  <c r="N85" i="8" s="1"/>
  <c r="J85" i="8"/>
  <c r="I85" i="8"/>
  <c r="H85" i="8"/>
  <c r="E85" i="8"/>
  <c r="M85" i="8" s="1"/>
  <c r="G85" i="8" s="1"/>
  <c r="AX84" i="8"/>
  <c r="AU84" i="8"/>
  <c r="AW84" i="8" s="1"/>
  <c r="AO84" i="8"/>
  <c r="AN84" i="8"/>
  <c r="AM84" i="8"/>
  <c r="AD84" i="8"/>
  <c r="P84" i="8"/>
  <c r="N84" i="8" s="1"/>
  <c r="J84" i="8"/>
  <c r="I84" i="8"/>
  <c r="H84" i="8"/>
  <c r="E84" i="8"/>
  <c r="Y84" i="8" s="1"/>
  <c r="AX83" i="8"/>
  <c r="AU83" i="8"/>
  <c r="AW83" i="8" s="1"/>
  <c r="AO83" i="8"/>
  <c r="AN83" i="8"/>
  <c r="AM83" i="8"/>
  <c r="AD83" i="8"/>
  <c r="P83" i="8"/>
  <c r="N83" i="8" s="1"/>
  <c r="J83" i="8"/>
  <c r="I83" i="8"/>
  <c r="H83" i="8"/>
  <c r="E83" i="8"/>
  <c r="Y83" i="8" s="1"/>
  <c r="AW82" i="8"/>
  <c r="AX82" i="8" s="1"/>
  <c r="AU82" i="8"/>
  <c r="AO82" i="8"/>
  <c r="AN82" i="8"/>
  <c r="AM82" i="8"/>
  <c r="AD82" i="8"/>
  <c r="P82" i="8"/>
  <c r="J82" i="8"/>
  <c r="I82" i="8"/>
  <c r="H82" i="8"/>
  <c r="E82" i="8"/>
  <c r="Y82" i="8" s="1"/>
  <c r="AW81" i="8"/>
  <c r="AX81" i="8" s="1"/>
  <c r="AU81" i="8"/>
  <c r="AO81" i="8"/>
  <c r="AN81" i="8"/>
  <c r="AM81" i="8"/>
  <c r="AD81" i="8"/>
  <c r="P81" i="8"/>
  <c r="N81" i="8" s="1"/>
  <c r="J81" i="8"/>
  <c r="I81" i="8"/>
  <c r="H81" i="8"/>
  <c r="E81" i="8"/>
  <c r="AW80" i="8"/>
  <c r="AX80" i="8" s="1"/>
  <c r="AU80" i="8"/>
  <c r="AO80" i="8"/>
  <c r="AN80" i="8"/>
  <c r="AM80" i="8"/>
  <c r="AL80" i="8"/>
  <c r="AD80" i="8"/>
  <c r="P80" i="8"/>
  <c r="N80" i="8" s="1"/>
  <c r="J80" i="8"/>
  <c r="I80" i="8"/>
  <c r="H80" i="8"/>
  <c r="E80" i="8"/>
  <c r="Y80" i="8" s="1"/>
  <c r="AU79" i="8"/>
  <c r="AW79" i="8" s="1"/>
  <c r="AX79" i="8" s="1"/>
  <c r="AO79" i="8"/>
  <c r="AN79" i="8"/>
  <c r="AM79" i="8"/>
  <c r="AD79" i="8"/>
  <c r="P79" i="8"/>
  <c r="J79" i="8"/>
  <c r="I79" i="8"/>
  <c r="H79" i="8"/>
  <c r="E79" i="8"/>
  <c r="AW78" i="8"/>
  <c r="AX78" i="8" s="1"/>
  <c r="AU78" i="8"/>
  <c r="AO78" i="8"/>
  <c r="AN78" i="8"/>
  <c r="AM78" i="8"/>
  <c r="AD78" i="8"/>
  <c r="P78" i="8"/>
  <c r="J78" i="8"/>
  <c r="I78" i="8"/>
  <c r="H78" i="8"/>
  <c r="E78" i="8"/>
  <c r="Y78" i="8" s="1"/>
  <c r="AU77" i="8"/>
  <c r="AW77" i="8" s="1"/>
  <c r="AX77" i="8" s="1"/>
  <c r="AO77" i="8"/>
  <c r="AN77" i="8"/>
  <c r="AM77" i="8"/>
  <c r="AD77" i="8"/>
  <c r="P77" i="8"/>
  <c r="N77" i="8" s="1"/>
  <c r="J77" i="8"/>
  <c r="I77" i="8"/>
  <c r="H77" i="8"/>
  <c r="E77" i="8"/>
  <c r="M77" i="8" s="1"/>
  <c r="G77" i="8" s="1"/>
  <c r="AW76" i="8"/>
  <c r="AX76" i="8" s="1"/>
  <c r="AU76" i="8"/>
  <c r="AO76" i="8"/>
  <c r="AN76" i="8"/>
  <c r="AM76" i="8"/>
  <c r="AD76" i="8"/>
  <c r="P76" i="8"/>
  <c r="J76" i="8"/>
  <c r="I76" i="8"/>
  <c r="H76" i="8"/>
  <c r="E76" i="8"/>
  <c r="Y76" i="8" s="1"/>
  <c r="AU75" i="8"/>
  <c r="AW75" i="8" s="1"/>
  <c r="AX75" i="8" s="1"/>
  <c r="AO75" i="8"/>
  <c r="AN75" i="8"/>
  <c r="AM75" i="8"/>
  <c r="AD75" i="8"/>
  <c r="P75" i="8"/>
  <c r="J75" i="8"/>
  <c r="I75" i="8"/>
  <c r="H75" i="8"/>
  <c r="E75" i="8"/>
  <c r="Y75" i="8" s="1"/>
  <c r="AW74" i="8"/>
  <c r="AX74" i="8" s="1"/>
  <c r="AU74" i="8"/>
  <c r="AO74" i="8"/>
  <c r="AN74" i="8"/>
  <c r="AM74" i="8"/>
  <c r="AD74" i="8"/>
  <c r="P74" i="8"/>
  <c r="J74" i="8"/>
  <c r="I74" i="8"/>
  <c r="H74" i="8"/>
  <c r="E74" i="8"/>
  <c r="AU73" i="8"/>
  <c r="AW73" i="8" s="1"/>
  <c r="AX73" i="8" s="1"/>
  <c r="AO73" i="8"/>
  <c r="AN73" i="8"/>
  <c r="AM73" i="8"/>
  <c r="AD73" i="8"/>
  <c r="P73" i="8"/>
  <c r="J73" i="8"/>
  <c r="I73" i="8"/>
  <c r="H73" i="8"/>
  <c r="E73" i="8"/>
  <c r="AW72" i="8"/>
  <c r="AX72" i="8" s="1"/>
  <c r="AU72" i="8"/>
  <c r="AO72" i="8"/>
  <c r="AN72" i="8"/>
  <c r="AM72" i="8"/>
  <c r="AD72" i="8"/>
  <c r="P72" i="8"/>
  <c r="J72" i="8"/>
  <c r="I72" i="8"/>
  <c r="H72" i="8"/>
  <c r="E72" i="8"/>
  <c r="Y72" i="8" s="1"/>
  <c r="AU71" i="8"/>
  <c r="AW71" i="8" s="1"/>
  <c r="AX71" i="8" s="1"/>
  <c r="AO71" i="8"/>
  <c r="AN71" i="8"/>
  <c r="AM71" i="8"/>
  <c r="AD71" i="8"/>
  <c r="P71" i="8"/>
  <c r="J71" i="8"/>
  <c r="I71" i="8"/>
  <c r="H71" i="8"/>
  <c r="E71" i="8"/>
  <c r="M71" i="8" s="1"/>
  <c r="G71" i="8" s="1"/>
  <c r="AX70" i="8"/>
  <c r="AW70" i="8"/>
  <c r="AU70" i="8"/>
  <c r="AO70" i="8"/>
  <c r="AN70" i="8"/>
  <c r="AM70" i="8"/>
  <c r="AD70" i="8"/>
  <c r="P70" i="8"/>
  <c r="J70" i="8"/>
  <c r="I70" i="8"/>
  <c r="H70" i="8"/>
  <c r="E70" i="8"/>
  <c r="Y70" i="8" s="1"/>
  <c r="AU69" i="8"/>
  <c r="AW69" i="8" s="1"/>
  <c r="AX69" i="8" s="1"/>
  <c r="AO69" i="8"/>
  <c r="AN69" i="8"/>
  <c r="AM69" i="8"/>
  <c r="AD69" i="8"/>
  <c r="P69" i="8"/>
  <c r="J69" i="8"/>
  <c r="I69" i="8"/>
  <c r="H69" i="8"/>
  <c r="E69" i="8"/>
  <c r="AU68" i="8"/>
  <c r="AW68" i="8" s="1"/>
  <c r="AX68" i="8" s="1"/>
  <c r="AO68" i="8"/>
  <c r="AN68" i="8"/>
  <c r="AM68" i="8"/>
  <c r="AD68" i="8"/>
  <c r="P68" i="8"/>
  <c r="J68" i="8"/>
  <c r="I68" i="8"/>
  <c r="H68" i="8"/>
  <c r="E68" i="8"/>
  <c r="M68" i="8" s="1"/>
  <c r="G68" i="8" s="1"/>
  <c r="AW67" i="8"/>
  <c r="AX67" i="8" s="1"/>
  <c r="AU67" i="8"/>
  <c r="AO67" i="8"/>
  <c r="AN67" i="8"/>
  <c r="AM67" i="8"/>
  <c r="AD67" i="8"/>
  <c r="P67" i="8"/>
  <c r="J67" i="8"/>
  <c r="I67" i="8"/>
  <c r="H67" i="8"/>
  <c r="E67" i="8"/>
  <c r="Y67" i="8" s="1"/>
  <c r="AU66" i="8"/>
  <c r="AW66" i="8" s="1"/>
  <c r="AX66" i="8" s="1"/>
  <c r="AO66" i="8"/>
  <c r="AN66" i="8"/>
  <c r="AM66" i="8"/>
  <c r="AD66" i="8"/>
  <c r="P66" i="8"/>
  <c r="J66" i="8"/>
  <c r="I66" i="8"/>
  <c r="H66" i="8"/>
  <c r="E66" i="8"/>
  <c r="M66" i="8" s="1"/>
  <c r="G66" i="8" s="1"/>
  <c r="AX65" i="8"/>
  <c r="AU65" i="8"/>
  <c r="AW65" i="8" s="1"/>
  <c r="AO65" i="8"/>
  <c r="AN65" i="8"/>
  <c r="AM65" i="8"/>
  <c r="AD65" i="8"/>
  <c r="P65" i="8"/>
  <c r="J65" i="8"/>
  <c r="I65" i="8"/>
  <c r="H65" i="8"/>
  <c r="E65" i="8"/>
  <c r="Y65" i="8" s="1"/>
  <c r="AW64" i="8"/>
  <c r="AX64" i="8" s="1"/>
  <c r="AU64" i="8"/>
  <c r="AO64" i="8"/>
  <c r="AN64" i="8"/>
  <c r="AM64" i="8"/>
  <c r="AD64" i="8"/>
  <c r="P64" i="8"/>
  <c r="J64" i="8"/>
  <c r="I64" i="8"/>
  <c r="H64" i="8"/>
  <c r="E64" i="8"/>
  <c r="Y64" i="8" s="1"/>
  <c r="AW63" i="8"/>
  <c r="AX63" i="8" s="1"/>
  <c r="AU63" i="8"/>
  <c r="AO63" i="8"/>
  <c r="AN63" i="8"/>
  <c r="AM63" i="8"/>
  <c r="AD63" i="8"/>
  <c r="P63" i="8"/>
  <c r="N63" i="8" s="1"/>
  <c r="J63" i="8"/>
  <c r="I63" i="8"/>
  <c r="H63" i="8"/>
  <c r="E63" i="8"/>
  <c r="Y63" i="8" s="1"/>
  <c r="AW62" i="8"/>
  <c r="AX62" i="8" s="1"/>
  <c r="AU62" i="8"/>
  <c r="AO62" i="8"/>
  <c r="AN62" i="8"/>
  <c r="AM62" i="8"/>
  <c r="AD62" i="8"/>
  <c r="P62" i="8"/>
  <c r="N62" i="8" s="1"/>
  <c r="J62" i="8"/>
  <c r="I62" i="8"/>
  <c r="H62" i="8"/>
  <c r="E62" i="8"/>
  <c r="M62" i="8" s="1"/>
  <c r="G62" i="8" s="1"/>
  <c r="AW61" i="8"/>
  <c r="AX61" i="8" s="1"/>
  <c r="AU61" i="8"/>
  <c r="AO61" i="8"/>
  <c r="AN61" i="8"/>
  <c r="AM61" i="8"/>
  <c r="AD61" i="8"/>
  <c r="P61" i="8"/>
  <c r="J61" i="8"/>
  <c r="I61" i="8"/>
  <c r="H61" i="8"/>
  <c r="E61" i="8"/>
  <c r="Y61" i="8" s="1"/>
  <c r="AU60" i="8"/>
  <c r="AW60" i="8" s="1"/>
  <c r="AX60" i="8" s="1"/>
  <c r="AO60" i="8"/>
  <c r="AN60" i="8"/>
  <c r="AM60" i="8"/>
  <c r="AD60" i="8"/>
  <c r="P60" i="8"/>
  <c r="J60" i="8"/>
  <c r="I60" i="8"/>
  <c r="H60" i="8"/>
  <c r="E60" i="8"/>
  <c r="M60" i="8" s="1"/>
  <c r="G60" i="8" s="1"/>
  <c r="AU59" i="8"/>
  <c r="AW59" i="8" s="1"/>
  <c r="AX59" i="8" s="1"/>
  <c r="AO59" i="8"/>
  <c r="AN59" i="8"/>
  <c r="AM59" i="8"/>
  <c r="AD59" i="8"/>
  <c r="P59" i="8"/>
  <c r="J59" i="8"/>
  <c r="I59" i="8"/>
  <c r="H59" i="8"/>
  <c r="E59" i="8"/>
  <c r="Y59" i="8" s="1"/>
  <c r="AX58" i="8"/>
  <c r="AU58" i="8"/>
  <c r="AW58" i="8" s="1"/>
  <c r="AO58" i="8"/>
  <c r="AN58" i="8"/>
  <c r="AM58" i="8"/>
  <c r="AD58" i="8"/>
  <c r="P58" i="8"/>
  <c r="J58" i="8"/>
  <c r="I58" i="8"/>
  <c r="H58" i="8"/>
  <c r="E58" i="8"/>
  <c r="AW57" i="8"/>
  <c r="AX57" i="8" s="1"/>
  <c r="AU57" i="8"/>
  <c r="AO57" i="8"/>
  <c r="AN57" i="8"/>
  <c r="AM57" i="8"/>
  <c r="AD57" i="8"/>
  <c r="P57" i="8"/>
  <c r="J57" i="8"/>
  <c r="I57" i="8"/>
  <c r="H57" i="8"/>
  <c r="E57" i="8"/>
  <c r="Y57" i="8" s="1"/>
  <c r="AX56" i="8"/>
  <c r="AU56" i="8"/>
  <c r="AW56" i="8" s="1"/>
  <c r="AO56" i="8"/>
  <c r="AN56" i="8"/>
  <c r="AM56" i="8"/>
  <c r="AD56" i="8"/>
  <c r="P56" i="8"/>
  <c r="N56" i="8" s="1"/>
  <c r="J56" i="8"/>
  <c r="I56" i="8"/>
  <c r="H56" i="8"/>
  <c r="E56" i="8"/>
  <c r="M56" i="8" s="1"/>
  <c r="G56" i="8" s="1"/>
  <c r="AX55" i="8"/>
  <c r="AW55" i="8"/>
  <c r="AU55" i="8"/>
  <c r="AO55" i="8"/>
  <c r="AN55" i="8"/>
  <c r="AM55" i="8"/>
  <c r="AL55" i="8"/>
  <c r="AD55" i="8"/>
  <c r="P55" i="8"/>
  <c r="N55" i="8" s="1"/>
  <c r="J55" i="8"/>
  <c r="I55" i="8"/>
  <c r="H55" i="8"/>
  <c r="E55" i="8"/>
  <c r="Y55" i="8" s="1"/>
  <c r="AX54" i="8"/>
  <c r="AU54" i="8"/>
  <c r="AW54" i="8" s="1"/>
  <c r="AO54" i="8"/>
  <c r="AN54" i="8"/>
  <c r="AM54" i="8"/>
  <c r="AL54" i="8"/>
  <c r="AD54" i="8"/>
  <c r="P54" i="8"/>
  <c r="J54" i="8"/>
  <c r="I54" i="8"/>
  <c r="H54" i="8"/>
  <c r="E54" i="8"/>
  <c r="AW53" i="8"/>
  <c r="AX53" i="8" s="1"/>
  <c r="AU53" i="8"/>
  <c r="AO53" i="8"/>
  <c r="AN53" i="8"/>
  <c r="AM53" i="8"/>
  <c r="AL53" i="8"/>
  <c r="AD53" i="8"/>
  <c r="P53" i="8"/>
  <c r="J53" i="8"/>
  <c r="I53" i="8"/>
  <c r="H53" i="8"/>
  <c r="E53" i="8"/>
  <c r="M53" i="8" s="1"/>
  <c r="G53" i="8" s="1"/>
  <c r="AW52" i="8"/>
  <c r="AX52" i="8" s="1"/>
  <c r="AU52" i="8"/>
  <c r="AO52" i="8"/>
  <c r="AN52" i="8"/>
  <c r="AM52" i="8"/>
  <c r="AL52" i="8"/>
  <c r="AD52" i="8"/>
  <c r="P52" i="8"/>
  <c r="J52" i="8"/>
  <c r="I52" i="8"/>
  <c r="H52" i="8"/>
  <c r="E52" i="8"/>
  <c r="M52" i="8" s="1"/>
  <c r="G52" i="8" s="1"/>
  <c r="AX51" i="8"/>
  <c r="AW51" i="8"/>
  <c r="AU51" i="8"/>
  <c r="AO51" i="8"/>
  <c r="AN51" i="8"/>
  <c r="AM51" i="8"/>
  <c r="AL51" i="8"/>
  <c r="AD51" i="8"/>
  <c r="P51" i="8"/>
  <c r="J51" i="8"/>
  <c r="I51" i="8"/>
  <c r="H51" i="8"/>
  <c r="E51" i="8"/>
  <c r="AU50" i="8"/>
  <c r="AW50" i="8" s="1"/>
  <c r="AX50" i="8" s="1"/>
  <c r="AO50" i="8"/>
  <c r="AN50" i="8"/>
  <c r="AM50" i="8"/>
  <c r="AL50" i="8"/>
  <c r="AD50" i="8"/>
  <c r="P50" i="8"/>
  <c r="J50" i="8"/>
  <c r="I50" i="8"/>
  <c r="H50" i="8"/>
  <c r="E50" i="8"/>
  <c r="AW49" i="8"/>
  <c r="AX49" i="8" s="1"/>
  <c r="AU49" i="8"/>
  <c r="AO49" i="8"/>
  <c r="AN49" i="8"/>
  <c r="AM49" i="8"/>
  <c r="AL49" i="8"/>
  <c r="AD49" i="8"/>
  <c r="P49" i="8"/>
  <c r="J49" i="8"/>
  <c r="I49" i="8"/>
  <c r="H49" i="8"/>
  <c r="E49" i="8"/>
  <c r="M49" i="8" s="1"/>
  <c r="G49" i="8" s="1"/>
  <c r="AW48" i="8"/>
  <c r="AX48" i="8" s="1"/>
  <c r="AU48" i="8"/>
  <c r="AO48" i="8"/>
  <c r="AN48" i="8"/>
  <c r="AM48" i="8"/>
  <c r="AL48" i="8"/>
  <c r="AD48" i="8"/>
  <c r="P48" i="8"/>
  <c r="J48" i="8"/>
  <c r="I48" i="8"/>
  <c r="H48" i="8"/>
  <c r="E48" i="8"/>
  <c r="Y48" i="8" s="1"/>
  <c r="AW47" i="8"/>
  <c r="AX47" i="8" s="1"/>
  <c r="AU47" i="8"/>
  <c r="AO47" i="8"/>
  <c r="AN47" i="8"/>
  <c r="AM47" i="8"/>
  <c r="AL47" i="8"/>
  <c r="AD47" i="8"/>
  <c r="P47" i="8"/>
  <c r="J47" i="8"/>
  <c r="I47" i="8"/>
  <c r="H47" i="8"/>
  <c r="E47" i="8"/>
  <c r="AU46" i="8"/>
  <c r="AW46" i="8" s="1"/>
  <c r="AX46" i="8" s="1"/>
  <c r="AO46" i="8"/>
  <c r="AN46" i="8"/>
  <c r="AM46" i="8"/>
  <c r="AD46" i="8"/>
  <c r="P46" i="8"/>
  <c r="N46" i="8" s="1"/>
  <c r="J46" i="8"/>
  <c r="I46" i="8"/>
  <c r="H46" i="8"/>
  <c r="E46" i="8"/>
  <c r="Y46" i="8" s="1"/>
  <c r="AU45" i="8"/>
  <c r="AW45" i="8" s="1"/>
  <c r="AX45" i="8" s="1"/>
  <c r="AQ45" i="8"/>
  <c r="AO45" i="8"/>
  <c r="AN45" i="8"/>
  <c r="AM45" i="8"/>
  <c r="AD45" i="8"/>
  <c r="P45" i="8"/>
  <c r="J45" i="8"/>
  <c r="I45" i="8"/>
  <c r="H45" i="8"/>
  <c r="E45" i="8"/>
  <c r="Y45" i="8" s="1"/>
  <c r="AW44" i="8"/>
  <c r="AX44" i="8" s="1"/>
  <c r="AU44" i="8"/>
  <c r="AO44" i="8"/>
  <c r="AN44" i="8"/>
  <c r="AM44" i="8"/>
  <c r="AD44" i="8"/>
  <c r="P44" i="8"/>
  <c r="N44" i="8" s="1"/>
  <c r="J44" i="8"/>
  <c r="I44" i="8"/>
  <c r="H44" i="8"/>
  <c r="E44" i="8"/>
  <c r="Y44" i="8" s="1"/>
  <c r="AU43" i="8"/>
  <c r="AW43" i="8" s="1"/>
  <c r="AX43" i="8" s="1"/>
  <c r="AQ43" i="8"/>
  <c r="AO43" i="8"/>
  <c r="AN43" i="8"/>
  <c r="AM43" i="8"/>
  <c r="AD43" i="8"/>
  <c r="P43" i="8"/>
  <c r="N43" i="8" s="1"/>
  <c r="J43" i="8"/>
  <c r="I43" i="8"/>
  <c r="H43" i="8"/>
  <c r="E43" i="8"/>
  <c r="M43" i="8" s="1"/>
  <c r="G43" i="8" s="1"/>
  <c r="AW42" i="8"/>
  <c r="AX42" i="8" s="1"/>
  <c r="AU42" i="8"/>
  <c r="AO42" i="8"/>
  <c r="AN42" i="8"/>
  <c r="AM42" i="8"/>
  <c r="AD42" i="8"/>
  <c r="P42" i="8"/>
  <c r="N42" i="8" s="1"/>
  <c r="J42" i="8"/>
  <c r="I42" i="8"/>
  <c r="H42" i="8"/>
  <c r="E42" i="8"/>
  <c r="Y42" i="8" s="1"/>
  <c r="AU41" i="8"/>
  <c r="AW41" i="8" s="1"/>
  <c r="AX41" i="8" s="1"/>
  <c r="AO41" i="8"/>
  <c r="AN41" i="8"/>
  <c r="AM41" i="8"/>
  <c r="AD41" i="8"/>
  <c r="P41" i="8"/>
  <c r="N41" i="8" s="1"/>
  <c r="J41" i="8"/>
  <c r="I41" i="8"/>
  <c r="H41" i="8"/>
  <c r="E41" i="8"/>
  <c r="M41" i="8" s="1"/>
  <c r="G41" i="8" s="1"/>
  <c r="AW40" i="8"/>
  <c r="AX40" i="8" s="1"/>
  <c r="AU40" i="8"/>
  <c r="AQ40" i="8"/>
  <c r="AO40" i="8"/>
  <c r="AN40" i="8"/>
  <c r="AM40" i="8"/>
  <c r="AD40" i="8"/>
  <c r="P40" i="8"/>
  <c r="N40" i="8" s="1"/>
  <c r="J40" i="8"/>
  <c r="I40" i="8"/>
  <c r="H40" i="8"/>
  <c r="E40" i="8"/>
  <c r="Y40" i="8" s="1"/>
  <c r="AU39" i="8"/>
  <c r="AW39" i="8" s="1"/>
  <c r="AX39" i="8" s="1"/>
  <c r="AQ39" i="8"/>
  <c r="AO39" i="8"/>
  <c r="AN39" i="8"/>
  <c r="AM39" i="8"/>
  <c r="AD39" i="8"/>
  <c r="P39" i="8"/>
  <c r="N39" i="8" s="1"/>
  <c r="J39" i="8"/>
  <c r="I39" i="8"/>
  <c r="H39" i="8"/>
  <c r="E39" i="8"/>
  <c r="AU38" i="8"/>
  <c r="AW38" i="8" s="1"/>
  <c r="AX38" i="8" s="1"/>
  <c r="AO38" i="8"/>
  <c r="AN38" i="8"/>
  <c r="AM38" i="8"/>
  <c r="AD38" i="8"/>
  <c r="P38" i="8"/>
  <c r="N38" i="8" s="1"/>
  <c r="J38" i="8"/>
  <c r="I38" i="8"/>
  <c r="H38" i="8"/>
  <c r="E38" i="8"/>
  <c r="Y38" i="8" s="1"/>
  <c r="AU37" i="8"/>
  <c r="AW37" i="8" s="1"/>
  <c r="AX37" i="8" s="1"/>
  <c r="AQ37" i="8"/>
  <c r="AO37" i="8"/>
  <c r="AN37" i="8"/>
  <c r="AM37" i="8"/>
  <c r="AD37" i="8"/>
  <c r="P37" i="8"/>
  <c r="N37" i="8" s="1"/>
  <c r="J37" i="8"/>
  <c r="I37" i="8"/>
  <c r="H37" i="8"/>
  <c r="E37" i="8"/>
  <c r="M37" i="8" s="1"/>
  <c r="G37" i="8" s="1"/>
  <c r="AX36" i="8"/>
  <c r="AW36" i="8"/>
  <c r="AU36" i="8"/>
  <c r="AO36" i="8"/>
  <c r="AN36" i="8"/>
  <c r="AM36" i="8"/>
  <c r="AD36" i="8"/>
  <c r="P36" i="8"/>
  <c r="N36" i="8" s="1"/>
  <c r="J36" i="8"/>
  <c r="I36" i="8"/>
  <c r="H36" i="8"/>
  <c r="E36" i="8"/>
  <c r="AU35" i="8"/>
  <c r="AW35" i="8" s="1"/>
  <c r="AX35" i="8" s="1"/>
  <c r="AQ35" i="8"/>
  <c r="AO35" i="8"/>
  <c r="AN35" i="8"/>
  <c r="AM35" i="8"/>
  <c r="AD35" i="8"/>
  <c r="P35" i="8"/>
  <c r="J35" i="8"/>
  <c r="I35" i="8"/>
  <c r="H35" i="8"/>
  <c r="E35" i="8"/>
  <c r="M35" i="8" s="1"/>
  <c r="G35" i="8" s="1"/>
  <c r="AU34" i="8"/>
  <c r="AW34" i="8" s="1"/>
  <c r="AX34" i="8" s="1"/>
  <c r="AO34" i="8"/>
  <c r="AN34" i="8"/>
  <c r="AM34" i="8"/>
  <c r="AD34" i="8"/>
  <c r="P34" i="8"/>
  <c r="J34" i="8"/>
  <c r="I34" i="8"/>
  <c r="H34" i="8"/>
  <c r="E34" i="8"/>
  <c r="Y34" i="8" s="1"/>
  <c r="AU33" i="8"/>
  <c r="AW33" i="8" s="1"/>
  <c r="AX33" i="8" s="1"/>
  <c r="AO33" i="8"/>
  <c r="AN33" i="8"/>
  <c r="AM33" i="8"/>
  <c r="AD33" i="8"/>
  <c r="P33" i="8"/>
  <c r="N33" i="8" s="1"/>
  <c r="J33" i="8"/>
  <c r="I33" i="8"/>
  <c r="H33" i="8"/>
  <c r="E33" i="8"/>
  <c r="Y33" i="8" s="1"/>
  <c r="AU32" i="8"/>
  <c r="AW32" i="8" s="1"/>
  <c r="AX32" i="8" s="1"/>
  <c r="AO32" i="8"/>
  <c r="AN32" i="8"/>
  <c r="AM32" i="8"/>
  <c r="AD32" i="8"/>
  <c r="P32" i="8"/>
  <c r="N32" i="8" s="1"/>
  <c r="J32" i="8"/>
  <c r="I32" i="8"/>
  <c r="H32" i="8"/>
  <c r="E32" i="8"/>
  <c r="Y32" i="8" s="1"/>
  <c r="AU31" i="8"/>
  <c r="AW31" i="8" s="1"/>
  <c r="AX31" i="8" s="1"/>
  <c r="AO31" i="8"/>
  <c r="AN31" i="8"/>
  <c r="AM31" i="8"/>
  <c r="AD31" i="8"/>
  <c r="P31" i="8"/>
  <c r="J31" i="8"/>
  <c r="I31" i="8"/>
  <c r="H31" i="8"/>
  <c r="E31" i="8"/>
  <c r="AU30" i="8"/>
  <c r="AW30" i="8" s="1"/>
  <c r="AX30" i="8" s="1"/>
  <c r="AO30" i="8"/>
  <c r="AN30" i="8"/>
  <c r="AM30" i="8"/>
  <c r="AD30" i="8"/>
  <c r="P30" i="8"/>
  <c r="N30" i="8" s="1"/>
  <c r="J30" i="8"/>
  <c r="I30" i="8"/>
  <c r="H30" i="8"/>
  <c r="E30" i="8"/>
  <c r="Y30" i="8" s="1"/>
  <c r="AU29" i="8"/>
  <c r="AW29" i="8" s="1"/>
  <c r="AX29" i="8" s="1"/>
  <c r="AO29" i="8"/>
  <c r="AN29" i="8"/>
  <c r="AM29" i="8"/>
  <c r="AD29" i="8"/>
  <c r="P29" i="8"/>
  <c r="N29" i="8" s="1"/>
  <c r="J29" i="8"/>
  <c r="I29" i="8"/>
  <c r="H29" i="8"/>
  <c r="E29" i="8"/>
  <c r="Y29" i="8" s="1"/>
  <c r="AW28" i="8"/>
  <c r="AX28" i="8" s="1"/>
  <c r="AU28" i="8"/>
  <c r="AQ28" i="8"/>
  <c r="AO28" i="8"/>
  <c r="AN28" i="8"/>
  <c r="AM28" i="8"/>
  <c r="AD28" i="8"/>
  <c r="P28" i="8"/>
  <c r="N28" i="8" s="1"/>
  <c r="J28" i="8"/>
  <c r="I28" i="8"/>
  <c r="H28" i="8"/>
  <c r="E28" i="8"/>
  <c r="AU27" i="8"/>
  <c r="AW27" i="8" s="1"/>
  <c r="AX27" i="8" s="1"/>
  <c r="AO27" i="8"/>
  <c r="AN27" i="8"/>
  <c r="AM27" i="8"/>
  <c r="AD27" i="8"/>
  <c r="P27" i="8"/>
  <c r="N27" i="8" s="1"/>
  <c r="J27" i="8"/>
  <c r="I27" i="8"/>
  <c r="H27" i="8"/>
  <c r="E27" i="8"/>
  <c r="AU26" i="8"/>
  <c r="AW26" i="8" s="1"/>
  <c r="AX26" i="8" s="1"/>
  <c r="AQ26" i="8"/>
  <c r="AO26" i="8"/>
  <c r="AN26" i="8"/>
  <c r="AM26" i="8"/>
  <c r="AD26" i="8"/>
  <c r="P26" i="8"/>
  <c r="J26" i="8"/>
  <c r="I26" i="8"/>
  <c r="H26" i="8"/>
  <c r="E26" i="8"/>
  <c r="Y26" i="8" s="1"/>
  <c r="AX25" i="8"/>
  <c r="AW25" i="8"/>
  <c r="AU25" i="8"/>
  <c r="AQ25" i="8"/>
  <c r="AO25" i="8"/>
  <c r="AN25" i="8"/>
  <c r="AM25" i="8"/>
  <c r="AD25" i="8"/>
  <c r="P25" i="8"/>
  <c r="N25" i="8" s="1"/>
  <c r="J25" i="8"/>
  <c r="I25" i="8"/>
  <c r="H25" i="8"/>
  <c r="E25" i="8"/>
  <c r="Y25" i="8" s="1"/>
  <c r="AU24" i="8"/>
  <c r="AW24" i="8" s="1"/>
  <c r="AX24" i="8" s="1"/>
  <c r="AQ24" i="8"/>
  <c r="AO24" i="8"/>
  <c r="AN24" i="8"/>
  <c r="AM24" i="8"/>
  <c r="AD24" i="8"/>
  <c r="P24" i="8"/>
  <c r="N24" i="8" s="1"/>
  <c r="J24" i="8"/>
  <c r="I24" i="8"/>
  <c r="H24" i="8"/>
  <c r="E24" i="8"/>
  <c r="Y24" i="8" s="1"/>
  <c r="AU23" i="8"/>
  <c r="AW23" i="8" s="1"/>
  <c r="AX23" i="8" s="1"/>
  <c r="AO23" i="8"/>
  <c r="AN23" i="8"/>
  <c r="AM23" i="8"/>
  <c r="AD23" i="8"/>
  <c r="P23" i="8"/>
  <c r="J23" i="8"/>
  <c r="I23" i="8"/>
  <c r="H23" i="8"/>
  <c r="E23" i="8"/>
  <c r="Y23" i="8" s="1"/>
  <c r="AU22" i="8"/>
  <c r="AW22" i="8" s="1"/>
  <c r="AX22" i="8" s="1"/>
  <c r="AO22" i="8"/>
  <c r="AN22" i="8"/>
  <c r="AM22" i="8"/>
  <c r="AD22" i="8"/>
  <c r="P22" i="8"/>
  <c r="N22" i="8" s="1"/>
  <c r="J22" i="8"/>
  <c r="I22" i="8"/>
  <c r="H22" i="8"/>
  <c r="E22" i="8"/>
  <c r="Y22" i="8" s="1"/>
  <c r="AU21" i="8"/>
  <c r="AW21" i="8" s="1"/>
  <c r="AX21" i="8" s="1"/>
  <c r="AO21" i="8"/>
  <c r="AN21" i="8"/>
  <c r="AM21" i="8"/>
  <c r="AD21" i="8"/>
  <c r="P21" i="8"/>
  <c r="N21" i="8" s="1"/>
  <c r="J21" i="8"/>
  <c r="I21" i="8"/>
  <c r="H21" i="8"/>
  <c r="E21" i="8"/>
  <c r="Y21" i="8" s="1"/>
  <c r="AW20" i="8"/>
  <c r="AX20" i="8" s="1"/>
  <c r="AU20" i="8"/>
  <c r="AQ20" i="8"/>
  <c r="AO20" i="8"/>
  <c r="AN20" i="8"/>
  <c r="AM20" i="8"/>
  <c r="AD20" i="8"/>
  <c r="P20" i="8"/>
  <c r="J20" i="8"/>
  <c r="I20" i="8"/>
  <c r="H20" i="8"/>
  <c r="E20" i="8"/>
  <c r="Y20" i="8" s="1"/>
  <c r="AU19" i="8"/>
  <c r="AW19" i="8" s="1"/>
  <c r="AX19" i="8" s="1"/>
  <c r="AO19" i="8"/>
  <c r="AN19" i="8"/>
  <c r="AM19" i="8"/>
  <c r="AD19" i="8"/>
  <c r="P19" i="8"/>
  <c r="N19" i="8" s="1"/>
  <c r="J19" i="8"/>
  <c r="I19" i="8"/>
  <c r="H19" i="8"/>
  <c r="E19" i="8"/>
  <c r="M19" i="8" s="1"/>
  <c r="G19" i="8" s="1"/>
  <c r="AW18" i="8"/>
  <c r="AX18" i="8" s="1"/>
  <c r="AU18" i="8"/>
  <c r="AO18" i="8"/>
  <c r="AN18" i="8"/>
  <c r="AM18" i="8"/>
  <c r="AD18" i="8"/>
  <c r="P18" i="8"/>
  <c r="N18" i="8" s="1"/>
  <c r="J18" i="8"/>
  <c r="I18" i="8"/>
  <c r="H18" i="8"/>
  <c r="E18" i="8"/>
  <c r="Y18" i="8" s="1"/>
  <c r="AU17" i="8"/>
  <c r="AW17" i="8" s="1"/>
  <c r="AX17" i="8" s="1"/>
  <c r="AQ17" i="8"/>
  <c r="AO17" i="8"/>
  <c r="AN17" i="8"/>
  <c r="AM17" i="8"/>
  <c r="AD17" i="8"/>
  <c r="P17" i="8"/>
  <c r="N17" i="8" s="1"/>
  <c r="J17" i="8"/>
  <c r="I17" i="8"/>
  <c r="H17" i="8"/>
  <c r="E17" i="8"/>
  <c r="M17" i="8" s="1"/>
  <c r="G17" i="8" s="1"/>
  <c r="AW16" i="8"/>
  <c r="AX16" i="8" s="1"/>
  <c r="AU16" i="8"/>
  <c r="AQ16" i="8"/>
  <c r="AO16" i="8"/>
  <c r="AN16" i="8"/>
  <c r="AM16" i="8"/>
  <c r="AD16" i="8"/>
  <c r="P16" i="8"/>
  <c r="N16" i="8" s="1"/>
  <c r="J16" i="8"/>
  <c r="I16" i="8"/>
  <c r="H16" i="8"/>
  <c r="E16" i="8"/>
  <c r="Y16" i="8" s="1"/>
  <c r="AW15" i="8"/>
  <c r="AX15" i="8" s="1"/>
  <c r="AU15" i="8"/>
  <c r="AQ15" i="8"/>
  <c r="AO15" i="8"/>
  <c r="AN15" i="8"/>
  <c r="AM15" i="8"/>
  <c r="AD15" i="8"/>
  <c r="P15" i="8"/>
  <c r="N15" i="8" s="1"/>
  <c r="J15" i="8"/>
  <c r="I15" i="8"/>
  <c r="H15" i="8"/>
  <c r="E15" i="8"/>
  <c r="AU14" i="8"/>
  <c r="AW14" i="8" s="1"/>
  <c r="AX14" i="8" s="1"/>
  <c r="AQ14" i="8"/>
  <c r="AO14" i="8"/>
  <c r="AN14" i="8"/>
  <c r="AM14" i="8"/>
  <c r="AD14" i="8"/>
  <c r="P14" i="8"/>
  <c r="J14" i="8"/>
  <c r="I14" i="8"/>
  <c r="H14" i="8"/>
  <c r="E14" i="8"/>
  <c r="M14" i="8" s="1"/>
  <c r="G14" i="8" s="1"/>
  <c r="AU13" i="8"/>
  <c r="AW13" i="8" s="1"/>
  <c r="AX13" i="8" s="1"/>
  <c r="AQ13" i="8"/>
  <c r="AO13" i="8"/>
  <c r="AN13" i="8"/>
  <c r="AM13" i="8"/>
  <c r="AD13" i="8"/>
  <c r="P13" i="8"/>
  <c r="J13" i="8"/>
  <c r="I13" i="8"/>
  <c r="H13" i="8"/>
  <c r="E13" i="8"/>
  <c r="Y13" i="8" s="1"/>
  <c r="AU12" i="8"/>
  <c r="AW12" i="8" s="1"/>
  <c r="AX12" i="8" s="1"/>
  <c r="AO12" i="8"/>
  <c r="AN12" i="8"/>
  <c r="AM12" i="8"/>
  <c r="AD12" i="8"/>
  <c r="P12" i="8"/>
  <c r="N12" i="8" s="1"/>
  <c r="J12" i="8"/>
  <c r="I12" i="8"/>
  <c r="H12" i="8"/>
  <c r="E12" i="8"/>
  <c r="M12" i="8" s="1"/>
  <c r="G12" i="8" s="1"/>
  <c r="AU11" i="8"/>
  <c r="AW11" i="8" s="1"/>
  <c r="AX11" i="8" s="1"/>
  <c r="AQ11" i="8"/>
  <c r="AO11" i="8"/>
  <c r="AN11" i="8"/>
  <c r="AM11" i="8"/>
  <c r="AL11" i="8"/>
  <c r="AD11" i="8"/>
  <c r="P11" i="8"/>
  <c r="J11" i="8"/>
  <c r="I11" i="8"/>
  <c r="H11" i="8"/>
  <c r="E11" i="8"/>
  <c r="M11" i="8" s="1"/>
  <c r="G11" i="8" s="1"/>
  <c r="AU10" i="8"/>
  <c r="AW10" i="8" s="1"/>
  <c r="AX10" i="8" s="1"/>
  <c r="AQ10" i="8"/>
  <c r="AO10" i="8"/>
  <c r="AN10" i="8"/>
  <c r="AM10" i="8"/>
  <c r="AL10" i="8"/>
  <c r="AD10" i="8"/>
  <c r="P10" i="8"/>
  <c r="J10" i="8"/>
  <c r="I10" i="8"/>
  <c r="H10" i="8"/>
  <c r="E10" i="8"/>
  <c r="Y10" i="8" s="1"/>
  <c r="AX9" i="8"/>
  <c r="AW9" i="8"/>
  <c r="AU9" i="8"/>
  <c r="AQ9" i="8"/>
  <c r="AO9" i="8"/>
  <c r="AN9" i="8"/>
  <c r="AM9" i="8"/>
  <c r="AL9" i="8"/>
  <c r="AD9" i="8"/>
  <c r="P9" i="8"/>
  <c r="J9" i="8"/>
  <c r="I9" i="8"/>
  <c r="H9" i="8"/>
  <c r="E9" i="8"/>
  <c r="Y9" i="8" s="1"/>
  <c r="AU8" i="8"/>
  <c r="AW8" i="8" s="1"/>
  <c r="AX8" i="8" s="1"/>
  <c r="AQ8" i="8"/>
  <c r="AO8" i="8"/>
  <c r="AN8" i="8"/>
  <c r="AM8" i="8"/>
  <c r="AL8" i="8"/>
  <c r="AD8" i="8"/>
  <c r="P8" i="8"/>
  <c r="J8" i="8"/>
  <c r="I8" i="8"/>
  <c r="H8" i="8"/>
  <c r="E8" i="8"/>
  <c r="M8" i="8" s="1"/>
  <c r="G8" i="8" s="1"/>
  <c r="AU7" i="8"/>
  <c r="AW7" i="8" s="1"/>
  <c r="AX7" i="8" s="1"/>
  <c r="AQ7" i="8"/>
  <c r="AO7" i="8"/>
  <c r="AN7" i="8"/>
  <c r="AM7" i="8"/>
  <c r="AL7" i="8"/>
  <c r="AD7" i="8"/>
  <c r="P7" i="8"/>
  <c r="N7" i="8" s="1"/>
  <c r="J7" i="8"/>
  <c r="I7" i="8"/>
  <c r="H7" i="8"/>
  <c r="E7" i="8"/>
  <c r="M7" i="8" s="1"/>
  <c r="G7" i="8" s="1"/>
  <c r="AU6" i="8"/>
  <c r="AW6" i="8" s="1"/>
  <c r="AX6" i="8" s="1"/>
  <c r="AQ6" i="8"/>
  <c r="AO6" i="8"/>
  <c r="AN6" i="8"/>
  <c r="AM6" i="8"/>
  <c r="AL6" i="8"/>
  <c r="AD6" i="8"/>
  <c r="P6" i="8"/>
  <c r="J6" i="8"/>
  <c r="I6" i="8"/>
  <c r="H6" i="8"/>
  <c r="E6" i="8"/>
  <c r="Y6" i="8" s="1"/>
  <c r="AU5" i="8"/>
  <c r="AQ5" i="8"/>
  <c r="AO5" i="8"/>
  <c r="AN5" i="8"/>
  <c r="AM5" i="8"/>
  <c r="AL5" i="8"/>
  <c r="AD5" i="8"/>
  <c r="P5" i="8"/>
  <c r="J5" i="8"/>
  <c r="I5" i="8"/>
  <c r="H5" i="8"/>
  <c r="E5" i="8"/>
  <c r="Y5" i="8" s="1"/>
  <c r="K3" i="8"/>
  <c r="K133" i="8" s="1"/>
  <c r="F2" i="8"/>
  <c r="AV1" i="8"/>
  <c r="AU1" i="8"/>
  <c r="AQ1" i="8"/>
  <c r="AQ93" i="8" s="1"/>
  <c r="AP1" i="8"/>
  <c r="AP42" i="8" s="1"/>
  <c r="AF189" i="6"/>
  <c r="AF188" i="6"/>
  <c r="AE188" i="6"/>
  <c r="AL179" i="6"/>
  <c r="AN176" i="6"/>
  <c r="AO176" i="6" s="1"/>
  <c r="AR176" i="6" s="1"/>
  <c r="AR179" i="6" s="1"/>
  <c r="AQ175" i="6"/>
  <c r="AV174" i="6"/>
  <c r="AI174" i="6"/>
  <c r="AM174" i="6" s="1"/>
  <c r="AB174" i="6"/>
  <c r="O174" i="6"/>
  <c r="M174" i="6" s="1"/>
  <c r="J174" i="6"/>
  <c r="I174" i="6"/>
  <c r="H174" i="6"/>
  <c r="E174" i="6"/>
  <c r="L174" i="6" s="1"/>
  <c r="G174" i="6" s="1"/>
  <c r="AV173" i="6"/>
  <c r="AI173" i="6"/>
  <c r="AL173" i="6" s="1"/>
  <c r="AB173" i="6"/>
  <c r="O173" i="6"/>
  <c r="M173" i="6" s="1"/>
  <c r="J173" i="6"/>
  <c r="I173" i="6"/>
  <c r="H173" i="6"/>
  <c r="E173" i="6"/>
  <c r="W173" i="6" s="1"/>
  <c r="AV172" i="6"/>
  <c r="AI172" i="6"/>
  <c r="AB172" i="6"/>
  <c r="O172" i="6"/>
  <c r="J172" i="6"/>
  <c r="I172" i="6"/>
  <c r="H172" i="6"/>
  <c r="E172" i="6"/>
  <c r="L172" i="6" s="1"/>
  <c r="G172" i="6" s="1"/>
  <c r="AV171" i="6"/>
  <c r="AI171" i="6"/>
  <c r="AO171" i="6" s="1"/>
  <c r="AB171" i="6"/>
  <c r="O171" i="6"/>
  <c r="M171" i="6" s="1"/>
  <c r="J171" i="6"/>
  <c r="I171" i="6"/>
  <c r="H171" i="6"/>
  <c r="E171" i="6"/>
  <c r="W171" i="6" s="1"/>
  <c r="AV170" i="6"/>
  <c r="AI170" i="6"/>
  <c r="AM170" i="6" s="1"/>
  <c r="AB170" i="6"/>
  <c r="O170" i="6"/>
  <c r="M170" i="6" s="1"/>
  <c r="J170" i="6"/>
  <c r="I170" i="6"/>
  <c r="H170" i="6"/>
  <c r="E170" i="6"/>
  <c r="AV169" i="6"/>
  <c r="AI169" i="6"/>
  <c r="AB169" i="6"/>
  <c r="O169" i="6"/>
  <c r="M169" i="6" s="1"/>
  <c r="J169" i="6"/>
  <c r="I169" i="6"/>
  <c r="H169" i="6"/>
  <c r="E169" i="6"/>
  <c r="AV168" i="6"/>
  <c r="AI168" i="6"/>
  <c r="AO168" i="6" s="1"/>
  <c r="AB168" i="6"/>
  <c r="O168" i="6"/>
  <c r="M168" i="6" s="1"/>
  <c r="J168" i="6"/>
  <c r="I168" i="6"/>
  <c r="H168" i="6"/>
  <c r="E168" i="6"/>
  <c r="W168" i="6" s="1"/>
  <c r="AV167" i="6"/>
  <c r="AI167" i="6"/>
  <c r="AO167" i="6" s="1"/>
  <c r="AB167" i="6"/>
  <c r="O167" i="6"/>
  <c r="M167" i="6" s="1"/>
  <c r="J167" i="6"/>
  <c r="I167" i="6"/>
  <c r="H167" i="6"/>
  <c r="E167" i="6"/>
  <c r="L167" i="6" s="1"/>
  <c r="G167" i="6" s="1"/>
  <c r="AV166" i="6"/>
  <c r="AI166" i="6"/>
  <c r="AB166" i="6"/>
  <c r="O166" i="6"/>
  <c r="M166" i="6" s="1"/>
  <c r="J166" i="6"/>
  <c r="I166" i="6"/>
  <c r="H166" i="6"/>
  <c r="E166" i="6"/>
  <c r="L166" i="6" s="1"/>
  <c r="G166" i="6" s="1"/>
  <c r="AV165" i="6"/>
  <c r="AI165" i="6"/>
  <c r="AN165" i="6" s="1"/>
  <c r="AB165" i="6"/>
  <c r="O165" i="6"/>
  <c r="M165" i="6" s="1"/>
  <c r="J165" i="6"/>
  <c r="I165" i="6"/>
  <c r="H165" i="6"/>
  <c r="E165" i="6"/>
  <c r="L165" i="6" s="1"/>
  <c r="G165" i="6" s="1"/>
  <c r="AV164" i="6"/>
  <c r="AI164" i="6"/>
  <c r="AK164" i="6" s="1"/>
  <c r="AB164" i="6"/>
  <c r="O164" i="6"/>
  <c r="J164" i="6"/>
  <c r="I164" i="6"/>
  <c r="H164" i="6"/>
  <c r="E164" i="6"/>
  <c r="L164" i="6" s="1"/>
  <c r="G164" i="6" s="1"/>
  <c r="AV163" i="6"/>
  <c r="AI163" i="6"/>
  <c r="AN163" i="6" s="1"/>
  <c r="AB163" i="6"/>
  <c r="O163" i="6"/>
  <c r="J163" i="6"/>
  <c r="I163" i="6"/>
  <c r="H163" i="6"/>
  <c r="E163" i="6"/>
  <c r="AV162" i="6"/>
  <c r="AI162" i="6"/>
  <c r="AK162" i="6" s="1"/>
  <c r="AB162" i="6"/>
  <c r="O162" i="6"/>
  <c r="M162" i="6" s="1"/>
  <c r="J162" i="6"/>
  <c r="I162" i="6"/>
  <c r="H162" i="6"/>
  <c r="E162" i="6"/>
  <c r="W162" i="6" s="1"/>
  <c r="AV161" i="6"/>
  <c r="AI161" i="6"/>
  <c r="AB161" i="6"/>
  <c r="O161" i="6"/>
  <c r="M161" i="6" s="1"/>
  <c r="J161" i="6"/>
  <c r="I161" i="6"/>
  <c r="H161" i="6"/>
  <c r="E161" i="6"/>
  <c r="L161" i="6" s="1"/>
  <c r="G161" i="6" s="1"/>
  <c r="AV160" i="6"/>
  <c r="AI160" i="6"/>
  <c r="AO160" i="6" s="1"/>
  <c r="AB160" i="6"/>
  <c r="O160" i="6"/>
  <c r="M160" i="6" s="1"/>
  <c r="J160" i="6"/>
  <c r="I160" i="6"/>
  <c r="H160" i="6"/>
  <c r="E160" i="6"/>
  <c r="L160" i="6" s="1"/>
  <c r="G160" i="6" s="1"/>
  <c r="AV159" i="6"/>
  <c r="AI159" i="6"/>
  <c r="AO159" i="6" s="1"/>
  <c r="AB159" i="6"/>
  <c r="O159" i="6"/>
  <c r="M159" i="6" s="1"/>
  <c r="J159" i="6"/>
  <c r="I159" i="6"/>
  <c r="H159" i="6"/>
  <c r="E159" i="6"/>
  <c r="W159" i="6" s="1"/>
  <c r="AV158" i="6"/>
  <c r="AI158" i="6"/>
  <c r="AM158" i="6" s="1"/>
  <c r="AB158" i="6"/>
  <c r="O158" i="6"/>
  <c r="J158" i="6"/>
  <c r="I158" i="6"/>
  <c r="H158" i="6"/>
  <c r="E158" i="6"/>
  <c r="F135" i="13" s="1"/>
  <c r="AV157" i="6"/>
  <c r="AI157" i="6"/>
  <c r="AL157" i="6" s="1"/>
  <c r="AB157" i="6"/>
  <c r="O157" i="6"/>
  <c r="J157" i="6"/>
  <c r="I157" i="6"/>
  <c r="H157" i="6"/>
  <c r="E157" i="6"/>
  <c r="L157" i="6" s="1"/>
  <c r="G157" i="6" s="1"/>
  <c r="AI156" i="6"/>
  <c r="AO156" i="6" s="1"/>
  <c r="AB156" i="6"/>
  <c r="N156" i="6"/>
  <c r="AV156" i="6" s="1"/>
  <c r="J156" i="6"/>
  <c r="I156" i="6"/>
  <c r="H156" i="6"/>
  <c r="E156" i="6"/>
  <c r="AV155" i="6"/>
  <c r="AI155" i="6"/>
  <c r="AB155" i="6"/>
  <c r="O155" i="6"/>
  <c r="M155" i="6" s="1"/>
  <c r="J155" i="6"/>
  <c r="I155" i="6"/>
  <c r="H155" i="6"/>
  <c r="E155" i="6"/>
  <c r="W155" i="6" s="1"/>
  <c r="AV154" i="6"/>
  <c r="AI154" i="6"/>
  <c r="AO154" i="6" s="1"/>
  <c r="AB154" i="6"/>
  <c r="O154" i="6"/>
  <c r="J154" i="6"/>
  <c r="I154" i="6"/>
  <c r="H154" i="6"/>
  <c r="E154" i="6"/>
  <c r="W154" i="6" s="1"/>
  <c r="AV153" i="6"/>
  <c r="AI153" i="6"/>
  <c r="AM153" i="6" s="1"/>
  <c r="AB153" i="6"/>
  <c r="O153" i="6"/>
  <c r="M153" i="6" s="1"/>
  <c r="J153" i="6"/>
  <c r="I153" i="6"/>
  <c r="H153" i="6"/>
  <c r="E153" i="6"/>
  <c r="L153" i="6" s="1"/>
  <c r="G153" i="6" s="1"/>
  <c r="AV152" i="6"/>
  <c r="AI152" i="6"/>
  <c r="AO152" i="6" s="1"/>
  <c r="AB152" i="6"/>
  <c r="O152" i="6"/>
  <c r="M152" i="6" s="1"/>
  <c r="J152" i="6"/>
  <c r="I152" i="6"/>
  <c r="H152" i="6"/>
  <c r="E152" i="6"/>
  <c r="AV151" i="6"/>
  <c r="AI151" i="6"/>
  <c r="AO151" i="6" s="1"/>
  <c r="AB151" i="6"/>
  <c r="O151" i="6"/>
  <c r="J151" i="6"/>
  <c r="I151" i="6"/>
  <c r="H151" i="6"/>
  <c r="E151" i="6"/>
  <c r="W151" i="6" s="1"/>
  <c r="AV150" i="6"/>
  <c r="AI150" i="6"/>
  <c r="AN150" i="6" s="1"/>
  <c r="AB150" i="6"/>
  <c r="O150" i="6"/>
  <c r="M150" i="6" s="1"/>
  <c r="J150" i="6"/>
  <c r="I150" i="6"/>
  <c r="H150" i="6"/>
  <c r="E150" i="6"/>
  <c r="L150" i="6" s="1"/>
  <c r="G150" i="6" s="1"/>
  <c r="AV149" i="6"/>
  <c r="AI149" i="6"/>
  <c r="AK149" i="6" s="1"/>
  <c r="AB149" i="6"/>
  <c r="O149" i="6"/>
  <c r="J149" i="6"/>
  <c r="I149" i="6"/>
  <c r="H149" i="6"/>
  <c r="E149" i="6"/>
  <c r="L149" i="6" s="1"/>
  <c r="G149" i="6" s="1"/>
  <c r="AV148" i="6"/>
  <c r="AI148" i="6"/>
  <c r="AB148" i="6"/>
  <c r="O148" i="6"/>
  <c r="M148" i="6" s="1"/>
  <c r="J148" i="6"/>
  <c r="I148" i="6"/>
  <c r="H148" i="6"/>
  <c r="E148" i="6"/>
  <c r="AV147" i="6"/>
  <c r="AI147" i="6"/>
  <c r="AB147" i="6"/>
  <c r="O147" i="6"/>
  <c r="M147" i="6" s="1"/>
  <c r="J147" i="6"/>
  <c r="I147" i="6"/>
  <c r="H147" i="6"/>
  <c r="E147" i="6"/>
  <c r="W147" i="6" s="1"/>
  <c r="AV146" i="6"/>
  <c r="AI146" i="6"/>
  <c r="AB146" i="6"/>
  <c r="O146" i="6"/>
  <c r="M146" i="6" s="1"/>
  <c r="J146" i="6"/>
  <c r="I146" i="6"/>
  <c r="H146" i="6"/>
  <c r="E146" i="6"/>
  <c r="W146" i="6" s="1"/>
  <c r="AV145" i="6"/>
  <c r="AI145" i="6"/>
  <c r="AO145" i="6" s="1"/>
  <c r="AB145" i="6"/>
  <c r="O145" i="6"/>
  <c r="M145" i="6" s="1"/>
  <c r="J145" i="6"/>
  <c r="I145" i="6"/>
  <c r="H145" i="6"/>
  <c r="E145" i="6"/>
  <c r="L145" i="6" s="1"/>
  <c r="G145" i="6" s="1"/>
  <c r="AV144" i="6"/>
  <c r="AI144" i="6"/>
  <c r="AO144" i="6" s="1"/>
  <c r="AB144" i="6"/>
  <c r="O144" i="6"/>
  <c r="M144" i="6" s="1"/>
  <c r="J144" i="6"/>
  <c r="I144" i="6"/>
  <c r="H144" i="6"/>
  <c r="E144" i="6"/>
  <c r="L144" i="6" s="1"/>
  <c r="G144" i="6" s="1"/>
  <c r="AV143" i="6"/>
  <c r="AI143" i="6"/>
  <c r="AN143" i="6" s="1"/>
  <c r="AB143" i="6"/>
  <c r="O143" i="6"/>
  <c r="M143" i="6" s="1"/>
  <c r="J143" i="6"/>
  <c r="I143" i="6"/>
  <c r="H143" i="6"/>
  <c r="E143" i="6"/>
  <c r="W143" i="6" s="1"/>
  <c r="AV142" i="6"/>
  <c r="AI142" i="6"/>
  <c r="AK142" i="6" s="1"/>
  <c r="AB142" i="6"/>
  <c r="O142" i="6"/>
  <c r="M142" i="6" s="1"/>
  <c r="J142" i="6"/>
  <c r="I142" i="6"/>
  <c r="H142" i="6"/>
  <c r="E142" i="6"/>
  <c r="W142" i="6" s="1"/>
  <c r="AV141" i="6"/>
  <c r="AI141" i="6"/>
  <c r="B2" i="15" s="1"/>
  <c r="AB141" i="6"/>
  <c r="O141" i="6"/>
  <c r="M141" i="6" s="1"/>
  <c r="J141" i="6"/>
  <c r="I141" i="6"/>
  <c r="H141" i="6"/>
  <c r="E141" i="6"/>
  <c r="AV140" i="6"/>
  <c r="AI140" i="6"/>
  <c r="AL140" i="6" s="1"/>
  <c r="AB140" i="6"/>
  <c r="O140" i="6"/>
  <c r="M140" i="6" s="1"/>
  <c r="J140" i="6"/>
  <c r="I140" i="6"/>
  <c r="H140" i="6"/>
  <c r="E140" i="6"/>
  <c r="W140" i="6" s="1"/>
  <c r="AV139" i="6"/>
  <c r="AI139" i="6"/>
  <c r="AL139" i="6" s="1"/>
  <c r="AB139" i="6"/>
  <c r="O139" i="6"/>
  <c r="M139" i="6" s="1"/>
  <c r="J139" i="6"/>
  <c r="I139" i="6"/>
  <c r="H139" i="6"/>
  <c r="E139" i="6"/>
  <c r="W139" i="6" s="1"/>
  <c r="AV138" i="6"/>
  <c r="AI138" i="6"/>
  <c r="AB138" i="6"/>
  <c r="O138" i="6"/>
  <c r="M138" i="6" s="1"/>
  <c r="J138" i="6"/>
  <c r="I138" i="6"/>
  <c r="H138" i="6"/>
  <c r="E138" i="6"/>
  <c r="L138" i="6" s="1"/>
  <c r="G138" i="6" s="1"/>
  <c r="AV137" i="6"/>
  <c r="AI137" i="6"/>
  <c r="AO137" i="6" s="1"/>
  <c r="AB137" i="6"/>
  <c r="O137" i="6"/>
  <c r="J137" i="6"/>
  <c r="I137" i="6"/>
  <c r="H137" i="6"/>
  <c r="E137" i="6"/>
  <c r="AV136" i="6"/>
  <c r="AI136" i="6"/>
  <c r="AM136" i="6" s="1"/>
  <c r="AB136" i="6"/>
  <c r="O136" i="6"/>
  <c r="J136" i="6"/>
  <c r="I136" i="6"/>
  <c r="H136" i="6"/>
  <c r="E136" i="6"/>
  <c r="L136" i="6" s="1"/>
  <c r="G136" i="6" s="1"/>
  <c r="AV135" i="6"/>
  <c r="AI135" i="6"/>
  <c r="AO135" i="6" s="1"/>
  <c r="AB135" i="6"/>
  <c r="O135" i="6"/>
  <c r="J135" i="6"/>
  <c r="I135" i="6"/>
  <c r="H135" i="6"/>
  <c r="E135" i="6"/>
  <c r="W135" i="6" s="1"/>
  <c r="AV134" i="6"/>
  <c r="AI134" i="6"/>
  <c r="AK134" i="6" s="1"/>
  <c r="AB134" i="6"/>
  <c r="O134" i="6"/>
  <c r="M134" i="6" s="1"/>
  <c r="J134" i="6"/>
  <c r="I134" i="6"/>
  <c r="H134" i="6"/>
  <c r="E134" i="6"/>
  <c r="L134" i="6" s="1"/>
  <c r="G134" i="6" s="1"/>
  <c r="AV133" i="6"/>
  <c r="AI133" i="6"/>
  <c r="AN133" i="6" s="1"/>
  <c r="AB133" i="6"/>
  <c r="O133" i="6"/>
  <c r="M133" i="6" s="1"/>
  <c r="J133" i="6"/>
  <c r="I133" i="6"/>
  <c r="H133" i="6"/>
  <c r="E133" i="6"/>
  <c r="AV132" i="6"/>
  <c r="AI132" i="6"/>
  <c r="AL132" i="6" s="1"/>
  <c r="AB132" i="6"/>
  <c r="O132" i="6"/>
  <c r="J132" i="6"/>
  <c r="I132" i="6"/>
  <c r="H132" i="6"/>
  <c r="E132" i="6"/>
  <c r="W132" i="6" s="1"/>
  <c r="AV131" i="6"/>
  <c r="AI131" i="6"/>
  <c r="AL131" i="6" s="1"/>
  <c r="AB131" i="6"/>
  <c r="O131" i="6"/>
  <c r="J131" i="6"/>
  <c r="I131" i="6"/>
  <c r="H131" i="6"/>
  <c r="E131" i="6"/>
  <c r="W131" i="6" s="1"/>
  <c r="AV130" i="6"/>
  <c r="AI130" i="6"/>
  <c r="AB130" i="6"/>
  <c r="O130" i="6"/>
  <c r="J130" i="6"/>
  <c r="I130" i="6"/>
  <c r="H130" i="6"/>
  <c r="E130" i="6"/>
  <c r="AV129" i="6"/>
  <c r="AI129" i="6"/>
  <c r="AB129" i="6"/>
  <c r="O129" i="6"/>
  <c r="J129" i="6"/>
  <c r="I129" i="6"/>
  <c r="H129" i="6"/>
  <c r="E129" i="6"/>
  <c r="AV128" i="6"/>
  <c r="AI128" i="6"/>
  <c r="AM128" i="6" s="1"/>
  <c r="O128" i="6"/>
  <c r="J128" i="6"/>
  <c r="I128" i="6"/>
  <c r="H128" i="6"/>
  <c r="E128" i="6"/>
  <c r="W128" i="6" s="1"/>
  <c r="AV127" i="6"/>
  <c r="AI127" i="6"/>
  <c r="AB127" i="6"/>
  <c r="O127" i="6"/>
  <c r="M127" i="6" s="1"/>
  <c r="J127" i="6"/>
  <c r="I127" i="6"/>
  <c r="H127" i="6"/>
  <c r="E127" i="6"/>
  <c r="L127" i="6" s="1"/>
  <c r="G127" i="6" s="1"/>
  <c r="AV126" i="6"/>
  <c r="AI126" i="6"/>
  <c r="AN126" i="6" s="1"/>
  <c r="AB126" i="6"/>
  <c r="O126" i="6"/>
  <c r="J126" i="6"/>
  <c r="I126" i="6"/>
  <c r="H126" i="6"/>
  <c r="E126" i="6"/>
  <c r="L126" i="6" s="1"/>
  <c r="G126" i="6" s="1"/>
  <c r="AV125" i="6"/>
  <c r="AI125" i="6"/>
  <c r="AM125" i="6" s="1"/>
  <c r="AB125" i="6"/>
  <c r="O125" i="6"/>
  <c r="M125" i="6" s="1"/>
  <c r="J125" i="6"/>
  <c r="I125" i="6"/>
  <c r="H125" i="6"/>
  <c r="E125" i="6"/>
  <c r="AV124" i="6"/>
  <c r="AI124" i="6"/>
  <c r="AO124" i="6" s="1"/>
  <c r="AB124" i="6"/>
  <c r="O124" i="6"/>
  <c r="J124" i="6"/>
  <c r="I124" i="6"/>
  <c r="H124" i="6"/>
  <c r="E124" i="6"/>
  <c r="W124" i="6" s="1"/>
  <c r="AV123" i="6"/>
  <c r="AI123" i="6"/>
  <c r="AK123" i="6" s="1"/>
  <c r="AB123" i="6"/>
  <c r="O123" i="6"/>
  <c r="J123" i="6"/>
  <c r="I123" i="6"/>
  <c r="H123" i="6"/>
  <c r="E123" i="6"/>
  <c r="W123" i="6" s="1"/>
  <c r="AV122" i="6"/>
  <c r="AI122" i="6"/>
  <c r="AN122" i="6" s="1"/>
  <c r="AB122" i="6"/>
  <c r="O122" i="6"/>
  <c r="J122" i="6"/>
  <c r="I122" i="6"/>
  <c r="H122" i="6"/>
  <c r="E122" i="6"/>
  <c r="AV121" i="6"/>
  <c r="AI121" i="6"/>
  <c r="AB121" i="6"/>
  <c r="O121" i="6"/>
  <c r="M121" i="6" s="1"/>
  <c r="J121" i="6"/>
  <c r="I121" i="6"/>
  <c r="H121" i="6"/>
  <c r="E121" i="6"/>
  <c r="AV120" i="6"/>
  <c r="AI120" i="6"/>
  <c r="AL120" i="6" s="1"/>
  <c r="AB120" i="6"/>
  <c r="O120" i="6"/>
  <c r="M120" i="6" s="1"/>
  <c r="J120" i="6"/>
  <c r="I120" i="6"/>
  <c r="H120" i="6"/>
  <c r="E120" i="6"/>
  <c r="W120" i="6" s="1"/>
  <c r="AV119" i="6"/>
  <c r="AI119" i="6"/>
  <c r="AB119" i="6"/>
  <c r="O119" i="6"/>
  <c r="J119" i="6"/>
  <c r="I119" i="6"/>
  <c r="H119" i="6"/>
  <c r="E119" i="6"/>
  <c r="L119" i="6" s="1"/>
  <c r="G119" i="6" s="1"/>
  <c r="AV118" i="6"/>
  <c r="AI118" i="6"/>
  <c r="AO118" i="6" s="1"/>
  <c r="AB118" i="6"/>
  <c r="O118" i="6"/>
  <c r="M118" i="6" s="1"/>
  <c r="J118" i="6"/>
  <c r="I118" i="6"/>
  <c r="H118" i="6"/>
  <c r="E118" i="6"/>
  <c r="L118" i="6" s="1"/>
  <c r="G118" i="6" s="1"/>
  <c r="AV117" i="6"/>
  <c r="AI117" i="6"/>
  <c r="AM117" i="6" s="1"/>
  <c r="AB117" i="6"/>
  <c r="O117" i="6"/>
  <c r="J117" i="6"/>
  <c r="I117" i="6"/>
  <c r="H117" i="6"/>
  <c r="E117" i="6"/>
  <c r="L117" i="6" s="1"/>
  <c r="G117" i="6" s="1"/>
  <c r="AV116" i="6"/>
  <c r="AI116" i="6"/>
  <c r="AK116" i="6" s="1"/>
  <c r="AB116" i="6"/>
  <c r="O116" i="6"/>
  <c r="M116" i="6" s="1"/>
  <c r="J116" i="6"/>
  <c r="I116" i="6"/>
  <c r="H116" i="6"/>
  <c r="E116" i="6"/>
  <c r="AV115" i="6"/>
  <c r="AI115" i="6"/>
  <c r="AK115" i="6" s="1"/>
  <c r="AB115" i="6"/>
  <c r="O115" i="6"/>
  <c r="J115" i="6"/>
  <c r="I115" i="6"/>
  <c r="H115" i="6"/>
  <c r="E115" i="6"/>
  <c r="AV114" i="6"/>
  <c r="AI114" i="6"/>
  <c r="AN114" i="6" s="1"/>
  <c r="AB114" i="6"/>
  <c r="O114" i="6"/>
  <c r="M114" i="6" s="1"/>
  <c r="J114" i="6"/>
  <c r="I114" i="6"/>
  <c r="H114" i="6"/>
  <c r="E114" i="6"/>
  <c r="AV113" i="6"/>
  <c r="AI113" i="6"/>
  <c r="AB113" i="6"/>
  <c r="O113" i="6"/>
  <c r="J113" i="6"/>
  <c r="I113" i="6"/>
  <c r="H113" i="6"/>
  <c r="E113" i="6"/>
  <c r="AV112" i="6"/>
  <c r="AI112" i="6"/>
  <c r="AO112" i="6" s="1"/>
  <c r="AB112" i="6"/>
  <c r="O112" i="6"/>
  <c r="J112" i="6"/>
  <c r="I112" i="6"/>
  <c r="H112" i="6"/>
  <c r="E112" i="6"/>
  <c r="AV111" i="6"/>
  <c r="AI111" i="6"/>
  <c r="AB111" i="6"/>
  <c r="O111" i="6"/>
  <c r="J111" i="6"/>
  <c r="I111" i="6"/>
  <c r="H111" i="6"/>
  <c r="E111" i="6"/>
  <c r="W111" i="6" s="1"/>
  <c r="AV110" i="6"/>
  <c r="AI110" i="6"/>
  <c r="AK110" i="6" s="1"/>
  <c r="AB110" i="6"/>
  <c r="O110" i="6"/>
  <c r="J110" i="6"/>
  <c r="I110" i="6"/>
  <c r="H110" i="6"/>
  <c r="E110" i="6"/>
  <c r="AV109" i="6"/>
  <c r="AI109" i="6"/>
  <c r="AM109" i="6" s="1"/>
  <c r="AB109" i="6"/>
  <c r="O109" i="6"/>
  <c r="M109" i="6" s="1"/>
  <c r="J109" i="6"/>
  <c r="I109" i="6"/>
  <c r="H109" i="6"/>
  <c r="E109" i="6"/>
  <c r="AV108" i="6"/>
  <c r="AI108" i="6"/>
  <c r="AN108" i="6" s="1"/>
  <c r="AB108" i="6"/>
  <c r="O108" i="6"/>
  <c r="J108" i="6"/>
  <c r="I108" i="6"/>
  <c r="H108" i="6"/>
  <c r="E108" i="6"/>
  <c r="W108" i="6" s="1"/>
  <c r="AV107" i="6"/>
  <c r="AI107" i="6"/>
  <c r="AB107" i="6"/>
  <c r="W107" i="6"/>
  <c r="O107" i="6"/>
  <c r="M107" i="6" s="1"/>
  <c r="L107" i="6"/>
  <c r="G107" i="6" s="1"/>
  <c r="J107" i="6"/>
  <c r="I107" i="6"/>
  <c r="H107" i="6"/>
  <c r="AV106" i="6"/>
  <c r="AI106" i="6"/>
  <c r="AM106" i="6" s="1"/>
  <c r="AB106" i="6"/>
  <c r="O106" i="6"/>
  <c r="J106" i="6"/>
  <c r="I106" i="6"/>
  <c r="H106" i="6"/>
  <c r="E106" i="6"/>
  <c r="AV105" i="6"/>
  <c r="AI105" i="6"/>
  <c r="AO105" i="6" s="1"/>
  <c r="AB105" i="6"/>
  <c r="O105" i="6"/>
  <c r="J105" i="6"/>
  <c r="I105" i="6"/>
  <c r="H105" i="6"/>
  <c r="E105" i="6"/>
  <c r="AV104" i="6"/>
  <c r="AI104" i="6"/>
  <c r="AM104" i="6" s="1"/>
  <c r="AB104" i="6"/>
  <c r="O104" i="6"/>
  <c r="J104" i="6"/>
  <c r="I104" i="6"/>
  <c r="H104" i="6"/>
  <c r="G104" i="6"/>
  <c r="E104" i="6"/>
  <c r="AV103" i="6"/>
  <c r="AI103" i="6"/>
  <c r="AM103" i="6" s="1"/>
  <c r="AB103" i="6"/>
  <c r="O103" i="6"/>
  <c r="M103" i="6" s="1"/>
  <c r="J103" i="6"/>
  <c r="I103" i="6"/>
  <c r="H103" i="6"/>
  <c r="E103" i="6"/>
  <c r="L103" i="6" s="1"/>
  <c r="G103" i="6" s="1"/>
  <c r="AV102" i="6"/>
  <c r="AI102" i="6"/>
  <c r="AO102" i="6" s="1"/>
  <c r="AB102" i="6"/>
  <c r="O102" i="6"/>
  <c r="M102" i="6" s="1"/>
  <c r="J102" i="6"/>
  <c r="I102" i="6"/>
  <c r="H102" i="6"/>
  <c r="E102" i="6"/>
  <c r="W102" i="6" s="1"/>
  <c r="AV101" i="6"/>
  <c r="AI101" i="6"/>
  <c r="AN101" i="6" s="1"/>
  <c r="AB101" i="6"/>
  <c r="O101" i="6"/>
  <c r="M101" i="6" s="1"/>
  <c r="J101" i="6"/>
  <c r="I101" i="6"/>
  <c r="H101" i="6"/>
  <c r="E101" i="6"/>
  <c r="L101" i="6" s="1"/>
  <c r="G101" i="6" s="1"/>
  <c r="AV100" i="6"/>
  <c r="AI100" i="6"/>
  <c r="AB100" i="6"/>
  <c r="O100" i="6"/>
  <c r="J100" i="6"/>
  <c r="I100" i="6"/>
  <c r="H100" i="6"/>
  <c r="E100" i="6"/>
  <c r="L100" i="6" s="1"/>
  <c r="G100" i="6" s="1"/>
  <c r="AV99" i="6"/>
  <c r="AI99" i="6"/>
  <c r="AM99" i="6" s="1"/>
  <c r="AB99" i="6"/>
  <c r="O99" i="6"/>
  <c r="J99" i="6"/>
  <c r="I99" i="6"/>
  <c r="H99" i="6"/>
  <c r="E99" i="6"/>
  <c r="L99" i="6" s="1"/>
  <c r="G99" i="6" s="1"/>
  <c r="AV98" i="6"/>
  <c r="AI98" i="6"/>
  <c r="AK98" i="6" s="1"/>
  <c r="AB98" i="6"/>
  <c r="O98" i="6"/>
  <c r="M98" i="6" s="1"/>
  <c r="J98" i="6"/>
  <c r="I98" i="6"/>
  <c r="H98" i="6"/>
  <c r="E98" i="6"/>
  <c r="W98" i="6" s="1"/>
  <c r="AV97" i="6"/>
  <c r="AI97" i="6"/>
  <c r="AB97" i="6"/>
  <c r="O97" i="6"/>
  <c r="J97" i="6"/>
  <c r="I97" i="6"/>
  <c r="H97" i="6"/>
  <c r="E97" i="6"/>
  <c r="AV96" i="6"/>
  <c r="AI96" i="6"/>
  <c r="AK96" i="6" s="1"/>
  <c r="AB96" i="6"/>
  <c r="O96" i="6"/>
  <c r="J96" i="6"/>
  <c r="I96" i="6"/>
  <c r="H96" i="6"/>
  <c r="E96" i="6"/>
  <c r="F156" i="13" s="1"/>
  <c r="AV95" i="6"/>
  <c r="AI95" i="6"/>
  <c r="AB95" i="6"/>
  <c r="O95" i="6"/>
  <c r="J95" i="6"/>
  <c r="I95" i="6"/>
  <c r="H95" i="6"/>
  <c r="E95" i="6"/>
  <c r="AV94" i="6"/>
  <c r="AI94" i="6"/>
  <c r="AB94" i="6"/>
  <c r="O94" i="6"/>
  <c r="J94" i="6"/>
  <c r="I94" i="6"/>
  <c r="H94" i="6"/>
  <c r="E94" i="6"/>
  <c r="AV93" i="6"/>
  <c r="AI93" i="6"/>
  <c r="AL93" i="6" s="1"/>
  <c r="AB93" i="6"/>
  <c r="O93" i="6"/>
  <c r="M93" i="6" s="1"/>
  <c r="J93" i="6"/>
  <c r="I93" i="6"/>
  <c r="H93" i="6"/>
  <c r="E93" i="6"/>
  <c r="W93" i="6" s="1"/>
  <c r="AV92" i="6"/>
  <c r="AI92" i="6"/>
  <c r="AN92" i="6" s="1"/>
  <c r="AB92" i="6"/>
  <c r="O92" i="6"/>
  <c r="M92" i="6" s="1"/>
  <c r="J92" i="6"/>
  <c r="I92" i="6"/>
  <c r="H92" i="6"/>
  <c r="E92" i="6"/>
  <c r="W92" i="6" s="1"/>
  <c r="AV91" i="6"/>
  <c r="AI91" i="6"/>
  <c r="AM91" i="6" s="1"/>
  <c r="AB91" i="6"/>
  <c r="O91" i="6"/>
  <c r="J91" i="6"/>
  <c r="I91" i="6"/>
  <c r="H91" i="6"/>
  <c r="E91" i="6"/>
  <c r="W91" i="6" s="1"/>
  <c r="AV90" i="6"/>
  <c r="AI90" i="6"/>
  <c r="AO90" i="6" s="1"/>
  <c r="AB90" i="6"/>
  <c r="O90" i="6"/>
  <c r="J90" i="6"/>
  <c r="I90" i="6"/>
  <c r="H90" i="6"/>
  <c r="E90" i="6"/>
  <c r="W90" i="6" s="1"/>
  <c r="AV89" i="6"/>
  <c r="AI89" i="6"/>
  <c r="AB89" i="6"/>
  <c r="O89" i="6"/>
  <c r="M89" i="6" s="1"/>
  <c r="J89" i="6"/>
  <c r="I89" i="6"/>
  <c r="H89" i="6"/>
  <c r="E89" i="6"/>
  <c r="W89" i="6" s="1"/>
  <c r="AV88" i="6"/>
  <c r="AI88" i="6"/>
  <c r="AN88" i="6" s="1"/>
  <c r="AB88" i="6"/>
  <c r="O88" i="6"/>
  <c r="M88" i="6" s="1"/>
  <c r="J88" i="6"/>
  <c r="I88" i="6"/>
  <c r="H88" i="6"/>
  <c r="E88" i="6"/>
  <c r="W88" i="6" s="1"/>
  <c r="AV87" i="6"/>
  <c r="AI87" i="6"/>
  <c r="AN87" i="6" s="1"/>
  <c r="AB87" i="6"/>
  <c r="O87" i="6"/>
  <c r="J87" i="6"/>
  <c r="I87" i="6"/>
  <c r="H87" i="6"/>
  <c r="E87" i="6"/>
  <c r="AV86" i="6"/>
  <c r="AI86" i="6"/>
  <c r="AN86" i="6" s="1"/>
  <c r="AB86" i="6"/>
  <c r="O86" i="6"/>
  <c r="M86" i="6" s="1"/>
  <c r="J86" i="6"/>
  <c r="I86" i="6"/>
  <c r="H86" i="6"/>
  <c r="E86" i="6"/>
  <c r="AV85" i="6"/>
  <c r="AI85" i="6"/>
  <c r="AL85" i="6" s="1"/>
  <c r="AB85" i="6"/>
  <c r="O85" i="6"/>
  <c r="J85" i="6"/>
  <c r="I85" i="6"/>
  <c r="H85" i="6"/>
  <c r="E85" i="6"/>
  <c r="W85" i="6" s="1"/>
  <c r="AV84" i="6"/>
  <c r="AI84" i="6"/>
  <c r="AK84" i="6" s="1"/>
  <c r="AB84" i="6"/>
  <c r="O84" i="6"/>
  <c r="J84" i="6"/>
  <c r="I84" i="6"/>
  <c r="H84" i="6"/>
  <c r="E84" i="6"/>
  <c r="W84" i="6" s="1"/>
  <c r="AV83" i="6"/>
  <c r="AI83" i="6"/>
  <c r="AM83" i="6" s="1"/>
  <c r="AB83" i="6"/>
  <c r="O83" i="6"/>
  <c r="M83" i="6" s="1"/>
  <c r="J83" i="6"/>
  <c r="I83" i="6"/>
  <c r="H83" i="6"/>
  <c r="E83" i="6"/>
  <c r="AV82" i="6"/>
  <c r="AI82" i="6"/>
  <c r="AB82" i="6"/>
  <c r="O82" i="6"/>
  <c r="J82" i="6"/>
  <c r="I82" i="6"/>
  <c r="H82" i="6"/>
  <c r="E82" i="6"/>
  <c r="W82" i="6" s="1"/>
  <c r="AV81" i="6"/>
  <c r="AI81" i="6"/>
  <c r="AM81" i="6" s="1"/>
  <c r="AB81" i="6"/>
  <c r="O81" i="6"/>
  <c r="J81" i="6"/>
  <c r="I81" i="6"/>
  <c r="H81" i="6"/>
  <c r="E81" i="6"/>
  <c r="W81" i="6" s="1"/>
  <c r="AV80" i="6"/>
  <c r="AI80" i="6"/>
  <c r="AK80" i="6" s="1"/>
  <c r="AB80" i="6"/>
  <c r="O80" i="6"/>
  <c r="M80" i="6" s="1"/>
  <c r="J80" i="6"/>
  <c r="I80" i="6"/>
  <c r="H80" i="6"/>
  <c r="E80" i="6"/>
  <c r="W80" i="6" s="1"/>
  <c r="AV79" i="6"/>
  <c r="AI79" i="6"/>
  <c r="AN79" i="6" s="1"/>
  <c r="AB79" i="6"/>
  <c r="O79" i="6"/>
  <c r="J79" i="6"/>
  <c r="I79" i="6"/>
  <c r="H79" i="6"/>
  <c r="E79" i="6"/>
  <c r="W79" i="6" s="1"/>
  <c r="AV78" i="6"/>
  <c r="AI78" i="6"/>
  <c r="AB78" i="6"/>
  <c r="O78" i="6"/>
  <c r="J78" i="6"/>
  <c r="I78" i="6"/>
  <c r="H78" i="6"/>
  <c r="E78" i="6"/>
  <c r="L78" i="6" s="1"/>
  <c r="G78" i="6" s="1"/>
  <c r="AV77" i="6"/>
  <c r="AI77" i="6"/>
  <c r="AN77" i="6" s="1"/>
  <c r="AB77" i="6"/>
  <c r="O77" i="6"/>
  <c r="J77" i="6"/>
  <c r="I77" i="6"/>
  <c r="H77" i="6"/>
  <c r="E77" i="6"/>
  <c r="W77" i="6" s="1"/>
  <c r="AV76" i="6"/>
  <c r="AI76" i="6"/>
  <c r="AM76" i="6" s="1"/>
  <c r="AB76" i="6"/>
  <c r="O76" i="6"/>
  <c r="J76" i="6"/>
  <c r="I76" i="6"/>
  <c r="H76" i="6"/>
  <c r="E76" i="6"/>
  <c r="F60" i="13" s="1"/>
  <c r="AV75" i="6"/>
  <c r="AI75" i="6"/>
  <c r="AO75" i="6" s="1"/>
  <c r="AB75" i="6"/>
  <c r="O75" i="6"/>
  <c r="M75" i="6" s="1"/>
  <c r="J75" i="6"/>
  <c r="I75" i="6"/>
  <c r="H75" i="6"/>
  <c r="E75" i="6"/>
  <c r="W75" i="6" s="1"/>
  <c r="AV74" i="6"/>
  <c r="AI74" i="6"/>
  <c r="AB74" i="6"/>
  <c r="O74" i="6"/>
  <c r="J74" i="6"/>
  <c r="I74" i="6"/>
  <c r="H74" i="6"/>
  <c r="E74" i="6"/>
  <c r="W74" i="6" s="1"/>
  <c r="AV73" i="6"/>
  <c r="AI73" i="6"/>
  <c r="AO73" i="6" s="1"/>
  <c r="AB73" i="6"/>
  <c r="O73" i="6"/>
  <c r="J73" i="6"/>
  <c r="I73" i="6"/>
  <c r="H73" i="6"/>
  <c r="E73" i="6"/>
  <c r="W73" i="6" s="1"/>
  <c r="AV72" i="6"/>
  <c r="AI72" i="6"/>
  <c r="AL72" i="6" s="1"/>
  <c r="AB72" i="6"/>
  <c r="O72" i="6"/>
  <c r="J72" i="6"/>
  <c r="I72" i="6"/>
  <c r="H72" i="6"/>
  <c r="E72" i="6"/>
  <c r="AV71" i="6"/>
  <c r="AI71" i="6"/>
  <c r="AN71" i="6" s="1"/>
  <c r="AB71" i="6"/>
  <c r="O71" i="6"/>
  <c r="J71" i="6"/>
  <c r="I71" i="6"/>
  <c r="H71" i="6"/>
  <c r="E71" i="6"/>
  <c r="L71" i="6" s="1"/>
  <c r="G71" i="6" s="1"/>
  <c r="AV70" i="6"/>
  <c r="AI70" i="6"/>
  <c r="AM70" i="6" s="1"/>
  <c r="AB70" i="6"/>
  <c r="O70" i="6"/>
  <c r="J70" i="6"/>
  <c r="I70" i="6"/>
  <c r="H70" i="6"/>
  <c r="E70" i="6"/>
  <c r="L70" i="6" s="1"/>
  <c r="G70" i="6" s="1"/>
  <c r="AV69" i="6"/>
  <c r="AI69" i="6"/>
  <c r="AN69" i="6" s="1"/>
  <c r="AB69" i="6"/>
  <c r="O69" i="6"/>
  <c r="J69" i="6"/>
  <c r="I69" i="6"/>
  <c r="H69" i="6"/>
  <c r="E69" i="6"/>
  <c r="W69" i="6" s="1"/>
  <c r="AV68" i="6"/>
  <c r="AI68" i="6"/>
  <c r="AB68" i="6"/>
  <c r="O68" i="6"/>
  <c r="J68" i="6"/>
  <c r="I68" i="6"/>
  <c r="H68" i="6"/>
  <c r="E68" i="6"/>
  <c r="F52" i="13" s="1"/>
  <c r="AV67" i="6"/>
  <c r="AI67" i="6"/>
  <c r="AO67" i="6" s="1"/>
  <c r="AB67" i="6"/>
  <c r="W67" i="6"/>
  <c r="O67" i="6"/>
  <c r="M67" i="6" s="1"/>
  <c r="L67" i="6"/>
  <c r="G67" i="6" s="1"/>
  <c r="J67" i="6"/>
  <c r="I67" i="6"/>
  <c r="H67" i="6"/>
  <c r="AV66" i="6"/>
  <c r="AI66" i="6"/>
  <c r="AN66" i="6" s="1"/>
  <c r="AB66" i="6"/>
  <c r="O66" i="6"/>
  <c r="J66" i="6"/>
  <c r="I66" i="6"/>
  <c r="H66" i="6"/>
  <c r="E66" i="6"/>
  <c r="W66" i="6" s="1"/>
  <c r="AV65" i="6"/>
  <c r="AI65" i="6"/>
  <c r="AB65" i="6"/>
  <c r="O65" i="6"/>
  <c r="J65" i="6"/>
  <c r="I65" i="6"/>
  <c r="H65" i="6"/>
  <c r="E65" i="6"/>
  <c r="L65" i="6" s="1"/>
  <c r="G65" i="6" s="1"/>
  <c r="AV64" i="6"/>
  <c r="AI64" i="6"/>
  <c r="AO64" i="6" s="1"/>
  <c r="AB64" i="6"/>
  <c r="O64" i="6"/>
  <c r="M64" i="6" s="1"/>
  <c r="J64" i="6"/>
  <c r="I64" i="6"/>
  <c r="H64" i="6"/>
  <c r="E64" i="6"/>
  <c r="L64" i="6" s="1"/>
  <c r="G64" i="6" s="1"/>
  <c r="AV63" i="6"/>
  <c r="AI63" i="6"/>
  <c r="AN63" i="6" s="1"/>
  <c r="AB63" i="6"/>
  <c r="O63" i="6"/>
  <c r="M63" i="6" s="1"/>
  <c r="J63" i="6"/>
  <c r="I63" i="6"/>
  <c r="H63" i="6"/>
  <c r="E63" i="6"/>
  <c r="L63" i="6" s="1"/>
  <c r="G63" i="6" s="1"/>
  <c r="AV62" i="6"/>
  <c r="AI62" i="6"/>
  <c r="AN62" i="6" s="1"/>
  <c r="AB62" i="6"/>
  <c r="W62" i="6"/>
  <c r="O62" i="6"/>
  <c r="M62" i="6" s="1"/>
  <c r="L62" i="6"/>
  <c r="G62" i="6" s="1"/>
  <c r="J62" i="6"/>
  <c r="I62" i="6"/>
  <c r="H62" i="6"/>
  <c r="AV61" i="6"/>
  <c r="AI61" i="6"/>
  <c r="AN61" i="6" s="1"/>
  <c r="AB61" i="6"/>
  <c r="O61" i="6"/>
  <c r="J61" i="6"/>
  <c r="I61" i="6"/>
  <c r="H61" i="6"/>
  <c r="E61" i="6"/>
  <c r="W61" i="6" s="1"/>
  <c r="AV60" i="6"/>
  <c r="AI60" i="6"/>
  <c r="AN60" i="6" s="1"/>
  <c r="AB60" i="6"/>
  <c r="O60" i="6"/>
  <c r="J60" i="6"/>
  <c r="I60" i="6"/>
  <c r="H60" i="6"/>
  <c r="E60" i="6"/>
  <c r="L60" i="6" s="1"/>
  <c r="G60" i="6" s="1"/>
  <c r="AV59" i="6"/>
  <c r="AI59" i="6"/>
  <c r="AB59" i="6"/>
  <c r="O59" i="6"/>
  <c r="J59" i="6"/>
  <c r="I59" i="6"/>
  <c r="H59" i="6"/>
  <c r="E59" i="6"/>
  <c r="AV58" i="6"/>
  <c r="AI58" i="6"/>
  <c r="AL58" i="6" s="1"/>
  <c r="AB58" i="6"/>
  <c r="O58" i="6"/>
  <c r="J58" i="6"/>
  <c r="I58" i="6"/>
  <c r="H58" i="6"/>
  <c r="E58" i="6"/>
  <c r="W58" i="6" s="1"/>
  <c r="AV57" i="6"/>
  <c r="AI57" i="6"/>
  <c r="AK57" i="6" s="1"/>
  <c r="AB57" i="6"/>
  <c r="O57" i="6"/>
  <c r="J57" i="6"/>
  <c r="I57" i="6"/>
  <c r="H57" i="6"/>
  <c r="E57" i="6"/>
  <c r="W57" i="6" s="1"/>
  <c r="AV56" i="6"/>
  <c r="AI56" i="6"/>
  <c r="AB56" i="6"/>
  <c r="O56" i="6"/>
  <c r="M56" i="6" s="1"/>
  <c r="J56" i="6"/>
  <c r="I56" i="6"/>
  <c r="H56" i="6"/>
  <c r="E56" i="6"/>
  <c r="L56" i="6" s="1"/>
  <c r="G56" i="6" s="1"/>
  <c r="AV55" i="6"/>
  <c r="AI55" i="6"/>
  <c r="AJ55" i="6" s="1"/>
  <c r="AB55" i="6"/>
  <c r="O55" i="6"/>
  <c r="J55" i="6"/>
  <c r="I55" i="6"/>
  <c r="H55" i="6"/>
  <c r="E55" i="6"/>
  <c r="W55" i="6" s="1"/>
  <c r="AV54" i="6"/>
  <c r="AI54" i="6"/>
  <c r="AM54" i="6" s="1"/>
  <c r="AB54" i="6"/>
  <c r="O54" i="6"/>
  <c r="M54" i="6" s="1"/>
  <c r="J54" i="6"/>
  <c r="I54" i="6"/>
  <c r="H54" i="6"/>
  <c r="E54" i="6"/>
  <c r="L54" i="6" s="1"/>
  <c r="G54" i="6" s="1"/>
  <c r="AV53" i="6"/>
  <c r="AI53" i="6"/>
  <c r="AO53" i="6" s="1"/>
  <c r="AB53" i="6"/>
  <c r="O53" i="6"/>
  <c r="M53" i="6" s="1"/>
  <c r="J53" i="6"/>
  <c r="I53" i="6"/>
  <c r="H53" i="6"/>
  <c r="E53" i="6"/>
  <c r="AV52" i="6"/>
  <c r="AI52" i="6"/>
  <c r="AL52" i="6" s="1"/>
  <c r="AB52" i="6"/>
  <c r="O52" i="6"/>
  <c r="J52" i="6"/>
  <c r="I52" i="6"/>
  <c r="H52" i="6"/>
  <c r="E52" i="6"/>
  <c r="L52" i="6" s="1"/>
  <c r="G52" i="6" s="1"/>
  <c r="AV51" i="6"/>
  <c r="AI51" i="6"/>
  <c r="AL51" i="6" s="1"/>
  <c r="AB51" i="6"/>
  <c r="O51" i="6"/>
  <c r="J51" i="6"/>
  <c r="I51" i="6"/>
  <c r="H51" i="6"/>
  <c r="E51" i="6"/>
  <c r="AV50" i="6"/>
  <c r="AI50" i="6"/>
  <c r="AL50" i="6" s="1"/>
  <c r="AB50" i="6"/>
  <c r="O50" i="6"/>
  <c r="J50" i="6"/>
  <c r="I50" i="6"/>
  <c r="H50" i="6"/>
  <c r="E50" i="6"/>
  <c r="L50" i="6" s="1"/>
  <c r="G50" i="6" s="1"/>
  <c r="AV49" i="6"/>
  <c r="AI49" i="6"/>
  <c r="AB49" i="6"/>
  <c r="O49" i="6"/>
  <c r="J49" i="6"/>
  <c r="I49" i="6"/>
  <c r="H49" i="6"/>
  <c r="E49" i="6"/>
  <c r="AV48" i="6"/>
  <c r="AI48" i="6"/>
  <c r="AB48" i="6"/>
  <c r="O48" i="6"/>
  <c r="M48" i="6" s="1"/>
  <c r="J48" i="6"/>
  <c r="I48" i="6"/>
  <c r="H48" i="6"/>
  <c r="E48" i="6"/>
  <c r="AV47" i="6"/>
  <c r="AI47" i="6"/>
  <c r="AN47" i="6" s="1"/>
  <c r="AB47" i="6"/>
  <c r="O47" i="6"/>
  <c r="J47" i="6"/>
  <c r="I47" i="6"/>
  <c r="H47" i="6"/>
  <c r="E47" i="6"/>
  <c r="W47" i="6" s="1"/>
  <c r="AV46" i="6"/>
  <c r="AI46" i="6"/>
  <c r="AN46" i="6" s="1"/>
  <c r="AB46" i="6"/>
  <c r="O46" i="6"/>
  <c r="M46" i="6" s="1"/>
  <c r="J46" i="6"/>
  <c r="I46" i="6"/>
  <c r="H46" i="6"/>
  <c r="E46" i="6"/>
  <c r="L46" i="6" s="1"/>
  <c r="G46" i="6" s="1"/>
  <c r="AV45" i="6"/>
  <c r="AI45" i="6"/>
  <c r="AN45" i="6" s="1"/>
  <c r="AB45" i="6"/>
  <c r="O45" i="6"/>
  <c r="J45" i="6"/>
  <c r="I45" i="6"/>
  <c r="H45" i="6"/>
  <c r="E45" i="6"/>
  <c r="L45" i="6" s="1"/>
  <c r="G45" i="6" s="1"/>
  <c r="AV44" i="6"/>
  <c r="AI44" i="6"/>
  <c r="AM44" i="6" s="1"/>
  <c r="AB44" i="6"/>
  <c r="O44" i="6"/>
  <c r="M44" i="6" s="1"/>
  <c r="J44" i="6"/>
  <c r="I44" i="6"/>
  <c r="H44" i="6"/>
  <c r="E44" i="6"/>
  <c r="W44" i="6" s="1"/>
  <c r="AV43" i="6"/>
  <c r="AI43" i="6"/>
  <c r="AO43" i="6" s="1"/>
  <c r="AB43" i="6"/>
  <c r="O43" i="6"/>
  <c r="M43" i="6" s="1"/>
  <c r="J43" i="6"/>
  <c r="I43" i="6"/>
  <c r="H43" i="6"/>
  <c r="E43" i="6"/>
  <c r="W43" i="6" s="1"/>
  <c r="AV42" i="6"/>
  <c r="AI42" i="6"/>
  <c r="AN42" i="6" s="1"/>
  <c r="AB42" i="6"/>
  <c r="O42" i="6"/>
  <c r="M42" i="6" s="1"/>
  <c r="J42" i="6"/>
  <c r="I42" i="6"/>
  <c r="H42" i="6"/>
  <c r="E42" i="6"/>
  <c r="W42" i="6" s="1"/>
  <c r="AV41" i="6"/>
  <c r="AI41" i="6"/>
  <c r="AK41" i="6" s="1"/>
  <c r="AB41" i="6"/>
  <c r="O41" i="6"/>
  <c r="M41" i="6" s="1"/>
  <c r="J41" i="6"/>
  <c r="I41" i="6"/>
  <c r="H41" i="6"/>
  <c r="E41" i="6"/>
  <c r="AV40" i="6"/>
  <c r="AI40" i="6"/>
  <c r="AO40" i="6" s="1"/>
  <c r="AB40" i="6"/>
  <c r="O40" i="6"/>
  <c r="M40" i="6" s="1"/>
  <c r="J40" i="6"/>
  <c r="I40" i="6"/>
  <c r="H40" i="6"/>
  <c r="E40" i="6"/>
  <c r="L40" i="6" s="1"/>
  <c r="G40" i="6" s="1"/>
  <c r="AV39" i="6"/>
  <c r="AI39" i="6"/>
  <c r="AM39" i="6" s="1"/>
  <c r="AB39" i="6"/>
  <c r="O39" i="6"/>
  <c r="M39" i="6" s="1"/>
  <c r="J39" i="6"/>
  <c r="I39" i="6"/>
  <c r="H39" i="6"/>
  <c r="E39" i="6"/>
  <c r="AV38" i="6"/>
  <c r="AI38" i="6"/>
  <c r="AO38" i="6" s="1"/>
  <c r="AB38" i="6"/>
  <c r="O38" i="6"/>
  <c r="M38" i="6" s="1"/>
  <c r="J38" i="6"/>
  <c r="I38" i="6"/>
  <c r="H38" i="6"/>
  <c r="E38" i="6"/>
  <c r="F159" i="13" s="1"/>
  <c r="AV37" i="6"/>
  <c r="AI37" i="6"/>
  <c r="AN37" i="6" s="1"/>
  <c r="AB37" i="6"/>
  <c r="O37" i="6"/>
  <c r="J37" i="6"/>
  <c r="I37" i="6"/>
  <c r="H37" i="6"/>
  <c r="E37" i="6"/>
  <c r="L37" i="6" s="1"/>
  <c r="G37" i="6" s="1"/>
  <c r="AV36" i="6"/>
  <c r="AI36" i="6"/>
  <c r="AN36" i="6" s="1"/>
  <c r="AB36" i="6"/>
  <c r="O36" i="6"/>
  <c r="J36" i="6"/>
  <c r="I36" i="6"/>
  <c r="H36" i="6"/>
  <c r="E36" i="6"/>
  <c r="W36" i="6" s="1"/>
  <c r="AV35" i="6"/>
  <c r="AI35" i="6"/>
  <c r="AK35" i="6" s="1"/>
  <c r="AB35" i="6"/>
  <c r="O35" i="6"/>
  <c r="J35" i="6"/>
  <c r="I35" i="6"/>
  <c r="H35" i="6"/>
  <c r="E35" i="6"/>
  <c r="W35" i="6" s="1"/>
  <c r="AV34" i="6"/>
  <c r="AI34" i="6"/>
  <c r="AL34" i="6" s="1"/>
  <c r="AB34" i="6"/>
  <c r="O34" i="6"/>
  <c r="J34" i="6"/>
  <c r="I34" i="6"/>
  <c r="H34" i="6"/>
  <c r="E34" i="6"/>
  <c r="L34" i="6" s="1"/>
  <c r="G34" i="6" s="1"/>
  <c r="AV33" i="6"/>
  <c r="AI33" i="6"/>
  <c r="AM33" i="6" s="1"/>
  <c r="AB33" i="6"/>
  <c r="O33" i="6"/>
  <c r="M33" i="6" s="1"/>
  <c r="J33" i="6"/>
  <c r="I33" i="6"/>
  <c r="H33" i="6"/>
  <c r="E33" i="6"/>
  <c r="AV32" i="6"/>
  <c r="AI32" i="6"/>
  <c r="AN32" i="6" s="1"/>
  <c r="AB32" i="6"/>
  <c r="O32" i="6"/>
  <c r="M32" i="6" s="1"/>
  <c r="J32" i="6"/>
  <c r="I32" i="6"/>
  <c r="H32" i="6"/>
  <c r="E32" i="6"/>
  <c r="W32" i="6" s="1"/>
  <c r="AV31" i="6"/>
  <c r="AI31" i="6"/>
  <c r="AO31" i="6" s="1"/>
  <c r="AB31" i="6"/>
  <c r="O31" i="6"/>
  <c r="J31" i="6"/>
  <c r="I31" i="6"/>
  <c r="H31" i="6"/>
  <c r="E31" i="6"/>
  <c r="AV30" i="6"/>
  <c r="AI30" i="6"/>
  <c r="AM30" i="6" s="1"/>
  <c r="AB30" i="6"/>
  <c r="O30" i="6"/>
  <c r="M30" i="6" s="1"/>
  <c r="J30" i="6"/>
  <c r="I30" i="6"/>
  <c r="H30" i="6"/>
  <c r="E30" i="6"/>
  <c r="L30" i="6" s="1"/>
  <c r="G30" i="6" s="1"/>
  <c r="AV29" i="6"/>
  <c r="AI29" i="6"/>
  <c r="AK29" i="6" s="1"/>
  <c r="AB29" i="6"/>
  <c r="O29" i="6"/>
  <c r="M29" i="6" s="1"/>
  <c r="J29" i="6"/>
  <c r="I29" i="6"/>
  <c r="H29" i="6"/>
  <c r="E29" i="6"/>
  <c r="AV28" i="6"/>
  <c r="AI28" i="6"/>
  <c r="AM28" i="6" s="1"/>
  <c r="AB28" i="6"/>
  <c r="O28" i="6"/>
  <c r="J28" i="6"/>
  <c r="I28" i="6"/>
  <c r="H28" i="6"/>
  <c r="E28" i="6"/>
  <c r="L28" i="6" s="1"/>
  <c r="G28" i="6" s="1"/>
  <c r="AV27" i="6"/>
  <c r="AI27" i="6"/>
  <c r="AM27" i="6" s="1"/>
  <c r="AB27" i="6"/>
  <c r="O27" i="6"/>
  <c r="M27" i="6" s="1"/>
  <c r="J27" i="6"/>
  <c r="I27" i="6"/>
  <c r="H27" i="6"/>
  <c r="E27" i="6"/>
  <c r="W27" i="6" s="1"/>
  <c r="AV26" i="6"/>
  <c r="AI26" i="6"/>
  <c r="AB26" i="6"/>
  <c r="O26" i="6"/>
  <c r="J26" i="6"/>
  <c r="I26" i="6"/>
  <c r="H26" i="6"/>
  <c r="E26" i="6"/>
  <c r="AV25" i="6"/>
  <c r="AI25" i="6"/>
  <c r="AO25" i="6" s="1"/>
  <c r="AB25" i="6"/>
  <c r="O25" i="6"/>
  <c r="M25" i="6" s="1"/>
  <c r="J25" i="6"/>
  <c r="I25" i="6"/>
  <c r="H25" i="6"/>
  <c r="E25" i="6"/>
  <c r="L25" i="6" s="1"/>
  <c r="G25" i="6" s="1"/>
  <c r="AV24" i="6"/>
  <c r="AI24" i="6"/>
  <c r="AB24" i="6"/>
  <c r="O24" i="6"/>
  <c r="M24" i="6" s="1"/>
  <c r="J24" i="6"/>
  <c r="I24" i="6"/>
  <c r="H24" i="6"/>
  <c r="E24" i="6"/>
  <c r="AV23" i="6"/>
  <c r="AI23" i="6"/>
  <c r="AN23" i="6" s="1"/>
  <c r="AB23" i="6"/>
  <c r="O23" i="6"/>
  <c r="M23" i="6" s="1"/>
  <c r="J23" i="6"/>
  <c r="I23" i="6"/>
  <c r="H23" i="6"/>
  <c r="E23" i="6"/>
  <c r="L23" i="6" s="1"/>
  <c r="G23" i="6" s="1"/>
  <c r="AW22" i="6"/>
  <c r="AV22" i="6"/>
  <c r="AI22" i="6"/>
  <c r="AM22" i="6" s="1"/>
  <c r="AB22" i="6"/>
  <c r="O22" i="6"/>
  <c r="M22" i="6" s="1"/>
  <c r="J22" i="6"/>
  <c r="I22" i="6"/>
  <c r="H22" i="6"/>
  <c r="E22" i="6"/>
  <c r="W22" i="6" s="1"/>
  <c r="AW21" i="6"/>
  <c r="AV21" i="6"/>
  <c r="AI21" i="6"/>
  <c r="AO21" i="6" s="1"/>
  <c r="AB21" i="6"/>
  <c r="O21" i="6"/>
  <c r="J21" i="6"/>
  <c r="I21" i="6"/>
  <c r="H21" i="6"/>
  <c r="E21" i="6"/>
  <c r="W21" i="6" s="1"/>
  <c r="AW20" i="6"/>
  <c r="AV20" i="6"/>
  <c r="AI20" i="6"/>
  <c r="AB20" i="6"/>
  <c r="O20" i="6"/>
  <c r="J20" i="6"/>
  <c r="I20" i="6"/>
  <c r="H20" i="6"/>
  <c r="E20" i="6"/>
  <c r="L20" i="6" s="1"/>
  <c r="G20" i="6" s="1"/>
  <c r="AW19" i="6"/>
  <c r="AV19" i="6"/>
  <c r="AI19" i="6"/>
  <c r="AO19" i="6" s="1"/>
  <c r="AB19" i="6"/>
  <c r="O19" i="6"/>
  <c r="M19" i="6" s="1"/>
  <c r="J19" i="6"/>
  <c r="I19" i="6"/>
  <c r="H19" i="6"/>
  <c r="E19" i="6"/>
  <c r="AW18" i="6"/>
  <c r="AV18" i="6"/>
  <c r="AI18" i="6"/>
  <c r="AB18" i="6"/>
  <c r="O18" i="6"/>
  <c r="M18" i="6" s="1"/>
  <c r="J18" i="6"/>
  <c r="I18" i="6"/>
  <c r="H18" i="6"/>
  <c r="E18" i="6"/>
  <c r="W18" i="6" s="1"/>
  <c r="AW17" i="6"/>
  <c r="AV17" i="6"/>
  <c r="AI17" i="6"/>
  <c r="AK17" i="6" s="1"/>
  <c r="AB17" i="6"/>
  <c r="O17" i="6"/>
  <c r="J17" i="6"/>
  <c r="I17" i="6"/>
  <c r="H17" i="6"/>
  <c r="E17" i="6"/>
  <c r="AW16" i="6"/>
  <c r="AV16" i="6"/>
  <c r="AI16" i="6"/>
  <c r="AB16" i="6"/>
  <c r="O16" i="6"/>
  <c r="M16" i="6" s="1"/>
  <c r="J16" i="6"/>
  <c r="I16" i="6"/>
  <c r="H16" i="6"/>
  <c r="E16" i="6"/>
  <c r="L16" i="6" s="1"/>
  <c r="G16" i="6" s="1"/>
  <c r="AW15" i="6"/>
  <c r="AV15" i="6"/>
  <c r="AI15" i="6"/>
  <c r="AN15" i="6" s="1"/>
  <c r="AB15" i="6"/>
  <c r="O15" i="6"/>
  <c r="M15" i="6" s="1"/>
  <c r="J15" i="6"/>
  <c r="I15" i="6"/>
  <c r="H15" i="6"/>
  <c r="E15" i="6"/>
  <c r="AW14" i="6"/>
  <c r="AV14" i="6"/>
  <c r="AI14" i="6"/>
  <c r="AM14" i="6" s="1"/>
  <c r="AB14" i="6"/>
  <c r="O14" i="6"/>
  <c r="M14" i="6" s="1"/>
  <c r="J14" i="6"/>
  <c r="I14" i="6"/>
  <c r="H14" i="6"/>
  <c r="E14" i="6"/>
  <c r="L14" i="6" s="1"/>
  <c r="G14" i="6" s="1"/>
  <c r="AW13" i="6"/>
  <c r="AV13" i="6"/>
  <c r="AI13" i="6"/>
  <c r="AK13" i="6" s="1"/>
  <c r="AB13" i="6"/>
  <c r="O13" i="6"/>
  <c r="J13" i="6"/>
  <c r="I13" i="6"/>
  <c r="H13" i="6"/>
  <c r="E13" i="6"/>
  <c r="AW12" i="6"/>
  <c r="AV12" i="6"/>
  <c r="AI12" i="6"/>
  <c r="AM12" i="6" s="1"/>
  <c r="AB12" i="6"/>
  <c r="O12" i="6"/>
  <c r="J12" i="6"/>
  <c r="I12" i="6"/>
  <c r="H12" i="6"/>
  <c r="E12" i="6"/>
  <c r="L12" i="6" s="1"/>
  <c r="G12" i="6" s="1"/>
  <c r="AW11" i="6"/>
  <c r="AV11" i="6"/>
  <c r="AI11" i="6"/>
  <c r="AN11" i="6" s="1"/>
  <c r="AB11" i="6"/>
  <c r="O11" i="6"/>
  <c r="J11" i="6"/>
  <c r="I11" i="6"/>
  <c r="H11" i="6"/>
  <c r="E11" i="6"/>
  <c r="AW10" i="6"/>
  <c r="AV10" i="6"/>
  <c r="AI10" i="6"/>
  <c r="AB10" i="6"/>
  <c r="O10" i="6"/>
  <c r="M10" i="6" s="1"/>
  <c r="J10" i="6"/>
  <c r="I10" i="6"/>
  <c r="H10" i="6"/>
  <c r="E10" i="6"/>
  <c r="AW9" i="6"/>
  <c r="AV9" i="6"/>
  <c r="AI9" i="6"/>
  <c r="AJ9" i="6" s="1"/>
  <c r="AB9" i="6"/>
  <c r="O9" i="6"/>
  <c r="J9" i="6"/>
  <c r="I9" i="6"/>
  <c r="H9" i="6"/>
  <c r="E9" i="6"/>
  <c r="W9" i="6" s="1"/>
  <c r="AW8" i="6"/>
  <c r="AV8" i="6"/>
  <c r="AI8" i="6"/>
  <c r="AO8" i="6" s="1"/>
  <c r="AB8" i="6"/>
  <c r="O8" i="6"/>
  <c r="J8" i="6"/>
  <c r="I8" i="6"/>
  <c r="H8" i="6"/>
  <c r="E8" i="6"/>
  <c r="W8" i="6" s="1"/>
  <c r="AW7" i="6"/>
  <c r="AV7" i="6"/>
  <c r="AI7" i="6"/>
  <c r="AB7" i="6"/>
  <c r="O7" i="6"/>
  <c r="M7" i="6" s="1"/>
  <c r="J7" i="6"/>
  <c r="I7" i="6"/>
  <c r="H7" i="6"/>
  <c r="E7" i="6"/>
  <c r="AW6" i="6"/>
  <c r="AV6" i="6"/>
  <c r="AI6" i="6"/>
  <c r="AK6" i="6" s="1"/>
  <c r="AB6" i="6"/>
  <c r="O6" i="6"/>
  <c r="J6" i="6"/>
  <c r="I6" i="6"/>
  <c r="H6" i="6"/>
  <c r="E6" i="6"/>
  <c r="L6" i="6" s="1"/>
  <c r="G6" i="6" s="1"/>
  <c r="AW5" i="6"/>
  <c r="AV5" i="6"/>
  <c r="AI5" i="6"/>
  <c r="AN5" i="6" s="1"/>
  <c r="AB5" i="6"/>
  <c r="O5" i="6"/>
  <c r="M5" i="6" s="1"/>
  <c r="J5" i="6"/>
  <c r="I5" i="6"/>
  <c r="H5" i="6"/>
  <c r="E5" i="6"/>
  <c r="W5" i="6" s="1"/>
  <c r="K3" i="6"/>
  <c r="K31" i="6" s="1"/>
  <c r="AP2" i="6"/>
  <c r="F2" i="6"/>
  <c r="AR1" i="6"/>
  <c r="AP1" i="6"/>
  <c r="AI1" i="6"/>
  <c r="AL171" i="3"/>
  <c r="AG171" i="3"/>
  <c r="AI171" i="3" s="1"/>
  <c r="M171" i="3"/>
  <c r="L171" i="3"/>
  <c r="I171" i="3"/>
  <c r="AL170" i="3"/>
  <c r="AI170" i="3"/>
  <c r="AG170" i="3"/>
  <c r="M170" i="3"/>
  <c r="L170" i="3"/>
  <c r="I170" i="3"/>
  <c r="AL169" i="3"/>
  <c r="AI169" i="3"/>
  <c r="AG169" i="3"/>
  <c r="M169" i="3"/>
  <c r="L169" i="3"/>
  <c r="I169" i="3"/>
  <c r="AL168" i="3"/>
  <c r="AG168" i="3"/>
  <c r="AI168" i="3" s="1"/>
  <c r="M168" i="3"/>
  <c r="L168" i="3"/>
  <c r="I168" i="3"/>
  <c r="AL167" i="3"/>
  <c r="AG167" i="3"/>
  <c r="AI167" i="3" s="1"/>
  <c r="M167" i="3"/>
  <c r="L167" i="3"/>
  <c r="I167" i="3"/>
  <c r="AL166" i="3"/>
  <c r="AG166" i="3"/>
  <c r="M166" i="3"/>
  <c r="L166" i="3"/>
  <c r="I166" i="3"/>
  <c r="AI166" i="3" s="1"/>
  <c r="AL165" i="3"/>
  <c r="AI165" i="3"/>
  <c r="AG165" i="3"/>
  <c r="M165" i="3"/>
  <c r="L165" i="3"/>
  <c r="I165" i="3"/>
  <c r="AL164" i="3"/>
  <c r="AI164" i="3"/>
  <c r="AG164" i="3"/>
  <c r="M164" i="3"/>
  <c r="L164" i="3"/>
  <c r="I164" i="3"/>
  <c r="AL163" i="3"/>
  <c r="AG163" i="3"/>
  <c r="AI163" i="3" s="1"/>
  <c r="M163" i="3"/>
  <c r="L163" i="3"/>
  <c r="I163" i="3"/>
  <c r="AL162" i="3"/>
  <c r="AG162" i="3"/>
  <c r="M162" i="3"/>
  <c r="L162" i="3"/>
  <c r="I162" i="3"/>
  <c r="AI162" i="3" s="1"/>
  <c r="AL161" i="3"/>
  <c r="AI161" i="3"/>
  <c r="AG161" i="3"/>
  <c r="M161" i="3"/>
  <c r="L161" i="3"/>
  <c r="I161" i="3"/>
  <c r="AL160" i="3"/>
  <c r="AI160" i="3"/>
  <c r="AG160" i="3"/>
  <c r="M160" i="3"/>
  <c r="L160" i="3"/>
  <c r="I160" i="3"/>
  <c r="AL159" i="3"/>
  <c r="AG159" i="3"/>
  <c r="AI159" i="3" s="1"/>
  <c r="M159" i="3"/>
  <c r="L159" i="3"/>
  <c r="I159" i="3"/>
  <c r="AL158" i="3"/>
  <c r="AG158" i="3"/>
  <c r="M158" i="3"/>
  <c r="L158" i="3"/>
  <c r="I158" i="3"/>
  <c r="AI158" i="3" s="1"/>
  <c r="AL157" i="3"/>
  <c r="AI157" i="3"/>
  <c r="AG157" i="3"/>
  <c r="M157" i="3"/>
  <c r="L157" i="3"/>
  <c r="I157" i="3"/>
  <c r="AL156" i="3"/>
  <c r="AG156" i="3"/>
  <c r="AI156" i="3" s="1"/>
  <c r="M156" i="3"/>
  <c r="L156" i="3"/>
  <c r="I156" i="3"/>
  <c r="AL155" i="3"/>
  <c r="AG155" i="3"/>
  <c r="AI155" i="3" s="1"/>
  <c r="M155" i="3"/>
  <c r="L155" i="3"/>
  <c r="I155" i="3"/>
  <c r="AL154" i="3"/>
  <c r="AG154" i="3"/>
  <c r="M154" i="3"/>
  <c r="L154" i="3"/>
  <c r="I154" i="3"/>
  <c r="AI154" i="3" s="1"/>
  <c r="AL153" i="3"/>
  <c r="AI153" i="3"/>
  <c r="AG153" i="3"/>
  <c r="M153" i="3"/>
  <c r="L153" i="3"/>
  <c r="I153" i="3"/>
  <c r="AL152" i="3"/>
  <c r="AG152" i="3"/>
  <c r="AI152" i="3" s="1"/>
  <c r="M152" i="3"/>
  <c r="L152" i="3"/>
  <c r="I152" i="3"/>
  <c r="AL151" i="3"/>
  <c r="AG151" i="3"/>
  <c r="AI151" i="3" s="1"/>
  <c r="M151" i="3"/>
  <c r="L151" i="3"/>
  <c r="I151" i="3"/>
  <c r="AL150" i="3"/>
  <c r="AI150" i="3"/>
  <c r="AG150" i="3"/>
  <c r="M150" i="3"/>
  <c r="L150" i="3"/>
  <c r="I150" i="3"/>
  <c r="AL149" i="3"/>
  <c r="AI149" i="3"/>
  <c r="AG149" i="3"/>
  <c r="M149" i="3"/>
  <c r="L149" i="3"/>
  <c r="I149" i="3"/>
  <c r="AL148" i="3"/>
  <c r="AG148" i="3"/>
  <c r="AI148" i="3" s="1"/>
  <c r="M148" i="3"/>
  <c r="L148" i="3"/>
  <c r="I148" i="3"/>
  <c r="AL147" i="3"/>
  <c r="AG147" i="3"/>
  <c r="AI147" i="3" s="1"/>
  <c r="M147" i="3"/>
  <c r="L147" i="3"/>
  <c r="I147" i="3"/>
  <c r="AL146" i="3"/>
  <c r="AI146" i="3"/>
  <c r="AG146" i="3"/>
  <c r="M146" i="3"/>
  <c r="L146" i="3"/>
  <c r="I146" i="3"/>
  <c r="AL145" i="3"/>
  <c r="AI145" i="3"/>
  <c r="AG145" i="3"/>
  <c r="M145" i="3"/>
  <c r="L145" i="3"/>
  <c r="I145" i="3"/>
  <c r="AL144" i="3"/>
  <c r="AG144" i="3"/>
  <c r="AI144" i="3" s="1"/>
  <c r="M144" i="3"/>
  <c r="L144" i="3"/>
  <c r="I144" i="3"/>
  <c r="AL143" i="3"/>
  <c r="AG143" i="3"/>
  <c r="AI143" i="3" s="1"/>
  <c r="M143" i="3"/>
  <c r="L143" i="3"/>
  <c r="I143" i="3"/>
  <c r="AL142" i="3"/>
  <c r="AI142" i="3"/>
  <c r="AG142" i="3"/>
  <c r="M142" i="3"/>
  <c r="L142" i="3"/>
  <c r="I142" i="3"/>
  <c r="AL141" i="3"/>
  <c r="AI141" i="3"/>
  <c r="AG141" i="3"/>
  <c r="M141" i="3"/>
  <c r="L141" i="3"/>
  <c r="I141" i="3"/>
  <c r="AL140" i="3"/>
  <c r="AG140" i="3"/>
  <c r="AI140" i="3" s="1"/>
  <c r="M140" i="3"/>
  <c r="L140" i="3"/>
  <c r="I140" i="3"/>
  <c r="AL139" i="3"/>
  <c r="AG139" i="3"/>
  <c r="AI139" i="3" s="1"/>
  <c r="M139" i="3"/>
  <c r="L139" i="3"/>
  <c r="I139" i="3"/>
  <c r="AL138" i="3"/>
  <c r="AI138" i="3"/>
  <c r="AG138" i="3"/>
  <c r="M138" i="3"/>
  <c r="L138" i="3"/>
  <c r="I138" i="3"/>
  <c r="AL137" i="3"/>
  <c r="AI137" i="3"/>
  <c r="AG137" i="3"/>
  <c r="M137" i="3"/>
  <c r="L137" i="3"/>
  <c r="I137" i="3"/>
  <c r="AL136" i="3"/>
  <c r="AG136" i="3"/>
  <c r="AI136" i="3" s="1"/>
  <c r="M136" i="3"/>
  <c r="L136" i="3"/>
  <c r="I136" i="3"/>
  <c r="AL135" i="3"/>
  <c r="AG135" i="3"/>
  <c r="AI135" i="3" s="1"/>
  <c r="M135" i="3"/>
  <c r="L135" i="3"/>
  <c r="I135" i="3"/>
  <c r="AL134" i="3"/>
  <c r="AI134" i="3"/>
  <c r="AG134" i="3"/>
  <c r="M134" i="3"/>
  <c r="L134" i="3"/>
  <c r="I134" i="3"/>
  <c r="AL133" i="3"/>
  <c r="AI133" i="3"/>
  <c r="AG133" i="3"/>
  <c r="M133" i="3"/>
  <c r="L133" i="3"/>
  <c r="I133" i="3"/>
  <c r="AL132" i="3"/>
  <c r="AG132" i="3"/>
  <c r="M132" i="3"/>
  <c r="L132" i="3"/>
  <c r="I132" i="3"/>
  <c r="AI132" i="3" s="1"/>
  <c r="AL131" i="3"/>
  <c r="AG131" i="3"/>
  <c r="AI131" i="3" s="1"/>
  <c r="M131" i="3"/>
  <c r="L131" i="3"/>
  <c r="I131" i="3"/>
  <c r="AL130" i="3"/>
  <c r="AG130" i="3"/>
  <c r="M130" i="3"/>
  <c r="L130" i="3"/>
  <c r="I130" i="3"/>
  <c r="AI130" i="3" s="1"/>
  <c r="AL129" i="3"/>
  <c r="AI129" i="3"/>
  <c r="AG129" i="3"/>
  <c r="M129" i="3"/>
  <c r="L129" i="3"/>
  <c r="I129" i="3"/>
  <c r="AL128" i="3"/>
  <c r="AI128" i="3"/>
  <c r="AG128" i="3"/>
  <c r="M128" i="3"/>
  <c r="L128" i="3"/>
  <c r="I128" i="3"/>
  <c r="AL127" i="3"/>
  <c r="AG127" i="3"/>
  <c r="AI127" i="3" s="1"/>
  <c r="M127" i="3"/>
  <c r="L127" i="3"/>
  <c r="I127" i="3"/>
  <c r="AL126" i="3"/>
  <c r="AG126" i="3"/>
  <c r="M126" i="3"/>
  <c r="L126" i="3"/>
  <c r="I126" i="3"/>
  <c r="AI126" i="3" s="1"/>
  <c r="AL125" i="3"/>
  <c r="AI125" i="3"/>
  <c r="AG125" i="3"/>
  <c r="M125" i="3"/>
  <c r="L125" i="3"/>
  <c r="I125" i="3"/>
  <c r="AL124" i="3"/>
  <c r="AG124" i="3"/>
  <c r="AI124" i="3" s="1"/>
  <c r="M124" i="3"/>
  <c r="L124" i="3"/>
  <c r="I124" i="3"/>
  <c r="AL123" i="3"/>
  <c r="AG123" i="3"/>
  <c r="AI123" i="3" s="1"/>
  <c r="M123" i="3"/>
  <c r="L123" i="3"/>
  <c r="I123" i="3"/>
  <c r="AL122" i="3"/>
  <c r="AG122" i="3"/>
  <c r="M122" i="3"/>
  <c r="L122" i="3"/>
  <c r="I122" i="3"/>
  <c r="AI122" i="3" s="1"/>
  <c r="AL121" i="3"/>
  <c r="AI121" i="3"/>
  <c r="AG121" i="3"/>
  <c r="M121" i="3"/>
  <c r="L121" i="3"/>
  <c r="I121" i="3"/>
  <c r="AL120" i="3"/>
  <c r="AG120" i="3"/>
  <c r="AI120" i="3" s="1"/>
  <c r="M120" i="3"/>
  <c r="L120" i="3"/>
  <c r="I120" i="3"/>
  <c r="AL119" i="3"/>
  <c r="AG119" i="3"/>
  <c r="AI119" i="3" s="1"/>
  <c r="M119" i="3"/>
  <c r="L119" i="3"/>
  <c r="I119" i="3"/>
  <c r="AL118" i="3"/>
  <c r="AG118" i="3"/>
  <c r="M118" i="3"/>
  <c r="L118" i="3"/>
  <c r="I118" i="3"/>
  <c r="AI118" i="3" s="1"/>
  <c r="AL117" i="3"/>
  <c r="AI117" i="3"/>
  <c r="AG117" i="3"/>
  <c r="M117" i="3"/>
  <c r="L117" i="3"/>
  <c r="I117" i="3"/>
  <c r="AL116" i="3"/>
  <c r="AI116" i="3"/>
  <c r="AG116" i="3"/>
  <c r="M116" i="3"/>
  <c r="L116" i="3"/>
  <c r="I116" i="3"/>
  <c r="AL115" i="3"/>
  <c r="AG115" i="3"/>
  <c r="AI115" i="3" s="1"/>
  <c r="M115" i="3"/>
  <c r="L115" i="3"/>
  <c r="I115" i="3"/>
  <c r="AL114" i="3"/>
  <c r="AI114" i="3"/>
  <c r="AG114" i="3"/>
  <c r="M114" i="3"/>
  <c r="L114" i="3"/>
  <c r="I114" i="3"/>
  <c r="AL113" i="3"/>
  <c r="AI113" i="3"/>
  <c r="AG113" i="3"/>
  <c r="M113" i="3"/>
  <c r="L113" i="3"/>
  <c r="I113" i="3"/>
  <c r="AL112" i="3"/>
  <c r="AG112" i="3"/>
  <c r="AI112" i="3" s="1"/>
  <c r="M112" i="3"/>
  <c r="L112" i="3"/>
  <c r="I112" i="3"/>
  <c r="AL111" i="3"/>
  <c r="AG111" i="3"/>
  <c r="AI111" i="3" s="1"/>
  <c r="M111" i="3"/>
  <c r="L111" i="3"/>
  <c r="I111" i="3"/>
  <c r="AL110" i="3"/>
  <c r="AI110" i="3"/>
  <c r="AG110" i="3"/>
  <c r="M110" i="3"/>
  <c r="L110" i="3"/>
  <c r="I110" i="3"/>
  <c r="AL109" i="3"/>
  <c r="AI109" i="3"/>
  <c r="AG109" i="3"/>
  <c r="M109" i="3"/>
  <c r="L109" i="3"/>
  <c r="I109" i="3"/>
  <c r="AL108" i="3"/>
  <c r="AG108" i="3"/>
  <c r="AI108" i="3" s="1"/>
  <c r="M108" i="3"/>
  <c r="L108" i="3"/>
  <c r="I108" i="3"/>
  <c r="AL107" i="3"/>
  <c r="AG107" i="3"/>
  <c r="AI107" i="3" s="1"/>
  <c r="M107" i="3"/>
  <c r="L107" i="3"/>
  <c r="I107" i="3"/>
  <c r="AL106" i="3"/>
  <c r="AI106" i="3"/>
  <c r="AG106" i="3"/>
  <c r="M106" i="3"/>
  <c r="L106" i="3"/>
  <c r="I106" i="3"/>
  <c r="AL105" i="3"/>
  <c r="AI105" i="3"/>
  <c r="AG105" i="3"/>
  <c r="M105" i="3"/>
  <c r="L105" i="3"/>
  <c r="I105" i="3"/>
  <c r="AL104" i="3"/>
  <c r="AG104" i="3"/>
  <c r="AI104" i="3" s="1"/>
  <c r="M104" i="3"/>
  <c r="L104" i="3"/>
  <c r="I104" i="3"/>
  <c r="AL103" i="3"/>
  <c r="AG103" i="3"/>
  <c r="AI103" i="3" s="1"/>
  <c r="M103" i="3"/>
  <c r="L103" i="3"/>
  <c r="I103" i="3"/>
  <c r="AL102" i="3"/>
  <c r="AI102" i="3"/>
  <c r="AG102" i="3"/>
  <c r="M102" i="3"/>
  <c r="L102" i="3"/>
  <c r="I102" i="3"/>
  <c r="AL101" i="3"/>
  <c r="AI101" i="3"/>
  <c r="AG101" i="3"/>
  <c r="M101" i="3"/>
  <c r="L101" i="3"/>
  <c r="I101" i="3"/>
  <c r="AL100" i="3"/>
  <c r="AG100" i="3"/>
  <c r="M100" i="3"/>
  <c r="L100" i="3"/>
  <c r="I100" i="3"/>
  <c r="AI100" i="3" s="1"/>
  <c r="AL99" i="3"/>
  <c r="AG99" i="3"/>
  <c r="AI99" i="3" s="1"/>
  <c r="M99" i="3"/>
  <c r="L99" i="3"/>
  <c r="I99" i="3"/>
  <c r="AL98" i="3"/>
  <c r="AG98" i="3"/>
  <c r="M98" i="3"/>
  <c r="L98" i="3"/>
  <c r="I98" i="3"/>
  <c r="AI98" i="3" s="1"/>
  <c r="AL97" i="3"/>
  <c r="AG97" i="3"/>
  <c r="AI97" i="3" s="1"/>
  <c r="M97" i="3"/>
  <c r="L97" i="3"/>
  <c r="I97" i="3"/>
  <c r="AL96" i="3"/>
  <c r="AG96" i="3"/>
  <c r="AI96" i="3" s="1"/>
  <c r="M96" i="3"/>
  <c r="L96" i="3"/>
  <c r="I96" i="3"/>
  <c r="AL95" i="3"/>
  <c r="AG95" i="3"/>
  <c r="M95" i="3"/>
  <c r="L95" i="3"/>
  <c r="I95" i="3"/>
  <c r="AL94" i="3"/>
  <c r="AG94" i="3"/>
  <c r="M94" i="3"/>
  <c r="L94" i="3"/>
  <c r="I94" i="3"/>
  <c r="AI94" i="3" s="1"/>
  <c r="AL93" i="3"/>
  <c r="AI93" i="3"/>
  <c r="AG93" i="3"/>
  <c r="M93" i="3"/>
  <c r="L93" i="3"/>
  <c r="I93" i="3"/>
  <c r="AL92" i="3"/>
  <c r="AG92" i="3"/>
  <c r="AI92" i="3" s="1"/>
  <c r="M92" i="3"/>
  <c r="L92" i="3"/>
  <c r="I92" i="3"/>
  <c r="AL91" i="3"/>
  <c r="AG91" i="3"/>
  <c r="AI91" i="3" s="1"/>
  <c r="M91" i="3"/>
  <c r="L91" i="3"/>
  <c r="I91" i="3"/>
  <c r="AL90" i="3"/>
  <c r="AG90" i="3"/>
  <c r="M90" i="3"/>
  <c r="L90" i="3"/>
  <c r="I90" i="3"/>
  <c r="AI90" i="3" s="1"/>
  <c r="AL89" i="3"/>
  <c r="AG89" i="3"/>
  <c r="AI89" i="3" s="1"/>
  <c r="M89" i="3"/>
  <c r="L89" i="3"/>
  <c r="I89" i="3"/>
  <c r="AL88" i="3"/>
  <c r="AI88" i="3"/>
  <c r="AG88" i="3"/>
  <c r="M88" i="3"/>
  <c r="L88" i="3"/>
  <c r="I88" i="3"/>
  <c r="AL87" i="3"/>
  <c r="AG87" i="3"/>
  <c r="M87" i="3"/>
  <c r="L87" i="3"/>
  <c r="I87" i="3"/>
  <c r="AL86" i="3"/>
  <c r="AI86" i="3"/>
  <c r="AG86" i="3"/>
  <c r="M86" i="3"/>
  <c r="L86" i="3"/>
  <c r="I86" i="3"/>
  <c r="AL85" i="3"/>
  <c r="AG85" i="3"/>
  <c r="AI85" i="3" s="1"/>
  <c r="M85" i="3"/>
  <c r="L85" i="3"/>
  <c r="I85" i="3"/>
  <c r="AL84" i="3"/>
  <c r="AG84" i="3"/>
  <c r="AI84" i="3" s="1"/>
  <c r="M84" i="3"/>
  <c r="L84" i="3"/>
  <c r="I84" i="3"/>
  <c r="AL83" i="3"/>
  <c r="AG83" i="3"/>
  <c r="M83" i="3"/>
  <c r="L83" i="3"/>
  <c r="I83" i="3"/>
  <c r="AL82" i="3"/>
  <c r="AI82" i="3"/>
  <c r="AG82" i="3"/>
  <c r="M82" i="3"/>
  <c r="L82" i="3"/>
  <c r="I82" i="3"/>
  <c r="AL81" i="3"/>
  <c r="AI81" i="3"/>
  <c r="AG81" i="3"/>
  <c r="M81" i="3"/>
  <c r="L81" i="3"/>
  <c r="I81" i="3"/>
  <c r="AL80" i="3"/>
  <c r="AG80" i="3"/>
  <c r="AI80" i="3" s="1"/>
  <c r="M80" i="3"/>
  <c r="L80" i="3"/>
  <c r="I80" i="3"/>
  <c r="AL79" i="3"/>
  <c r="AG79" i="3"/>
  <c r="M79" i="3"/>
  <c r="L79" i="3"/>
  <c r="I79" i="3"/>
  <c r="AL78" i="3"/>
  <c r="AI78" i="3"/>
  <c r="AG78" i="3"/>
  <c r="M78" i="3"/>
  <c r="L78" i="3"/>
  <c r="I78" i="3"/>
  <c r="AL77" i="3"/>
  <c r="AG77" i="3"/>
  <c r="AI77" i="3" s="1"/>
  <c r="M77" i="3"/>
  <c r="L77" i="3"/>
  <c r="I77" i="3"/>
  <c r="AL76" i="3"/>
  <c r="AG76" i="3"/>
  <c r="AI76" i="3" s="1"/>
  <c r="M76" i="3"/>
  <c r="L76" i="3"/>
  <c r="I76" i="3"/>
  <c r="AL75" i="3"/>
  <c r="AG75" i="3"/>
  <c r="AI75" i="3" s="1"/>
  <c r="M75" i="3"/>
  <c r="L75" i="3"/>
  <c r="I75" i="3"/>
  <c r="AL74" i="3"/>
  <c r="AI74" i="3"/>
  <c r="AG74" i="3"/>
  <c r="M74" i="3"/>
  <c r="L74" i="3"/>
  <c r="I74" i="3"/>
  <c r="AL73" i="3"/>
  <c r="AG73" i="3"/>
  <c r="AI73" i="3" s="1"/>
  <c r="M73" i="3"/>
  <c r="L73" i="3"/>
  <c r="I73" i="3"/>
  <c r="AL72" i="3"/>
  <c r="AG72" i="3"/>
  <c r="M72" i="3"/>
  <c r="L72" i="3"/>
  <c r="I72" i="3"/>
  <c r="AI72" i="3" s="1"/>
  <c r="AL71" i="3"/>
  <c r="AG71" i="3"/>
  <c r="AI71" i="3" s="1"/>
  <c r="M71" i="3"/>
  <c r="L71" i="3"/>
  <c r="I71" i="3"/>
  <c r="AL70" i="3"/>
  <c r="AG70" i="3"/>
  <c r="M70" i="3"/>
  <c r="L70" i="3"/>
  <c r="I70" i="3"/>
  <c r="AI70" i="3" s="1"/>
  <c r="AL69" i="3"/>
  <c r="AG69" i="3"/>
  <c r="AI69" i="3" s="1"/>
  <c r="M69" i="3"/>
  <c r="L69" i="3"/>
  <c r="I69" i="3"/>
  <c r="AL68" i="3"/>
  <c r="AI68" i="3"/>
  <c r="AG68" i="3"/>
  <c r="M68" i="3"/>
  <c r="L68" i="3"/>
  <c r="I68" i="3"/>
  <c r="AL67" i="3"/>
  <c r="AG67" i="3"/>
  <c r="AI67" i="3" s="1"/>
  <c r="M67" i="3"/>
  <c r="L67" i="3"/>
  <c r="I67" i="3"/>
  <c r="AL66" i="3"/>
  <c r="AG66" i="3"/>
  <c r="M66" i="3"/>
  <c r="L66" i="3"/>
  <c r="I66" i="3"/>
  <c r="AI66" i="3" s="1"/>
  <c r="AL65" i="3"/>
  <c r="AI65" i="3"/>
  <c r="AG65" i="3"/>
  <c r="M65" i="3"/>
  <c r="L65" i="3"/>
  <c r="I65" i="3"/>
  <c r="AL64" i="3"/>
  <c r="AG64" i="3"/>
  <c r="AI64" i="3" s="1"/>
  <c r="M64" i="3"/>
  <c r="L64" i="3"/>
  <c r="I64" i="3"/>
  <c r="AL63" i="3"/>
  <c r="AG63" i="3"/>
  <c r="M63" i="3"/>
  <c r="L63" i="3"/>
  <c r="I63" i="3"/>
  <c r="AL62" i="3"/>
  <c r="AG62" i="3"/>
  <c r="M62" i="3"/>
  <c r="L62" i="3"/>
  <c r="I62" i="3"/>
  <c r="AI62" i="3" s="1"/>
  <c r="AL61" i="3"/>
  <c r="AI61" i="3"/>
  <c r="AG61" i="3"/>
  <c r="M61" i="3"/>
  <c r="L61" i="3"/>
  <c r="I61" i="3"/>
  <c r="AL60" i="3"/>
  <c r="AG60" i="3"/>
  <c r="AI60" i="3" s="1"/>
  <c r="M60" i="3"/>
  <c r="L60" i="3"/>
  <c r="I60" i="3"/>
  <c r="AL59" i="3"/>
  <c r="AG59" i="3"/>
  <c r="M59" i="3"/>
  <c r="L59" i="3"/>
  <c r="I59" i="3"/>
  <c r="AL58" i="3"/>
  <c r="AG58" i="3"/>
  <c r="M58" i="3"/>
  <c r="L58" i="3"/>
  <c r="I58" i="3"/>
  <c r="AI58" i="3" s="1"/>
  <c r="AL57" i="3"/>
  <c r="AG57" i="3"/>
  <c r="AI57" i="3" s="1"/>
  <c r="M57" i="3"/>
  <c r="L57" i="3"/>
  <c r="I57" i="3"/>
  <c r="AL56" i="3"/>
  <c r="AI56" i="3"/>
  <c r="AG56" i="3"/>
  <c r="M56" i="3"/>
  <c r="L56" i="3"/>
  <c r="I56" i="3"/>
  <c r="AL55" i="3"/>
  <c r="AG55" i="3"/>
  <c r="M55" i="3"/>
  <c r="L55" i="3"/>
  <c r="I55" i="3"/>
  <c r="AL54" i="3"/>
  <c r="AI54" i="3"/>
  <c r="AG54" i="3"/>
  <c r="M54" i="3"/>
  <c r="L54" i="3"/>
  <c r="I54" i="3"/>
  <c r="AL53" i="3"/>
  <c r="AG53" i="3"/>
  <c r="AI53" i="3" s="1"/>
  <c r="M53" i="3"/>
  <c r="L53" i="3"/>
  <c r="I53" i="3"/>
  <c r="AL52" i="3"/>
  <c r="AG52" i="3"/>
  <c r="AI52" i="3" s="1"/>
  <c r="M52" i="3"/>
  <c r="L52" i="3"/>
  <c r="I52" i="3"/>
  <c r="AL51" i="3"/>
  <c r="AG51" i="3"/>
  <c r="M51" i="3"/>
  <c r="L51" i="3"/>
  <c r="I51" i="3"/>
  <c r="AL50" i="3"/>
  <c r="AG50" i="3"/>
  <c r="AI50" i="3" s="1"/>
  <c r="M50" i="3"/>
  <c r="L50" i="3"/>
  <c r="I50" i="3"/>
  <c r="AL49" i="3"/>
  <c r="AI49" i="3"/>
  <c r="AG49" i="3"/>
  <c r="M49" i="3"/>
  <c r="L49" i="3"/>
  <c r="I49" i="3"/>
  <c r="AL48" i="3"/>
  <c r="AG48" i="3"/>
  <c r="AI48" i="3" s="1"/>
  <c r="M48" i="3"/>
  <c r="L48" i="3"/>
  <c r="I48" i="3"/>
  <c r="AL47" i="3"/>
  <c r="AG47" i="3"/>
  <c r="M47" i="3"/>
  <c r="L47" i="3"/>
  <c r="I47" i="3"/>
  <c r="AL46" i="3"/>
  <c r="AG46" i="3"/>
  <c r="AI46" i="3" s="1"/>
  <c r="M46" i="3"/>
  <c r="L46" i="3"/>
  <c r="I46" i="3"/>
  <c r="AL45" i="3"/>
  <c r="AG45" i="3"/>
  <c r="AI45" i="3" s="1"/>
  <c r="M45" i="3"/>
  <c r="L45" i="3"/>
  <c r="I45" i="3"/>
  <c r="AL44" i="3"/>
  <c r="AG44" i="3"/>
  <c r="AI44" i="3" s="1"/>
  <c r="M44" i="3"/>
  <c r="L44" i="3"/>
  <c r="I44" i="3"/>
  <c r="AL43" i="3"/>
  <c r="M43" i="3"/>
  <c r="L43" i="3"/>
  <c r="I43" i="3"/>
  <c r="AI43" i="3" s="1"/>
  <c r="AL42" i="3"/>
  <c r="AI42" i="3"/>
  <c r="M42" i="3"/>
  <c r="L42" i="3"/>
  <c r="I42" i="3"/>
  <c r="AL41" i="3"/>
  <c r="M41" i="3"/>
  <c r="L41" i="3"/>
  <c r="I41" i="3"/>
  <c r="AI41" i="3" s="1"/>
  <c r="AL40" i="3"/>
  <c r="AI40" i="3"/>
  <c r="M40" i="3"/>
  <c r="L40" i="3"/>
  <c r="I40" i="3"/>
  <c r="AL39" i="3"/>
  <c r="M39" i="3"/>
  <c r="L39" i="3"/>
  <c r="I39" i="3"/>
  <c r="AI39" i="3" s="1"/>
  <c r="AL38" i="3"/>
  <c r="AI38" i="3"/>
  <c r="M38" i="3"/>
  <c r="L38" i="3"/>
  <c r="I38" i="3"/>
  <c r="AL37" i="3"/>
  <c r="M37" i="3"/>
  <c r="L37" i="3"/>
  <c r="I37" i="3"/>
  <c r="AI37" i="3" s="1"/>
  <c r="AL36" i="3"/>
  <c r="M36" i="3"/>
  <c r="L36" i="3"/>
  <c r="I36" i="3"/>
  <c r="AI36" i="3" s="1"/>
  <c r="AL35" i="3"/>
  <c r="M35" i="3"/>
  <c r="L35" i="3"/>
  <c r="I35" i="3"/>
  <c r="AI35" i="3" s="1"/>
  <c r="AL34" i="3"/>
  <c r="M34" i="3"/>
  <c r="L34" i="3"/>
  <c r="I34" i="3"/>
  <c r="AI34" i="3" s="1"/>
  <c r="AL33" i="3"/>
  <c r="AI33" i="3"/>
  <c r="M33" i="3"/>
  <c r="L33" i="3"/>
  <c r="I33" i="3"/>
  <c r="AL32" i="3"/>
  <c r="M32" i="3"/>
  <c r="L32" i="3"/>
  <c r="I32" i="3"/>
  <c r="AI32" i="3" s="1"/>
  <c r="AL31" i="3"/>
  <c r="M31" i="3"/>
  <c r="L31" i="3"/>
  <c r="I31" i="3"/>
  <c r="AI31" i="3" s="1"/>
  <c r="AL30" i="3"/>
  <c r="AI30" i="3"/>
  <c r="M30" i="3"/>
  <c r="L30" i="3"/>
  <c r="I30" i="3"/>
  <c r="AL29" i="3"/>
  <c r="M29" i="3"/>
  <c r="L29" i="3"/>
  <c r="I29" i="3"/>
  <c r="AI29" i="3" s="1"/>
  <c r="AL28" i="3"/>
  <c r="M28" i="3"/>
  <c r="L28" i="3"/>
  <c r="I28" i="3"/>
  <c r="AI28" i="3" s="1"/>
  <c r="AL27" i="3"/>
  <c r="AI27" i="3"/>
  <c r="M27" i="3"/>
  <c r="L27" i="3"/>
  <c r="I27" i="3"/>
  <c r="AL26" i="3"/>
  <c r="M26" i="3"/>
  <c r="L26" i="3"/>
  <c r="I26" i="3"/>
  <c r="AI26" i="3" s="1"/>
  <c r="AL25" i="3"/>
  <c r="AI25" i="3"/>
  <c r="M25" i="3"/>
  <c r="L25" i="3"/>
  <c r="I25" i="3"/>
  <c r="AL24" i="3"/>
  <c r="M24" i="3"/>
  <c r="L24" i="3"/>
  <c r="I24" i="3"/>
  <c r="AI24" i="3" s="1"/>
  <c r="AL23" i="3"/>
  <c r="M23" i="3"/>
  <c r="L23" i="3"/>
  <c r="I23" i="3"/>
  <c r="AI23" i="3" s="1"/>
  <c r="AL22" i="3"/>
  <c r="AI22" i="3"/>
  <c r="M22" i="3"/>
  <c r="L22" i="3"/>
  <c r="I22" i="3"/>
  <c r="AL21" i="3"/>
  <c r="M21" i="3"/>
  <c r="L21" i="3"/>
  <c r="I21" i="3"/>
  <c r="AI21" i="3" s="1"/>
  <c r="AL20" i="3"/>
  <c r="M20" i="3"/>
  <c r="L20" i="3"/>
  <c r="I20" i="3"/>
  <c r="AI20" i="3" s="1"/>
  <c r="AL19" i="3"/>
  <c r="AI19" i="3"/>
  <c r="M19" i="3"/>
  <c r="L19" i="3"/>
  <c r="I19" i="3"/>
  <c r="AL18" i="3"/>
  <c r="M18" i="3"/>
  <c r="L18" i="3"/>
  <c r="I18" i="3"/>
  <c r="AI18" i="3" s="1"/>
  <c r="AL17" i="3"/>
  <c r="AI17" i="3"/>
  <c r="M17" i="3"/>
  <c r="L17" i="3"/>
  <c r="I17" i="3"/>
  <c r="AL16" i="3"/>
  <c r="M16" i="3"/>
  <c r="L16" i="3"/>
  <c r="I16" i="3"/>
  <c r="AI16" i="3" s="1"/>
  <c r="AL15" i="3"/>
  <c r="M15" i="3"/>
  <c r="L15" i="3"/>
  <c r="I15" i="3"/>
  <c r="AI15" i="3" s="1"/>
  <c r="AL14" i="3"/>
  <c r="AI14" i="3"/>
  <c r="M14" i="3"/>
  <c r="L14" i="3"/>
  <c r="I14" i="3"/>
  <c r="AL13" i="3"/>
  <c r="M13" i="3"/>
  <c r="L13" i="3"/>
  <c r="I13" i="3"/>
  <c r="AI13" i="3" s="1"/>
  <c r="AL12" i="3"/>
  <c r="M12" i="3"/>
  <c r="L12" i="3"/>
  <c r="I12" i="3"/>
  <c r="AI12" i="3" s="1"/>
  <c r="AL11" i="3"/>
  <c r="AI11" i="3"/>
  <c r="M11" i="3"/>
  <c r="L11" i="3"/>
  <c r="I11" i="3"/>
  <c r="AL10" i="3"/>
  <c r="M10" i="3"/>
  <c r="L10" i="3"/>
  <c r="I10" i="3"/>
  <c r="AI10" i="3" s="1"/>
  <c r="AL9" i="3"/>
  <c r="AI9" i="3"/>
  <c r="M9" i="3"/>
  <c r="L9" i="3"/>
  <c r="I9" i="3"/>
  <c r="AL8" i="3"/>
  <c r="AI8" i="3"/>
  <c r="AG8" i="3"/>
  <c r="M8" i="3"/>
  <c r="L8" i="3"/>
  <c r="I8" i="3"/>
  <c r="AL7" i="3"/>
  <c r="AG7" i="3"/>
  <c r="AI7" i="3" s="1"/>
  <c r="M7" i="3"/>
  <c r="L7" i="3"/>
  <c r="I7" i="3"/>
  <c r="AL6" i="3"/>
  <c r="AG6" i="3"/>
  <c r="M6" i="3"/>
  <c r="L6" i="3"/>
  <c r="I6" i="3"/>
  <c r="AI6" i="3" s="1"/>
  <c r="AL5" i="3"/>
  <c r="AG5" i="3"/>
  <c r="AI5" i="3" s="1"/>
  <c r="M5" i="3"/>
  <c r="L5" i="3"/>
  <c r="I5" i="3"/>
  <c r="AL4" i="3"/>
  <c r="AI4" i="3"/>
  <c r="AG4" i="3"/>
  <c r="M4" i="3"/>
  <c r="L4" i="3"/>
  <c r="I4" i="3"/>
  <c r="AL3" i="3"/>
  <c r="AG3" i="3"/>
  <c r="AI3" i="3" s="1"/>
  <c r="M3" i="3"/>
  <c r="L3" i="3"/>
  <c r="I3" i="3"/>
  <c r="AL2" i="3"/>
  <c r="AG2" i="3"/>
  <c r="M2" i="3"/>
  <c r="L2" i="3"/>
  <c r="I2" i="3"/>
  <c r="AI2" i="3" s="1"/>
  <c r="AI171" i="2"/>
  <c r="M171" i="2"/>
  <c r="L171" i="2"/>
  <c r="I171" i="2"/>
  <c r="M170" i="2"/>
  <c r="L170" i="2"/>
  <c r="I170" i="2"/>
  <c r="AI170" i="2" s="1"/>
  <c r="AI169" i="2"/>
  <c r="M169" i="2"/>
  <c r="L169" i="2"/>
  <c r="I169" i="2"/>
  <c r="M168" i="2"/>
  <c r="L168" i="2"/>
  <c r="I168" i="2"/>
  <c r="AI168" i="2" s="1"/>
  <c r="AI167" i="2"/>
  <c r="M167" i="2"/>
  <c r="L167" i="2"/>
  <c r="I167" i="2"/>
  <c r="M166" i="2"/>
  <c r="L166" i="2"/>
  <c r="I166" i="2"/>
  <c r="AI166" i="2" s="1"/>
  <c r="AI165" i="2"/>
  <c r="M165" i="2"/>
  <c r="L165" i="2"/>
  <c r="I165" i="2"/>
  <c r="M164" i="2"/>
  <c r="L164" i="2"/>
  <c r="I164" i="2"/>
  <c r="AI164" i="2" s="1"/>
  <c r="AI163" i="2"/>
  <c r="M163" i="2"/>
  <c r="L163" i="2"/>
  <c r="I163" i="2"/>
  <c r="M162" i="2"/>
  <c r="L162" i="2"/>
  <c r="I162" i="2"/>
  <c r="AI162" i="2" s="1"/>
  <c r="AI161" i="2"/>
  <c r="M161" i="2"/>
  <c r="L161" i="2"/>
  <c r="I161" i="2"/>
  <c r="M160" i="2"/>
  <c r="L160" i="2"/>
  <c r="I160" i="2"/>
  <c r="AI160" i="2" s="1"/>
  <c r="AI159" i="2"/>
  <c r="M159" i="2"/>
  <c r="L159" i="2"/>
  <c r="I159" i="2"/>
  <c r="M158" i="2"/>
  <c r="L158" i="2"/>
  <c r="I158" i="2"/>
  <c r="AI158" i="2" s="1"/>
  <c r="AI157" i="2"/>
  <c r="M157" i="2"/>
  <c r="L157" i="2"/>
  <c r="I157" i="2"/>
  <c r="M156" i="2"/>
  <c r="L156" i="2"/>
  <c r="I156" i="2"/>
  <c r="AI156" i="2" s="1"/>
  <c r="AI155" i="2"/>
  <c r="M155" i="2"/>
  <c r="L155" i="2"/>
  <c r="I155" i="2"/>
  <c r="M154" i="2"/>
  <c r="L154" i="2"/>
  <c r="I154" i="2"/>
  <c r="AI154" i="2" s="1"/>
  <c r="AI153" i="2"/>
  <c r="M153" i="2"/>
  <c r="L153" i="2"/>
  <c r="I153" i="2"/>
  <c r="M152" i="2"/>
  <c r="L152" i="2"/>
  <c r="I152" i="2"/>
  <c r="AI152" i="2" s="1"/>
  <c r="AI151" i="2"/>
  <c r="M151" i="2"/>
  <c r="L151" i="2"/>
  <c r="I151" i="2"/>
  <c r="M150" i="2"/>
  <c r="L150" i="2"/>
  <c r="I150" i="2"/>
  <c r="AI150" i="2" s="1"/>
  <c r="AI149" i="2"/>
  <c r="M149" i="2"/>
  <c r="L149" i="2"/>
  <c r="I149" i="2"/>
  <c r="M148" i="2"/>
  <c r="L148" i="2"/>
  <c r="I148" i="2"/>
  <c r="AI148" i="2" s="1"/>
  <c r="AI147" i="2"/>
  <c r="M147" i="2"/>
  <c r="L147" i="2"/>
  <c r="I147" i="2"/>
  <c r="M146" i="2"/>
  <c r="L146" i="2"/>
  <c r="I146" i="2"/>
  <c r="AI146" i="2" s="1"/>
  <c r="AI145" i="2"/>
  <c r="M145" i="2"/>
  <c r="L145" i="2"/>
  <c r="I145" i="2"/>
  <c r="M144" i="2"/>
  <c r="L144" i="2"/>
  <c r="I144" i="2"/>
  <c r="AI144" i="2" s="1"/>
  <c r="AI143" i="2"/>
  <c r="M143" i="2"/>
  <c r="L143" i="2"/>
  <c r="I143" i="2"/>
  <c r="M142" i="2"/>
  <c r="L142" i="2"/>
  <c r="I142" i="2"/>
  <c r="AI142" i="2" s="1"/>
  <c r="AI141" i="2"/>
  <c r="M141" i="2"/>
  <c r="L141" i="2"/>
  <c r="I141" i="2"/>
  <c r="M140" i="2"/>
  <c r="L140" i="2"/>
  <c r="I140" i="2"/>
  <c r="AI140" i="2" s="1"/>
  <c r="AI139" i="2"/>
  <c r="M139" i="2"/>
  <c r="L139" i="2"/>
  <c r="I139" i="2"/>
  <c r="M138" i="2"/>
  <c r="L138" i="2"/>
  <c r="I138" i="2"/>
  <c r="AI138" i="2" s="1"/>
  <c r="AI137" i="2"/>
  <c r="M137" i="2"/>
  <c r="L137" i="2"/>
  <c r="I137" i="2"/>
  <c r="AG136" i="2"/>
  <c r="AI136" i="2" s="1"/>
  <c r="M136" i="2"/>
  <c r="L136" i="2"/>
  <c r="I136" i="2"/>
  <c r="AG135" i="2"/>
  <c r="AI135" i="2" s="1"/>
  <c r="M135" i="2"/>
  <c r="L135" i="2"/>
  <c r="I135" i="2"/>
  <c r="AG134" i="2"/>
  <c r="AI134" i="2" s="1"/>
  <c r="M134" i="2"/>
  <c r="L134" i="2"/>
  <c r="I134" i="2"/>
  <c r="AG133" i="2"/>
  <c r="M133" i="2"/>
  <c r="L133" i="2"/>
  <c r="I133" i="2"/>
  <c r="AI133" i="2" s="1"/>
  <c r="AG132" i="2"/>
  <c r="AI132" i="2" s="1"/>
  <c r="M132" i="2"/>
  <c r="L132" i="2"/>
  <c r="I132" i="2"/>
  <c r="AG131" i="2"/>
  <c r="AI131" i="2" s="1"/>
  <c r="M131" i="2"/>
  <c r="L131" i="2"/>
  <c r="I131" i="2"/>
  <c r="AI130" i="2"/>
  <c r="AG130" i="2"/>
  <c r="M130" i="2"/>
  <c r="L130" i="2"/>
  <c r="I130" i="2"/>
  <c r="AI129" i="2"/>
  <c r="AG129" i="2"/>
  <c r="M129" i="2"/>
  <c r="L129" i="2"/>
  <c r="I129" i="2"/>
  <c r="AG128" i="2"/>
  <c r="AI128" i="2" s="1"/>
  <c r="M128" i="2"/>
  <c r="L128" i="2"/>
  <c r="I128" i="2"/>
  <c r="AG127" i="2"/>
  <c r="AI127" i="2" s="1"/>
  <c r="M127" i="2"/>
  <c r="L127" i="2"/>
  <c r="I127" i="2"/>
  <c r="AG126" i="2"/>
  <c r="AI126" i="2" s="1"/>
  <c r="M126" i="2"/>
  <c r="L126" i="2"/>
  <c r="I126" i="2"/>
  <c r="AG125" i="2"/>
  <c r="M125" i="2"/>
  <c r="L125" i="2"/>
  <c r="I125" i="2"/>
  <c r="AI125" i="2" s="1"/>
  <c r="AG124" i="2"/>
  <c r="AI124" i="2" s="1"/>
  <c r="M124" i="2"/>
  <c r="L124" i="2"/>
  <c r="I124" i="2"/>
  <c r="AG123" i="2"/>
  <c r="AI123" i="2" s="1"/>
  <c r="M123" i="2"/>
  <c r="L123" i="2"/>
  <c r="I123" i="2"/>
  <c r="AI122" i="2"/>
  <c r="AG122" i="2"/>
  <c r="M122" i="2"/>
  <c r="L122" i="2"/>
  <c r="I122" i="2"/>
  <c r="AI121" i="2"/>
  <c r="AG121" i="2"/>
  <c r="M121" i="2"/>
  <c r="L121" i="2"/>
  <c r="I121" i="2"/>
  <c r="AG120" i="2"/>
  <c r="AI120" i="2" s="1"/>
  <c r="M120" i="2"/>
  <c r="L120" i="2"/>
  <c r="I120" i="2"/>
  <c r="AG119" i="2"/>
  <c r="AI119" i="2" s="1"/>
  <c r="M119" i="2"/>
  <c r="L119" i="2"/>
  <c r="I119" i="2"/>
  <c r="AG118" i="2"/>
  <c r="AI118" i="2" s="1"/>
  <c r="M118" i="2"/>
  <c r="L118" i="2"/>
  <c r="I118" i="2"/>
  <c r="AG117" i="2"/>
  <c r="M117" i="2"/>
  <c r="L117" i="2"/>
  <c r="I117" i="2"/>
  <c r="AI117" i="2" s="1"/>
  <c r="AG116" i="2"/>
  <c r="AI116" i="2" s="1"/>
  <c r="M116" i="2"/>
  <c r="L116" i="2"/>
  <c r="I116" i="2"/>
  <c r="AG115" i="2"/>
  <c r="AI115" i="2" s="1"/>
  <c r="M115" i="2"/>
  <c r="L115" i="2"/>
  <c r="I115" i="2"/>
  <c r="AI114" i="2"/>
  <c r="AG114" i="2"/>
  <c r="M114" i="2"/>
  <c r="L114" i="2"/>
  <c r="I114" i="2"/>
  <c r="AI113" i="2"/>
  <c r="AG113" i="2"/>
  <c r="M113" i="2"/>
  <c r="L113" i="2"/>
  <c r="I113" i="2"/>
  <c r="AG112" i="2"/>
  <c r="AI112" i="2" s="1"/>
  <c r="M112" i="2"/>
  <c r="L112" i="2"/>
  <c r="I112" i="2"/>
  <c r="AG111" i="2"/>
  <c r="AI111" i="2" s="1"/>
  <c r="M111" i="2"/>
  <c r="L111" i="2"/>
  <c r="I111" i="2"/>
  <c r="AG110" i="2"/>
  <c r="AI110" i="2" s="1"/>
  <c r="M110" i="2"/>
  <c r="L110" i="2"/>
  <c r="I110" i="2"/>
  <c r="AG109" i="2"/>
  <c r="M109" i="2"/>
  <c r="L109" i="2"/>
  <c r="I109" i="2"/>
  <c r="AI109" i="2" s="1"/>
  <c r="AG108" i="2"/>
  <c r="AI108" i="2" s="1"/>
  <c r="M108" i="2"/>
  <c r="L108" i="2"/>
  <c r="I108" i="2"/>
  <c r="AG107" i="2"/>
  <c r="AI107" i="2" s="1"/>
  <c r="M107" i="2"/>
  <c r="L107" i="2"/>
  <c r="I107" i="2"/>
  <c r="AI106" i="2"/>
  <c r="AG106" i="2"/>
  <c r="M106" i="2"/>
  <c r="L106" i="2"/>
  <c r="I106" i="2"/>
  <c r="AI105" i="2"/>
  <c r="AG105" i="2"/>
  <c r="M105" i="2"/>
  <c r="L105" i="2"/>
  <c r="I105" i="2"/>
  <c r="AG104" i="2"/>
  <c r="AI104" i="2" s="1"/>
  <c r="M104" i="2"/>
  <c r="L104" i="2"/>
  <c r="I104" i="2"/>
  <c r="AG103" i="2"/>
  <c r="AI103" i="2" s="1"/>
  <c r="M103" i="2"/>
  <c r="L103" i="2"/>
  <c r="I103" i="2"/>
  <c r="AG102" i="2"/>
  <c r="AI102" i="2" s="1"/>
  <c r="M102" i="2"/>
  <c r="L102" i="2"/>
  <c r="I102" i="2"/>
  <c r="AG101" i="2"/>
  <c r="M101" i="2"/>
  <c r="L101" i="2"/>
  <c r="I101" i="2"/>
  <c r="AI101" i="2" s="1"/>
  <c r="AG100" i="2"/>
  <c r="AI100" i="2" s="1"/>
  <c r="M100" i="2"/>
  <c r="L100" i="2"/>
  <c r="I100" i="2"/>
  <c r="AG99" i="2"/>
  <c r="AI99" i="2" s="1"/>
  <c r="M99" i="2"/>
  <c r="L99" i="2"/>
  <c r="I99" i="2"/>
  <c r="AI98" i="2"/>
  <c r="AG98" i="2"/>
  <c r="M98" i="2"/>
  <c r="L98" i="2"/>
  <c r="I98" i="2"/>
  <c r="AI97" i="2"/>
  <c r="AG97" i="2"/>
  <c r="M97" i="2"/>
  <c r="L97" i="2"/>
  <c r="I97" i="2"/>
  <c r="AG96" i="2"/>
  <c r="AI96" i="2" s="1"/>
  <c r="M96" i="2"/>
  <c r="L96" i="2"/>
  <c r="I96" i="2"/>
  <c r="AG95" i="2"/>
  <c r="AI95" i="2" s="1"/>
  <c r="M95" i="2"/>
  <c r="L95" i="2"/>
  <c r="I95" i="2"/>
  <c r="AG94" i="2"/>
  <c r="AI94" i="2" s="1"/>
  <c r="M94" i="2"/>
  <c r="L94" i="2"/>
  <c r="I94" i="2"/>
  <c r="AG93" i="2"/>
  <c r="M93" i="2"/>
  <c r="L93" i="2"/>
  <c r="I93" i="2"/>
  <c r="AI93" i="2" s="1"/>
  <c r="AG92" i="2"/>
  <c r="AI92" i="2" s="1"/>
  <c r="M92" i="2"/>
  <c r="L92" i="2"/>
  <c r="I92" i="2"/>
  <c r="AG91" i="2"/>
  <c r="AI91" i="2" s="1"/>
  <c r="M91" i="2"/>
  <c r="L91" i="2"/>
  <c r="I91" i="2"/>
  <c r="AI90" i="2"/>
  <c r="AG90" i="2"/>
  <c r="M90" i="2"/>
  <c r="L90" i="2"/>
  <c r="I90" i="2"/>
  <c r="AI89" i="2"/>
  <c r="AG89" i="2"/>
  <c r="M89" i="2"/>
  <c r="L89" i="2"/>
  <c r="I89" i="2"/>
  <c r="AG88" i="2"/>
  <c r="AI88" i="2" s="1"/>
  <c r="M88" i="2"/>
  <c r="L88" i="2"/>
  <c r="I88" i="2"/>
  <c r="AG87" i="2"/>
  <c r="AI87" i="2" s="1"/>
  <c r="M87" i="2"/>
  <c r="L87" i="2"/>
  <c r="I87" i="2"/>
  <c r="AG86" i="2"/>
  <c r="AI86" i="2" s="1"/>
  <c r="M86" i="2"/>
  <c r="L86" i="2"/>
  <c r="I86" i="2"/>
  <c r="AG85" i="2"/>
  <c r="M85" i="2"/>
  <c r="L85" i="2"/>
  <c r="I85" i="2"/>
  <c r="AI85" i="2" s="1"/>
  <c r="AG84" i="2"/>
  <c r="AI84" i="2" s="1"/>
  <c r="M84" i="2"/>
  <c r="L84" i="2"/>
  <c r="I84" i="2"/>
  <c r="AG83" i="2"/>
  <c r="AI83" i="2" s="1"/>
  <c r="M83" i="2"/>
  <c r="L83" i="2"/>
  <c r="I83" i="2"/>
  <c r="AI82" i="2"/>
  <c r="AG82" i="2"/>
  <c r="M82" i="2"/>
  <c r="L82" i="2"/>
  <c r="I82" i="2"/>
  <c r="AI81" i="2"/>
  <c r="AG81" i="2"/>
  <c r="M81" i="2"/>
  <c r="L81" i="2"/>
  <c r="I81" i="2"/>
  <c r="AG80" i="2"/>
  <c r="AI80" i="2" s="1"/>
  <c r="M80" i="2"/>
  <c r="L80" i="2"/>
  <c r="I80" i="2"/>
  <c r="AG79" i="2"/>
  <c r="AI79" i="2" s="1"/>
  <c r="M79" i="2"/>
  <c r="L79" i="2"/>
  <c r="I79" i="2"/>
  <c r="AG78" i="2"/>
  <c r="AI78" i="2" s="1"/>
  <c r="M78" i="2"/>
  <c r="L78" i="2"/>
  <c r="I78" i="2"/>
  <c r="AG77" i="2"/>
  <c r="M77" i="2"/>
  <c r="L77" i="2"/>
  <c r="I77" i="2"/>
  <c r="AI77" i="2" s="1"/>
  <c r="AG76" i="2"/>
  <c r="AI76" i="2" s="1"/>
  <c r="M76" i="2"/>
  <c r="L76" i="2"/>
  <c r="I76" i="2"/>
  <c r="AG75" i="2"/>
  <c r="AI75" i="2" s="1"/>
  <c r="M75" i="2"/>
  <c r="L75" i="2"/>
  <c r="I75" i="2"/>
  <c r="AI74" i="2"/>
  <c r="AG74" i="2"/>
  <c r="M74" i="2"/>
  <c r="L74" i="2"/>
  <c r="I74" i="2"/>
  <c r="AI73" i="2"/>
  <c r="AG73" i="2"/>
  <c r="M73" i="2"/>
  <c r="L73" i="2"/>
  <c r="I73" i="2"/>
  <c r="AG72" i="2"/>
  <c r="AI72" i="2" s="1"/>
  <c r="M72" i="2"/>
  <c r="L72" i="2"/>
  <c r="I72" i="2"/>
  <c r="AG71" i="2"/>
  <c r="AI71" i="2" s="1"/>
  <c r="M71" i="2"/>
  <c r="L71" i="2"/>
  <c r="I71" i="2"/>
  <c r="AG70" i="2"/>
  <c r="AI70" i="2" s="1"/>
  <c r="M70" i="2"/>
  <c r="L70" i="2"/>
  <c r="I70" i="2"/>
  <c r="AG69" i="2"/>
  <c r="M69" i="2"/>
  <c r="L69" i="2"/>
  <c r="I69" i="2"/>
  <c r="AI69" i="2" s="1"/>
  <c r="AG68" i="2"/>
  <c r="AI68" i="2" s="1"/>
  <c r="M68" i="2"/>
  <c r="L68" i="2"/>
  <c r="I68" i="2"/>
  <c r="AG67" i="2"/>
  <c r="AI67" i="2" s="1"/>
  <c r="M67" i="2"/>
  <c r="L67" i="2"/>
  <c r="I67" i="2"/>
  <c r="AI66" i="2"/>
  <c r="AG66" i="2"/>
  <c r="M66" i="2"/>
  <c r="L66" i="2"/>
  <c r="I66" i="2"/>
  <c r="AI65" i="2"/>
  <c r="AG65" i="2"/>
  <c r="M65" i="2"/>
  <c r="L65" i="2"/>
  <c r="I65" i="2"/>
  <c r="AG64" i="2"/>
  <c r="AI64" i="2" s="1"/>
  <c r="M64" i="2"/>
  <c r="L64" i="2"/>
  <c r="I64" i="2"/>
  <c r="AG63" i="2"/>
  <c r="AI63" i="2" s="1"/>
  <c r="M63" i="2"/>
  <c r="L63" i="2"/>
  <c r="I63" i="2"/>
  <c r="AG62" i="2"/>
  <c r="AI62" i="2" s="1"/>
  <c r="M62" i="2"/>
  <c r="L62" i="2"/>
  <c r="I62" i="2"/>
  <c r="AG61" i="2"/>
  <c r="M61" i="2"/>
  <c r="L61" i="2"/>
  <c r="I61" i="2"/>
  <c r="AI61" i="2" s="1"/>
  <c r="AG60" i="2"/>
  <c r="AI60" i="2" s="1"/>
  <c r="M60" i="2"/>
  <c r="L60" i="2"/>
  <c r="I60" i="2"/>
  <c r="AG59" i="2"/>
  <c r="AI59" i="2" s="1"/>
  <c r="M59" i="2"/>
  <c r="L59" i="2"/>
  <c r="I59" i="2"/>
  <c r="AI58" i="2"/>
  <c r="AG58" i="2"/>
  <c r="M58" i="2"/>
  <c r="L58" i="2"/>
  <c r="I58" i="2"/>
  <c r="AI57" i="2"/>
  <c r="AG57" i="2"/>
  <c r="M57" i="2"/>
  <c r="L57" i="2"/>
  <c r="I57" i="2"/>
  <c r="AG56" i="2"/>
  <c r="AI56" i="2" s="1"/>
  <c r="M56" i="2"/>
  <c r="L56" i="2"/>
  <c r="I56" i="2"/>
  <c r="AG55" i="2"/>
  <c r="AI55" i="2" s="1"/>
  <c r="M55" i="2"/>
  <c r="L55" i="2"/>
  <c r="I55" i="2"/>
  <c r="AG54" i="2"/>
  <c r="AI54" i="2" s="1"/>
  <c r="M54" i="2"/>
  <c r="L54" i="2"/>
  <c r="I54" i="2"/>
  <c r="AG53" i="2"/>
  <c r="M53" i="2"/>
  <c r="L53" i="2"/>
  <c r="I53" i="2"/>
  <c r="AI53" i="2" s="1"/>
  <c r="AG52" i="2"/>
  <c r="AI52" i="2" s="1"/>
  <c r="M52" i="2"/>
  <c r="L52" i="2"/>
  <c r="I52" i="2"/>
  <c r="AG51" i="2"/>
  <c r="AI51" i="2" s="1"/>
  <c r="M51" i="2"/>
  <c r="L51" i="2"/>
  <c r="I51" i="2"/>
  <c r="AI50" i="2"/>
  <c r="AG50" i="2"/>
  <c r="M50" i="2"/>
  <c r="L50" i="2"/>
  <c r="I50" i="2"/>
  <c r="AI49" i="2"/>
  <c r="AG49" i="2"/>
  <c r="M49" i="2"/>
  <c r="L49" i="2"/>
  <c r="I49" i="2"/>
  <c r="AG48" i="2"/>
  <c r="AI48" i="2" s="1"/>
  <c r="M48" i="2"/>
  <c r="L48" i="2"/>
  <c r="I48" i="2"/>
  <c r="AG47" i="2"/>
  <c r="AI47" i="2" s="1"/>
  <c r="M47" i="2"/>
  <c r="L47" i="2"/>
  <c r="I47" i="2"/>
  <c r="AG46" i="2"/>
  <c r="AI46" i="2" s="1"/>
  <c r="M46" i="2"/>
  <c r="L46" i="2"/>
  <c r="I46" i="2"/>
  <c r="AG45" i="2"/>
  <c r="M45" i="2"/>
  <c r="L45" i="2"/>
  <c r="I45" i="2"/>
  <c r="AI45" i="2" s="1"/>
  <c r="AG44" i="2"/>
  <c r="AI44" i="2" s="1"/>
  <c r="M44" i="2"/>
  <c r="L44" i="2"/>
  <c r="I44" i="2"/>
  <c r="AG43" i="2"/>
  <c r="AI43" i="2" s="1"/>
  <c r="M43" i="2"/>
  <c r="L43" i="2"/>
  <c r="I43" i="2"/>
  <c r="AI42" i="2"/>
  <c r="AG42" i="2"/>
  <c r="M42" i="2"/>
  <c r="L42" i="2"/>
  <c r="I42" i="2"/>
  <c r="AI41" i="2"/>
  <c r="AG41" i="2"/>
  <c r="M41" i="2"/>
  <c r="L41" i="2"/>
  <c r="I41" i="2"/>
  <c r="AG40" i="2"/>
  <c r="AI40" i="2" s="1"/>
  <c r="M40" i="2"/>
  <c r="L40" i="2"/>
  <c r="I40" i="2"/>
  <c r="AG39" i="2"/>
  <c r="AI39" i="2" s="1"/>
  <c r="M39" i="2"/>
  <c r="L39" i="2"/>
  <c r="I39" i="2"/>
  <c r="AG38" i="2"/>
  <c r="AI38" i="2" s="1"/>
  <c r="M38" i="2"/>
  <c r="L38" i="2"/>
  <c r="I38" i="2"/>
  <c r="AG37" i="2"/>
  <c r="M37" i="2"/>
  <c r="L37" i="2"/>
  <c r="I37" i="2"/>
  <c r="AI37" i="2" s="1"/>
  <c r="AG36" i="2"/>
  <c r="AI36" i="2" s="1"/>
  <c r="M36" i="2"/>
  <c r="L36" i="2"/>
  <c r="I36" i="2"/>
  <c r="AG35" i="2"/>
  <c r="AI35" i="2" s="1"/>
  <c r="M35" i="2"/>
  <c r="L35" i="2"/>
  <c r="I35" i="2"/>
  <c r="AI34" i="2"/>
  <c r="AG34" i="2"/>
  <c r="M34" i="2"/>
  <c r="L34" i="2"/>
  <c r="I34" i="2"/>
  <c r="AI33" i="2"/>
  <c r="AG33" i="2"/>
  <c r="M33" i="2"/>
  <c r="L33" i="2"/>
  <c r="I33" i="2"/>
  <c r="AG32" i="2"/>
  <c r="AI32" i="2" s="1"/>
  <c r="M32" i="2"/>
  <c r="L32" i="2"/>
  <c r="I32" i="2"/>
  <c r="AG31" i="2"/>
  <c r="AI31" i="2" s="1"/>
  <c r="M31" i="2"/>
  <c r="L31" i="2"/>
  <c r="I31" i="2"/>
  <c r="AG30" i="2"/>
  <c r="AI30" i="2" s="1"/>
  <c r="M30" i="2"/>
  <c r="L30" i="2"/>
  <c r="I30" i="2"/>
  <c r="AG29" i="2"/>
  <c r="M29" i="2"/>
  <c r="L29" i="2"/>
  <c r="I29" i="2"/>
  <c r="AI29" i="2" s="1"/>
  <c r="AG28" i="2"/>
  <c r="AI28" i="2" s="1"/>
  <c r="M28" i="2"/>
  <c r="L28" i="2"/>
  <c r="I28" i="2"/>
  <c r="AG27" i="2"/>
  <c r="AI27" i="2" s="1"/>
  <c r="M27" i="2"/>
  <c r="L27" i="2"/>
  <c r="I27" i="2"/>
  <c r="AI26" i="2"/>
  <c r="AG26" i="2"/>
  <c r="M26" i="2"/>
  <c r="L26" i="2"/>
  <c r="I26" i="2"/>
  <c r="AG25" i="2"/>
  <c r="AI25" i="2" s="1"/>
  <c r="M25" i="2"/>
  <c r="L25" i="2"/>
  <c r="I25" i="2"/>
  <c r="AG24" i="2"/>
  <c r="AI24" i="2" s="1"/>
  <c r="M24" i="2"/>
  <c r="L24" i="2"/>
  <c r="I24" i="2"/>
  <c r="AG23" i="2"/>
  <c r="AI23" i="2" s="1"/>
  <c r="M23" i="2"/>
  <c r="L23" i="2"/>
  <c r="I23" i="2"/>
  <c r="AG22" i="2"/>
  <c r="AI22" i="2" s="1"/>
  <c r="M22" i="2"/>
  <c r="L22" i="2"/>
  <c r="I22" i="2"/>
  <c r="AG21" i="2"/>
  <c r="M21" i="2"/>
  <c r="L21" i="2"/>
  <c r="I21" i="2"/>
  <c r="AI21" i="2" s="1"/>
  <c r="AG20" i="2"/>
  <c r="AI20" i="2" s="1"/>
  <c r="M20" i="2"/>
  <c r="L20" i="2"/>
  <c r="I20" i="2"/>
  <c r="AG19" i="2"/>
  <c r="AI19" i="2" s="1"/>
  <c r="M19" i="2"/>
  <c r="L19" i="2"/>
  <c r="I19" i="2"/>
  <c r="AI18" i="2"/>
  <c r="AG18" i="2"/>
  <c r="M18" i="2"/>
  <c r="L18" i="2"/>
  <c r="I18" i="2"/>
  <c r="AG17" i="2"/>
  <c r="AI17" i="2" s="1"/>
  <c r="M17" i="2"/>
  <c r="L17" i="2"/>
  <c r="I17" i="2"/>
  <c r="AG16" i="2"/>
  <c r="AI16" i="2" s="1"/>
  <c r="M16" i="2"/>
  <c r="L16" i="2"/>
  <c r="I16" i="2"/>
  <c r="AG15" i="2"/>
  <c r="AI15" i="2" s="1"/>
  <c r="M15" i="2"/>
  <c r="L15" i="2"/>
  <c r="I15" i="2"/>
  <c r="AG14" i="2"/>
  <c r="AI14" i="2" s="1"/>
  <c r="M14" i="2"/>
  <c r="L14" i="2"/>
  <c r="I14" i="2"/>
  <c r="AG13" i="2"/>
  <c r="M13" i="2"/>
  <c r="L13" i="2"/>
  <c r="I13" i="2"/>
  <c r="AI13" i="2" s="1"/>
  <c r="AG12" i="2"/>
  <c r="AI12" i="2" s="1"/>
  <c r="M12" i="2"/>
  <c r="L12" i="2"/>
  <c r="I12" i="2"/>
  <c r="AG11" i="2"/>
  <c r="AI11" i="2" s="1"/>
  <c r="M11" i="2"/>
  <c r="L11" i="2"/>
  <c r="I11" i="2"/>
  <c r="AI10" i="2"/>
  <c r="AG10" i="2"/>
  <c r="M10" i="2"/>
  <c r="L10" i="2"/>
  <c r="I10" i="2"/>
  <c r="AG9" i="2"/>
  <c r="AI9" i="2" s="1"/>
  <c r="M9" i="2"/>
  <c r="L9" i="2"/>
  <c r="I9" i="2"/>
  <c r="AG8" i="2"/>
  <c r="AI8" i="2" s="1"/>
  <c r="M8" i="2"/>
  <c r="L8" i="2"/>
  <c r="I8" i="2"/>
  <c r="AG7" i="2"/>
  <c r="AI7" i="2" s="1"/>
  <c r="M7" i="2"/>
  <c r="L7" i="2"/>
  <c r="I7" i="2"/>
  <c r="AG6" i="2"/>
  <c r="AI6" i="2" s="1"/>
  <c r="M6" i="2"/>
  <c r="L6" i="2"/>
  <c r="I6" i="2"/>
  <c r="AG5" i="2"/>
  <c r="M5" i="2"/>
  <c r="L5" i="2"/>
  <c r="I5" i="2"/>
  <c r="AI5" i="2" s="1"/>
  <c r="AG4" i="2"/>
  <c r="AI4" i="2" s="1"/>
  <c r="M4" i="2"/>
  <c r="L4" i="2"/>
  <c r="I4" i="2"/>
  <c r="AG3" i="2"/>
  <c r="AI3" i="2" s="1"/>
  <c r="M3" i="2"/>
  <c r="L3" i="2"/>
  <c r="I3" i="2"/>
  <c r="AI2" i="2"/>
  <c r="AG2" i="2"/>
  <c r="M2" i="2"/>
  <c r="L2" i="2"/>
  <c r="I2" i="2"/>
  <c r="M40" i="8" l="1"/>
  <c r="G40" i="8" s="1"/>
  <c r="Y102" i="8"/>
  <c r="F150" i="13"/>
  <c r="F86" i="13"/>
  <c r="N71" i="8"/>
  <c r="N60" i="8"/>
  <c r="N123" i="8"/>
  <c r="N128" i="8"/>
  <c r="N48" i="8"/>
  <c r="N94" i="8"/>
  <c r="Y115" i="8"/>
  <c r="N99" i="8"/>
  <c r="N51" i="8"/>
  <c r="M95" i="8"/>
  <c r="G95" i="8" s="1"/>
  <c r="M32" i="8"/>
  <c r="G32" i="8" s="1"/>
  <c r="N75" i="8"/>
  <c r="Y132" i="8"/>
  <c r="M38" i="8"/>
  <c r="G38" i="8" s="1"/>
  <c r="M64" i="8"/>
  <c r="G64" i="8" s="1"/>
  <c r="N110" i="8"/>
  <c r="N31" i="8"/>
  <c r="N70" i="8"/>
  <c r="Y170" i="8"/>
  <c r="M5" i="8"/>
  <c r="G5" i="8" s="1"/>
  <c r="M22" i="8"/>
  <c r="G22" i="8" s="1"/>
  <c r="M82" i="8"/>
  <c r="G82" i="8" s="1"/>
  <c r="M126" i="8"/>
  <c r="G126" i="8" s="1"/>
  <c r="Y139" i="8"/>
  <c r="M153" i="8"/>
  <c r="G153" i="8" s="1"/>
  <c r="M172" i="8"/>
  <c r="G172" i="8" s="1"/>
  <c r="Y12" i="8"/>
  <c r="M46" i="8"/>
  <c r="G46" i="8" s="1"/>
  <c r="M48" i="8"/>
  <c r="G48" i="8" s="1"/>
  <c r="Y49" i="8"/>
  <c r="N50" i="8"/>
  <c r="N54" i="8"/>
  <c r="M55" i="8"/>
  <c r="G55" i="8" s="1"/>
  <c r="M65" i="8"/>
  <c r="G65" i="8" s="1"/>
  <c r="M119" i="8"/>
  <c r="G119" i="8" s="1"/>
  <c r="Y41" i="8"/>
  <c r="Y111" i="8"/>
  <c r="M152" i="8"/>
  <c r="G152" i="8" s="1"/>
  <c r="M131" i="8"/>
  <c r="G131" i="8" s="1"/>
  <c r="F84" i="13"/>
  <c r="F4" i="13"/>
  <c r="F12" i="13"/>
  <c r="F20" i="13"/>
  <c r="F28" i="13"/>
  <c r="F36" i="13"/>
  <c r="F10" i="13"/>
  <c r="AN110" i="6"/>
  <c r="F134" i="13"/>
  <c r="AO165" i="6"/>
  <c r="AL103" i="6"/>
  <c r="AI3" i="6"/>
  <c r="AO47" i="6"/>
  <c r="F14" i="13"/>
  <c r="F56" i="13"/>
  <c r="AK64" i="6"/>
  <c r="AO30" i="6"/>
  <c r="L51" i="6"/>
  <c r="G51" i="6" s="1"/>
  <c r="AK47" i="6"/>
  <c r="M51" i="6"/>
  <c r="AN117" i="6"/>
  <c r="AO52" i="6"/>
  <c r="AO103" i="6"/>
  <c r="AO126" i="6"/>
  <c r="AK133" i="6"/>
  <c r="AM8" i="6"/>
  <c r="M108" i="6"/>
  <c r="AL133" i="6"/>
  <c r="W153" i="6"/>
  <c r="AL106" i="6"/>
  <c r="AO133" i="6"/>
  <c r="W71" i="6"/>
  <c r="AO157" i="6"/>
  <c r="W101" i="6"/>
  <c r="AK165" i="6"/>
  <c r="AO110" i="6"/>
  <c r="F16" i="13"/>
  <c r="F24" i="13"/>
  <c r="F104" i="13"/>
  <c r="F96" i="13"/>
  <c r="F112" i="13"/>
  <c r="K6" i="8"/>
  <c r="K7" i="8"/>
  <c r="Y8" i="8"/>
  <c r="W7" i="6"/>
  <c r="M31" i="6"/>
  <c r="M34" i="6"/>
  <c r="M37" i="6"/>
  <c r="M18" i="8"/>
  <c r="G18" i="8" s="1"/>
  <c r="M30" i="8"/>
  <c r="G30" i="8" s="1"/>
  <c r="M45" i="8"/>
  <c r="G45" i="8" s="1"/>
  <c r="N47" i="8"/>
  <c r="M67" i="8"/>
  <c r="G67" i="8" s="1"/>
  <c r="Y110" i="8"/>
  <c r="Y138" i="8"/>
  <c r="M146" i="8"/>
  <c r="G146" i="8" s="1"/>
  <c r="M158" i="8"/>
  <c r="G158" i="8" s="1"/>
  <c r="M160" i="8"/>
  <c r="G160" i="8" s="1"/>
  <c r="M24" i="8"/>
  <c r="G24" i="8" s="1"/>
  <c r="N45" i="8"/>
  <c r="N67" i="8"/>
  <c r="M129" i="8"/>
  <c r="G129" i="8" s="1"/>
  <c r="L8" i="6"/>
  <c r="G8" i="6" s="1"/>
  <c r="M65" i="6"/>
  <c r="M94" i="6"/>
  <c r="M8" i="6"/>
  <c r="W65" i="6"/>
  <c r="N6" i="8"/>
  <c r="N13" i="8"/>
  <c r="M34" i="8"/>
  <c r="G34" i="8" s="1"/>
  <c r="M61" i="8"/>
  <c r="G61" i="8" s="1"/>
  <c r="N65" i="8"/>
  <c r="M89" i="8"/>
  <c r="G89" i="8" s="1"/>
  <c r="M91" i="8"/>
  <c r="G91" i="8" s="1"/>
  <c r="M107" i="8"/>
  <c r="G107" i="8" s="1"/>
  <c r="M156" i="8"/>
  <c r="G156" i="8" s="1"/>
  <c r="N34" i="8"/>
  <c r="N49" i="8"/>
  <c r="M80" i="8"/>
  <c r="G80" i="8" s="1"/>
  <c r="N91" i="8"/>
  <c r="M96" i="8"/>
  <c r="G96" i="8" s="1"/>
  <c r="M118" i="8"/>
  <c r="G118" i="8" s="1"/>
  <c r="M174" i="8"/>
  <c r="G174" i="8" s="1"/>
  <c r="N96" i="8"/>
  <c r="M103" i="8"/>
  <c r="G103" i="8" s="1"/>
  <c r="N122" i="8"/>
  <c r="N149" i="8"/>
  <c r="N8" i="8"/>
  <c r="N66" i="8"/>
  <c r="Y145" i="8"/>
  <c r="K5" i="6"/>
  <c r="W12" i="6"/>
  <c r="K19" i="6"/>
  <c r="F152" i="13"/>
  <c r="W37" i="6"/>
  <c r="M55" i="6"/>
  <c r="N11" i="8"/>
  <c r="M13" i="8"/>
  <c r="G13" i="8" s="1"/>
  <c r="M29" i="8"/>
  <c r="G29" i="8" s="1"/>
  <c r="Y43" i="8"/>
  <c r="M57" i="8"/>
  <c r="G57" i="8" s="1"/>
  <c r="N64" i="8"/>
  <c r="M70" i="8"/>
  <c r="G70" i="8" s="1"/>
  <c r="Y71" i="8"/>
  <c r="M98" i="8"/>
  <c r="G98" i="8" s="1"/>
  <c r="M144" i="8"/>
  <c r="G144" i="8" s="1"/>
  <c r="M155" i="8"/>
  <c r="G155" i="8" s="1"/>
  <c r="M168" i="8"/>
  <c r="G168" i="8" s="1"/>
  <c r="L19" i="6"/>
  <c r="G19" i="6" s="1"/>
  <c r="M42" i="8"/>
  <c r="G42" i="8" s="1"/>
  <c r="N52" i="8"/>
  <c r="Y54" i="8"/>
  <c r="N57" i="8"/>
  <c r="M59" i="8"/>
  <c r="G59" i="8" s="1"/>
  <c r="M76" i="8"/>
  <c r="G76" i="8" s="1"/>
  <c r="M84" i="8"/>
  <c r="G84" i="8" s="1"/>
  <c r="Y85" i="8"/>
  <c r="M94" i="8"/>
  <c r="G94" i="8" s="1"/>
  <c r="M97" i="8"/>
  <c r="G97" i="8" s="1"/>
  <c r="N100" i="8"/>
  <c r="M106" i="8"/>
  <c r="G106" i="8" s="1"/>
  <c r="Y147" i="8"/>
  <c r="M45" i="6"/>
  <c r="L162" i="6"/>
  <c r="G162" i="6" s="1"/>
  <c r="M10" i="8"/>
  <c r="G10" i="8" s="1"/>
  <c r="M21" i="8"/>
  <c r="G21" i="8" s="1"/>
  <c r="M23" i="8"/>
  <c r="G23" i="8" s="1"/>
  <c r="M31" i="8"/>
  <c r="G31" i="8" s="1"/>
  <c r="M33" i="8"/>
  <c r="G33" i="8" s="1"/>
  <c r="N35" i="8"/>
  <c r="N53" i="8"/>
  <c r="N59" i="8"/>
  <c r="N68" i="8"/>
  <c r="N76" i="8"/>
  <c r="N88" i="8"/>
  <c r="W14" i="6"/>
  <c r="W64" i="6"/>
  <c r="M119" i="6"/>
  <c r="M130" i="6"/>
  <c r="F128" i="13"/>
  <c r="M163" i="6"/>
  <c r="N5" i="8"/>
  <c r="M9" i="8"/>
  <c r="G9" i="8" s="1"/>
  <c r="Y17" i="8"/>
  <c r="N23" i="8"/>
  <c r="M25" i="8"/>
  <c r="G25" i="8" s="1"/>
  <c r="M26" i="8"/>
  <c r="G26" i="8" s="1"/>
  <c r="M44" i="8"/>
  <c r="G44" i="8" s="1"/>
  <c r="N61" i="8"/>
  <c r="M63" i="8"/>
  <c r="G63" i="8" s="1"/>
  <c r="M72" i="8"/>
  <c r="G72" i="8" s="1"/>
  <c r="M86" i="8"/>
  <c r="G86" i="8" s="1"/>
  <c r="N90" i="8"/>
  <c r="Y104" i="8"/>
  <c r="M113" i="8"/>
  <c r="G113" i="8" s="1"/>
  <c r="N115" i="8"/>
  <c r="M117" i="8"/>
  <c r="G117" i="8" s="1"/>
  <c r="M120" i="8"/>
  <c r="G120" i="8" s="1"/>
  <c r="M122" i="8"/>
  <c r="G122" i="8" s="1"/>
  <c r="M127" i="8"/>
  <c r="G127" i="8" s="1"/>
  <c r="M137" i="8"/>
  <c r="G137" i="8" s="1"/>
  <c r="N164" i="8"/>
  <c r="N172" i="8"/>
  <c r="N9" i="8"/>
  <c r="N26" i="8"/>
  <c r="Y31" i="8"/>
  <c r="Y50" i="8"/>
  <c r="Y53" i="8"/>
  <c r="N72" i="8"/>
  <c r="M83" i="8"/>
  <c r="G83" i="8" s="1"/>
  <c r="Y92" i="8"/>
  <c r="M101" i="8"/>
  <c r="G101" i="8" s="1"/>
  <c r="N108" i="8"/>
  <c r="N113" i="8"/>
  <c r="N117" i="8"/>
  <c r="M154" i="8"/>
  <c r="G154" i="8" s="1"/>
  <c r="M162" i="8"/>
  <c r="G162" i="8" s="1"/>
  <c r="M106" i="6"/>
  <c r="N14" i="8"/>
  <c r="M20" i="8"/>
  <c r="G20" i="8" s="1"/>
  <c r="Y56" i="8"/>
  <c r="N69" i="8"/>
  <c r="N101" i="8"/>
  <c r="M105" i="8"/>
  <c r="G105" i="8" s="1"/>
  <c r="N106" i="8"/>
  <c r="Y122" i="8"/>
  <c r="Y133" i="8"/>
  <c r="Y141" i="8"/>
  <c r="G48" i="13"/>
  <c r="Y108" i="8"/>
  <c r="Y159" i="8"/>
  <c r="M126" i="6"/>
  <c r="AN99" i="6"/>
  <c r="AO120" i="6"/>
  <c r="AO139" i="6"/>
  <c r="AN168" i="6"/>
  <c r="AM13" i="6"/>
  <c r="AN17" i="6"/>
  <c r="AL35" i="6"/>
  <c r="AM43" i="6"/>
  <c r="AM50" i="6"/>
  <c r="AM69" i="6"/>
  <c r="AM72" i="6"/>
  <c r="L13" i="6"/>
  <c r="G13" i="6" s="1"/>
  <c r="M17" i="6"/>
  <c r="AN43" i="6"/>
  <c r="F108" i="13"/>
  <c r="AM110" i="6"/>
  <c r="AO143" i="6"/>
  <c r="AM171" i="6"/>
  <c r="K22" i="8"/>
  <c r="AO70" i="6"/>
  <c r="AL79" i="6"/>
  <c r="AL126" i="6"/>
  <c r="L154" i="6"/>
  <c r="G154" i="6" s="1"/>
  <c r="K13" i="8"/>
  <c r="AL17" i="6"/>
  <c r="AN19" i="6"/>
  <c r="AN13" i="6"/>
  <c r="AO35" i="6"/>
  <c r="AN50" i="6"/>
  <c r="AN70" i="6"/>
  <c r="AK79" i="6"/>
  <c r="M13" i="6"/>
  <c r="W17" i="6"/>
  <c r="W33" i="6"/>
  <c r="M28" i="6"/>
  <c r="L43" i="6"/>
  <c r="G43" i="6" s="1"/>
  <c r="L66" i="6"/>
  <c r="G66" i="6" s="1"/>
  <c r="AM79" i="6"/>
  <c r="AK55" i="6"/>
  <c r="AM71" i="6"/>
  <c r="L72" i="6"/>
  <c r="G72" i="6" s="1"/>
  <c r="AN115" i="6"/>
  <c r="F100" i="13"/>
  <c r="F124" i="13"/>
  <c r="AN164" i="6"/>
  <c r="L31" i="6"/>
  <c r="G31" i="6" s="1"/>
  <c r="AN33" i="6"/>
  <c r="W34" i="6"/>
  <c r="AO41" i="6"/>
  <c r="AM55" i="6"/>
  <c r="M69" i="6"/>
  <c r="AO71" i="6"/>
  <c r="M72" i="6"/>
  <c r="AO80" i="6"/>
  <c r="W137" i="6"/>
  <c r="M158" i="6"/>
  <c r="AM17" i="6"/>
  <c r="AO33" i="6"/>
  <c r="AL47" i="6"/>
  <c r="AO55" i="6"/>
  <c r="M78" i="6"/>
  <c r="M110" i="6"/>
  <c r="AO116" i="6"/>
  <c r="AL134" i="6"/>
  <c r="K31" i="8"/>
  <c r="F151" i="13"/>
  <c r="AL31" i="6"/>
  <c r="AK38" i="6"/>
  <c r="AM23" i="6"/>
  <c r="AM31" i="6"/>
  <c r="AL38" i="6"/>
  <c r="AL9" i="6"/>
  <c r="W25" i="6"/>
  <c r="AL29" i="6"/>
  <c r="AN31" i="6"/>
  <c r="AM38" i="6"/>
  <c r="L39" i="6"/>
  <c r="G39" i="6" s="1"/>
  <c r="AJ47" i="6"/>
  <c r="M52" i="6"/>
  <c r="AN98" i="6"/>
  <c r="AO108" i="6"/>
  <c r="W109" i="6"/>
  <c r="L110" i="6"/>
  <c r="G110" i="6" s="1"/>
  <c r="AL114" i="6"/>
  <c r="AL117" i="6"/>
  <c r="W119" i="6"/>
  <c r="L120" i="6"/>
  <c r="G120" i="6" s="1"/>
  <c r="AO122" i="6"/>
  <c r="AN157" i="6"/>
  <c r="AM165" i="6"/>
  <c r="F120" i="13"/>
  <c r="AO42" i="6"/>
  <c r="AM9" i="6"/>
  <c r="AN38" i="6"/>
  <c r="L57" i="6"/>
  <c r="G57" i="6" s="1"/>
  <c r="AO66" i="6"/>
  <c r="AK73" i="6"/>
  <c r="M76" i="6"/>
  <c r="AK83" i="6"/>
  <c r="AL92" i="6"/>
  <c r="L93" i="6"/>
  <c r="G93" i="6" s="1"/>
  <c r="AK75" i="6"/>
  <c r="AN83" i="6"/>
  <c r="AM92" i="6"/>
  <c r="M132" i="6"/>
  <c r="AK135" i="6"/>
  <c r="AL141" i="6"/>
  <c r="L142" i="6"/>
  <c r="G142" i="6" s="1"/>
  <c r="M154" i="6"/>
  <c r="AN162" i="6"/>
  <c r="M164" i="6"/>
  <c r="F46" i="13"/>
  <c r="F116" i="13"/>
  <c r="AK5" i="6"/>
  <c r="M6" i="6"/>
  <c r="AN9" i="6"/>
  <c r="AK15" i="6"/>
  <c r="L18" i="6"/>
  <c r="G18" i="6" s="1"/>
  <c r="AO5" i="6"/>
  <c r="AO9" i="6"/>
  <c r="M11" i="6"/>
  <c r="AL15" i="6"/>
  <c r="AL19" i="6"/>
  <c r="M21" i="6"/>
  <c r="AK25" i="6"/>
  <c r="W45" i="6"/>
  <c r="AM47" i="6"/>
  <c r="AJ52" i="6"/>
  <c r="M60" i="6"/>
  <c r="AL71" i="6"/>
  <c r="AO79" i="6"/>
  <c r="L81" i="6"/>
  <c r="G81" i="6" s="1"/>
  <c r="AO83" i="6"/>
  <c r="AO92" i="6"/>
  <c r="AM116" i="6"/>
  <c r="M117" i="6"/>
  <c r="AN123" i="6"/>
  <c r="W125" i="6"/>
  <c r="AL128" i="6"/>
  <c r="AM135" i="6"/>
  <c r="M136" i="6"/>
  <c r="AM141" i="6"/>
  <c r="L147" i="6"/>
  <c r="G147" i="6" s="1"/>
  <c r="AJ8" i="6"/>
  <c r="AL8" i="6"/>
  <c r="M9" i="6"/>
  <c r="AL13" i="6"/>
  <c r="AM15" i="6"/>
  <c r="L17" i="6"/>
  <c r="G17" i="6" s="1"/>
  <c r="AM19" i="6"/>
  <c r="AK33" i="6"/>
  <c r="AK52" i="6"/>
  <c r="M81" i="6"/>
  <c r="AL110" i="6"/>
  <c r="AN116" i="6"/>
  <c r="W117" i="6"/>
  <c r="AM120" i="6"/>
  <c r="AN135" i="6"/>
  <c r="AO141" i="6"/>
  <c r="AK145" i="6"/>
  <c r="M157" i="6"/>
  <c r="AM163" i="6"/>
  <c r="AK171" i="6"/>
  <c r="K19" i="8"/>
  <c r="AK77" i="6"/>
  <c r="M149" i="6"/>
  <c r="AL171" i="6"/>
  <c r="L47" i="8"/>
  <c r="L50" i="8"/>
  <c r="F142" i="13"/>
  <c r="AM53" i="6"/>
  <c r="AM61" i="6"/>
  <c r="AO69" i="6"/>
  <c r="AM77" i="6"/>
  <c r="AM88" i="6"/>
  <c r="AN93" i="6"/>
  <c r="W106" i="6"/>
  <c r="AK108" i="6"/>
  <c r="M115" i="6"/>
  <c r="AL122" i="6"/>
  <c r="L123" i="6"/>
  <c r="G123" i="6" s="1"/>
  <c r="AK125" i="6"/>
  <c r="W126" i="6"/>
  <c r="W149" i="6"/>
  <c r="AK50" i="6"/>
  <c r="AK70" i="6"/>
  <c r="AO77" i="6"/>
  <c r="AL81" i="6"/>
  <c r="AO88" i="6"/>
  <c r="W99" i="6"/>
  <c r="AM108" i="6"/>
  <c r="AK117" i="6"/>
  <c r="AM122" i="6"/>
  <c r="M123" i="6"/>
  <c r="AN125" i="6"/>
  <c r="AN136" i="6"/>
  <c r="AL142" i="6"/>
  <c r="W152" i="6"/>
  <c r="AM157" i="6"/>
  <c r="L158" i="6"/>
  <c r="G158" i="6" s="1"/>
  <c r="AK160" i="6"/>
  <c r="AL165" i="6"/>
  <c r="AN26" i="6"/>
  <c r="AM26" i="6"/>
  <c r="AL6" i="6"/>
  <c r="AJ5" i="6"/>
  <c r="AM6" i="6"/>
  <c r="W16" i="6"/>
  <c r="W19" i="6"/>
  <c r="L21" i="6"/>
  <c r="G21" i="6" s="1"/>
  <c r="AN21" i="6"/>
  <c r="L22" i="6"/>
  <c r="G22" i="6" s="1"/>
  <c r="W23" i="6"/>
  <c r="L26" i="6"/>
  <c r="G26" i="6" s="1"/>
  <c r="M47" i="6"/>
  <c r="AN57" i="6"/>
  <c r="L58" i="6"/>
  <c r="G58" i="6" s="1"/>
  <c r="AM67" i="6"/>
  <c r="M68" i="6"/>
  <c r="AM74" i="6"/>
  <c r="AK74" i="6"/>
  <c r="M77" i="6"/>
  <c r="W112" i="6"/>
  <c r="L112" i="6"/>
  <c r="G112" i="6" s="1"/>
  <c r="AN48" i="6"/>
  <c r="AJ48" i="6"/>
  <c r="AO57" i="6"/>
  <c r="M58" i="6"/>
  <c r="AK61" i="6"/>
  <c r="AK66" i="6"/>
  <c r="AN67" i="6"/>
  <c r="M90" i="6"/>
  <c r="W129" i="6"/>
  <c r="L129" i="6"/>
  <c r="G129" i="6" s="1"/>
  <c r="AO169" i="6"/>
  <c r="AL169" i="6"/>
  <c r="AK169" i="6"/>
  <c r="L49" i="6"/>
  <c r="G49" i="6" s="1"/>
  <c r="W49" i="6"/>
  <c r="F70" i="13"/>
  <c r="L89" i="6"/>
  <c r="G89" i="6" s="1"/>
  <c r="AN97" i="6"/>
  <c r="AL97" i="6"/>
  <c r="AN107" i="6"/>
  <c r="AL107" i="6"/>
  <c r="AN6" i="6"/>
  <c r="M26" i="6"/>
  <c r="F166" i="13"/>
  <c r="L27" i="6"/>
  <c r="G27" i="6" s="1"/>
  <c r="AN30" i="6"/>
  <c r="AK30" i="6"/>
  <c r="AK42" i="6"/>
  <c r="K67" i="6"/>
  <c r="K29" i="6"/>
  <c r="K26" i="6"/>
  <c r="L5" i="6"/>
  <c r="G5" i="6" s="1"/>
  <c r="AL5" i="6"/>
  <c r="AO6" i="6"/>
  <c r="AK8" i="6"/>
  <c r="AO23" i="6"/>
  <c r="AL23" i="6"/>
  <c r="W26" i="6"/>
  <c r="AL30" i="6"/>
  <c r="L32" i="6"/>
  <c r="G32" i="6" s="1"/>
  <c r="AK39" i="6"/>
  <c r="AL42" i="6"/>
  <c r="AL61" i="6"/>
  <c r="AN64" i="6"/>
  <c r="AM64" i="6"/>
  <c r="AM66" i="6"/>
  <c r="W68" i="6"/>
  <c r="L69" i="6"/>
  <c r="G69" i="6" s="1"/>
  <c r="AM75" i="6"/>
  <c r="AL75" i="6"/>
  <c r="L80" i="6"/>
  <c r="G80" i="6" s="1"/>
  <c r="L82" i="6"/>
  <c r="G82" i="6" s="1"/>
  <c r="AN84" i="6"/>
  <c r="AO84" i="6"/>
  <c r="AM84" i="6"/>
  <c r="AL175" i="6"/>
  <c r="AM175" i="6" s="1"/>
  <c r="AO175" i="6" s="1"/>
  <c r="AR175" i="6" s="1"/>
  <c r="AR178" i="6" s="1"/>
  <c r="AR180" i="6" s="1"/>
  <c r="AS180" i="6" s="1"/>
  <c r="AO96" i="6"/>
  <c r="AN96" i="6"/>
  <c r="AM96" i="6"/>
  <c r="AL96" i="6"/>
  <c r="F88" i="13"/>
  <c r="L115" i="6"/>
  <c r="G115" i="6" s="1"/>
  <c r="W118" i="6"/>
  <c r="M172" i="6"/>
  <c r="W172" i="6"/>
  <c r="F21" i="13"/>
  <c r="G21" i="13"/>
  <c r="AO61" i="6"/>
  <c r="AL64" i="6"/>
  <c r="AL70" i="6"/>
  <c r="W72" i="6"/>
  <c r="AN75" i="6"/>
  <c r="L76" i="6"/>
  <c r="G76" i="6" s="1"/>
  <c r="AN81" i="6"/>
  <c r="AL84" i="6"/>
  <c r="M135" i="6"/>
  <c r="W174" i="6"/>
  <c r="AM40" i="6"/>
  <c r="AK44" i="6"/>
  <c r="AJ6" i="6"/>
  <c r="AN28" i="6"/>
  <c r="AK36" i="6"/>
  <c r="F78" i="13"/>
  <c r="W97" i="6"/>
  <c r="M97" i="6"/>
  <c r="L97" i="6"/>
  <c r="G97" i="6" s="1"/>
  <c r="AN148" i="6"/>
  <c r="AO148" i="6"/>
  <c r="AL148" i="6"/>
  <c r="AK148" i="6"/>
  <c r="AK26" i="6"/>
  <c r="AN44" i="6"/>
  <c r="AM78" i="6"/>
  <c r="AL78" i="6"/>
  <c r="AK78" i="6"/>
  <c r="AO82" i="6"/>
  <c r="AN82" i="6"/>
  <c r="AM11" i="6"/>
  <c r="L15" i="6"/>
  <c r="G15" i="6" s="1"/>
  <c r="AL21" i="6"/>
  <c r="F164" i="13"/>
  <c r="L24" i="6"/>
  <c r="G24" i="6" s="1"/>
  <c r="AL26" i="6"/>
  <c r="AO28" i="6"/>
  <c r="AN34" i="6"/>
  <c r="AM34" i="6"/>
  <c r="L35" i="6"/>
  <c r="G35" i="6" s="1"/>
  <c r="AK54" i="6"/>
  <c r="AL57" i="6"/>
  <c r="M66" i="6"/>
  <c r="AK67" i="6"/>
  <c r="AN78" i="6"/>
  <c r="AK82" i="6"/>
  <c r="M85" i="6"/>
  <c r="L85" i="6"/>
  <c r="G85" i="6" s="1"/>
  <c r="AN100" i="6"/>
  <c r="AO100" i="6"/>
  <c r="AM100" i="6"/>
  <c r="AL100" i="6"/>
  <c r="F160" i="13"/>
  <c r="M104" i="6"/>
  <c r="AL161" i="6"/>
  <c r="AK161" i="6"/>
  <c r="AK9" i="6"/>
  <c r="M12" i="6"/>
  <c r="W20" i="6"/>
  <c r="AM21" i="6"/>
  <c r="AM25" i="6"/>
  <c r="AN25" i="6"/>
  <c r="AO26" i="6"/>
  <c r="W30" i="6"/>
  <c r="W31" i="6"/>
  <c r="AK32" i="6"/>
  <c r="AK34" i="6"/>
  <c r="M35" i="6"/>
  <c r="L38" i="6"/>
  <c r="G38" i="6" s="1"/>
  <c r="W39" i="6"/>
  <c r="AL43" i="6"/>
  <c r="L44" i="6"/>
  <c r="G44" i="6" s="1"/>
  <c r="AN54" i="6"/>
  <c r="AM57" i="6"/>
  <c r="AL67" i="6"/>
  <c r="L68" i="6"/>
  <c r="G68" i="6" s="1"/>
  <c r="AK69" i="6"/>
  <c r="L75" i="6"/>
  <c r="G75" i="6" s="1"/>
  <c r="W76" i="6"/>
  <c r="L77" i="6"/>
  <c r="G77" i="6" s="1"/>
  <c r="AO78" i="6"/>
  <c r="AM80" i="6"/>
  <c r="AK100" i="6"/>
  <c r="AO113" i="6"/>
  <c r="AL113" i="6"/>
  <c r="W115" i="6"/>
  <c r="AO129" i="6"/>
  <c r="AN129" i="6"/>
  <c r="AM129" i="6"/>
  <c r="AL129" i="6"/>
  <c r="AK129" i="6"/>
  <c r="W145" i="6"/>
  <c r="W138" i="6"/>
  <c r="AO162" i="6"/>
  <c r="W165" i="6"/>
  <c r="L15" i="8"/>
  <c r="M73" i="6"/>
  <c r="L111" i="6"/>
  <c r="G111" i="6" s="1"/>
  <c r="AK124" i="6"/>
  <c r="W127" i="6"/>
  <c r="AM131" i="6"/>
  <c r="W134" i="6"/>
  <c r="AK144" i="6"/>
  <c r="AK147" i="6"/>
  <c r="W166" i="6"/>
  <c r="F32" i="13"/>
  <c r="M70" i="6"/>
  <c r="AK71" i="6"/>
  <c r="M87" i="6"/>
  <c r="AK88" i="6"/>
  <c r="AM102" i="6"/>
  <c r="AK109" i="6"/>
  <c r="M111" i="6"/>
  <c r="AK118" i="6"/>
  <c r="AM124" i="6"/>
  <c r="AO131" i="6"/>
  <c r="W136" i="6"/>
  <c r="AK137" i="6"/>
  <c r="AL144" i="6"/>
  <c r="AL147" i="6"/>
  <c r="AK152" i="6"/>
  <c r="F136" i="13"/>
  <c r="W157" i="6"/>
  <c r="W167" i="6"/>
  <c r="AK173" i="6"/>
  <c r="AK174" i="6"/>
  <c r="F22" i="13"/>
  <c r="F54" i="13"/>
  <c r="F158" i="13"/>
  <c r="AL88" i="6"/>
  <c r="AK90" i="6"/>
  <c r="AK106" i="6"/>
  <c r="AN109" i="6"/>
  <c r="W110" i="6"/>
  <c r="AK114" i="6"/>
  <c r="AL115" i="6"/>
  <c r="AL118" i="6"/>
  <c r="M122" i="6"/>
  <c r="AN124" i="6"/>
  <c r="AK126" i="6"/>
  <c r="AK128" i="6"/>
  <c r="L130" i="6"/>
  <c r="G130" i="6" s="1"/>
  <c r="AL137" i="6"/>
  <c r="AM139" i="6"/>
  <c r="AM144" i="6"/>
  <c r="AL145" i="6"/>
  <c r="AM147" i="6"/>
  <c r="AL152" i="6"/>
  <c r="W158" i="6"/>
  <c r="AM173" i="6"/>
  <c r="AL174" i="6"/>
  <c r="L9" i="8"/>
  <c r="L10" i="8"/>
  <c r="F168" i="13"/>
  <c r="AM118" i="6"/>
  <c r="M129" i="6"/>
  <c r="AM137" i="6"/>
  <c r="AN144" i="6"/>
  <c r="AN145" i="6"/>
  <c r="AN147" i="6"/>
  <c r="L148" i="6"/>
  <c r="G148" i="6" s="1"/>
  <c r="AM149" i="6"/>
  <c r="AM152" i="6"/>
  <c r="L155" i="6"/>
  <c r="G155" i="6" s="1"/>
  <c r="L159" i="6"/>
  <c r="G159" i="6" s="1"/>
  <c r="AL170" i="6"/>
  <c r="L171" i="6"/>
  <c r="G171" i="6" s="1"/>
  <c r="AN171" i="6"/>
  <c r="AN173" i="6"/>
  <c r="M82" i="6"/>
  <c r="AK91" i="6"/>
  <c r="M95" i="6"/>
  <c r="M100" i="6"/>
  <c r="AN106" i="6"/>
  <c r="M112" i="6"/>
  <c r="AM114" i="6"/>
  <c r="AN118" i="6"/>
  <c r="M124" i="6"/>
  <c r="AM126" i="6"/>
  <c r="AN128" i="6"/>
  <c r="AN134" i="6"/>
  <c r="AK136" i="6"/>
  <c r="L137" i="6"/>
  <c r="G137" i="6" s="1"/>
  <c r="AN137" i="6"/>
  <c r="AO147" i="6"/>
  <c r="AL150" i="6"/>
  <c r="L152" i="6"/>
  <c r="G152" i="6" s="1"/>
  <c r="AN152" i="6"/>
  <c r="AK157" i="6"/>
  <c r="AL160" i="6"/>
  <c r="AL162" i="6"/>
  <c r="AM167" i="6"/>
  <c r="AN170" i="6"/>
  <c r="AO173" i="6"/>
  <c r="AK92" i="6"/>
  <c r="AK99" i="6"/>
  <c r="M105" i="6"/>
  <c r="AO114" i="6"/>
  <c r="F92" i="13"/>
  <c r="AK122" i="6"/>
  <c r="AL123" i="6"/>
  <c r="W130" i="6"/>
  <c r="AM133" i="6"/>
  <c r="AL136" i="6"/>
  <c r="M137" i="6"/>
  <c r="AK141" i="6"/>
  <c r="AN160" i="6"/>
  <c r="AM162" i="6"/>
  <c r="L163" i="6"/>
  <c r="G163" i="6" s="1"/>
  <c r="AO170" i="6"/>
  <c r="G91" i="13"/>
  <c r="F118" i="13"/>
  <c r="L23" i="8"/>
  <c r="K44" i="8"/>
  <c r="L46" i="8"/>
  <c r="L41" i="8"/>
  <c r="L49" i="8"/>
  <c r="L52" i="8"/>
  <c r="K38" i="8"/>
  <c r="L30" i="8"/>
  <c r="L35" i="8"/>
  <c r="L32" i="8"/>
  <c r="L27" i="8"/>
  <c r="L12" i="8"/>
  <c r="L13" i="8"/>
  <c r="L16" i="8"/>
  <c r="L21" i="8"/>
  <c r="L33" i="8"/>
  <c r="L37" i="8"/>
  <c r="K5" i="8"/>
  <c r="L6" i="8"/>
  <c r="K15" i="8"/>
  <c r="L25" i="8"/>
  <c r="K30" i="8"/>
  <c r="L34" i="8"/>
  <c r="K46" i="8"/>
  <c r="L48" i="8"/>
  <c r="L62" i="8"/>
  <c r="K15" i="6"/>
  <c r="K23" i="6"/>
  <c r="L5" i="8"/>
  <c r="L11" i="8"/>
  <c r="L14" i="8"/>
  <c r="L17" i="8"/>
  <c r="K18" i="8"/>
  <c r="L29" i="8"/>
  <c r="L8" i="8"/>
  <c r="L18" i="8"/>
  <c r="K20" i="8"/>
  <c r="L22" i="8"/>
  <c r="K28" i="8"/>
  <c r="L31" i="8"/>
  <c r="L38" i="8"/>
  <c r="K39" i="8"/>
  <c r="K42" i="8"/>
  <c r="K9" i="6"/>
  <c r="K10" i="6"/>
  <c r="L20" i="8"/>
  <c r="K13" i="6"/>
  <c r="L7" i="8"/>
  <c r="K9" i="8"/>
  <c r="K11" i="8"/>
  <c r="K14" i="8"/>
  <c r="L19" i="8"/>
  <c r="L40" i="8"/>
  <c r="F8" i="13"/>
  <c r="W11" i="6"/>
  <c r="AO11" i="6"/>
  <c r="AK11" i="6"/>
  <c r="AJ11" i="6"/>
  <c r="AL20" i="6"/>
  <c r="AK20" i="6"/>
  <c r="AO20" i="6"/>
  <c r="AN20" i="6"/>
  <c r="F6" i="13"/>
  <c r="L9" i="6"/>
  <c r="G9" i="6" s="1"/>
  <c r="AL11" i="6"/>
  <c r="AM20" i="6"/>
  <c r="K21" i="6"/>
  <c r="AL27" i="6"/>
  <c r="AK27" i="6"/>
  <c r="AO27" i="6"/>
  <c r="AN27" i="6"/>
  <c r="AO29" i="6"/>
  <c r="AN29" i="6"/>
  <c r="AM29" i="6"/>
  <c r="AL7" i="6"/>
  <c r="AK7" i="6"/>
  <c r="AO7" i="6"/>
  <c r="AN7" i="6"/>
  <c r="AM10" i="6"/>
  <c r="AL10" i="6"/>
  <c r="AO10" i="6"/>
  <c r="AL18" i="6"/>
  <c r="AK18" i="6"/>
  <c r="AO18" i="6"/>
  <c r="AN18" i="6"/>
  <c r="L29" i="6"/>
  <c r="G29" i="6" s="1"/>
  <c r="W29" i="6"/>
  <c r="AJ7" i="6"/>
  <c r="AL16" i="6"/>
  <c r="AK16" i="6"/>
  <c r="AO16" i="6"/>
  <c r="AN16" i="6"/>
  <c r="AM18" i="6"/>
  <c r="AM24" i="6"/>
  <c r="AL24" i="6"/>
  <c r="AO24" i="6"/>
  <c r="AI63" i="3"/>
  <c r="AI95" i="3"/>
  <c r="AI59" i="3"/>
  <c r="AI55" i="3"/>
  <c r="AI87" i="3"/>
  <c r="L10" i="6"/>
  <c r="G10" i="6" s="1"/>
  <c r="W10" i="6"/>
  <c r="AJ10" i="6"/>
  <c r="AI51" i="3"/>
  <c r="AI83" i="3"/>
  <c r="K173" i="6"/>
  <c r="K167" i="6"/>
  <c r="K159" i="6"/>
  <c r="K154" i="6"/>
  <c r="K146" i="6"/>
  <c r="K172" i="6"/>
  <c r="K164" i="6"/>
  <c r="K151" i="6"/>
  <c r="K169" i="6"/>
  <c r="K165" i="6"/>
  <c r="K162" i="6"/>
  <c r="K160" i="6"/>
  <c r="K158" i="6"/>
  <c r="K148" i="6"/>
  <c r="K139" i="6"/>
  <c r="K131" i="6"/>
  <c r="K128" i="6"/>
  <c r="K120" i="6"/>
  <c r="K112" i="6"/>
  <c r="K98" i="6"/>
  <c r="K90" i="6"/>
  <c r="K82" i="6"/>
  <c r="K77" i="6"/>
  <c r="K69" i="6"/>
  <c r="K66" i="6"/>
  <c r="K144" i="6"/>
  <c r="K136" i="6"/>
  <c r="K125" i="6"/>
  <c r="K117" i="6"/>
  <c r="K109" i="6"/>
  <c r="K141" i="6"/>
  <c r="K133" i="6"/>
  <c r="K122" i="6"/>
  <c r="K174" i="6"/>
  <c r="K170" i="6"/>
  <c r="K157" i="6"/>
  <c r="K156" i="6"/>
  <c r="K147" i="6"/>
  <c r="K138" i="6"/>
  <c r="K130" i="6"/>
  <c r="K127" i="6"/>
  <c r="K119" i="6"/>
  <c r="K111" i="6"/>
  <c r="K171" i="6"/>
  <c r="K155" i="6"/>
  <c r="K153" i="6"/>
  <c r="K143" i="6"/>
  <c r="K135" i="6"/>
  <c r="K124" i="6"/>
  <c r="K116" i="6"/>
  <c r="K108" i="6"/>
  <c r="K105" i="6"/>
  <c r="K102" i="6"/>
  <c r="K94" i="6"/>
  <c r="K86" i="6"/>
  <c r="K73" i="6"/>
  <c r="K62" i="6"/>
  <c r="K59" i="6"/>
  <c r="K46" i="6"/>
  <c r="K166" i="6"/>
  <c r="K150" i="6"/>
  <c r="K145" i="6"/>
  <c r="K137" i="6"/>
  <c r="K129" i="6"/>
  <c r="K126" i="6"/>
  <c r="K118" i="6"/>
  <c r="K110" i="6"/>
  <c r="K161" i="6"/>
  <c r="K149" i="6"/>
  <c r="K140" i="6"/>
  <c r="K132" i="6"/>
  <c r="K123" i="6"/>
  <c r="K104" i="6"/>
  <c r="K101" i="6"/>
  <c r="K83" i="6"/>
  <c r="K134" i="6"/>
  <c r="K114" i="6"/>
  <c r="K103" i="6"/>
  <c r="K100" i="6"/>
  <c r="K97" i="6"/>
  <c r="K80" i="6"/>
  <c r="K56" i="6"/>
  <c r="K51" i="6"/>
  <c r="K44" i="6"/>
  <c r="K152" i="6"/>
  <c r="K142" i="6"/>
  <c r="K99" i="6"/>
  <c r="K115" i="6"/>
  <c r="K96" i="6"/>
  <c r="K93" i="6"/>
  <c r="K78" i="6"/>
  <c r="K113" i="6"/>
  <c r="K95" i="6"/>
  <c r="K92" i="6"/>
  <c r="K89" i="6"/>
  <c r="K75" i="6"/>
  <c r="K72" i="6"/>
  <c r="K168" i="6"/>
  <c r="K163" i="6"/>
  <c r="K91" i="6"/>
  <c r="K74" i="6"/>
  <c r="K71" i="6"/>
  <c r="K68" i="6"/>
  <c r="K65" i="6"/>
  <c r="K40" i="6"/>
  <c r="K106" i="6"/>
  <c r="K88" i="6"/>
  <c r="K85" i="6"/>
  <c r="K70" i="6"/>
  <c r="K64" i="6"/>
  <c r="K61" i="6"/>
  <c r="K58" i="6"/>
  <c r="K52" i="6"/>
  <c r="K49" i="6"/>
  <c r="K45" i="6"/>
  <c r="K37" i="6"/>
  <c r="K121" i="6"/>
  <c r="K107" i="6"/>
  <c r="K50" i="6"/>
  <c r="K41" i="6"/>
  <c r="K30" i="6"/>
  <c r="K81" i="6"/>
  <c r="K55" i="6"/>
  <c r="K42" i="6"/>
  <c r="K36" i="6"/>
  <c r="K27" i="6"/>
  <c r="K22" i="6"/>
  <c r="K20" i="6"/>
  <c r="K18" i="6"/>
  <c r="K16" i="6"/>
  <c r="K14" i="6"/>
  <c r="K12" i="6"/>
  <c r="K84" i="6"/>
  <c r="K43" i="6"/>
  <c r="K38" i="6"/>
  <c r="K35" i="6"/>
  <c r="K32" i="6"/>
  <c r="K24" i="6"/>
  <c r="K7" i="6"/>
  <c r="K63" i="6"/>
  <c r="K34" i="6"/>
  <c r="K57" i="6"/>
  <c r="K53" i="6"/>
  <c r="K48" i="6"/>
  <c r="K79" i="6"/>
  <c r="K76" i="6"/>
  <c r="K28" i="6"/>
  <c r="K11" i="6"/>
  <c r="K87" i="6"/>
  <c r="K60" i="6"/>
  <c r="K54" i="6"/>
  <c r="K47" i="6"/>
  <c r="K39" i="6"/>
  <c r="K33" i="6"/>
  <c r="K25" i="6"/>
  <c r="K6" i="6"/>
  <c r="AM7" i="6"/>
  <c r="K8" i="6"/>
  <c r="AK10" i="6"/>
  <c r="L11" i="6"/>
  <c r="G11" i="6" s="1"/>
  <c r="AM16" i="6"/>
  <c r="K17" i="6"/>
  <c r="AK24" i="6"/>
  <c r="AL49" i="6"/>
  <c r="AK49" i="6"/>
  <c r="AN49" i="6"/>
  <c r="AM49" i="6"/>
  <c r="AJ49" i="6"/>
  <c r="AO49" i="6"/>
  <c r="AI47" i="3"/>
  <c r="AI79" i="3"/>
  <c r="AN10" i="6"/>
  <c r="AL14" i="6"/>
  <c r="AK14" i="6"/>
  <c r="AO14" i="6"/>
  <c r="AN14" i="6"/>
  <c r="AN24" i="6"/>
  <c r="F144" i="13"/>
  <c r="W28" i="6"/>
  <c r="AL28" i="6"/>
  <c r="AK28" i="6"/>
  <c r="W40" i="6"/>
  <c r="W6" i="6"/>
  <c r="AL12" i="6"/>
  <c r="AK12" i="6"/>
  <c r="AO12" i="6"/>
  <c r="AN12" i="6"/>
  <c r="AI179" i="6"/>
  <c r="AI180" i="6" s="1"/>
  <c r="AI181" i="6" s="1"/>
  <c r="AL22" i="6"/>
  <c r="AK22" i="6"/>
  <c r="AO22" i="6"/>
  <c r="AN22" i="6"/>
  <c r="M20" i="6"/>
  <c r="AL25" i="6"/>
  <c r="AO32" i="6"/>
  <c r="AL33" i="6"/>
  <c r="M36" i="6"/>
  <c r="AL39" i="6"/>
  <c r="AN40" i="6"/>
  <c r="AO45" i="6"/>
  <c r="AM45" i="6"/>
  <c r="AL45" i="6"/>
  <c r="AO46" i="6"/>
  <c r="AM48" i="6"/>
  <c r="M49" i="6"/>
  <c r="M50" i="6"/>
  <c r="AN53" i="6"/>
  <c r="AK56" i="6"/>
  <c r="AL59" i="6"/>
  <c r="AM59" i="6"/>
  <c r="AK59" i="6"/>
  <c r="AO59" i="6"/>
  <c r="AO65" i="6"/>
  <c r="AK65" i="6"/>
  <c r="AN65" i="6"/>
  <c r="AM65" i="6"/>
  <c r="AL65" i="6"/>
  <c r="AK19" i="6"/>
  <c r="AK21" i="6"/>
  <c r="AK23" i="6"/>
  <c r="W24" i="6"/>
  <c r="AK31" i="6"/>
  <c r="L33" i="6"/>
  <c r="G33" i="6" s="1"/>
  <c r="W38" i="6"/>
  <c r="F30" i="13"/>
  <c r="L42" i="6"/>
  <c r="G42" i="6" s="1"/>
  <c r="AL44" i="6"/>
  <c r="AO44" i="6"/>
  <c r="AK45" i="6"/>
  <c r="L47" i="6"/>
  <c r="G47" i="6" s="1"/>
  <c r="AL56" i="6"/>
  <c r="AN59" i="6"/>
  <c r="AO68" i="6"/>
  <c r="AK68" i="6"/>
  <c r="AN68" i="6"/>
  <c r="AM68" i="6"/>
  <c r="AL68" i="6"/>
  <c r="AL86" i="6"/>
  <c r="AM86" i="6"/>
  <c r="AK86" i="6"/>
  <c r="AO86" i="6"/>
  <c r="AM37" i="6"/>
  <c r="AL37" i="6"/>
  <c r="W50" i="6"/>
  <c r="AK51" i="6"/>
  <c r="AO51" i="6"/>
  <c r="AN51" i="6"/>
  <c r="F40" i="13"/>
  <c r="L55" i="6"/>
  <c r="G55" i="6" s="1"/>
  <c r="AO56" i="6"/>
  <c r="W59" i="6"/>
  <c r="L59" i="6"/>
  <c r="G59" i="6" s="1"/>
  <c r="F72" i="13"/>
  <c r="L91" i="6"/>
  <c r="G91" i="6" s="1"/>
  <c r="M91" i="6"/>
  <c r="AO36" i="6"/>
  <c r="AK37" i="6"/>
  <c r="L41" i="6"/>
  <c r="G41" i="6" s="1"/>
  <c r="W41" i="6"/>
  <c r="AM41" i="6"/>
  <c r="AJ51" i="6"/>
  <c r="W54" i="6"/>
  <c r="AM60" i="6"/>
  <c r="AL60" i="6"/>
  <c r="AK60" i="6"/>
  <c r="AO60" i="6"/>
  <c r="AL62" i="6"/>
  <c r="AM62" i="6"/>
  <c r="AK62" i="6"/>
  <c r="AO62" i="6"/>
  <c r="L74" i="6"/>
  <c r="G74" i="6" s="1"/>
  <c r="M74" i="6"/>
  <c r="W86" i="6"/>
  <c r="L86" i="6"/>
  <c r="G86" i="6" s="1"/>
  <c r="AM87" i="6"/>
  <c r="AL87" i="6"/>
  <c r="AK87" i="6"/>
  <c r="AO87" i="6"/>
  <c r="M99" i="6"/>
  <c r="AM5" i="6"/>
  <c r="AN8" i="6"/>
  <c r="AO13" i="6"/>
  <c r="AO15" i="6"/>
  <c r="AO17" i="6"/>
  <c r="AL32" i="6"/>
  <c r="AO34" i="6"/>
  <c r="AM35" i="6"/>
  <c r="AL36" i="6"/>
  <c r="AO37" i="6"/>
  <c r="AL41" i="6"/>
  <c r="AM51" i="6"/>
  <c r="W52" i="6"/>
  <c r="F62" i="13"/>
  <c r="L79" i="6"/>
  <c r="G79" i="6" s="1"/>
  <c r="F44" i="13"/>
  <c r="F2" i="13"/>
  <c r="L7" i="6"/>
  <c r="G7" i="6" s="1"/>
  <c r="W13" i="6"/>
  <c r="W15" i="6"/>
  <c r="AM32" i="6"/>
  <c r="AN35" i="6"/>
  <c r="AM36" i="6"/>
  <c r="AO39" i="6"/>
  <c r="AN39" i="6"/>
  <c r="AL40" i="6"/>
  <c r="AK40" i="6"/>
  <c r="AN41" i="6"/>
  <c r="AL46" i="6"/>
  <c r="AM46" i="6"/>
  <c r="AK46" i="6"/>
  <c r="AL48" i="6"/>
  <c r="AK188" i="6"/>
  <c r="AK48" i="6"/>
  <c r="AO48" i="6"/>
  <c r="AL53" i="6"/>
  <c r="AK53" i="6"/>
  <c r="AJ53" i="6"/>
  <c r="M59" i="6"/>
  <c r="F64" i="13"/>
  <c r="L61" i="6"/>
  <c r="G61" i="6" s="1"/>
  <c r="AM63" i="6"/>
  <c r="AL63" i="6"/>
  <c r="AK63" i="6"/>
  <c r="AO63" i="6"/>
  <c r="AL94" i="6"/>
  <c r="AO94" i="6"/>
  <c r="AN94" i="6"/>
  <c r="AM94" i="6"/>
  <c r="AK94" i="6"/>
  <c r="AM95" i="6"/>
  <c r="AO95" i="6"/>
  <c r="AN95" i="6"/>
  <c r="AL95" i="6"/>
  <c r="AK95" i="6"/>
  <c r="L36" i="6"/>
  <c r="G36" i="6" s="1"/>
  <c r="AM56" i="6"/>
  <c r="AN56" i="6"/>
  <c r="AK58" i="6"/>
  <c r="AO58" i="6"/>
  <c r="AN58" i="6"/>
  <c r="AM58" i="6"/>
  <c r="F148" i="13"/>
  <c r="W94" i="6"/>
  <c r="L94" i="6"/>
  <c r="G94" i="6" s="1"/>
  <c r="W105" i="6"/>
  <c r="L105" i="6"/>
  <c r="G105" i="6" s="1"/>
  <c r="AK105" i="6"/>
  <c r="AO111" i="6"/>
  <c r="AN111" i="6"/>
  <c r="AL111" i="6"/>
  <c r="AK111" i="6"/>
  <c r="AR18" i="8"/>
  <c r="AM42" i="6"/>
  <c r="AM52" i="6"/>
  <c r="AK187" i="6"/>
  <c r="AL54" i="6"/>
  <c r="W56" i="6"/>
  <c r="M57" i="6"/>
  <c r="AK72" i="6"/>
  <c r="AO72" i="6"/>
  <c r="AM73" i="6"/>
  <c r="AL74" i="6"/>
  <c r="AL77" i="6"/>
  <c r="L84" i="6"/>
  <c r="G84" i="6" s="1"/>
  <c r="AM85" i="6"/>
  <c r="AO89" i="6"/>
  <c r="AK89" i="6"/>
  <c r="AM90" i="6"/>
  <c r="AL91" i="6"/>
  <c r="W100" i="6"/>
  <c r="W103" i="6"/>
  <c r="AN105" i="6"/>
  <c r="AM111" i="6"/>
  <c r="AO155" i="6"/>
  <c r="AN155" i="6"/>
  <c r="AM155" i="6"/>
  <c r="AL155" i="6"/>
  <c r="AK155" i="6"/>
  <c r="AO166" i="6"/>
  <c r="AN166" i="6"/>
  <c r="AM166" i="6"/>
  <c r="AL166" i="6"/>
  <c r="AK166" i="6"/>
  <c r="AK43" i="6"/>
  <c r="F143" i="13"/>
  <c r="L48" i="6"/>
  <c r="G48" i="6" s="1"/>
  <c r="W48" i="6"/>
  <c r="AJ50" i="6"/>
  <c r="W51" i="6"/>
  <c r="AN52" i="6"/>
  <c r="AJ54" i="6"/>
  <c r="AL55" i="6"/>
  <c r="AN73" i="6"/>
  <c r="AN74" i="6"/>
  <c r="F68" i="13"/>
  <c r="L83" i="6"/>
  <c r="G83" i="6" s="1"/>
  <c r="W83" i="6"/>
  <c r="M84" i="6"/>
  <c r="AN85" i="6"/>
  <c r="L88" i="6"/>
  <c r="G88" i="6" s="1"/>
  <c r="AL89" i="6"/>
  <c r="AN90" i="6"/>
  <c r="AN91" i="6"/>
  <c r="AK93" i="6"/>
  <c r="AO93" i="6"/>
  <c r="AL98" i="6"/>
  <c r="F102" i="13"/>
  <c r="L114" i="6"/>
  <c r="G114" i="6" s="1"/>
  <c r="W114" i="6"/>
  <c r="AO132" i="6"/>
  <c r="AN132" i="6"/>
  <c r="AM132" i="6"/>
  <c r="AK132" i="6"/>
  <c r="AI185" i="6"/>
  <c r="AO140" i="6"/>
  <c r="AN140" i="6"/>
  <c r="AM140" i="6"/>
  <c r="AK140" i="6"/>
  <c r="W60" i="6"/>
  <c r="M61" i="6"/>
  <c r="W63" i="6"/>
  <c r="L73" i="6"/>
  <c r="G73" i="6" s="1"/>
  <c r="AO74" i="6"/>
  <c r="AO76" i="6"/>
  <c r="AK76" i="6"/>
  <c r="F76" i="13"/>
  <c r="L87" i="6"/>
  <c r="G87" i="6" s="1"/>
  <c r="W87" i="6"/>
  <c r="AM89" i="6"/>
  <c r="L90" i="6"/>
  <c r="G90" i="6" s="1"/>
  <c r="AO91" i="6"/>
  <c r="AL102" i="6"/>
  <c r="AK104" i="6"/>
  <c r="AO104" i="6"/>
  <c r="AL112" i="6"/>
  <c r="AK112" i="6"/>
  <c r="AN112" i="6"/>
  <c r="AO121" i="6"/>
  <c r="AN121" i="6"/>
  <c r="AM121" i="6"/>
  <c r="AK121" i="6"/>
  <c r="AL146" i="6"/>
  <c r="AO146" i="6"/>
  <c r="AN146" i="6"/>
  <c r="AM146" i="6"/>
  <c r="AK146" i="6"/>
  <c r="AR8" i="8"/>
  <c r="AR17" i="8"/>
  <c r="W70" i="6"/>
  <c r="M71" i="6"/>
  <c r="AN72" i="6"/>
  <c r="AL76" i="6"/>
  <c r="AJ80" i="6"/>
  <c r="AN80" i="6"/>
  <c r="AL82" i="6"/>
  <c r="AN89" i="6"/>
  <c r="L92" i="6"/>
  <c r="G92" i="6" s="1"/>
  <c r="AM93" i="6"/>
  <c r="AO97" i="6"/>
  <c r="AK97" i="6"/>
  <c r="AM98" i="6"/>
  <c r="AL99" i="6"/>
  <c r="AK102" i="6"/>
  <c r="AK103" i="6"/>
  <c r="AL104" i="6"/>
  <c r="AM112" i="6"/>
  <c r="M113" i="6"/>
  <c r="AL121" i="6"/>
  <c r="L128" i="6"/>
  <c r="G128" i="6" s="1"/>
  <c r="L131" i="6"/>
  <c r="G131" i="6" s="1"/>
  <c r="L139" i="6"/>
  <c r="G139" i="6" s="1"/>
  <c r="L96" i="6"/>
  <c r="G96" i="6" s="1"/>
  <c r="AK101" i="6"/>
  <c r="AO101" i="6"/>
  <c r="AO119" i="6"/>
  <c r="AN119" i="6"/>
  <c r="AL119" i="6"/>
  <c r="AK119" i="6"/>
  <c r="AO127" i="6"/>
  <c r="AN127" i="6"/>
  <c r="AM127" i="6"/>
  <c r="AL127" i="6"/>
  <c r="AK127" i="6"/>
  <c r="M128" i="6"/>
  <c r="AO130" i="6"/>
  <c r="AN130" i="6"/>
  <c r="AM130" i="6"/>
  <c r="AL130" i="6"/>
  <c r="AK130" i="6"/>
  <c r="M131" i="6"/>
  <c r="F110" i="13"/>
  <c r="L133" i="6"/>
  <c r="G133" i="6" s="1"/>
  <c r="W133" i="6"/>
  <c r="AO138" i="6"/>
  <c r="AN138" i="6"/>
  <c r="AM138" i="6"/>
  <c r="AL138" i="6"/>
  <c r="AK138" i="6"/>
  <c r="L141" i="6"/>
  <c r="G141" i="6" s="1"/>
  <c r="W141" i="6"/>
  <c r="AR13" i="8"/>
  <c r="W46" i="6"/>
  <c r="AO50" i="6"/>
  <c r="F38" i="13"/>
  <c r="L53" i="6"/>
  <c r="G53" i="6" s="1"/>
  <c r="W53" i="6"/>
  <c r="AO54" i="6"/>
  <c r="AN55" i="6"/>
  <c r="AL66" i="6"/>
  <c r="AL69" i="6"/>
  <c r="AN76" i="6"/>
  <c r="AL80" i="6"/>
  <c r="AO81" i="6"/>
  <c r="AK81" i="6"/>
  <c r="AM82" i="6"/>
  <c r="AL83" i="6"/>
  <c r="F80" i="13"/>
  <c r="L95" i="6"/>
  <c r="G95" i="6" s="1"/>
  <c r="W95" i="6"/>
  <c r="M96" i="6"/>
  <c r="AM97" i="6"/>
  <c r="L98" i="6"/>
  <c r="G98" i="6" s="1"/>
  <c r="AO98" i="6"/>
  <c r="AO99" i="6"/>
  <c r="AL101" i="6"/>
  <c r="AN102" i="6"/>
  <c r="AN103" i="6"/>
  <c r="AN104" i="6"/>
  <c r="AK107" i="6"/>
  <c r="AO107" i="6"/>
  <c r="AM107" i="6"/>
  <c r="AN113" i="6"/>
  <c r="AM113" i="6"/>
  <c r="AK113" i="6"/>
  <c r="AM119" i="6"/>
  <c r="F94" i="13"/>
  <c r="L122" i="6"/>
  <c r="G122" i="6" s="1"/>
  <c r="W122" i="6"/>
  <c r="AR19" i="8"/>
  <c r="AL73" i="6"/>
  <c r="W78" i="6"/>
  <c r="M79" i="6"/>
  <c r="AK85" i="6"/>
  <c r="AO85" i="6"/>
  <c r="AL90" i="6"/>
  <c r="W96" i="6"/>
  <c r="AM101" i="6"/>
  <c r="L102" i="6"/>
  <c r="G102" i="6" s="1"/>
  <c r="AM105" i="6"/>
  <c r="AL105" i="6"/>
  <c r="W113" i="6"/>
  <c r="L113" i="6"/>
  <c r="G113" i="6" s="1"/>
  <c r="AR43" i="8"/>
  <c r="AO106" i="6"/>
  <c r="AO109" i="6"/>
  <c r="AM115" i="6"/>
  <c r="AO117" i="6"/>
  <c r="AN120" i="6"/>
  <c r="AM123" i="6"/>
  <c r="AO125" i="6"/>
  <c r="AO128" i="6"/>
  <c r="AN131" i="6"/>
  <c r="AM134" i="6"/>
  <c r="AO136" i="6"/>
  <c r="AN139" i="6"/>
  <c r="AM142" i="6"/>
  <c r="AN149" i="6"/>
  <c r="AM150" i="6"/>
  <c r="M151" i="6"/>
  <c r="AO153" i="6"/>
  <c r="AN153" i="6"/>
  <c r="AL154" i="6"/>
  <c r="AK154" i="6"/>
  <c r="AM156" i="6"/>
  <c r="AL156" i="6"/>
  <c r="L168" i="6"/>
  <c r="G168" i="6" s="1"/>
  <c r="AO172" i="6"/>
  <c r="AM172" i="6"/>
  <c r="AL172" i="6"/>
  <c r="AR6" i="8"/>
  <c r="AP10" i="8"/>
  <c r="AP16" i="8"/>
  <c r="AR26" i="8"/>
  <c r="Y36" i="8"/>
  <c r="M36" i="8"/>
  <c r="G36" i="8" s="1"/>
  <c r="AR39" i="8"/>
  <c r="AR48" i="8"/>
  <c r="M58" i="8"/>
  <c r="G58" i="8" s="1"/>
  <c r="Y58" i="8"/>
  <c r="N58" i="8"/>
  <c r="AN142" i="6"/>
  <c r="AK143" i="6"/>
  <c r="W144" i="6"/>
  <c r="AM145" i="6"/>
  <c r="W148" i="6"/>
  <c r="AO149" i="6"/>
  <c r="AK153" i="6"/>
  <c r="AM154" i="6"/>
  <c r="AK156" i="6"/>
  <c r="W161" i="6"/>
  <c r="W164" i="6"/>
  <c r="AN169" i="6"/>
  <c r="AM169" i="6"/>
  <c r="AK172" i="6"/>
  <c r="AO174" i="6"/>
  <c r="AN174" i="6"/>
  <c r="N10" i="8"/>
  <c r="AP11" i="8"/>
  <c r="AR11" i="8" s="1"/>
  <c r="AP12" i="8"/>
  <c r="M16" i="8"/>
  <c r="G16" i="8" s="1"/>
  <c r="AR23" i="8"/>
  <c r="AP26" i="8"/>
  <c r="AP34" i="8"/>
  <c r="AL108" i="6"/>
  <c r="AO115" i="6"/>
  <c r="AL116" i="6"/>
  <c r="L121" i="6"/>
  <c r="G121" i="6" s="1"/>
  <c r="AO123" i="6"/>
  <c r="AL124" i="6"/>
  <c r="L132" i="6"/>
  <c r="G132" i="6" s="1"/>
  <c r="AO134" i="6"/>
  <c r="AL135" i="6"/>
  <c r="L140" i="6"/>
  <c r="G140" i="6" s="1"/>
  <c r="B3" i="15"/>
  <c r="B4" i="15" s="1"/>
  <c r="AO142" i="6"/>
  <c r="AL143" i="6"/>
  <c r="L146" i="6"/>
  <c r="G146" i="6" s="1"/>
  <c r="AL153" i="6"/>
  <c r="AN154" i="6"/>
  <c r="AN156" i="6"/>
  <c r="F132" i="13"/>
  <c r="W160" i="6"/>
  <c r="W169" i="6"/>
  <c r="L169" i="6"/>
  <c r="G169" i="6" s="1"/>
  <c r="AN172" i="6"/>
  <c r="L173" i="6"/>
  <c r="G173" i="6" s="1"/>
  <c r="AU175" i="8"/>
  <c r="AU176" i="8" s="1"/>
  <c r="AP13" i="8"/>
  <c r="AP24" i="8"/>
  <c r="AR24" i="8" s="1"/>
  <c r="AP47" i="8"/>
  <c r="AR47" i="8" s="1"/>
  <c r="W104" i="6"/>
  <c r="L108" i="6"/>
  <c r="G108" i="6" s="1"/>
  <c r="L116" i="6"/>
  <c r="G116" i="6" s="1"/>
  <c r="L124" i="6"/>
  <c r="G124" i="6" s="1"/>
  <c r="L135" i="6"/>
  <c r="G135" i="6" s="1"/>
  <c r="L143" i="6"/>
  <c r="G143" i="6" s="1"/>
  <c r="AM143" i="6"/>
  <c r="F127" i="13"/>
  <c r="L151" i="6"/>
  <c r="G151" i="6" s="1"/>
  <c r="AI176" i="6"/>
  <c r="AI177" i="6" s="1"/>
  <c r="AI178" i="6" s="1"/>
  <c r="AN161" i="6"/>
  <c r="AM161" i="6"/>
  <c r="AM164" i="6"/>
  <c r="AL164" i="6"/>
  <c r="AW5" i="8"/>
  <c r="M6" i="8"/>
  <c r="G6" i="8" s="1"/>
  <c r="AP6" i="8"/>
  <c r="Y11" i="8"/>
  <c r="Y19" i="8"/>
  <c r="AR35" i="8"/>
  <c r="AR50" i="8"/>
  <c r="F126" i="13"/>
  <c r="W150" i="6"/>
  <c r="AM151" i="6"/>
  <c r="AL151" i="6"/>
  <c r="AO158" i="6"/>
  <c r="AN158" i="6"/>
  <c r="AL159" i="6"/>
  <c r="AK159" i="6"/>
  <c r="AO163" i="6"/>
  <c r="AK168" i="6"/>
  <c r="AP167" i="8"/>
  <c r="AP159" i="8"/>
  <c r="AP173" i="8"/>
  <c r="AP165" i="8"/>
  <c r="AP169" i="8"/>
  <c r="AR169" i="8" s="1"/>
  <c r="AP172" i="8"/>
  <c r="AR172" i="8" s="1"/>
  <c r="AP150" i="8"/>
  <c r="AP142" i="8"/>
  <c r="AP134" i="8"/>
  <c r="AP171" i="8"/>
  <c r="AP164" i="8"/>
  <c r="AR164" i="8" s="1"/>
  <c r="AP156" i="8"/>
  <c r="AP153" i="8"/>
  <c r="AR153" i="8" s="1"/>
  <c r="AP145" i="8"/>
  <c r="AR145" i="8" s="1"/>
  <c r="AP137" i="8"/>
  <c r="AP129" i="8"/>
  <c r="AP124" i="8"/>
  <c r="AP116" i="8"/>
  <c r="AP108" i="8"/>
  <c r="AR108" i="8" s="1"/>
  <c r="AP100" i="8"/>
  <c r="AP88" i="8"/>
  <c r="AR88" i="8" s="1"/>
  <c r="AP80" i="8"/>
  <c r="AP77" i="8"/>
  <c r="AP69" i="8"/>
  <c r="AP148" i="8"/>
  <c r="AP140" i="8"/>
  <c r="AP132" i="8"/>
  <c r="AR132" i="8" s="1"/>
  <c r="AP170" i="8"/>
  <c r="AP163" i="8"/>
  <c r="AR163" i="8" s="1"/>
  <c r="AP161" i="8"/>
  <c r="AR161" i="8" s="1"/>
  <c r="AP157" i="8"/>
  <c r="AP151" i="8"/>
  <c r="AP143" i="8"/>
  <c r="AP135" i="8"/>
  <c r="AP154" i="8"/>
  <c r="AP146" i="8"/>
  <c r="AP138" i="8"/>
  <c r="AR138" i="8" s="1"/>
  <c r="AP130" i="8"/>
  <c r="AR130" i="8" s="1"/>
  <c r="AP168" i="8"/>
  <c r="AP149" i="8"/>
  <c r="AP141" i="8"/>
  <c r="AP133" i="8"/>
  <c r="AR133" i="8" s="1"/>
  <c r="AP158" i="8"/>
  <c r="AR158" i="8" s="1"/>
  <c r="AP152" i="8"/>
  <c r="AP144" i="8"/>
  <c r="AR144" i="8" s="1"/>
  <c r="AP136" i="8"/>
  <c r="AP128" i="8"/>
  <c r="AP123" i="8"/>
  <c r="AP115" i="8"/>
  <c r="AP174" i="8"/>
  <c r="AP166" i="8"/>
  <c r="AR166" i="8" s="1"/>
  <c r="AP162" i="8"/>
  <c r="AP160" i="8"/>
  <c r="AP155" i="8"/>
  <c r="AP147" i="8"/>
  <c r="AP139" i="8"/>
  <c r="AP127" i="8"/>
  <c r="AP119" i="8"/>
  <c r="AP112" i="8"/>
  <c r="AR112" i="8" s="1"/>
  <c r="AP109" i="8"/>
  <c r="AP104" i="8"/>
  <c r="AR104" i="8" s="1"/>
  <c r="AP102" i="8"/>
  <c r="AR102" i="8" s="1"/>
  <c r="AP92" i="8"/>
  <c r="AP90" i="8"/>
  <c r="AP68" i="8"/>
  <c r="AP66" i="8"/>
  <c r="AP62" i="8"/>
  <c r="AP126" i="8"/>
  <c r="AP122" i="8"/>
  <c r="AR122" i="8" s="1"/>
  <c r="AP106" i="8"/>
  <c r="AP131" i="8"/>
  <c r="AP111" i="8"/>
  <c r="AP99" i="8"/>
  <c r="AP97" i="8"/>
  <c r="AP93" i="8"/>
  <c r="AP87" i="8"/>
  <c r="AP85" i="8"/>
  <c r="AP72" i="8"/>
  <c r="AR72" i="8" s="1"/>
  <c r="AP70" i="8"/>
  <c r="AP60" i="8"/>
  <c r="AP118" i="8"/>
  <c r="AP114" i="8"/>
  <c r="AP76" i="8"/>
  <c r="AR76" i="8" s="1"/>
  <c r="AP74" i="8"/>
  <c r="AR74" i="8" s="1"/>
  <c r="AP125" i="8"/>
  <c r="AR125" i="8" s="1"/>
  <c r="AP121" i="8"/>
  <c r="AP103" i="8"/>
  <c r="AP101" i="8"/>
  <c r="AP91" i="8"/>
  <c r="AP89" i="8"/>
  <c r="AP67" i="8"/>
  <c r="AR67" i="8" s="1"/>
  <c r="AP120" i="8"/>
  <c r="AP78" i="8"/>
  <c r="AR78" i="8" s="1"/>
  <c r="AP58" i="8"/>
  <c r="AR58" i="8" s="1"/>
  <c r="AP56" i="8"/>
  <c r="AP43" i="8"/>
  <c r="AP35" i="8"/>
  <c r="AP27" i="8"/>
  <c r="AR27" i="8" s="1"/>
  <c r="AP19" i="8"/>
  <c r="AP84" i="8"/>
  <c r="AP81" i="8"/>
  <c r="AR81" i="8" s="1"/>
  <c r="AP79" i="8"/>
  <c r="AP73" i="8"/>
  <c r="AP71" i="8"/>
  <c r="AP54" i="8"/>
  <c r="AP50" i="8"/>
  <c r="AP46" i="8"/>
  <c r="AR46" i="8" s="1"/>
  <c r="AP86" i="8"/>
  <c r="AP83" i="8"/>
  <c r="AR83" i="8" s="1"/>
  <c r="AP82" i="8"/>
  <c r="AP65" i="8"/>
  <c r="AP61" i="8"/>
  <c r="AP41" i="8"/>
  <c r="AP117" i="8"/>
  <c r="AP107" i="8"/>
  <c r="AP64" i="8"/>
  <c r="AP57" i="8"/>
  <c r="AR57" i="8" s="1"/>
  <c r="AP55" i="8"/>
  <c r="AR55" i="8" s="1"/>
  <c r="AP39" i="8"/>
  <c r="AP110" i="8"/>
  <c r="AP96" i="8"/>
  <c r="AP94" i="8"/>
  <c r="AP63" i="8"/>
  <c r="AR63" i="8" s="1"/>
  <c r="AP59" i="8"/>
  <c r="AP113" i="8"/>
  <c r="AR113" i="8" s="1"/>
  <c r="AP105" i="8"/>
  <c r="AR105" i="8" s="1"/>
  <c r="AP98" i="8"/>
  <c r="AP53" i="8"/>
  <c r="AP44" i="8"/>
  <c r="AP40" i="8"/>
  <c r="AR40" i="8" s="1"/>
  <c r="AP37" i="8"/>
  <c r="AP14" i="8"/>
  <c r="AR14" i="8" s="1"/>
  <c r="AP52" i="8"/>
  <c r="AR52" i="8" s="1"/>
  <c r="AP30" i="8"/>
  <c r="AR30" i="8" s="1"/>
  <c r="AP28" i="8"/>
  <c r="AR28" i="8" s="1"/>
  <c r="AP17" i="8"/>
  <c r="AP8" i="8"/>
  <c r="AP51" i="8"/>
  <c r="AR51" i="8" s="1"/>
  <c r="AP25" i="8"/>
  <c r="AR25" i="8" s="1"/>
  <c r="AP15" i="8"/>
  <c r="AP9" i="8"/>
  <c r="AR9" i="8" s="1"/>
  <c r="AP5" i="8"/>
  <c r="AR5" i="8" s="1"/>
  <c r="AP75" i="8"/>
  <c r="AP49" i="8"/>
  <c r="AP36" i="8"/>
  <c r="AR36" i="8" s="1"/>
  <c r="AP18" i="8"/>
  <c r="AP95" i="8"/>
  <c r="AR95" i="8" s="1"/>
  <c r="AP48" i="8"/>
  <c r="AP31" i="8"/>
  <c r="AR31" i="8" s="1"/>
  <c r="AP29" i="8"/>
  <c r="AR29" i="8" s="1"/>
  <c r="AP33" i="8"/>
  <c r="AP7" i="8"/>
  <c r="AR7" i="8" s="1"/>
  <c r="AP23" i="8"/>
  <c r="M27" i="8"/>
  <c r="G27" i="8" s="1"/>
  <c r="Y27" i="8"/>
  <c r="AR41" i="8"/>
  <c r="AP45" i="8"/>
  <c r="AR45" i="8" s="1"/>
  <c r="Y52" i="8"/>
  <c r="AL109" i="6"/>
  <c r="AK120" i="6"/>
  <c r="W121" i="6"/>
  <c r="AL125" i="6"/>
  <c r="AK131" i="6"/>
  <c r="AK139" i="6"/>
  <c r="AO150" i="6"/>
  <c r="AK151" i="6"/>
  <c r="O156" i="6"/>
  <c r="M156" i="6" s="1"/>
  <c r="AK158" i="6"/>
  <c r="AM159" i="6"/>
  <c r="AK163" i="6"/>
  <c r="AL168" i="6"/>
  <c r="AI184" i="6"/>
  <c r="AL175" i="8"/>
  <c r="AL176" i="8" s="1"/>
  <c r="AL177" i="8" s="1"/>
  <c r="AR10" i="8"/>
  <c r="Y14" i="8"/>
  <c r="Y15" i="8"/>
  <c r="M15" i="8"/>
  <c r="G15" i="8" s="1"/>
  <c r="AR15" i="8"/>
  <c r="L106" i="6"/>
  <c r="G106" i="6" s="1"/>
  <c r="L109" i="6"/>
  <c r="G109" i="6" s="1"/>
  <c r="W116" i="6"/>
  <c r="L125" i="6"/>
  <c r="G125" i="6" s="1"/>
  <c r="AN141" i="6"/>
  <c r="AM148" i="6"/>
  <c r="AL149" i="6"/>
  <c r="AK150" i="6"/>
  <c r="AN151" i="6"/>
  <c r="F167" i="13"/>
  <c r="L156" i="6"/>
  <c r="G156" i="6" s="1"/>
  <c r="W156" i="6"/>
  <c r="AL158" i="6"/>
  <c r="AN159" i="6"/>
  <c r="AM160" i="6"/>
  <c r="AO161" i="6"/>
  <c r="AL163" i="6"/>
  <c r="AO164" i="6"/>
  <c r="AN167" i="6"/>
  <c r="AL167" i="6"/>
  <c r="AK167" i="6"/>
  <c r="AM168" i="6"/>
  <c r="F140" i="13"/>
  <c r="L170" i="6"/>
  <c r="G170" i="6" s="1"/>
  <c r="W170" i="6"/>
  <c r="AR1" i="8"/>
  <c r="Y7" i="8"/>
  <c r="AR16" i="8"/>
  <c r="AP20" i="8"/>
  <c r="AR20" i="8" s="1"/>
  <c r="AP21" i="8"/>
  <c r="AR21" i="8" s="1"/>
  <c r="AP22" i="8"/>
  <c r="AR22" i="8" s="1"/>
  <c r="Y28" i="8"/>
  <c r="M28" i="8"/>
  <c r="G28" i="8" s="1"/>
  <c r="AP32" i="8"/>
  <c r="AR32" i="8" s="1"/>
  <c r="AP38" i="8"/>
  <c r="AR68" i="8"/>
  <c r="AR70" i="8"/>
  <c r="L39" i="8"/>
  <c r="L42" i="8"/>
  <c r="L58" i="8"/>
  <c r="K69" i="8"/>
  <c r="Y73" i="8"/>
  <c r="M73" i="8"/>
  <c r="G73" i="8" s="1"/>
  <c r="L90" i="8"/>
  <c r="L92" i="8"/>
  <c r="L96" i="8"/>
  <c r="K25" i="8"/>
  <c r="K27" i="8"/>
  <c r="AQ33" i="8"/>
  <c r="K36" i="8"/>
  <c r="Y37" i="8"/>
  <c r="K60" i="8"/>
  <c r="L63" i="8"/>
  <c r="K76" i="8"/>
  <c r="K78" i="8"/>
  <c r="M79" i="8"/>
  <c r="G79" i="8" s="1"/>
  <c r="Y79" i="8"/>
  <c r="Y81" i="8"/>
  <c r="M81" i="8"/>
  <c r="G81" i="8" s="1"/>
  <c r="AR93" i="8"/>
  <c r="AQ94" i="8"/>
  <c r="L95" i="8"/>
  <c r="K101" i="8"/>
  <c r="AR107" i="8"/>
  <c r="K169" i="8"/>
  <c r="K161" i="8"/>
  <c r="K167" i="8"/>
  <c r="L174" i="8"/>
  <c r="K171" i="8"/>
  <c r="L166" i="8"/>
  <c r="K173" i="8"/>
  <c r="K172" i="8"/>
  <c r="K165" i="8"/>
  <c r="K162" i="8"/>
  <c r="K160" i="8"/>
  <c r="K158" i="8"/>
  <c r="K152" i="8"/>
  <c r="K144" i="8"/>
  <c r="K136" i="8"/>
  <c r="K155" i="8"/>
  <c r="L150" i="8"/>
  <c r="K147" i="8"/>
  <c r="L142" i="8"/>
  <c r="K139" i="8"/>
  <c r="L134" i="8"/>
  <c r="K131" i="8"/>
  <c r="K126" i="8"/>
  <c r="K118" i="8"/>
  <c r="K110" i="8"/>
  <c r="K102" i="8"/>
  <c r="K90" i="8"/>
  <c r="K82" i="8"/>
  <c r="K79" i="8"/>
  <c r="K71" i="8"/>
  <c r="K164" i="8"/>
  <c r="L159" i="8"/>
  <c r="L156" i="8"/>
  <c r="L153" i="8"/>
  <c r="K150" i="8"/>
  <c r="L145" i="8"/>
  <c r="K142" i="8"/>
  <c r="L137" i="8"/>
  <c r="K134" i="8"/>
  <c r="K170" i="8"/>
  <c r="K159" i="8"/>
  <c r="K156" i="8"/>
  <c r="K153" i="8"/>
  <c r="K145" i="8"/>
  <c r="K137" i="8"/>
  <c r="L169" i="8"/>
  <c r="L168" i="8"/>
  <c r="L163" i="8"/>
  <c r="L161" i="8"/>
  <c r="L157" i="8"/>
  <c r="L151" i="8"/>
  <c r="K148" i="8"/>
  <c r="L143" i="8"/>
  <c r="K140" i="8"/>
  <c r="L135" i="8"/>
  <c r="K132" i="8"/>
  <c r="K168" i="8"/>
  <c r="K163" i="8"/>
  <c r="K157" i="8"/>
  <c r="K151" i="8"/>
  <c r="K143" i="8"/>
  <c r="K135" i="8"/>
  <c r="K154" i="8"/>
  <c r="K146" i="8"/>
  <c r="K138" i="8"/>
  <c r="K130" i="8"/>
  <c r="K125" i="8"/>
  <c r="K117" i="8"/>
  <c r="K109" i="8"/>
  <c r="K174" i="8"/>
  <c r="L173" i="8"/>
  <c r="K166" i="8"/>
  <c r="L165" i="8"/>
  <c r="L162" i="8"/>
  <c r="L160" i="8"/>
  <c r="L158" i="8"/>
  <c r="L152" i="8"/>
  <c r="K149" i="8"/>
  <c r="L144" i="8"/>
  <c r="K141" i="8"/>
  <c r="L129" i="8"/>
  <c r="K128" i="8"/>
  <c r="L123" i="8"/>
  <c r="K120" i="8"/>
  <c r="L116" i="8"/>
  <c r="K113" i="8"/>
  <c r="K107" i="8"/>
  <c r="L100" i="8"/>
  <c r="L98" i="8"/>
  <c r="K96" i="8"/>
  <c r="K94" i="8"/>
  <c r="L136" i="8"/>
  <c r="K129" i="8"/>
  <c r="K127" i="8"/>
  <c r="K123" i="8"/>
  <c r="K116" i="8"/>
  <c r="L109" i="8"/>
  <c r="K100" i="8"/>
  <c r="K98" i="8"/>
  <c r="K88" i="8"/>
  <c r="K86" i="8"/>
  <c r="K73" i="8"/>
  <c r="K64" i="8"/>
  <c r="K56" i="8"/>
  <c r="K119" i="8"/>
  <c r="K112" i="8"/>
  <c r="L102" i="8"/>
  <c r="K115" i="8"/>
  <c r="K104" i="8"/>
  <c r="K95" i="8"/>
  <c r="K92" i="8"/>
  <c r="K83" i="8"/>
  <c r="K81" i="8"/>
  <c r="L70" i="8"/>
  <c r="K68" i="8"/>
  <c r="K62" i="8"/>
  <c r="K122" i="8"/>
  <c r="K111" i="8"/>
  <c r="K108" i="8"/>
  <c r="K106" i="8"/>
  <c r="K97" i="8"/>
  <c r="K85" i="8"/>
  <c r="K72" i="8"/>
  <c r="K70" i="8"/>
  <c r="L125" i="8"/>
  <c r="L114" i="8"/>
  <c r="L103" i="8"/>
  <c r="L101" i="8"/>
  <c r="K99" i="8"/>
  <c r="K93" i="8"/>
  <c r="L91" i="8"/>
  <c r="L89" i="8"/>
  <c r="K87" i="8"/>
  <c r="L76" i="8"/>
  <c r="K74" i="8"/>
  <c r="K114" i="8"/>
  <c r="L81" i="8"/>
  <c r="K67" i="8"/>
  <c r="K52" i="8"/>
  <c r="K48" i="8"/>
  <c r="K45" i="8"/>
  <c r="K37" i="8"/>
  <c r="K29" i="8"/>
  <c r="K21" i="8"/>
  <c r="K121" i="8"/>
  <c r="K103" i="8"/>
  <c r="L84" i="8"/>
  <c r="L82" i="8"/>
  <c r="K80" i="8"/>
  <c r="L73" i="8"/>
  <c r="K66" i="8"/>
  <c r="L65" i="8"/>
  <c r="L56" i="8"/>
  <c r="K40" i="8"/>
  <c r="L124" i="8"/>
  <c r="L107" i="8"/>
  <c r="L86" i="8"/>
  <c r="K84" i="8"/>
  <c r="L71" i="8"/>
  <c r="K65" i="8"/>
  <c r="L61" i="8"/>
  <c r="K58" i="8"/>
  <c r="K53" i="8"/>
  <c r="K49" i="8"/>
  <c r="K43" i="8"/>
  <c r="K124" i="8"/>
  <c r="L117" i="8"/>
  <c r="K61" i="8"/>
  <c r="L60" i="8"/>
  <c r="L57" i="8"/>
  <c r="K54" i="8"/>
  <c r="K50" i="8"/>
  <c r="L44" i="8"/>
  <c r="K41" i="8"/>
  <c r="L110" i="8"/>
  <c r="K105" i="8"/>
  <c r="K89" i="8"/>
  <c r="L78" i="8"/>
  <c r="K77" i="8"/>
  <c r="L69" i="8"/>
  <c r="L68" i="8"/>
  <c r="K63" i="8"/>
  <c r="L55" i="8"/>
  <c r="K8" i="8"/>
  <c r="K12" i="8"/>
  <c r="N20" i="8"/>
  <c r="K23" i="8"/>
  <c r="AQ27" i="8"/>
  <c r="AQ29" i="8"/>
  <c r="AQ31" i="8"/>
  <c r="K34" i="8"/>
  <c r="Y35" i="8"/>
  <c r="L36" i="8"/>
  <c r="Y47" i="8"/>
  <c r="M47" i="8"/>
  <c r="G47" i="8" s="1"/>
  <c r="K51" i="8"/>
  <c r="AR56" i="8"/>
  <c r="AQ58" i="8"/>
  <c r="K59" i="8"/>
  <c r="AR61" i="8"/>
  <c r="Y93" i="8"/>
  <c r="M93" i="8"/>
  <c r="G93" i="8" s="1"/>
  <c r="N93" i="8"/>
  <c r="W163" i="6"/>
  <c r="AK170" i="6"/>
  <c r="K17" i="8"/>
  <c r="AQ18" i="8"/>
  <c r="L24" i="8"/>
  <c r="K32" i="8"/>
  <c r="AQ36" i="8"/>
  <c r="AR37" i="8"/>
  <c r="Y39" i="8"/>
  <c r="M39" i="8"/>
  <c r="G39" i="8" s="1"/>
  <c r="AR44" i="8"/>
  <c r="AQ49" i="8"/>
  <c r="L51" i="8"/>
  <c r="L53" i="8"/>
  <c r="AQ59" i="8"/>
  <c r="K75" i="8"/>
  <c r="AR77" i="8"/>
  <c r="L83" i="8"/>
  <c r="K57" i="8"/>
  <c r="Y62" i="8"/>
  <c r="L64" i="8"/>
  <c r="N73" i="8"/>
  <c r="L74" i="8"/>
  <c r="L80" i="8"/>
  <c r="AR118" i="8"/>
  <c r="AQ170" i="8"/>
  <c r="AQ162" i="8"/>
  <c r="AQ168" i="8"/>
  <c r="AQ172" i="8"/>
  <c r="AQ171" i="8"/>
  <c r="AQ164" i="8"/>
  <c r="AQ156" i="8"/>
  <c r="AR156" i="8" s="1"/>
  <c r="AQ153" i="8"/>
  <c r="AQ145" i="8"/>
  <c r="AQ137" i="8"/>
  <c r="AQ129" i="8"/>
  <c r="AQ148" i="8"/>
  <c r="AR148" i="8" s="1"/>
  <c r="AQ140" i="8"/>
  <c r="AQ132" i="8"/>
  <c r="AQ127" i="8"/>
  <c r="AQ119" i="8"/>
  <c r="AR119" i="8" s="1"/>
  <c r="AQ111" i="8"/>
  <c r="AQ103" i="8"/>
  <c r="AQ95" i="8"/>
  <c r="AQ91" i="8"/>
  <c r="AR91" i="8" s="1"/>
  <c r="AQ83" i="8"/>
  <c r="AQ72" i="8"/>
  <c r="AQ64" i="8"/>
  <c r="AQ163" i="8"/>
  <c r="AQ161" i="8"/>
  <c r="AQ159" i="8"/>
  <c r="AQ157" i="8"/>
  <c r="AQ151" i="8"/>
  <c r="AQ143" i="8"/>
  <c r="AQ135" i="8"/>
  <c r="AQ154" i="8"/>
  <c r="AQ146" i="8"/>
  <c r="AQ138" i="8"/>
  <c r="AQ169" i="8"/>
  <c r="AQ149" i="8"/>
  <c r="AR149" i="8" s="1"/>
  <c r="AQ141" i="8"/>
  <c r="AR141" i="8" s="1"/>
  <c r="AQ133" i="8"/>
  <c r="AQ158" i="8"/>
  <c r="AQ152" i="8"/>
  <c r="AR152" i="8" s="1"/>
  <c r="AQ144" i="8"/>
  <c r="AQ136" i="8"/>
  <c r="AQ128" i="8"/>
  <c r="AQ174" i="8"/>
  <c r="AQ167" i="8"/>
  <c r="AR167" i="8" s="1"/>
  <c r="AQ166" i="8"/>
  <c r="AQ160" i="8"/>
  <c r="AQ155" i="8"/>
  <c r="AR155" i="8" s="1"/>
  <c r="AQ147" i="8"/>
  <c r="AQ139" i="8"/>
  <c r="AQ131" i="8"/>
  <c r="AQ126" i="8"/>
  <c r="AQ118" i="8"/>
  <c r="AQ110" i="8"/>
  <c r="AR110" i="8" s="1"/>
  <c r="AQ173" i="8"/>
  <c r="AQ165" i="8"/>
  <c r="AR165" i="8" s="1"/>
  <c r="AQ150" i="8"/>
  <c r="AR150" i="8" s="1"/>
  <c r="AQ142" i="8"/>
  <c r="AQ123" i="8"/>
  <c r="AQ112" i="8"/>
  <c r="AQ109" i="8"/>
  <c r="AQ104" i="8"/>
  <c r="AQ102" i="8"/>
  <c r="AQ100" i="8"/>
  <c r="AR100" i="8" s="1"/>
  <c r="AQ92" i="8"/>
  <c r="AQ122" i="8"/>
  <c r="AQ116" i="8"/>
  <c r="AQ106" i="8"/>
  <c r="AQ81" i="8"/>
  <c r="AQ79" i="8"/>
  <c r="AQ77" i="8"/>
  <c r="AQ57" i="8"/>
  <c r="AQ54" i="8"/>
  <c r="AR54" i="8" s="1"/>
  <c r="AQ115" i="8"/>
  <c r="AQ134" i="8"/>
  <c r="AQ130" i="8"/>
  <c r="AQ114" i="8"/>
  <c r="AR114" i="8" s="1"/>
  <c r="AQ108" i="8"/>
  <c r="AQ76" i="8"/>
  <c r="AQ74" i="8"/>
  <c r="AQ65" i="8"/>
  <c r="AR65" i="8" s="1"/>
  <c r="AQ63" i="8"/>
  <c r="AQ125" i="8"/>
  <c r="AQ121" i="8"/>
  <c r="AQ101" i="8"/>
  <c r="AQ89" i="8"/>
  <c r="AQ107" i="8"/>
  <c r="AQ105" i="8"/>
  <c r="AQ96" i="8"/>
  <c r="AR96" i="8" s="1"/>
  <c r="AQ84" i="8"/>
  <c r="AQ82" i="8"/>
  <c r="AQ80" i="8"/>
  <c r="AQ78" i="8"/>
  <c r="AQ73" i="8"/>
  <c r="AQ71" i="8"/>
  <c r="AQ69" i="8"/>
  <c r="AR69" i="8" s="1"/>
  <c r="AQ62" i="8"/>
  <c r="AQ50" i="8"/>
  <c r="AQ46" i="8"/>
  <c r="AQ38" i="8"/>
  <c r="AQ30" i="8"/>
  <c r="AQ22" i="8"/>
  <c r="AQ99" i="8"/>
  <c r="AR99" i="8" s="1"/>
  <c r="AQ86" i="8"/>
  <c r="AR86" i="8" s="1"/>
  <c r="AQ66" i="8"/>
  <c r="AR66" i="8" s="1"/>
  <c r="AQ61" i="8"/>
  <c r="AQ41" i="8"/>
  <c r="AQ117" i="8"/>
  <c r="AR117" i="8" s="1"/>
  <c r="AQ85" i="8"/>
  <c r="AQ70" i="8"/>
  <c r="AQ51" i="8"/>
  <c r="AQ47" i="8"/>
  <c r="AQ44" i="8"/>
  <c r="AQ124" i="8"/>
  <c r="AQ87" i="8"/>
  <c r="AQ75" i="8"/>
  <c r="AQ60" i="8"/>
  <c r="AQ52" i="8"/>
  <c r="AQ48" i="8"/>
  <c r="AQ42" i="8"/>
  <c r="AR42" i="8" s="1"/>
  <c r="AQ113" i="8"/>
  <c r="AQ98" i="8"/>
  <c r="AQ97" i="8"/>
  <c r="AQ88" i="8"/>
  <c r="AQ68" i="8"/>
  <c r="AQ67" i="8"/>
  <c r="AQ53" i="8"/>
  <c r="AQ120" i="8"/>
  <c r="AR120" i="8" s="1"/>
  <c r="AQ12" i="8"/>
  <c r="AR12" i="8" s="1"/>
  <c r="AQ19" i="8"/>
  <c r="AQ21" i="8"/>
  <c r="AQ23" i="8"/>
  <c r="K26" i="8"/>
  <c r="L28" i="8"/>
  <c r="AQ32" i="8"/>
  <c r="AR33" i="8"/>
  <c r="AQ34" i="8"/>
  <c r="L43" i="8"/>
  <c r="K55" i="8"/>
  <c r="AQ55" i="8"/>
  <c r="AQ56" i="8"/>
  <c r="AR60" i="8"/>
  <c r="L67" i="8"/>
  <c r="N79" i="8"/>
  <c r="AR85" i="8"/>
  <c r="L88" i="8"/>
  <c r="K91" i="8"/>
  <c r="L104" i="8"/>
  <c r="K10" i="8"/>
  <c r="K16" i="8"/>
  <c r="K24" i="8"/>
  <c r="L26" i="8"/>
  <c r="K33" i="8"/>
  <c r="K35" i="8"/>
  <c r="L45" i="8"/>
  <c r="K47" i="8"/>
  <c r="Y51" i="8"/>
  <c r="M51" i="8"/>
  <c r="G51" i="8" s="1"/>
  <c r="L54" i="8"/>
  <c r="M87" i="8"/>
  <c r="G87" i="8" s="1"/>
  <c r="Y87" i="8"/>
  <c r="AQ90" i="8"/>
  <c r="AR115" i="8"/>
  <c r="L119" i="8"/>
  <c r="L122" i="8"/>
  <c r="AR139" i="8"/>
  <c r="L141" i="8"/>
  <c r="L148" i="8"/>
  <c r="AR162" i="8"/>
  <c r="L167" i="8"/>
  <c r="Y66" i="8"/>
  <c r="Y74" i="8"/>
  <c r="M74" i="8"/>
  <c r="G74" i="8" s="1"/>
  <c r="L87" i="8"/>
  <c r="AR87" i="8"/>
  <c r="L93" i="8"/>
  <c r="M100" i="8"/>
  <c r="G100" i="8" s="1"/>
  <c r="Y100" i="8"/>
  <c r="L108" i="8"/>
  <c r="L115" i="8"/>
  <c r="AR128" i="8"/>
  <c r="Y130" i="8"/>
  <c r="M130" i="8"/>
  <c r="G130" i="8" s="1"/>
  <c r="L66" i="8"/>
  <c r="AR71" i="8"/>
  <c r="AR73" i="8"/>
  <c r="M75" i="8"/>
  <c r="G75" i="8" s="1"/>
  <c r="L85" i="8"/>
  <c r="Y90" i="8"/>
  <c r="AR103" i="8"/>
  <c r="AR111" i="8"/>
  <c r="L118" i="8"/>
  <c r="L132" i="8"/>
  <c r="Y68" i="8"/>
  <c r="M69" i="8"/>
  <c r="G69" i="8" s="1"/>
  <c r="Y69" i="8"/>
  <c r="L72" i="8"/>
  <c r="Y77" i="8"/>
  <c r="L79" i="8"/>
  <c r="AR82" i="8"/>
  <c r="AR84" i="8"/>
  <c r="Y99" i="8"/>
  <c r="M99" i="8"/>
  <c r="G99" i="8" s="1"/>
  <c r="L106" i="8"/>
  <c r="L111" i="8"/>
  <c r="M116" i="8"/>
  <c r="G116" i="8" s="1"/>
  <c r="Y116" i="8"/>
  <c r="M123" i="8"/>
  <c r="G123" i="8" s="1"/>
  <c r="Y123" i="8"/>
  <c r="M50" i="8"/>
  <c r="G50" i="8" s="1"/>
  <c r="M54" i="8"/>
  <c r="G54" i="8" s="1"/>
  <c r="L59" i="8"/>
  <c r="N74" i="8"/>
  <c r="AR80" i="8"/>
  <c r="AR89" i="8"/>
  <c r="AR98" i="8"/>
  <c r="L99" i="8"/>
  <c r="N112" i="8"/>
  <c r="AR116" i="8"/>
  <c r="L127" i="8"/>
  <c r="N130" i="8"/>
  <c r="Y60" i="8"/>
  <c r="L77" i="8"/>
  <c r="M88" i="8"/>
  <c r="G88" i="8" s="1"/>
  <c r="Y88" i="8"/>
  <c r="AR94" i="8"/>
  <c r="L97" i="8"/>
  <c r="AR97" i="8"/>
  <c r="AR101" i="8"/>
  <c r="Y109" i="8"/>
  <c r="M109" i="8"/>
  <c r="G109" i="8" s="1"/>
  <c r="Y112" i="8"/>
  <c r="L126" i="8"/>
  <c r="AR129" i="8"/>
  <c r="L75" i="8"/>
  <c r="AW92" i="8"/>
  <c r="AX92" i="8" s="1"/>
  <c r="BA92" i="8"/>
  <c r="BB92" i="8" s="1"/>
  <c r="BB93" i="8" s="1"/>
  <c r="BB94" i="8" s="1"/>
  <c r="L131" i="8"/>
  <c r="AR131" i="8"/>
  <c r="AR134" i="8"/>
  <c r="AR136" i="8"/>
  <c r="L139" i="8"/>
  <c r="L154" i="8"/>
  <c r="AR159" i="8"/>
  <c r="M78" i="8"/>
  <c r="G78" i="8" s="1"/>
  <c r="N82" i="8"/>
  <c r="AR106" i="8"/>
  <c r="L112" i="8"/>
  <c r="M121" i="8"/>
  <c r="G121" i="8" s="1"/>
  <c r="AR126" i="8"/>
  <c r="Y128" i="8"/>
  <c r="M134" i="8"/>
  <c r="G134" i="8" s="1"/>
  <c r="Y134" i="8"/>
  <c r="N78" i="8"/>
  <c r="M114" i="8"/>
  <c r="G114" i="8" s="1"/>
  <c r="M124" i="8"/>
  <c r="G124" i="8" s="1"/>
  <c r="Y124" i="8"/>
  <c r="M125" i="8"/>
  <c r="G125" i="8" s="1"/>
  <c r="L130" i="8"/>
  <c r="AR140" i="8"/>
  <c r="L147" i="8"/>
  <c r="AR147" i="8"/>
  <c r="L149" i="8"/>
  <c r="L171" i="8"/>
  <c r="AR75" i="8"/>
  <c r="L94" i="8"/>
  <c r="L113" i="8"/>
  <c r="L120" i="8"/>
  <c r="L128" i="8"/>
  <c r="AR142" i="8"/>
  <c r="AR170" i="8"/>
  <c r="L105" i="8"/>
  <c r="L133" i="8"/>
  <c r="L138" i="8"/>
  <c r="L140" i="8"/>
  <c r="L155" i="8"/>
  <c r="AR160" i="8"/>
  <c r="L121" i="8"/>
  <c r="AR121" i="8"/>
  <c r="L146" i="8"/>
  <c r="AR157" i="8"/>
  <c r="Y140" i="8"/>
  <c r="Y148" i="8"/>
  <c r="F13" i="13"/>
  <c r="F17" i="13"/>
  <c r="F25" i="13"/>
  <c r="F29" i="13"/>
  <c r="F33" i="13"/>
  <c r="F37" i="13"/>
  <c r="F41" i="13"/>
  <c r="F117" i="13"/>
  <c r="M136" i="8"/>
  <c r="G136" i="8" s="1"/>
  <c r="Y164" i="8"/>
  <c r="M166" i="8"/>
  <c r="G166" i="8" s="1"/>
  <c r="L170" i="8"/>
  <c r="Y171" i="8"/>
  <c r="F3" i="13"/>
  <c r="G17" i="13"/>
  <c r="G25" i="13"/>
  <c r="G33" i="13"/>
  <c r="G41" i="13"/>
  <c r="F51" i="13"/>
  <c r="G65" i="13"/>
  <c r="F65" i="13"/>
  <c r="G81" i="13"/>
  <c r="F81" i="13"/>
  <c r="G97" i="13"/>
  <c r="F97" i="13"/>
  <c r="G113" i="13"/>
  <c r="F113" i="13"/>
  <c r="F123" i="13"/>
  <c r="F133" i="13"/>
  <c r="F139" i="13"/>
  <c r="G153" i="13"/>
  <c r="F153" i="13"/>
  <c r="Y142" i="8"/>
  <c r="M149" i="8"/>
  <c r="G149" i="8" s="1"/>
  <c r="Y150" i="8"/>
  <c r="L164" i="8"/>
  <c r="G3" i="13"/>
  <c r="F7" i="13"/>
  <c r="F61" i="13"/>
  <c r="F149" i="13"/>
  <c r="Y165" i="8"/>
  <c r="AR171" i="8"/>
  <c r="Y173" i="8"/>
  <c r="G7" i="13"/>
  <c r="F11" i="13"/>
  <c r="F19" i="13"/>
  <c r="F27" i="13"/>
  <c r="F35" i="13"/>
  <c r="F43" i="13"/>
  <c r="F67" i="13"/>
  <c r="F77" i="13"/>
  <c r="F83" i="13"/>
  <c r="F93" i="13"/>
  <c r="F99" i="13"/>
  <c r="F109" i="13"/>
  <c r="F115" i="13"/>
  <c r="G129" i="13"/>
  <c r="F129" i="13"/>
  <c r="F155" i="13"/>
  <c r="F165" i="13"/>
  <c r="M135" i="8"/>
  <c r="G135" i="8" s="1"/>
  <c r="M143" i="8"/>
  <c r="G143" i="8" s="1"/>
  <c r="M151" i="8"/>
  <c r="G151" i="8" s="1"/>
  <c r="M157" i="8"/>
  <c r="G157" i="8" s="1"/>
  <c r="M161" i="8"/>
  <c r="G161" i="8" s="1"/>
  <c r="M163" i="8"/>
  <c r="G163" i="8" s="1"/>
  <c r="Y167" i="8"/>
  <c r="L172" i="8"/>
  <c r="G11" i="13"/>
  <c r="G15" i="13"/>
  <c r="F15" i="13"/>
  <c r="G19" i="13"/>
  <c r="G23" i="13"/>
  <c r="F23" i="13"/>
  <c r="G27" i="13"/>
  <c r="G31" i="13"/>
  <c r="F31" i="13"/>
  <c r="G35" i="13"/>
  <c r="G39" i="13"/>
  <c r="F39" i="13"/>
  <c r="G43" i="13"/>
  <c r="G57" i="13"/>
  <c r="F57" i="13"/>
  <c r="G145" i="13"/>
  <c r="F145" i="13"/>
  <c r="N157" i="8"/>
  <c r="N163" i="8"/>
  <c r="AR173" i="8"/>
  <c r="F53" i="13"/>
  <c r="G73" i="13"/>
  <c r="F73" i="13"/>
  <c r="G89" i="13"/>
  <c r="F89" i="13"/>
  <c r="G105" i="13"/>
  <c r="F105" i="13"/>
  <c r="F125" i="13"/>
  <c r="F131" i="13"/>
  <c r="F141" i="13"/>
  <c r="G161" i="13"/>
  <c r="F161" i="13"/>
  <c r="Y169" i="8"/>
  <c r="F5" i="13"/>
  <c r="F59" i="13"/>
  <c r="F147" i="13"/>
  <c r="G5" i="13"/>
  <c r="F9" i="13"/>
  <c r="F45" i="13"/>
  <c r="G49" i="13"/>
  <c r="F49" i="13"/>
  <c r="F69" i="13"/>
  <c r="F75" i="13"/>
  <c r="F85" i="13"/>
  <c r="F101" i="13"/>
  <c r="F107" i="13"/>
  <c r="G121" i="13"/>
  <c r="F121" i="13"/>
  <c r="G137" i="13"/>
  <c r="F137" i="13"/>
  <c r="F157" i="13"/>
  <c r="F163" i="13"/>
  <c r="F171" i="13"/>
  <c r="F169" i="13"/>
  <c r="F47" i="13"/>
  <c r="F55" i="13"/>
  <c r="F63" i="13"/>
  <c r="F71" i="13"/>
  <c r="F79" i="13"/>
  <c r="F87" i="13"/>
  <c r="F95" i="13"/>
  <c r="F103" i="13"/>
  <c r="F111" i="13"/>
  <c r="F119" i="13"/>
  <c r="F18" i="13"/>
  <c r="F26" i="13"/>
  <c r="F34" i="13"/>
  <c r="F42" i="13"/>
  <c r="F50" i="13"/>
  <c r="F58" i="13"/>
  <c r="F66" i="13"/>
  <c r="F74" i="13"/>
  <c r="F82" i="13"/>
  <c r="F90" i="13"/>
  <c r="F98" i="13"/>
  <c r="F106" i="13"/>
  <c r="F114" i="13"/>
  <c r="F122" i="13"/>
  <c r="F130" i="13"/>
  <c r="F138" i="13"/>
  <c r="F146" i="13"/>
  <c r="F154" i="13"/>
  <c r="F162" i="13"/>
  <c r="F170" i="13"/>
  <c r="AP75" i="6" l="1"/>
  <c r="AP47" i="6"/>
  <c r="AP5" i="6"/>
  <c r="AP31" i="6"/>
  <c r="AP17" i="6"/>
  <c r="AP19" i="6"/>
  <c r="AP171" i="6"/>
  <c r="AP79" i="6"/>
  <c r="AP33" i="6"/>
  <c r="AP77" i="6"/>
  <c r="AP133" i="6"/>
  <c r="AP128" i="6"/>
  <c r="AP70" i="6"/>
  <c r="AP110" i="6"/>
  <c r="AP135" i="6"/>
  <c r="AP43" i="6"/>
  <c r="AP88" i="6"/>
  <c r="AP15" i="6"/>
  <c r="AP96" i="6"/>
  <c r="AP35" i="6"/>
  <c r="AP71" i="6"/>
  <c r="AP141" i="6"/>
  <c r="AP53" i="6"/>
  <c r="AP157" i="6"/>
  <c r="AP6" i="6"/>
  <c r="AP145" i="6"/>
  <c r="AP106" i="6"/>
  <c r="AP142" i="6"/>
  <c r="AP67" i="6"/>
  <c r="AP116" i="6"/>
  <c r="AP120" i="6"/>
  <c r="AP144" i="6"/>
  <c r="AP9" i="6"/>
  <c r="AP32" i="6"/>
  <c r="AP114" i="6"/>
  <c r="AP57" i="6"/>
  <c r="AP108" i="6"/>
  <c r="AP69" i="6"/>
  <c r="AP42" i="6"/>
  <c r="AP30" i="6"/>
  <c r="AP165" i="6"/>
  <c r="AP73" i="6"/>
  <c r="AP83" i="6"/>
  <c r="AP99" i="6"/>
  <c r="AP78" i="6"/>
  <c r="AP66" i="6"/>
  <c r="AP90" i="6"/>
  <c r="AP139" i="6"/>
  <c r="AP169" i="6"/>
  <c r="AP25" i="6"/>
  <c r="AP160" i="6"/>
  <c r="AP98" i="6"/>
  <c r="AP63" i="6"/>
  <c r="AP147" i="6"/>
  <c r="AP148" i="6"/>
  <c r="AP158" i="6"/>
  <c r="AP123" i="6"/>
  <c r="AP93" i="6"/>
  <c r="AP50" i="6"/>
  <c r="AP64" i="6"/>
  <c r="AP174" i="6"/>
  <c r="AP101" i="6"/>
  <c r="AP111" i="6"/>
  <c r="AP48" i="6"/>
  <c r="AP40" i="6"/>
  <c r="AP13" i="6"/>
  <c r="AP44" i="6"/>
  <c r="AP23" i="6"/>
  <c r="AP49" i="6"/>
  <c r="AP29" i="6"/>
  <c r="AP173" i="6"/>
  <c r="AP137" i="6"/>
  <c r="AP151" i="6"/>
  <c r="AP134" i="6"/>
  <c r="AP117" i="6"/>
  <c r="AP121" i="6"/>
  <c r="AP104" i="6"/>
  <c r="AP54" i="6"/>
  <c r="AP37" i="6"/>
  <c r="AP8" i="6"/>
  <c r="AP92" i="6"/>
  <c r="AP84" i="6"/>
  <c r="AP36" i="6"/>
  <c r="AP91" i="6"/>
  <c r="AP74" i="6"/>
  <c r="AP100" i="6"/>
  <c r="AP38" i="6"/>
  <c r="AP7" i="6"/>
  <c r="AP162" i="6"/>
  <c r="AP122" i="6"/>
  <c r="AP170" i="6"/>
  <c r="AP167" i="6"/>
  <c r="AP109" i="6"/>
  <c r="AP143" i="6"/>
  <c r="AP81" i="6"/>
  <c r="AP82" i="6"/>
  <c r="AP102" i="6"/>
  <c r="AP87" i="6"/>
  <c r="AP62" i="6"/>
  <c r="AP86" i="6"/>
  <c r="AP59" i="6"/>
  <c r="AP152" i="6"/>
  <c r="AP126" i="6"/>
  <c r="AP168" i="6"/>
  <c r="AP12" i="6"/>
  <c r="AP159" i="6"/>
  <c r="AP85" i="6"/>
  <c r="AP80" i="6"/>
  <c r="AP146" i="6"/>
  <c r="AP155" i="6"/>
  <c r="AP95" i="6"/>
  <c r="AP41" i="6"/>
  <c r="AP45" i="6"/>
  <c r="AP51" i="6"/>
  <c r="AP56" i="6"/>
  <c r="AP55" i="6"/>
  <c r="AP16" i="6"/>
  <c r="AP118" i="6"/>
  <c r="AP131" i="6"/>
  <c r="AP136" i="6"/>
  <c r="AP115" i="6"/>
  <c r="AP138" i="6"/>
  <c r="AP130" i="6"/>
  <c r="AP127" i="6"/>
  <c r="AP112" i="6"/>
  <c r="AP132" i="6"/>
  <c r="AP105" i="6"/>
  <c r="AP39" i="6"/>
  <c r="AP22" i="6"/>
  <c r="AP129" i="6"/>
  <c r="AP26" i="6"/>
  <c r="AP119" i="6"/>
  <c r="AP94" i="6"/>
  <c r="AP18" i="6"/>
  <c r="AP150" i="6"/>
  <c r="AP163" i="6"/>
  <c r="AP125" i="6"/>
  <c r="AP124" i="6"/>
  <c r="AP172" i="6"/>
  <c r="AP113" i="6"/>
  <c r="AP166" i="6"/>
  <c r="AP46" i="6"/>
  <c r="AP68" i="6"/>
  <c r="AP61" i="6"/>
  <c r="AP107" i="6"/>
  <c r="AP24" i="6"/>
  <c r="AP65" i="6"/>
  <c r="AP149" i="6"/>
  <c r="AP140" i="6"/>
  <c r="AP72" i="6"/>
  <c r="AP58" i="6"/>
  <c r="AP34" i="6"/>
  <c r="AP60" i="6"/>
  <c r="AP21" i="6"/>
  <c r="AP28" i="6"/>
  <c r="AP10" i="6"/>
  <c r="AP11" i="6"/>
  <c r="AR38" i="8"/>
  <c r="AR59" i="8"/>
  <c r="AR64" i="8"/>
  <c r="AR109" i="8"/>
  <c r="AR146" i="8"/>
  <c r="AR62" i="8"/>
  <c r="AR154" i="8"/>
  <c r="AP27" i="6"/>
  <c r="AR174" i="8"/>
  <c r="AR135" i="8"/>
  <c r="AW175" i="8"/>
  <c r="AX5" i="8"/>
  <c r="AR34" i="8"/>
  <c r="AP76" i="6"/>
  <c r="AR127" i="8"/>
  <c r="AR143" i="8"/>
  <c r="AR124" i="8"/>
  <c r="AP156" i="6"/>
  <c r="AP103" i="6"/>
  <c r="AM187" i="6"/>
  <c r="AL187" i="6"/>
  <c r="AP14" i="6"/>
  <c r="AR49" i="8"/>
  <c r="AR53" i="8"/>
  <c r="AR90" i="8"/>
  <c r="AR123" i="8"/>
  <c r="AR151" i="8"/>
  <c r="AP164" i="6"/>
  <c r="AP52" i="6"/>
  <c r="AM188" i="6"/>
  <c r="AL188" i="6"/>
  <c r="AP20" i="6"/>
  <c r="AP97" i="6"/>
  <c r="AR92" i="8"/>
  <c r="AR168" i="8"/>
  <c r="AR137" i="8"/>
  <c r="AP153" i="6"/>
  <c r="AP154" i="6"/>
  <c r="AP89" i="6"/>
  <c r="AR79" i="8"/>
  <c r="AP161" i="6"/>
  <c r="AX175" i="8" l="1"/>
  <c r="AW176" i="8"/>
  <c r="AW178"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K18" authorId="0" shapeId="0" xr:uid="{00000000-0006-0000-0200-000001000000}">
      <text>
        <r>
          <rPr>
            <sz val="11"/>
            <color theme="1"/>
            <rFont val="Calibri"/>
            <family val="2"/>
            <scheme val="minor"/>
          </rPr>
          <t>======
ID#AAACG0Ue3fc
Samuel Arturo Hernandez Murcia    (2022-06-09 13:51:37)
Samuel Arturo Hernandez Murcia: según resolución el cargo es de IVC</t>
        </r>
      </text>
    </comment>
    <comment ref="AK106" authorId="0" shapeId="0" xr:uid="{00000000-0006-0000-0200-000002000000}">
      <text>
        <r>
          <rPr>
            <sz val="11"/>
            <color theme="1"/>
            <rFont val="Calibri"/>
            <family val="2"/>
            <scheme val="minor"/>
          </rPr>
          <t>======
ID#AAACG0Ue3fg
Samuel Arturo Hernandez Murcia    (2022-06-09 13:51:37)
Samuel Arturo Hernandez Murcia: reubicado por resolución No. 149 de 2022</t>
        </r>
      </text>
    </comment>
  </commentList>
  <extLst>
    <ext xmlns:r="http://schemas.openxmlformats.org/officeDocument/2006/relationships" uri="GoogleSheetsCustomDataVersion2">
      <go:sheetsCustomData xmlns:go="http://customooxmlschemas.google.com/" r:id="rId1" roundtripDataSignature="AMtx7miTX7BIIjigraG8qk7Mu8rpfZzf+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C109" authorId="0" shapeId="0" xr:uid="{00000000-0006-0000-0500-000001000000}">
      <text>
        <r>
          <rPr>
            <sz val="11"/>
            <color theme="1"/>
            <rFont val="Calibri"/>
            <family val="2"/>
            <scheme val="minor"/>
          </rPr>
          <t>======
ID#AAACG0Ue3fY
Samuel Arturo Hernandez Murcia    (2022-06-09 13:51:37)
Samuel Arturo Hernandez Murcia: reubicado por resolución No. 149 de 2022</t>
        </r>
      </text>
    </comment>
  </commentList>
  <extLst>
    <ext xmlns:r="http://schemas.openxmlformats.org/officeDocument/2006/relationships" uri="GoogleSheetsCustomDataVersion2">
      <go:sheetsCustomData xmlns:go="http://customooxmlschemas.google.com/" r:id="rId1" roundtripDataSignature="AMtx7mjs48ZPwPGcFy70CYWP61dE/7MdW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W106" authorId="0" shapeId="0" xr:uid="{00000000-0006-0000-0700-000005000000}">
      <text>
        <r>
          <rPr>
            <sz val="11"/>
            <color theme="1"/>
            <rFont val="Calibri"/>
            <family val="2"/>
            <scheme val="minor"/>
          </rPr>
          <t>======
ID#AAACG0Ue3fw
Maria Susana Molina Daza    (2022-06-09 13:51:37)
Esta empleo fue reubicado en Disciplinarios pero fue ofertado en Doctrina OPEC de Doctrina: 66696</t>
        </r>
      </text>
    </comment>
    <comment ref="AE109" authorId="0" shapeId="0" xr:uid="{00000000-0006-0000-0700-000003000000}">
      <text>
        <r>
          <rPr>
            <sz val="11"/>
            <color theme="1"/>
            <rFont val="Calibri"/>
            <family val="2"/>
            <scheme val="minor"/>
          </rPr>
          <t>======
ID#AAACG0Ue3fk
Samuel Arturo Hernandez Murcia    (2022-06-09 13:51:37)
Samuel Arturo Hernandez Murcia: reubicado por resolución No. 149 de 2022</t>
        </r>
      </text>
    </comment>
    <comment ref="W149" authorId="0" shapeId="0" xr:uid="{00000000-0006-0000-0700-000001000000}">
      <text>
        <r>
          <rPr>
            <sz val="11"/>
            <color theme="1"/>
            <rFont val="Calibri"/>
            <family val="2"/>
            <scheme val="minor"/>
          </rPr>
          <t>======
ID#AAACG0Ue3fs
Maria Susana Molina Daza    (2022-06-09 13:51:37)
De acuerdo con la planta inicial la ficha ofertada es de Bibliotecologo , archivista OPEC 66631</t>
        </r>
      </text>
    </comment>
    <comment ref="W162" authorId="0" shapeId="0" xr:uid="{00000000-0006-0000-0700-000004000000}">
      <text>
        <r>
          <rPr>
            <sz val="11"/>
            <color theme="1"/>
            <rFont val="Calibri"/>
            <family val="2"/>
            <scheme val="minor"/>
          </rPr>
          <t>======
ID#AAACG0Ue3fo
Maria Susana Molina Daza    (2022-06-09 13:51:37)
OPEC DE IVC</t>
        </r>
      </text>
    </comment>
    <comment ref="W165" authorId="0" shapeId="0" xr:uid="{00000000-0006-0000-0700-000002000000}">
      <text>
        <r>
          <rPr>
            <sz val="11"/>
            <color theme="1"/>
            <rFont val="Calibri"/>
            <family val="2"/>
            <scheme val="minor"/>
          </rPr>
          <t>======
ID#AAACG0Ue3f0
Maria Susana Molina Daza    (2022-06-09 13:51:37)
Ofertado en SUBSECRETARÍA</t>
        </r>
      </text>
    </comment>
  </commentList>
  <extLst>
    <ext xmlns:r="http://schemas.openxmlformats.org/officeDocument/2006/relationships" uri="GoogleSheetsCustomDataVersion2">
      <go:sheetsCustomData xmlns:go="http://customooxmlschemas.google.com/" r:id="rId1" roundtripDataSignature="AMtx7mgCH8S2gL9XKdUMJuFDzMlkwd2grA=="/>
    </ext>
  </extLst>
</comments>
</file>

<file path=xl/sharedStrings.xml><?xml version="1.0" encoding="utf-8"?>
<sst xmlns="http://schemas.openxmlformats.org/spreadsheetml/2006/main" count="18099" uniqueCount="2488">
  <si>
    <t>CEDULA</t>
  </si>
  <si>
    <t>APELLIDOS Y NOMBRES</t>
  </si>
  <si>
    <t>TIPO DE VINCULACIÓN A LA ENTIDAD</t>
  </si>
  <si>
    <t>CC</t>
  </si>
  <si>
    <t>NOMBRE</t>
  </si>
  <si>
    <t>N</t>
  </si>
  <si>
    <t>NIVEL</t>
  </si>
  <si>
    <t>NOMENCLATURA_ADMIN</t>
  </si>
  <si>
    <t>CÓDIGO</t>
  </si>
  <si>
    <t>GRADO</t>
  </si>
  <si>
    <t>DEPENDENCIA</t>
  </si>
  <si>
    <t>TITULAR
CARGO</t>
  </si>
  <si>
    <t>NOMBRAMIENTO</t>
  </si>
  <si>
    <t>U</t>
  </si>
  <si>
    <t>DEPENDENCIA DEL CARGO</t>
  </si>
  <si>
    <t>PROPOSITO</t>
  </si>
  <si>
    <t>FUNCIONES</t>
  </si>
  <si>
    <t>REQUISITOS</t>
  </si>
  <si>
    <t>Páginas Manual de Funciones</t>
  </si>
  <si>
    <t>ID PERNO</t>
  </si>
  <si>
    <t>VACANTE DEFINITIVA</t>
  </si>
  <si>
    <t>ZULY NATALIA NANDAR CASTAÑEDA</t>
  </si>
  <si>
    <t>DIRECTIVO</t>
  </si>
  <si>
    <t>DIRECTOR TÉCNICO</t>
  </si>
  <si>
    <t>PROVISIONALIDAD</t>
  </si>
  <si>
    <t/>
  </si>
  <si>
    <t>ASESOR</t>
  </si>
  <si>
    <t>ASISTENCIAL</t>
  </si>
  <si>
    <t>JEFE DE OFICINA</t>
  </si>
  <si>
    <t>SECRETARIO</t>
  </si>
  <si>
    <t>DIRECCIÓN CORPORATIVA</t>
  </si>
  <si>
    <t>440-9</t>
  </si>
  <si>
    <t>OFICINA ASESORA DE PLANEACIÓN</t>
  </si>
  <si>
    <t>DIRECCIÓN DISTRITAL DE POLÍTICA JURÍDICA</t>
  </si>
  <si>
    <t>Realizar las labores secretariales como apoyo a la gestión de la dependencia, con oportunidad y eficiencia para satisfacer las necesidades.</t>
  </si>
  <si>
    <t>1.	Efectuar el envío y la recepción de los documentos y de la correspondencia relacionados con asuntos de competencia del área de trabajo, de acuerdo con las normas y procedimientos respectivos.
2.	Custodiar y actualizar el archivo asignado conforme a instrucciones recibidas y con la eficiencia y oportunidad requerida. 
3.	Elaborar oficios y memorandos para dar trámite a las solicitudes presentadas, conforme a las instrucciones impartidas por el jefe inmediato. 
4.	Elaborar los informes que le sean requeridos por el jefe inmediato con criterios de oportunidad y efectividad. 
5.	Prestar atención telefónica y presencial sobre los trámites que adelanta la dependencia con oportunidad y veracidad
6.	Desempeñar las demás funciones que le asigne el superior inmediato de acuerdo a la naturaleza del cargo.</t>
  </si>
  <si>
    <t>Estudio: Aprobación de cuatro (4) años de educación básica secundaria.</t>
  </si>
  <si>
    <t>310-311 RES. 020 de 2019</t>
  </si>
  <si>
    <t>MARIA CATALINA JARAMILLO GONZALEZ</t>
  </si>
  <si>
    <t>LIBRE NOMBRAMIENTO Y REMOCIÓN</t>
  </si>
  <si>
    <t>9-7</t>
  </si>
  <si>
    <t>Dirigir y coordinar la elaboración de estudios, diagnósticos y análisis jurídicos y jurisprudenciales que se adelanten, así como efectuar su revisión y proponer la adopción de políticas y lineamientos jurídicos, de impacto para el Distrito Capital.</t>
  </si>
  <si>
    <t>VÁSQUEZ ROJAS ETHEL</t>
  </si>
  <si>
    <t>NOMBRAMIENTO ORDINARIO</t>
  </si>
  <si>
    <t>1. Dirigir en la definición y coordinación de la gestión jurídica Distrital en materia de estudios y análisis especializados, coordinación del cuerpo de abogados del Distrito Capital y gestión de la información jurídica con la oportunidad requerida.
2. Dirigir los estudios, análisis jurisprudenciales y doctrinales, e investigaciones jurídicas en temáticas de interés para el Distrito Capital, en beneficio de la gestión de las oficinas jurídicas o las dependencias que hagan sus veces, en las entidades y organismos distritales con criterios de oportunidad y efectividad.
3. Coordinar la realización de actividades académicas y de formación para el fortalecimiento de las competencias jurídicas del Cuerpo de Abogados del Distrito Capital con la eficacia y oportunidad requerida
4. Asesorar a la Secretaría Jurídica Distrital en la formulación y desarrollo de la política de coordinación jurídica de las entidades y organismos del Distrito Capital.
5. Dirigir la elaboración de los proyectos de política en materia de contratación y demás temas jurídicos de interés para el Distrito, buscando la unificación de criterios para la aplicación de las normas y la ejecución concertada de acciones en esta materia, para que sean adoptados por la Secretaría Jurídica Distrital.
6. Coordinar el diseño e implementación de las políticas de divulgación del ordenamiento normativo y de acceso a la información jurídica promoviendo información veraz y actualizada..
7. Orientar en el desarrollo, mantenimiento e implementación de los sistemas de información jurídica, en procura que los mismos estén permanentemente actualizados y disponibles para las entidades y organismos distritales y la ciudadanía en general.
8. Asistir al/la Secretario/a Jurídico/a Distrital y al/la Subsecretario/a Jurídico/a Distrital en todos los trámites, requisitos y procedimientos relacionados con las Asociaciones Público Privadas.
9. Dirigir y proponer lineamientos de unificación jurídica cuando exista disparidad de criterios en las entidades distritales con la eficacia requerida.
10. Administrar y dirigir la actualización y operación de los sistemas de información jurídica que la Secretaría Jurídica Distrital establezca para el control y operatividad de la gestión jurídica distrital, que no se encuentren a cargo de otra Dirección.
11. Asistir y apoyar a la Secretaría Jurídica Distrital y la Subsecretaría Jurídica Distrital en el ejercicio de sus funciones y atribuciones legales
12. Dirigir estudios, investigaciones y estrategias para el diseño de políticas en materia de prevención del daño antijurídico que se relacionen con los temas competencia de la dirección con la oportunidad requerida.
13. Dirigir el análisis y determinar la vigencia de los actos administrativos y directrices expedidos por el Alcalde Mayor, conforme al procedimiento establecido por la Secretaría Jurídica Distrital.
14. Asesorar jurídicamente a las dependencias de la Secretaría Jurídica Distrital en los temas de su competencia.
15. Desempeñar las demás funciones que le asigne el superior inmediato de acuerdo a la naturaleza del cargo.</t>
  </si>
  <si>
    <t>Titulo profesional en disciplina academica del núcleo básico de conocimiento en Derecho y afines. Titulo de posgrado en áreas relacionadas con la funciones del cargo. Tarjeta o matrícula profesional en los casos reglamentados por la Ley.</t>
  </si>
  <si>
    <t>20-23 RES. 085 de 2020</t>
  </si>
  <si>
    <t>ELVIRA LILIANA HERNANDEZ LIBREROS</t>
  </si>
  <si>
    <t>MUJER</t>
  </si>
  <si>
    <t>CARRERA ADMINISTRATIVA</t>
  </si>
  <si>
    <t>PROFESIONAL</t>
  </si>
  <si>
    <t>PROFESIONAL ESPECIALIZADO</t>
  </si>
  <si>
    <t>222-27</t>
  </si>
  <si>
    <t>OCUPADO</t>
  </si>
  <si>
    <t>Realizar los estudios, diagnósticos y análisis normativos, jurisprudenciales y doctrinales en temas de relevancia o de interés Distrital con el fin de contribuir en la formulación de alternativas jurídicas viables que contribuyan al fortalecimiento de la defensa judicial, la prevención del daño antijurídico y la estructuración de fórmulas tendientes a la materialización de la gestión jurídica pública.</t>
  </si>
  <si>
    <t xml:space="preserve">1.	Asesorar y elaborar los estudios para la formulación de los lineamientos de política en gerencia jurídica que contribuyan a la prevención del daño antijurídico.  
2.	Realizar investigaciones, estudios, diagnósticos en derecho público sobre temáticas de alto impacto para la ciudad, que le sean asignados y presentar los informes y evaluaciones correspondientes, con criterios de calidad y oportunidad.
3.	Realizar análisis jurisprudencial de las decisiones judiciales en temáticas de derecho público asignadas y elaborar las fichas correspondientes en los sistemas de información jurídica, con eficacia y oportunidad.
4.	Elaborar las recomendaciones tendientes a fortalecer la defensa judicial y la prevención del daño antijurídico en el Distrito Capital, acorde con la normatividad vigente.
5.	Realizar seguimiento a las iniciativas, decisiones judiciales o temáticas jurídicas de interés para el Distrito capital, a fin de prevenir situaciones críticas que puedan ser atendidas oportunamente.
6.	Proyectar conceptos jurídicos solicitados por las entidades u organismos Distritales y el superior inmediato, de acuerdo con la normatividad y jurisprudencia vigente y dentro de la oportunidad requerida.
7.	Elaborar anteproyectos de ley, acuerdos, decretos, resoluciones y demás actos administrativos de manera oportuna, que se deriven como producto de los estudios e investigaciones jurídicas que se realicen.
8.	Elaborar informes que se soliciten, sobre las actividades desarrolladas con la oportunidad y periodicidad requerida.
9.	Participar en los mesas de trabajos, consejos, y/o comités, levantar las actas correspondientes, e informar al jefe inmediato sobre las conclusiones del mismo. 
10.	Desempeñar las demás funciones que le asigne el superior inmediato de acuerdo a la naturaleza del cargo.
</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</si>
  <si>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</si>
  <si>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66-68 RES. 020 de 2019</t>
  </si>
  <si>
    <t>ALMA ROSA RAMOS MARIA</t>
  </si>
  <si>
    <t>realizar los estudios, diagnósticos y análisis normativos, jurisprudenciales y doctrinales en temas de relevancia o de interés distrital con el fin de contribuir en la formulación de alternativas jurídicas viables que contribuyan al fortalecimiento de la defensa judicial, la prevención del daño antijurídico y la estructuración de fórmulas tendientes a la materialización de la gestión jurídica pública.</t>
  </si>
  <si>
    <t>1.Asesorar y elaborar los estudios para la formulación de los lineamientos de política en gerencia jurídica que contribuyan a la prevención del daño antijurídico. 
2.Realizar investigaciones, estudios, diagnósticos en derecho público sobre temáticas de alto impacto para la ciudad, que le sean asignados y presentar los informes y evaluaciones correspondientes, con criterios de calidad y oportunidad. 3.Realizar análisis jurisprudencial de las decisiones judiciales en temáticas de derecho público asignadas y elaborar las fichas correspondientes en los sistemas de información jurídica, con eficacia y oportunidad. 4.Elaborar las recomendaciones tendientes a fortalecer la defensa judicial y la prevención del daño antijurídico en el Distrito Capital, acorde con la normatividad vigente. 5.Realizar seguimiento a las iniciativas, decisiones judiciales o temáticas jurídicas de interés para el Distrito capital, a fin de prevenir situaciones críticas que puedan ser atendidas oportunamente. 6.Proyectar conceptos jurídicos solicitados por las entidades u organismos Distritales y el superior inmediato, de acuerdo con la normatividad y jurisprudencia vigente y dentro de la oportunidad requerida. 7.Elaborar anteproyectos de ley, acuerdos, decretos, resoluciones y demás actos administrativos de manera oportuna, que se deriven como producto de los estudios e investigaciones jurídicas que se realicen. 8.Elaborar informes que se soliciten, sobre las actividades desarrolladas con la oportunidad y periodicidad requerida. 9.Participar en los mesas de trabajos, consejos, y/o comités, levantar las actas correspondientes, e informar al jefe inmediato sobre las conclusiones del mismo. 10.Desempeñar las demás funciones que le asigne el superior inmediato de acuerdo a la naturaleza del cargo.</t>
  </si>
  <si>
    <t>FERNAN ENRIQUE PEREZ FORTICH</t>
  </si>
  <si>
    <t>JOHANA PATRICIA GAMEZ GOMEZ</t>
  </si>
  <si>
    <t>222-22</t>
  </si>
  <si>
    <t>desarrollar estudios jurídicos en temas de impacto distrital y proponer alternativas de solución en el marco de la coordinación jurídica distrital para el fortalecimiento de la gestión jurídica pública en bogotá, d.c.</t>
  </si>
  <si>
    <t>1.Realizar el seguimiento a las actividades de implementación de los lineamientos de política en gerencia jurídica, con la oportunidad y periodicidad requerida.
2.Realizar investigaciones jurídicas en derecho público sobre temáticas de mediano y bajo impacto para la ciudad, que le sean asignados y presentar los informes y evaluaciones correspondientes, con criterios de calidad y oportunidad. 3.Elaborar análisis jurisprudencial de las decisiones judiciales de mediano y bajo impacto en temáticas de derecho público, que le sean asignadas y elaborar las fichas correspondientes en los sistemas de información jurídica, para que aporten a la prevención del daño antijurídico. 4.Realizar las actividades para formular y desarrollar las alternativas de Coordinación Jurídica y de Gestión Jurídica Pública para el Distrito Capital, en el marco de la normatividad vigente. 5.Proyectar conceptos jurídicos de mediano impacto, solicitados por las entidades u organismos Distritales y el superior inmediato, con criterios de oportunidad y efectividad. 6.Elaborar anteproyectos de ley, acuerdos, decretos, resoluciones y demás actos administrativos, que se deriven como producto de los estudios e investigaciones jurídicas que se realicen, teniendo en cuenta las normas jurídicas y la jurisprudencia en cada caso. 7.Desempeñar las demás funciones que le asigne el superior inmediato de acuerdo a la naturaleza del cargo.</t>
  </si>
  <si>
    <t xml:space="preserve"> Estudio: Título profesional en: Derecho; Derecho y Ciencias Sociales; Derecho y Ciencias Políticas; Derecho y Ciencias Humanas; Derecho y Ciencias Administrativas; Derecho Ciencias Políticas y Relaciones Internacionales; Jurisprudencia; Justicia y Derecho; ó Leyess y Jurisprudencia; del núcleo básico de conocimiento en Derecho y afines. Título de postgrado en áreas relacionadas con las funciones del cargo. Tarjeta o matricula profesional en los casos reglamentados por la Ley.</t>
  </si>
  <si>
    <t>118-120 RES. 020 de 2019</t>
  </si>
  <si>
    <t>DIRECCIÓN DISTRITAL DE ASUNTOS DISCIPLINARIOS</t>
  </si>
  <si>
    <t>VACANTE TEMPORAL</t>
  </si>
  <si>
    <t>LIBRE NOMBRAMIENTO</t>
  </si>
  <si>
    <t>DIANA MARIA MORENO VARGAS</t>
  </si>
  <si>
    <t>PROFESIONAL UNIVERSITARIO</t>
  </si>
  <si>
    <t>219-18</t>
  </si>
  <si>
    <t>TOBÓN DÍAZ ALEJANDRA</t>
  </si>
  <si>
    <t>OFICINA DE LAS TECNOLOGÍAS DE LA INFORMACIÓN Y LAS COMUNICACIONES</t>
  </si>
  <si>
    <t>EN ENCARGO</t>
  </si>
  <si>
    <t>realizar el análisis jurídico y jurisprudencial de impacto distrital e incorporar la normatividad, doctrina y jurisprudencia a los sistemas de información jurídica a cargo de la dependencia, adoptando estrategias para la defensa de los intereses públicos y la prevención del daño antijurídico.</t>
  </si>
  <si>
    <t>1.Administrar y actualizar la información normativa, doctrinal y jurisprudencial en los sistemas de información jurídica para proporcionar información veraz y oportuna a las entidades, servidores públicos y la ciudadanía en general.
2.Realizar el seguimiento y control a la información contenida en los sistemas de información jurídica, con el fin de adoptar e implementar las acciones de mejora correspondientes, para la defensa de los intereses públicos y la prevención del daño antijurídico. 3.Incorporar documentos jurídicos en los sistemas de información para el ejercicio de la abogacía general del servicio jurídico del Distrito capital con calidad. 4.Realizar informes, estadísticas y análisis de información jurídica contenida en los sistemas de información jurídicos, con calidad, oportunidad y efectividad. 5.Elaborar documentos y boletines jurídicos para que sean publicados en los sistemas de información jurídica con criterios de oportunidad, calidad y efectividad. 6.Proyectar conceptos jurídicos de bajo impacto, solicitados por las entidades u organismos Distritales y asignados por el superior inmediato, de acuerdo a la normatividad vigente. 7.Diseñar la programación y organización de los eventos de orientación y actualización jurídica, para el fortalecimiento del cuerpo de abogados del Distrito capital. 8.Proyectar las respuestas a los requerimientos y/o derechos de petición de alto impacto, que sean asignados a la dependencia, con calidad, oportunidad y efectividad. 9.Desempeñar las demás funciones que le asigne el superior inmediato de acuerdo a la naturaleza del cargo.</t>
  </si>
  <si>
    <t>ENCARGO</t>
  </si>
  <si>
    <t>Estudio: Título profesional en: Derecho, Derecho y Ciencias Sociales, Derecho y Ciencias Políticas, Derecho y Ciencias Humanas, Derecho y Ciencias Administrativas, Derecho y Ciencias Sociales Derecho, Ciencias Políticas y Relaciones Internacionales, Jurisprudencia, Justicia y Derecho, o Leyes y Jurisprudencia; del núcleo básico de conocimiento en Derecho y afines. Tarjeta o matricula profesional en los casos reglamentados por la Ley.</t>
  </si>
  <si>
    <t>165-167 RES. 020 de 2019</t>
  </si>
  <si>
    <t>E02</t>
  </si>
  <si>
    <t>OJEDA MONCAYO DIEGO EMILIO</t>
  </si>
  <si>
    <t>HOMBRE</t>
  </si>
  <si>
    <t>MARY DAYANA SANCHEZ ROJAS</t>
  </si>
  <si>
    <t>CLAUDIA MARCELA CAMARGO CASTRO</t>
  </si>
  <si>
    <t>OFICINA DE TECNOLOGÍA DE LA INFORMACIÓN, SISTEMAS Y COMUNICACIONES</t>
  </si>
  <si>
    <t>219-13</t>
  </si>
  <si>
    <t>RODRIGUEZ QUIMBAYO LUZ ELENA</t>
  </si>
  <si>
    <t>proyectar y atender los derechos de petición y solicitudes formuladas, así como realizar análisis de la información contenida en los sistemas de información jurídica, de manera oportuna.</t>
  </si>
  <si>
    <t>1.Incorporar los documentos jurídicos en los sistemas de información para la abogacía general del servicio jurídico del Distrito capital, con calidad y oportunidad.
2.Realizar el análisis de información jurídica contenida en los sistemas de información jurídicos, que le sean asignados con criterios de calidad y de veracidad de información. 3.Proyectar las respuestas a los requerimientos y/o derechos de petición de mediano impacto, que sean asignados a la dependencia. 4.Realizar la actualización y/o elaboración de los documentos de relatoría en asuntos de complejidad alta, que permitan la compilación en temáticas afines o de impacto para la ciudad. 5.Desempeñar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</si>
  <si>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Tarjeta o matricula profesional en los casos reglamentados por la Ley.</t>
  </si>
  <si>
    <t>208-209 RES. 020 de 2019</t>
  </si>
  <si>
    <t>BURBANO SÁNCHEZ MARÍA ANGÉLICA</t>
  </si>
  <si>
    <t>DIRECCIÓN DISTRITAL DE DEFENSA JUDICIAL Y PREVENCIÓN DEL DAÑO ANTIJURÍDICO</t>
  </si>
  <si>
    <t>IAM ALEXANDER OJEDA CARDENAS</t>
  </si>
  <si>
    <t>realizar la administración de los sistemas de información jurídica, de acuerdo con los lineamientos y parámetros establecidos.</t>
  </si>
  <si>
    <t>DESPACHO SECRETARÍA JURÍDICA</t>
  </si>
  <si>
    <t>1.Recopilar y analizar la información registrada en los Sistemas de Información Jurídica en procura de la gestión de la información de manera oportuna y veraz.
2.Generar los informes requeridos, en relación con los Sistemas de Información Jurídica, de manera oportuna. 3.Efectuar las capacitaciones periódicas a los usuarios sobre el manejo de los Sistemas de Información Jurídica de tal forma que les permitan tener las herramientas para la consulta y/o funcionamiento de los mismos. 4.Realizar la orientación sobre el registro de la información y el manejo de los Sistemas de Información Jurídica de manera eficiente y efectiva. 5.Realizar el seguimiento y control técnico de los Sistemas de Información Jurídica, con el fin de identificar los problemas presentados en la operación y solicitar las mejoras correspondientes a la dependencia competente. 6.Establecer alternativas de solución a las problemáticas técnicas presentadas en los Sistemas de Información Jurídica para que contribuya al fortalecimiento de la función pública. 7.Desempeñar las demás funciones que le asigne el superior inmediato de acuerdo a la naturaleza del cargo.</t>
  </si>
  <si>
    <t>Estudio: Título profesional en: Ingeniería de Sistemas, Ingeniería Telemática, o Ingeniería Informática; del núcleo básico de conocimiento en Ingeniería de Sistemas, Telemática y afines. Tarjeta o matricula profesional en los casos reglamentados por la Ley.</t>
  </si>
  <si>
    <t>210-211 RES. 020 de 2019</t>
  </si>
  <si>
    <t>ROSA ISABEL SIERRA LABORDE</t>
  </si>
  <si>
    <t>MONICA JULIANA SANMIGUEL ROJAS</t>
  </si>
  <si>
    <t>219-3</t>
  </si>
  <si>
    <t>proyectar los derechos de petición y solicitudes formuladas a la dependencia, así como realizar el análisis de la información contenida en los sistemas de información jurídica, de manera oportuna y en concordancia con la normatividad vigente.</t>
  </si>
  <si>
    <t>1.Proyectar las respuestas a la solicitudes, derechos de petición en asuntos de complejidad baja, acorde con los tiempos estipulados por ley.
2.Realizar el análisis de la información contenida en los sistemas de información jurídicos, que le sean asignados, con criterios eficacia y oportunidad. 3.Realizar la actualización y/o elaboración de los documentos de relatoría en asuntos de complejidad media, con la oportunidad requerida. 4.Efectuar el seguimiento a las jornadas de actualización jurídica del cuerpo de abogados del Distrito Capital y presentar los informes correspondientes para la toma de decisiones por parte del jefe de la dependencia. 5.Desempeñar las demás funciones que le asigne el superior inmediato de acuerdo a la naturaleza del cargo.</t>
  </si>
  <si>
    <t>CORDOBA DELGADO JOSE IGNACIO</t>
  </si>
  <si>
    <t>230-232 RES. 020 de 2019</t>
  </si>
  <si>
    <t>JHON ALEXANDER TIBADUIZA CASTAÑEDA</t>
  </si>
  <si>
    <t>LEIDY JOHANNA ALONSO GUTIERREZ</t>
  </si>
  <si>
    <t>219-1</t>
  </si>
  <si>
    <t>Realizar los procesos de análisis de la información jurídica e incorporarlos en los sistemas jurídicos, así como las actividades requeridas para los eventos de orientación y actualización jurídica al cuerpo de abogados del distrito capital.</t>
  </si>
  <si>
    <t>DIRECCIÓN DISTRITAL DE DOCTRINA JURÍDICA</t>
  </si>
  <si>
    <t>1.Realizar las actividades requeridas para los eventos de orientación y actualización jurídica al cuerpo de Abogados del Distrito Capital, con criterios de eficacia y oportunidad.
2.Realizar la tabulación y el análisis de las encuestas de satisfacción de los eventos de orientación y actualización jurídica al cuerpo de Abogados del Distrito Capital, de manera oportuna. 3.Realizar la publicación de las memorias correspondientes a los eventos y/o la difusión web de las conferencias realizadas, con el fin de mantener actualizada la información. 4.Realizar el análisis de la información jurídica contenida en los sistemas de información jurídicos, que le sean asignados, con criterios de eficacia y oportunidad. 5.Realizar la actualización y/o elaboración de los documentos de relatoría en asuntos de complejidad baja, de manera oportuna. 6.Incorporar los documentos jurídicos en los sistemas de información jurídica, con calidad y oportunidad. 7.Desempeñar las demás funciones que le asigne el superior inmediato de acuerdo a la naturaleza del cargo.</t>
  </si>
  <si>
    <t>DESPACHO</t>
  </si>
  <si>
    <t>232-234 RES. 020 de 2019</t>
  </si>
  <si>
    <t>ALEXANDRA AVILA MARIN</t>
  </si>
  <si>
    <t>ANA LUCY CASTRO CASTRO</t>
  </si>
  <si>
    <t>CUELLAR TRUJILLO PEDRO ANDRÉS</t>
  </si>
  <si>
    <t>realizar la incorporación y catalogación de publicaciones y documentos jurídicos en los sistemas de información jurídica, de acuerdo con los parámetros establecidos.</t>
  </si>
  <si>
    <t>1.Realizar el trámite de los registros del ISBN y/o ISSN, de acuerdo a los lineamientos técnicos.
2.Proyectar la solicitud de artes gráficas y/o enviar el documento a impresión cuando sea requerido, de conformidad con los requerimientos de las dependencias. 3.Elaborar el plan operativo del Sistema de Información Biblioteca Virtual de Bogotá o el que haga sus veces, de acuerdo con las necesidades y presentar los informes correspondientes dentro de la oportunidad requerida. 4.Establecer y orientar los servicios técnicos y administrativos del Sistema de Información Biblioteca Virtual de Bogotá o el que haga sus veces, para la implementación y desarrollo del mismo. 5.Catalogar, clasificar, analizar y publicar los libros y documentos jurídicos en los Sistemas de Información Jurídica, de acuerdo con los parámetros establecidos. 6.Orientar a los/as funcionarios/as del Distrito Capital en el uso de las fuentes de información y contenidos del Sistema de Información Biblioteca Virtual de Bogotá o el que haga sus veces, para la correcta incorporación de la información, consulta y uso del Sistema. 7.Desempeñar las demás funciones que le asigne el superior inmediato de acuerdo a la naturaleza del cargo.</t>
  </si>
  <si>
    <t>Estudio: Título profesional en disciplina académica: Ciencias de la Información y la Documentación Bibliotecología y Archivística, Ciencia de la Información – Bibliotecología, Bibliotecología y Archivística, Archivística, Bibliotecología; del núcleo básico de conocimiento en Bibliotecología, otros de Ciencias Sociales y Humanas. Tarjeta o matricula profesional en los casos reglamentados por la Ley.</t>
  </si>
  <si>
    <t>DAYANNA LORENA VELASQUEZ FLOREZ</t>
  </si>
  <si>
    <t>TÉCNICO OPERATIVO</t>
  </si>
  <si>
    <t>314-15</t>
  </si>
  <si>
    <t>asistir en labores técnicas con oportunidad y eficiencia en relación con las actividades misionales de la dependencia, de conformidad con los lineamientos institucionales y la normatividad vigente.</t>
  </si>
  <si>
    <t>1.Incorporar la información a los sistemas de información jurídica de la dependencia, verificando la autenticidad de la misma y con la oportunidad requerida.
2.Elaborar dentro de los sistemas de información los vínculos de las normas y las notas de vigencia que le sean solicitados con la oportunidad y precisión requerida. 3.Actualizar la información contenida en los sistemas de información jurídica de la dependencia oportunamente. 4.Revisar la información incorporada al Sistema Régimen Legal de Bogotá – RLB de baja y media complejidad. 5.Analizar y determinar las causas de las no conformidades detectadas en los Sistemas de Información Jurídica y realizar los correctivos necesarios, generando información confiable. 6.Elaborar los documentos que deba presentar en razón a los asuntos de la dependencia, de forma oportuna. 7.Desempeñar las demás funciones que le asigne el superior inmediato de acuerdo a la naturaleza del cargo.</t>
  </si>
  <si>
    <t>Estudio: Título de formación técnica profesional o tecnológica o terminación y aprobación del pénsum académico de educación superior en formación profesional en: Derecho, Jurídica, Gestión Judicial, Investigación Judicial, Procedimientos Judiciales, Procedimientos Jurídicos, o Proceso Judicial; del núcleo básico de Derecho y afines.</t>
  </si>
  <si>
    <t>MARTÍNEZ SIERRA GLORIA EDITH</t>
  </si>
  <si>
    <t>266-267 RES. 020 de 2019</t>
  </si>
  <si>
    <t>JOAN SEBASTIAN FLECHAS ALONSO</t>
  </si>
  <si>
    <t>DIRECCIÓN DISTRITAL DE POLÍTICA E INFORMÁTICA JURÍDICA</t>
  </si>
  <si>
    <t>ESPINOSA OTERO ANDRES MAURICIO</t>
  </si>
  <si>
    <t>ROBAYO ALFONSO ANDREA</t>
  </si>
  <si>
    <t>DIRECCIÓN DISTRITAL DE INSPECCIÓN VIGILANCIA Y CONTROL DE LAS ENTIDADES SIN ÁNIMO DE LUCRO</t>
  </si>
  <si>
    <t>RODRÍGUEZ BARRERA NOHORA PATRICIA</t>
  </si>
  <si>
    <t>TOPE</t>
  </si>
  <si>
    <t>OFICINA DE CONTROL INTERNO</t>
  </si>
  <si>
    <t>HERNANDEZ CORZO DALILA ASTRID</t>
  </si>
  <si>
    <t>SECRETARIA JURIDICA</t>
  </si>
  <si>
    <t>BURGOS DURANGO WILLIAM ANTONIO</t>
  </si>
  <si>
    <t>SUBSECRETARIO</t>
  </si>
  <si>
    <t>SUBSECRETARÍA JURÍDICA</t>
  </si>
  <si>
    <t>VT</t>
  </si>
  <si>
    <t>JIMENEZ RIVERA GUSTAVO ADOLFO</t>
  </si>
  <si>
    <t>AUXILIAR ADMINISTRATIVO</t>
  </si>
  <si>
    <t>DIRECCIÓN DE GESTIÓN CORPORATIVA</t>
  </si>
  <si>
    <t>VALOR</t>
  </si>
  <si>
    <t>407-27</t>
  </si>
  <si>
    <t>DIRECCIÓN DISTRITAL DE INSPECCIÓN, VIGILANCIA Y CONTROL</t>
  </si>
  <si>
    <t>ENCARGOS - ESCALERAS</t>
  </si>
  <si>
    <t>407-26</t>
  </si>
  <si>
    <t>DIRECCIÓN DISTRITAL DE GESTION JUDICIAL</t>
  </si>
  <si>
    <t>ID</t>
  </si>
  <si>
    <t>407-24</t>
  </si>
  <si>
    <t>ID SIDEAP</t>
  </si>
  <si>
    <t>TIPO DE VINCULACIÓN
AL CARGO/ SIDEAP</t>
  </si>
  <si>
    <t>FECHA INGRESO
A LA ENTIDAD</t>
  </si>
  <si>
    <t>FECHA INGRESO
AL DISTRITO</t>
  </si>
  <si>
    <t>SEXO</t>
  </si>
  <si>
    <t>EDAD</t>
  </si>
  <si>
    <t>OSPINA ZAPATA WALTER</t>
  </si>
  <si>
    <t>SITUACIÓN ADMINISTRATIVA</t>
  </si>
  <si>
    <t>SITUACIÓN ADMINISTRATIVA
TITULAR DEL CARGO</t>
  </si>
  <si>
    <t>ID-E</t>
  </si>
  <si>
    <t>PV</t>
  </si>
  <si>
    <t>PP
OE</t>
  </si>
  <si>
    <t>407-20</t>
  </si>
  <si>
    <t>VT
LM</t>
  </si>
  <si>
    <t>VT
LNR</t>
  </si>
  <si>
    <t>OPEC
DIST_6</t>
  </si>
  <si>
    <t>ESTADO DEL CARGO</t>
  </si>
  <si>
    <t>SALAMANCA CUEVAS LUZ MAVEL</t>
  </si>
  <si>
    <t>SUBSECRETARÍA JURÍDICA DISTRITAL</t>
  </si>
  <si>
    <t>DEPENDENCIA FUNCIONAL</t>
  </si>
  <si>
    <t>ASIGNACIÓN
BÁSICA
2026</t>
  </si>
  <si>
    <t>CORTES SALGADO ALEX</t>
  </si>
  <si>
    <t>GTOS REP</t>
  </si>
  <si>
    <t>PRIMA  DE ANTIGÜEDAD</t>
  </si>
  <si>
    <t>PRIMA  TECNICA</t>
  </si>
  <si>
    <t>PRIMA
SECRETARIAL</t>
  </si>
  <si>
    <t>SUBSIDIO DE TRANSPORTE</t>
  </si>
  <si>
    <t>MONTOYA MALDONADO JESÚS MARÍA</t>
  </si>
  <si>
    <t>AUXILIO DE ALIMENTACION</t>
  </si>
  <si>
    <t>TOTAL
DEVENGADOS
MENSUAL</t>
  </si>
  <si>
    <t>Observaciones</t>
  </si>
  <si>
    <t>NAVA SERRANO MERY ANEIDA</t>
  </si>
  <si>
    <t>PROVISIONAL</t>
  </si>
  <si>
    <t>407-17</t>
  </si>
  <si>
    <t>TORRES GRANADOS LUIS GABRIEL</t>
  </si>
  <si>
    <t>MORENO GUERRERO DEYSI YANIRA</t>
  </si>
  <si>
    <t>EN PROVISIONALIDAD</t>
  </si>
  <si>
    <t>407-16</t>
  </si>
  <si>
    <t>GARZON LUIS ENRIQUE</t>
  </si>
  <si>
    <t>407-15</t>
  </si>
  <si>
    <t>QUIROGA DE GAMBOA MARTHA LUZ</t>
  </si>
  <si>
    <t>AMAYA SALAZAR MARTHA YOLANDA</t>
  </si>
  <si>
    <t>ORTIZ RODRIGUEZ JUDITH</t>
  </si>
  <si>
    <t>CADENA ROJAS ERNESTO</t>
  </si>
  <si>
    <t>ARDILA VERGARA MILDRED PAOLA</t>
  </si>
  <si>
    <t>DIAGO CASASBUENAS GLORIA MAGDALENA</t>
  </si>
  <si>
    <t>TORRES ROJAS ACENETH</t>
  </si>
  <si>
    <t>JEFE DE OFICINA ASESORA</t>
  </si>
  <si>
    <t>LÓPEZ ACUÑA OSCAR ERNESTO</t>
  </si>
  <si>
    <t>Asesorar en el diseño de planes y estrategias de planeación para el cumplimiento de la misión y objetivos institucionales con criterios de eficiencia, eficacia y oportunidad.</t>
  </si>
  <si>
    <t>1. Asesorar y coordinar con las diferentes dependencias, la formulación y seguimiento de los proyectos de inversión de conformidad con los lineamientos del Plan de Desarrollo del Distrito Capital, el Plan Estratégico de la Entidad y dentro de la oportunidad requerida.
2. Dirigir la ejecución de las actividades operativas y técnicas de los proyectos de inversión de acuerdo con las instrucciones dadas por los gerentes de los proyectos, con criterios de efectividad y oportunidad.
3. Asesorar y coordinar la formulación, ejecución, seguimiento y evaluación del plan estratégico y los planes operativos para el cumplimiento de los objetivos de la entidad.
4. Coordinar la implementación, sostenibilidad y mejora continua del Sistema Integrado de Gestión de la Entidad y de los subsistemas que lo componen de acuerdo con la normatividad vigente.
5. Formular, coordinar y hacer seguimiento al anteproyecto anual de presupuesto de inversión y de funcionamiento, conjuntamente con la Dirección Corporativa, y en concordancia con el Plan estratégico y los planes de gestión de la Entidad.
6. Asesorar y coordinar con las diferentes dependencias la conformación y análisis de estadísticas de gestión, la formulación, aplicación de indicadores de gestión y de mecanismos de evaluación del cumplimiento de objetivos y metas definidos en los planes, programas y proyectos, proponiendo las recomendaciones que permitan mejorar la eficacia de la Entidad.
7. Dirigir el diseño de las metodologías para elaborar y/o actualizar los manuales de procesos y procedimientos de las dependencias de la Entidad, con criterios de efectividad.
8. Asesorar y coordinar la elaboración de los procesos y procedimientos de las dependencias de la Secretaría de manera oportuna.
9. Asesorar y proponer estrategias para el desarrollo administrativo, optimización y racionalización de trámites, y demás asuntos relacionados con la gestión de acuerdo con los principios de eficacia, eficiencia y efectividad de la gestión pública.
10. Asesorar a la Entidad en la formulación, implementación y medición de las políticas generadas en ejercicio de sus funciones.
11. Desempeñar las demás funciones que le asigne el superior inmediato de acuerdo a la naturaleza del cargo.</t>
  </si>
  <si>
    <t>Titulo profesional en disciplina académica de uno de los diguintes los núcleos básicos de conocimiento - NBC-: Economía; Administración; Ciencia Política o Relaciones Internacionales; Ingeniería Industrial y afines; Ingeniería financiera y afines; Contaduría Pública. Titulo de posgrado en áreas relacionadas con la funciones del cargo. Tarjeta o matrícula profesional en los casos reglamentados por la Ley.</t>
  </si>
  <si>
    <t>34-37 RES. 085 de 2020</t>
  </si>
  <si>
    <t>407-14</t>
  </si>
  <si>
    <t>ESTADO FUNCIONAL DE LA PLANTA DE PERSONAL
DE LA SECRETARÍA JURÍDICA DISTRITAL</t>
  </si>
  <si>
    <t>FORERO FORERO CARMEN ALICIA</t>
  </si>
  <si>
    <t>407-13</t>
  </si>
  <si>
    <t>DIRECCIÓN DISTRITAL DE DOCTRINA Y ASUNTOS NORMATIVOS</t>
  </si>
  <si>
    <t>GARCIA GARAVITO EDGAR ANDRES</t>
  </si>
  <si>
    <t>407-11</t>
  </si>
  <si>
    <t>URREGO DE GARCIA LUZ STELLA</t>
  </si>
  <si>
    <t>6-ASESOR</t>
  </si>
  <si>
    <t>1-DIRECTIVO</t>
  </si>
  <si>
    <t>HERNANDEZ LIBREROS ELVIRA LILIANA</t>
  </si>
  <si>
    <t>MONTEJO GARZÓN YOLANDA</t>
  </si>
  <si>
    <t>407-9</t>
  </si>
  <si>
    <t>PULIDO SALAMANCA PABLO DANIEL</t>
  </si>
  <si>
    <t>CONDUCTOR</t>
  </si>
  <si>
    <t>TIBAMOSCA VILLAMARÍN SANDRA YANETH</t>
  </si>
  <si>
    <t>CANTIDAD</t>
  </si>
  <si>
    <t>480-13</t>
  </si>
  <si>
    <t>EN COMISIÓN EN EMPLEO DE L.N.R. O DE PERIODO</t>
  </si>
  <si>
    <t>COMISIÒN</t>
  </si>
  <si>
    <t>CM</t>
  </si>
  <si>
    <t>Suma total</t>
  </si>
  <si>
    <t xml:space="preserve">LARROTA SUTA PEDRO LUIS </t>
  </si>
  <si>
    <t>ROJAS SUÁREZ ZULMA</t>
  </si>
  <si>
    <t>HERNAN ADOLFO CASTAÑEDA FIALLO</t>
  </si>
  <si>
    <t>SILVA GARCIA DORIS</t>
  </si>
  <si>
    <t>Orientar a la Secretaría Jurídica Distrital en el fortalecimiento de la gerencia jurídica Distrital a través del uso e implementación de tecnologías de la información y comunicaciones con el propósito de hacer más eficiente y efectiva la defensa de los intereses jurídicos del Distrito.</t>
  </si>
  <si>
    <t>HERNANDEZ ALBARRACÍN JORGE ELIÉCER</t>
  </si>
  <si>
    <t>1. Liderar la gestión estratégica con tecnologías de la información y comunicaciones mediante la definición, implementación, ejecución, seguimiento y divulgación de un Plan Estratégico de Tecnología y Sistemas de Información (PETI), que esté alineado a la estrategia y al modelo integrado de gestión de la Secretaría Jurídica Distrital.
2. Dirigir el análisis para identificar las oportunidades para adoptar nuevas tendencias tecnológicas que generen impacto en el desarrollo del sector Administrativo de Gestión Jurídica del Distrito Capital, así como velar por el cumplimiento y actualización oportuna de las políticas y estándares en esta materia.
3. Definir, implementar y mantener la infraestructura tecnológica de la Secretaría Jurídica Distrital y del sector Administrativo de Gestión Jurídica del Distrito Capital.
4. Implementar los lineamientos en materia tecnológica, necesarios para definir estrategias y prácticas que habiliten la gestión de la Secretaría Jurídica Distrital y del sector Administrativo de Gestión Jurídica del Distrito Capital, en beneficio de la prestación efectiva de sus servicios.
5. Liderar los procesos de adquisición de bienes y servicios de tecnología, mediante la definición de criterios de optimización y métodos que direccionen la toma de decisiones de inversión en tecnologías de la información buscando el beneficio económico y de los servicios de la Secretaría Jurídica Distrital.
6. Coordinar la administración de las herramientas, las bases de datos, la plataforma tecnológica de información y comunicaciones de la Secretaría Jurídica Distrital; así como el desarrollo y mantenimiento de los sistemas administrativos y misionales de la Entidad para garantizar su funcionalidad y disponibilidad en su operación.
7. Dirigir y planear la implementación de las metodologías y procedimientos que adopte la Entidad para el desarrollo, instalación, administración y uso de la infraestructura tecnológica.
8. Dirigir la implementación y la prestación del soporte técnico a los portales web y redes sociales de la Secretaría Jurídica Distrital, garantizando el cumplimiento de los lineamientos del gobierno en línea.
9. Orientar la administración de los portales WEB y redes sociales de la Secretaría Jurídica Distrital, garantizando el cumplimiento de los lineamientos del gobierno en línea.
10. Dirigir y establecer los lineamientos para el diseño e implementación de un modelo de interoperatividad de sistemas y gestión de información misional, con el fin de permitir el acceso a la misma por parte de entidades y otros actores, de manera ordenada e integrada, para facilitar la toma de decisiones.
11. Dirigir la propuesta de los lineamientos técnicos del desarrollo de los contenidos y ambientes virtuales requeridos para el cumplimiento de las funciones y objetivos de la Secretaría.
12. Coordinar la implementación y actualización del Sistema de Seguridad de la Información y de activos de información de la Secretaría Jurídica Distrital para el cumplimiento de los objetivos de la Entidad y dentro de la oportunidad requerida.
13. Desempeñar las demás funciones que le asigne el superior inmediato de acuerdo a la naturaleza del cargo.</t>
  </si>
  <si>
    <t>Titulo profesional en disciplina académica del núcleo básico de conocimiento -NBA- en Ingeniería de Sistemas, telemática y afines. Titulo profesional del núcleo básico del conocimiento en Ingeniería Electrónica, Telecomunicaciones y afines. Título de postgrado en áreas relacionadas con las funciones del cago. Tarjeta o matricula profesional en los casos reglamentados por la Ley.</t>
  </si>
  <si>
    <t>9-12 RES. 085 de 2020</t>
  </si>
  <si>
    <t>440-19</t>
  </si>
  <si>
    <t>HERNÁNDEZ NAVARRO MARIBEL</t>
  </si>
  <si>
    <t>440-11</t>
  </si>
  <si>
    <t>VANEGAS LARGO MARIA CRISTINA</t>
  </si>
  <si>
    <t>6-DIRECTIVO</t>
  </si>
  <si>
    <t>2-DIRECTIVO</t>
  </si>
  <si>
    <t>EN PERIODO DE PRUEBA EN ASCENSO</t>
  </si>
  <si>
    <t>PERÍODO DE PRUEBA</t>
  </si>
  <si>
    <t>SIERRA LENIS LAURA STHEPANY</t>
  </si>
  <si>
    <t>PERÍODO FIJO</t>
  </si>
  <si>
    <t>MESA VASQUEZ GLORIA ASTRID</t>
  </si>
  <si>
    <t>AVILA GOMEZ NESTOR DANIEL</t>
  </si>
  <si>
    <t>PARRA LEGUIZAMON JORGE ERNESTO</t>
  </si>
  <si>
    <t>MARTINEZ HERNANDEZ MARIA MERY</t>
  </si>
  <si>
    <t>RODGERS QUIROGA KATHERYN YOLANDA</t>
  </si>
  <si>
    <t>SECRETARIO EJECUTIVO</t>
  </si>
  <si>
    <t>E04</t>
  </si>
  <si>
    <t>Asesorar y apoyar al Secretario (a) Jurídico (a) en la toma de decisiones, formulación y desarrollo de políticas, estrategias, planes y programas, apoyo logístico, encaminados al logro de los objetivos de la entidad, según las áreas temáticas asignadas.</t>
  </si>
  <si>
    <t>425-27</t>
  </si>
  <si>
    <t>OVALLE CUERVO EDGAR ENRIQUE</t>
  </si>
  <si>
    <t xml:space="preserve">1. Asesorar al/la secretario/a jurídico distrital en el proceso de formulación de políticas y estrategias encaminadas al logro de los objetivos institucionales, con criterios de objetividad, eficiencia y oportunidad.
2. Realizar la asistencia jurídica al Despacho del/la secretario/a jurídico/a distrital en los asuntos asignados de manera oportuna y con criterios de efectividad.
3. Asesorar en la formulación, implementación, seguimiento, evaluación y ajuste del direccionamiento estratégico de las dependencias con eficiencia y oportunidad.
4. Aportar elementos de juicio para la toma de decisiones relacionadas con la adopción, ejecución y control de los programas y actividades propias de la entidad con el fin de aportar a la construcción de los objetivos institucionales de la entidad.
5. Asesorar y participar en las investigaciones y estudios confiados por el/la secretario/a jurídico en las diferentes áreas temáticas, para garantizar la aplicación de la normatividad vigente.
6. Preparar y presentar los informes requeridos por el/la secretario/a de Despacho de conformidad con las instrucciones impartidas por el/la mismo.
7. Asesorar en la revisión y verificación de proposiciones, proyectos de acuerdo y de ley, actos legislativos, derechos de petición, solicitudes entre otros, del Concejo de Bogotá, asambleas departamentales y el Congreso de la República, con criterios de efectividad
y oportunidad.
8. Asesorar al/la secretario/a jurídico/a distrital en el diseño y/o implementación de la política de comunicaciones, plan de comunicación y estrategias comunicacionales para la entidad, con calidad y oportunidad.
9. Asesorar al secretario/a jurídico/a distrital en la implementación de los programas, planes y programas relacionados con la implementación de los sistemas de información jurídica, con criterios de calidad y eficiencia en la gestión.
10. Proponer y desarrollar investigaciones y estudios relacionados con los temas propios de la Secretaría Jurídica Distrital con calidad y oportunidad.
11. Asesorar en el proceso de formulación, articulación y seguimiento de la política de gerencia jurídica pública, con el fin de garantizar la adecuada toma de decisiones y la prevención del daño antijurídico para las entidades y organismos Distritales.
12. Realizar la práctica de pruebas que le sean comisionadas y sustanciar todo aquello  concerniente al proceso disciplinario de segunda instancia, de conformidad con la  normativa vigente y el debido proceso.
13. Actualizar el Sistema de Información Disciplinaria de forma oportuna, veraz y confiable.
14. Desempeñar las demás funciones que le asigne el superior inmediato de acuerdo a la naturaleza del cargo.
</t>
  </si>
  <si>
    <t>Estudio: Título profesional en: Administración Pública, Administración de Empresas, Administración Financiera, Administración Financiera y de Sistemas, Finanzas y Relaciones Internacionales, Finanzas Internacionales o Administración de Negocios; del núcleo básico de conocimiento en Administración. Título profesional en: Economía, Comercio Exterior o Finanzas y Comercio Exterior; del núcleo básico de conocimiento en Economía. Título profesional en: Contaduría Pública; del núcleo básico de conocimiento en Contaduría Pública.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Ingeniería Industrial o Ingeniería de Producción; del núcleo básico de conocimiento en Ingeniería Industrial. Título profesional en: Ingeniería Administrativa o Ingeniería Financiera; del núcleo básico de conocimiento en Ingeniería Financiera y afines.Título profesional en: Ingeniería de Sistemas; del núcleo básico de conocimiento en Ingeniería de Sistemas, Telemática y afines. Título profesional en: Ciencia Política o Gobierno y Relaciones Internacionales; del núcleo básico de conocimiento en Ciencia Política o Relaciones Internacionales. Título de posgrado en áreas relacionadas con las funciones del cargo. Tarjeta o matrícula profesional en los casos
reg lamentados por la ley.</t>
  </si>
  <si>
    <t>15-19 RES. 074 de 2023</t>
  </si>
  <si>
    <t>425-24</t>
  </si>
  <si>
    <t>SALCEDO TAMAYO GLORIA ESTHER</t>
  </si>
  <si>
    <t>RABIA SIERRA AYDA CONSTANZA</t>
  </si>
  <si>
    <t>APONTE PENSO SILVIA MODESTA</t>
  </si>
  <si>
    <t>425-21</t>
  </si>
  <si>
    <t>5-ASESOR</t>
  </si>
  <si>
    <t>MONTILLA SERRANO FABIOLA</t>
  </si>
  <si>
    <t>3-DIRECTIVO</t>
  </si>
  <si>
    <t>EN PERIODO DE PRUEBA</t>
  </si>
  <si>
    <t>425-20</t>
  </si>
  <si>
    <t>REVELO QUINTERO SONIA DEL ROSARIO</t>
  </si>
  <si>
    <t>SERVICIOS GENERALES</t>
  </si>
  <si>
    <t>470-7</t>
  </si>
  <si>
    <t>VELASQUEZ CABRERA GABRIELINA</t>
  </si>
  <si>
    <t>MONTAÑA MORA BETTY ESPERANZA</t>
  </si>
  <si>
    <t>GIRALDO MONTOYA MARTHA ALICIA</t>
  </si>
  <si>
    <t>470-3</t>
  </si>
  <si>
    <t>SALAZAR URRUTIA NELSON JULIAN</t>
  </si>
  <si>
    <t>CASTELLANOS RODRÍGUEZ MARTHA LIGIA</t>
  </si>
  <si>
    <t>4-DIRECTIVO</t>
  </si>
  <si>
    <t>GUTIERREZ HERNANDEZ DORA BELEN</t>
  </si>
  <si>
    <t>SALAS SANCHEZ VANESSA</t>
  </si>
  <si>
    <t>CASTIBLANCO URQUIJO LUIS ALFONSO</t>
  </si>
  <si>
    <t>5-DIRECTIVO</t>
  </si>
  <si>
    <t>GONZÁLEZ MOLINA HENRY ALBERTO</t>
  </si>
  <si>
    <t>OPEC</t>
  </si>
  <si>
    <t>ASIGNACIÓN
BÁSICA
2025</t>
  </si>
  <si>
    <t>E01</t>
  </si>
  <si>
    <t>CONTRERAS CASTRO DIANA ESTHER</t>
  </si>
  <si>
    <t>NIVEL-GRA</t>
  </si>
  <si>
    <t>HERNÁNDEZ MURCIA SAMUEL ARTURO</t>
  </si>
  <si>
    <t>MENDOZA HILDA CONSUELO</t>
  </si>
  <si>
    <t>GOMEZ CARMONA WALDINA</t>
  </si>
  <si>
    <t>RUIZ VEGA HÉCTOR RAFAEL</t>
  </si>
  <si>
    <t>7-DIRECTIVO</t>
  </si>
  <si>
    <t>PACHÓN PIÑEROS FERNANDO</t>
  </si>
  <si>
    <t>SANDOVAL RODRÍGUEZ DUVÁN</t>
  </si>
  <si>
    <t>BERNATE NAVARRO ALVARO CAMILO</t>
  </si>
  <si>
    <t>Apoyar el proceso de liquidación de nómina de la Secretaría Jurídica Distrital, acorde con la normatividad vigente y los procedimientos respectivos.</t>
  </si>
  <si>
    <t>1.	Recibir e incorporar en el aplicativo correspondiente las novedades de personal para el proceso de liquidación mensual de nómina de la entidad dentro de los términos correspondientes. 
2.	Actualizar y manejar el archivo asignado conforme a las instrucciones recibidas.
3.	Apoyar la elaboración de certificaciones y demás documentos que se le asignen, de manera confiable y oportunidad. 
4.	Mantener actualizados los registros y documentos bajo su responsabilidad, verificando la exactitud de los mismos y presentando los informes correspondientes, con la oportunidad requerida.
5.	Colaborar en el diseño de formas y cuestionarios para la consecución de datos y actualización de los mismos.
6.	Reproducir documentos y distribuirlos de acuerdo con instrucciones previamente impartidas.
7.	Clasificar la información, expedientes y demás documentos de la dependencia según las instrucciones impartidas y los procedimientos establecidos. 
8.	Desempeñar las demás funciones que le asigne el superior inmediato de acuerdo a la naturaleza del cargo.</t>
  </si>
  <si>
    <t>Estudio: Diploma de bachiller en cualquier modalidad.</t>
  </si>
  <si>
    <t>275-276 RES. 020 de 2019</t>
  </si>
  <si>
    <t>MUÑOZ CUERVO HERNAN BENJAMIN</t>
  </si>
  <si>
    <t>ORTIZ NUBIA STELLA</t>
  </si>
  <si>
    <t>CAGUA NIAMPIRA LUIS ALBERTO</t>
  </si>
  <si>
    <t>27-ASISTENCIAL</t>
  </si>
  <si>
    <t>8-DIRECTIVO</t>
  </si>
  <si>
    <t>GARZON RONCANCIO LUZ MARY</t>
  </si>
  <si>
    <t>ELECCIÓN POPULAR</t>
  </si>
  <si>
    <t>EN PERIODO INSTITUCIONAL</t>
  </si>
  <si>
    <t>BELALCAZAR ERASSO EDISON ANDRES</t>
  </si>
  <si>
    <t xml:space="preserve">Realizar las actividades secretariales como apoyo a la gestión a la dependencia con calidad y oportunidad. </t>
  </si>
  <si>
    <t xml:space="preserve">1. Realizar el proceso de organización de los documentos asignados por el superior, para el cumplimiento de los propósitos de la Dependencia.
2. Organizar y actualizar el archivo de la dependencia conforme a instrucciones recibidas y a la normatividad vigente y a los procesos de la entidad.
3. Colaborar en la elaboración y distribución de informes y demás documentos que se le asignen.
4. Suministrar la información o documentación solicitada de acuerdo con los trámites, autorizaciones y procedimientos establecidos.
5. Reproducir documentos y distribuirlos al interior de la dependencia, de acuerdo con instrucciones previamente impartidas.
6. Solicitar los pedidos de elementos de consumo que deban suministrarse en la dependencia, acorde con los procedimientos internos.
7. Prestar atención telefónica y presencial sobre los trámites que adelanta la dependencia con oportunidad y veracidad.
8. Registrar en la agenda los compromisos del superior e informar diariamente sobre las actividades programadas con oportunidad y claridad.     
9. Realizar los registros de los documentos en el Sistema Distrital de Quejas y Soluciones y consultar los requerimientos interpuestos por la ciudadanía, siguiendo el procedimiento establecido para tal fin a nivel Distrital.
10. Desempeñar las demás funciones que le asigne el superior inmediato de acuerdo a la naturaleza del cargo.       
                                                                                                                                                     </t>
  </si>
  <si>
    <t>298-299 RES. 020 de 2019</t>
  </si>
  <si>
    <t>DIRECTIVO-2</t>
  </si>
  <si>
    <t>9-DIRECTIVO</t>
  </si>
  <si>
    <t>PORRAS SILVA EDITH MARLENE</t>
  </si>
  <si>
    <t>RODRÍGUEZ NOPE MARÍA MARGARITA</t>
  </si>
  <si>
    <t>MURILLO HURTADO VICTOR HERNANDO</t>
  </si>
  <si>
    <t>E19</t>
  </si>
  <si>
    <t>E07</t>
  </si>
  <si>
    <t>realizar las labores asistenciales de la dependencia relacionadas con la gestión documental, archivo, actualización de registro en las bases de datos, y suministro de la información, como apoyo a la gestión de la dependencia y dentro de la oportunidad requerida.</t>
  </si>
  <si>
    <t>1.Realizar el proceso de organización de los documentos asignados por el superior, para el cumplimiento de los propósitos de la Dependencia.
2.Realizar el proceso de archivo de los documentos de la dependencia, y llevar un registro de préstamo de los documentos solicitados por los funcionarios, que permita la búsqueda y recuperación oportuna y efectiva de los mismos. 3.Elaborar los documentos solicitados por el superior inmediato para el óptimo funcionamiento de la Dependencia de forma oportuna y eficiente. 4.Actualizar, validar y consolidar información en las bases de datos o herramientas de software, como soporte para el buen funcionamiento de la Dependencia. 5.Dar información al público en general sobre los trámites propios de la Dependencia de acuerdo con los planes y programas de la Secretaria Jurídica Distrital. 6.Reproducir documentos y distribuirlos de acuerdo con instrucciones previamente impartidas. 7.Apoyar logísticamente las actividades desarrolladas por la dependencia, de forma oportuna y eficiente. 8.Desempeñar las demás funciones que le asigne el superior inmediato de acuerdo a la naturaleza del cargo.</t>
  </si>
  <si>
    <t>277-278 RES. 020 de 2019</t>
  </si>
  <si>
    <t>BARRERA DIAZ MARTHA LILIANA</t>
  </si>
  <si>
    <t>26-ASISTENCIAL</t>
  </si>
  <si>
    <t>10-DIRECTIVO</t>
  </si>
  <si>
    <t>DIRECTIVO-3</t>
  </si>
  <si>
    <t>PLANTA TEMPORAL</t>
  </si>
  <si>
    <t>EN CARÁCTER TEMPORAL</t>
  </si>
  <si>
    <t>E09</t>
  </si>
  <si>
    <t>desempeñar labores secretariales con el fin de lograr el óptimo funcionamiento de la dependencia con oportunidad y responsabilidad.</t>
  </si>
  <si>
    <t>1.Elaborar o transcribir oficios, memorandos, informes y demás documentos de acuerdo con las instrucciones del jefe inmediato con la oportunidad y calidad requerida. 
2.Registrar en la agenda los compromisos del jefe e informar diariamente sobre las actividades programadas con oportunidad y claridad. 3.Realizar actividades relacionadas con el proceso de correspondencia y archivo de acuerdo con los procedimientos establecidos y normas vigentes. 4.Realizar el control periódico sobre los elementos de consumo de la dependencia con el fin de determinar su necesidad real y solicitar los necesarios oportunamente. 5.Brindar información general sobre aspectos básicos de la dependencia, a usuarios internos y externos de manera clara y con calidad. 6.Desarrollar actividades de logística cuando la dependencia lo requiera, de forma oportuna y eficiente. 7.Desempeñar las demás funciones que le asigne el superior inmediato de acuerdo a la naturaleza del cargo.</t>
  </si>
  <si>
    <t>300-301 RES. 020 de 2019</t>
  </si>
  <si>
    <t>24-ASISTENCIAL</t>
  </si>
  <si>
    <t>1-ASESOR</t>
  </si>
  <si>
    <t>DIRECTIVO-4</t>
  </si>
  <si>
    <t>E17</t>
  </si>
  <si>
    <t>1.Realizar el proceso de organización de los documentos asignados por el superior, para el cumplimiento de los propósitos de la Dependencia.
2.Efectuar el proceso de archivo de los documentos de la dependencia, y llevar un registro de préstamo de los documentos solicitados por los funcionarios, que permita la búsqueda y recuperación oportuna y efectiva de los mismos. 3.Colaborar en la elaboración y distribución de los documentos generados por la dependencia con la oportunidad y confidencialidad requerida. 4.Elaborar y actualizar los registros e informes que le sean asignados y presentar los informes correspondientes, de acuerdo con las instrucciones impartidas por el superior inmediato. 5.Suministrar la información o documentación solicitada de acuerdo con los trámites, autorizaciones y procedimientos establecidos. 6.Reproducir documentos y distribuirlos de acuerdo con instrucciones previamente impartidas. 7.Colaborar con la solicitud de los pedidos de elementos de consumo que se requieran en los plazos establecidos por la entidad. 8.Desempeñar las demás funciones que le asigne el superior inmediato de acuerdo a la naturaleza del cargo.</t>
  </si>
  <si>
    <t>279-280 RES. 020  de 2019</t>
  </si>
  <si>
    <t>2-ASESOR</t>
  </si>
  <si>
    <t>Relaciones las labores secretariales como apoyo a la gestión de la dependencia con oportunidad y eficiencia.</t>
  </si>
  <si>
    <t xml:space="preserve">1.	Elaborar o transcribir oficios, memorandos, informes y demás documentos de acuerdo con las instrucciones del jefe inmediato  con la oportunidad y calidad requerida.        
2.	Validar y actualizar la información en las bases de datos o herramientas de software, como soporte para la toma de decisiones de la dependencia.     
3.	Realizar el proceso de organización de los documentos asignados por el superior, para el cumplimiento de los propósitos de la Dependencia.
4.	Organizar y actualizar el archivo de la dependencia conforme a instrucciones recibidas y a la normatividad vigente y a los procesos de la entidad.
5.	Realizar el control periódico sobre los elementos de consumo de la dependencia con el fin de determinar su necesidad real y solicitar los necesarios oportunamente.                                         
6.	Desarrollar actividades de logística cuando la Dependencia lo requiera, de forma oportuna y eficiente.      
7.	Registrar en la agenda los compromisos del jefe e informar diariamente sobre las actividades programadas con oportunidad y claridad.                                                                                                                                                         
8.	Desempeñar las demás funciones que le asigne el superior inmediato de acuerdo a la naturaleza del cargo.
</t>
  </si>
  <si>
    <t>302-303 RES. 020 de 2019</t>
  </si>
  <si>
    <t>RODRIGUEZ RODRIGUEZ LIGIA JANETH</t>
  </si>
  <si>
    <t>Reubicado mediante Resolución No. 075 del 11 de abril de 2018</t>
  </si>
  <si>
    <t>21-ASISTENCIAL</t>
  </si>
  <si>
    <t>3-ASESOR</t>
  </si>
  <si>
    <t>DIRECTIVO-5</t>
  </si>
  <si>
    <t>E14</t>
  </si>
  <si>
    <t>Realizar actividades relacionadas con el proceso de almacén e inventarios, de acuerdo con los lineamientos establecidos.</t>
  </si>
  <si>
    <t>1.	Realizar las actividades de apoyo que le sean asignadas en relación con el proceso de almacén de conformidad con las instrucciones impartidas por el superior inmediato. 
2.	Apoyar la organización y actualización de los inventarios de la entidad de conformidad con lo establecido en el procedimiento. 
3.	Apoyar en la elaboración y distribución de informes y demás documentos que se le asignen, de manera oportuna. 
4.	Suministrar la información o documentación solicitada de acuerdo con los trámites, autorizaciones y procedimientos establecidos.
5.	Efectuar la entrega de los pedidos de elementos de consumo que deban suministrarse a las diferentes dependencias, con la oportunidad requerida. 
6.	Desempeñar las demás funciones que le asigne el superior inmediato de acuerdo a la naturaleza del cargo.</t>
  </si>
  <si>
    <t>282-283 RES. 020 de 2019</t>
  </si>
  <si>
    <t>20-ASISTENCIAL</t>
  </si>
  <si>
    <t>4-ASESOR</t>
  </si>
  <si>
    <t>Realizar actividades administrativas relacionadas con el proceso de recepción, digitación, distribución y archivo de la correspondencia de la Dependencia, de acuerdo con los lineamientos establecidos.</t>
  </si>
  <si>
    <t xml:space="preserve">1.	Realizar actividades de apoyo administrativo de la dependencia con criterios de eficacia.
2.	Realizar las actividades relacionadas con el proceso de correspondencia a cargo de la  dependencia, de acuerdo con las normas y procedimientos respectivos.
3.	Organizar y actualizar el archivo de la dependencia conforme a instrucciones recibidas y a la normatividad vigente y a los procesos de la entidad.
4.	Apoyar en la elaboración y distribución de informes y demás documentos que se le asignen, de manera oportuna. 
5.	Suministrar la información o documentación solicitada de acuerdo con los trámites, autorizaciones y procedimientos establecidos.
6.	Solicitar los pedidos de elementos de consumo que deban suministrarse en la dependencia.
7.	Desempeñar las demás funciones que le asigne el superior inmediato de acuerdo a la naturaleza del cargo.
</t>
  </si>
  <si>
    <t>281-282 RES. 020 de 2019</t>
  </si>
  <si>
    <t>DIRECTIVO-6</t>
  </si>
  <si>
    <t>DIRECTIVO-7</t>
  </si>
  <si>
    <t>Realizar actividades secretariales que permitan el desarrollo de los procesos de la dependencia de acuerdo con los principios de calidad, oportunidad y eficiencia.</t>
  </si>
  <si>
    <t xml:space="preserve">1.	Elaborar o transcribir oficios, memorandos, informes y demás documentos de acuerdo con las instrucciones del jefe inmediato con la oportunidad y calidad requerida.            
2.	Validar y actualizar la información en las bases de datos o herramientas de software, como soporte para la toma de decisiones de la dependencia.     
3.	Registrar en la agenda los compromisos del jefe e informar diariamente sobre las actividades programadas con oportunidad y claridad.     
4.	Realizar el proceso de organización de los documentos asignados por el superior, para el cumplimiento de los propósitos de la Dependencia.
5.	Organizar y actualizar el archivo de la dependencia conforme a instrucciones recibidas y a la normatividad vigente y a los procesos de la entidad.
6.	Efectuar el control periódico sobre los elementos de consumo de la dependencia con el fin de determinar su necesidad real y solicitar los necesarios oportunamente. 
7.	Apoyar las actividades logísticas relacionadas con la organización de reuniones y comités de acuerdo con la solicitud del jefe inmediato.                                         
8.	Desempeñar las demás funciones que le asigne el superior inmediato de acuerdo a la naturaleza del cargo.                                                                                                                                                         </t>
  </si>
  <si>
    <t>304-305 RES. 020 de 2019</t>
  </si>
  <si>
    <t>MILDRE PAOLA</t>
  </si>
  <si>
    <t>DIRECTIVO-8</t>
  </si>
  <si>
    <t>7-ASESOR</t>
  </si>
  <si>
    <t>E22</t>
  </si>
  <si>
    <t>PP</t>
  </si>
  <si>
    <t>1.	Realizar el proceso de organización de los documentos asignados por el superior, para el cumplimiento de los propósitos de la Dependencia.
2.	Responder por la actualización y manejo del archivo asignado conforme a instrucciones recibidas y bajo criterios de eficiencia y oportunidad.
3.	Colaborar en la elaboración y distribución de informes y demás documentos que se le asignen de manera oportuna. 
4.	Efectuar el suministro de la información o documentación solicitada de acuerdo con los trámites, autorizaciones y procedimientos establecidos.
5.	Realizar la reproducción de los documentos y distribuirlos de acuerdo con instrucciones previamente impartidas.
6.	Hacer el registro y efectuar el control sobre los pedidos de elementos de consumo que se requiera, de manera eficiente para garantizar el funcionamiento operativo de la dependencia.  
7.	Elaborar los informes solicitados por el superior inmediato dentro de la oportunidad requerida. 
8.	Registrar en la agenda los compromisos del jefe e informar diariamente sobre las actividades programadas con oportunidad y claridad.     
9.	Desempeñar las demás funciones que le asigne el superior inmediato de acuerdo a la naturaleza del cargo.</t>
  </si>
  <si>
    <t>306-307 RES. 020 de 2019</t>
  </si>
  <si>
    <t>DIRECTIVO-9</t>
  </si>
  <si>
    <t>19-ASISTENCIAL</t>
  </si>
  <si>
    <t>8-ASESOR</t>
  </si>
  <si>
    <t>realizar las actividades relacionas con la gestión documental, correspondencia y de reproducción de documentos con oportunidad y eficiencia como apoyo a la gestión a la dependencia.</t>
  </si>
  <si>
    <t>1.Realizar el proceso de organización de los documentos asignados por el superior, para el cumplimiento de los propósitos de la Dependencia.
2.Organizar y actualizar el archivo de la dependencia conforme a instrucciones recibidas y a la normatividad vigente y a los procesos de la entidad. 3.Suministrar la información o documentación solicitada de acuerdo con los trámites, autorizaciones y procedimientos establecidos. 4.Reproducir documentos y distribuirlos de acuerdo con instrucciones previamente impartidas. 5.Llevar el registro y control sobre los pedidos de elementos de consumo que requiera la dependencia. 6.Elaborar los informes que le sean requeridos por el superior inmediato con la oportunidad requerida. 7.Desempeñar las demás funciones que le asigne el superior inmediato de acuerdo a la naturaleza del cargo.</t>
  </si>
  <si>
    <t>284-285 RES. 020 de 2019</t>
  </si>
  <si>
    <t>DIRECTIVO-10</t>
  </si>
  <si>
    <t>17-ASISTENCIAL</t>
  </si>
  <si>
    <t>1-PROFESIONAL</t>
  </si>
  <si>
    <t>realizar las actividades relacionas con la gestión documental, sistema de quejas y soluciones y correspondencia con oportunidad y eficiencia como apoyo a la gestión a la dependencia.</t>
  </si>
  <si>
    <t>1.Realizar el proceso de organización de los documentos asignados por el superior, para el cumplimiento de los propósitos de la Dependencia.
2.Organizar y actualizar el archivo de la dependencia conforme a instrucciones recibidas y a la normatividad vigente y a los procesos de la entidad. 3.Proyectar oficios y memorandos para dar trámite a las solicitudes presentadas con oportunidad y de acuerdo con los parámetros establecidos por el superior inmediato. 4.Realizar los registros de los documentos en el Sistema Distrital de Quejas y Soluciones y consultar los requerimientos interpuestos por la ciudadanía, siguiendo el procedimiento establecido para tal fin a nivel Distrital. 5.Elaborar los informes que le sean requeridos por el superior inmediato dentro de la oportunidad requerida. 6.Desempeñar las demás funciones que le asigne el superior inmediato de acuerdo a la naturaleza del cargo.</t>
  </si>
  <si>
    <t>286-287 RES. 020 de 2019</t>
  </si>
  <si>
    <t>ASESOR-1</t>
  </si>
  <si>
    <t>16-ASISTENCIAL</t>
  </si>
  <si>
    <t>2-PROFESIONAL</t>
  </si>
  <si>
    <t>ASESOR-2</t>
  </si>
  <si>
    <t>3-PROFESIONAL</t>
  </si>
  <si>
    <t>BETTY</t>
  </si>
  <si>
    <t>ASESOR-3</t>
  </si>
  <si>
    <t>Realizar las actividades relacionas con la gestión documental, de correspondencia y de logística, con oportunidad y eficiencia como apoyo a la gestión a la dependencia.</t>
  </si>
  <si>
    <t>1.	Realizar el proceso de organización de los documentos asignados por el superior, para el cumplimiento de los propósitos de la Dependencia.
2.	Organizar y actualizar el archivo de la dependencia conforme a instrucciones recibidas y a la normatividad vigente y a los procesos de la entidad.
3.	Dar información a los funcionarios del Distrito o a los ciudadanos sobre los trámites a cargo de la dependencia de acuerdo a las solicitudes formuladas.
4.	Apoyar las actividades logísticas relacionadas con la organización de reuniones, que sean requeridas por el superior inmediato.
5.	Apoyar la organización y actualización de los inventarios de la entidad de conformidad con lo establecido en el procedimiento. 
6.	Desempeñar las demás funciones que le asigne el superior inmediato de acuerdo a la naturaleza del cargo.</t>
  </si>
  <si>
    <t>288-289 RES. 020 de 2019</t>
  </si>
  <si>
    <t>ASESOR-4</t>
  </si>
  <si>
    <t>15-ASISTENCIAL</t>
  </si>
  <si>
    <t>4-PROFESIONAL</t>
  </si>
  <si>
    <t>E28</t>
  </si>
  <si>
    <t>realizar las actividades relacionas con la gestión documental, de correspondencia y de logística, con oportunidad y eficiencia como apoyo a la gestión a la dependencia.</t>
  </si>
  <si>
    <t>1.Realizar el proceso de organización de los documentos asignados por el superior, para el cumplimiento de los propósitos de la Dependencia.
2.Organizar y actualizar el archivo de la dependencia conforme a instrucciones recibidas y a la normatividad vigente y a los procesos de la entidad. 3.Dar información a los funcionarios del Distrito o a los ciudadanos sobre los trámites a cargo de la dependencia de acuerdo a las solicitudes formuladas. 4.Apoyar las actividades logísticas relacionadas con la organización de reuniones, que sean requeridas por el superior inmediato. 5.Apoyar la organización y actualización de los inventarios de la entidad de conformidad con lo establecido en el procedimiento. 6.Desempeñar las demás funciones que le asigne el superior inmediato de acuerdo a la naturaleza del cargo.</t>
  </si>
  <si>
    <t>ASESOR-5</t>
  </si>
  <si>
    <t>5-PROFESIONAL</t>
  </si>
  <si>
    <t>ASESOR-6</t>
  </si>
  <si>
    <t>6-PROFESIONAL</t>
  </si>
  <si>
    <t xml:space="preserve">NUMERO_IDENTIFICACION </t>
  </si>
  <si>
    <t>E05</t>
  </si>
  <si>
    <t>PRIMER_APELLIDO</t>
  </si>
  <si>
    <t>SEGUNDO_APELLIDO</t>
  </si>
  <si>
    <t>ESTADO_FUNCIONARIO</t>
  </si>
  <si>
    <t>FECHA_NACIMIENTO</t>
  </si>
  <si>
    <t>DIRECCION</t>
  </si>
  <si>
    <t>TELEFONO</t>
  </si>
  <si>
    <t xml:space="preserve"> SEXO</t>
  </si>
  <si>
    <t>LIBRETA_MILITAR</t>
  </si>
  <si>
    <t>CLASE_LIBRETA</t>
  </si>
  <si>
    <t>DISTRITO_MILITAR</t>
  </si>
  <si>
    <t>TIPO_SANGRE</t>
  </si>
  <si>
    <t>RH</t>
  </si>
  <si>
    <t>TIPO_FUNCIONARIO</t>
  </si>
  <si>
    <t>FECHA_INGRESO_ENTIDAD</t>
  </si>
  <si>
    <t>FECHA_INGRESO_DISTRITO</t>
  </si>
  <si>
    <t xml:space="preserve">FECHA_INGRESO_NACION </t>
  </si>
  <si>
    <t>CODIGO_EPS</t>
  </si>
  <si>
    <t>FONDO_SALUD</t>
  </si>
  <si>
    <t>CODIGO_FONDO_PENSIONES</t>
  </si>
  <si>
    <t>FONDO_PENSION</t>
  </si>
  <si>
    <t>CODIGO_FONDO_CESANTIAS</t>
  </si>
  <si>
    <t>FONDO_CESANTIAS</t>
  </si>
  <si>
    <t>DESC_DEPENDENCIA</t>
  </si>
  <si>
    <t>CARGO</t>
  </si>
  <si>
    <t>ASIGNACION</t>
  </si>
  <si>
    <t>DESCRIPCION</t>
  </si>
  <si>
    <t>POSICION_PLANTA</t>
  </si>
  <si>
    <t>CODSEDE</t>
  </si>
  <si>
    <t>SEDE</t>
  </si>
  <si>
    <t>TIPO_NOMB</t>
  </si>
  <si>
    <t>ACTO_NOMB</t>
  </si>
  <si>
    <t>FECHA_EFECTIVA_NOMB</t>
  </si>
  <si>
    <t>NUMERO_ACTO_NOMB</t>
  </si>
  <si>
    <t>FECHA_ACTO_NOMB</t>
  </si>
  <si>
    <t>FECHA_EFECTIVA_ENC</t>
  </si>
  <si>
    <t>NUMERO_ACTO_ENC</t>
  </si>
  <si>
    <t>FECHA_ACTO_ENC</t>
  </si>
  <si>
    <t>FECHA_RETIRO</t>
  </si>
  <si>
    <t>MARTINEZ</t>
  </si>
  <si>
    <t>ORTIZ</t>
  </si>
  <si>
    <t>GLORIA INES</t>
  </si>
  <si>
    <t>A</t>
  </si>
  <si>
    <t>CARRERA 98 A 22 K 00</t>
  </si>
  <si>
    <t>F</t>
  </si>
  <si>
    <t>O</t>
  </si>
  <si>
    <t>P</t>
  </si>
  <si>
    <t>EMPLEADO DE PLANTA</t>
  </si>
  <si>
    <t>ASESOR-7</t>
  </si>
  <si>
    <t>SALUD TOTAL S.A. E.P.S.</t>
  </si>
  <si>
    <t>COLPENSIONES</t>
  </si>
  <si>
    <t>FONDO NACIONAL DEL AHORRO</t>
  </si>
  <si>
    <t xml:space="preserve">Sede </t>
  </si>
  <si>
    <t>Sin Definir</t>
  </si>
  <si>
    <t>Nombramiento</t>
  </si>
  <si>
    <t>7-PROFESIONAL</t>
  </si>
  <si>
    <t>CORREDOR</t>
  </si>
  <si>
    <t>MORENO</t>
  </si>
  <si>
    <t>LUZ DARY</t>
  </si>
  <si>
    <t>CALLE 62 D SUR NO. 70-08</t>
  </si>
  <si>
    <t>COMPENSAR E.P.S.</t>
  </si>
  <si>
    <t>DIRECCIÃ“N DE GESTIÃ“N CORPORATIVA</t>
  </si>
  <si>
    <t>SANCHEZ</t>
  </si>
  <si>
    <t>CASTIBLANCO</t>
  </si>
  <si>
    <t>DIANA LICET</t>
  </si>
  <si>
    <t>CALLE 22 G BIS NO. 121-96 INT.1</t>
  </si>
  <si>
    <t>FAMISANAR E.P.S.</t>
  </si>
  <si>
    <t>COLFONDOS</t>
  </si>
  <si>
    <t>MERCHAN</t>
  </si>
  <si>
    <t>LARA</t>
  </si>
  <si>
    <t>CALLE 98 NÂº 63B 31</t>
  </si>
  <si>
    <t>DIRECCIÃ“N DISTRITAL DE INSPECCIÃ“N, VIGILANCIA Y CONTROL</t>
  </si>
  <si>
    <t>RODRIGUEZ</t>
  </si>
  <si>
    <t>BARRERA</t>
  </si>
  <si>
    <t>NOHORA PATRICIA</t>
  </si>
  <si>
    <t>R</t>
  </si>
  <si>
    <t>CRA 15 173 25 TORRE 3 APTO 201</t>
  </si>
  <si>
    <t>DESPACHO SECRETARÃA JURÃDICA</t>
  </si>
  <si>
    <t>LIBRE NOMBRAMIENTO Y REMOCION</t>
  </si>
  <si>
    <t>ARDILA</t>
  </si>
  <si>
    <t>VERGARA</t>
  </si>
  <si>
    <t>MILDRED PAOLA</t>
  </si>
  <si>
    <t>CARRERA 12 BIS SUR # 34 C 17 CASA 75</t>
  </si>
  <si>
    <t>E10</t>
  </si>
  <si>
    <t>ASESOR-8</t>
  </si>
  <si>
    <t>GUERRERO</t>
  </si>
  <si>
    <t>DEYSI YANIRA</t>
  </si>
  <si>
    <t>CARRERA 25 63 B - 61</t>
  </si>
  <si>
    <t>DIRECCIÃ“N DISTRITAL DE ASUNTOS DISCIPLINARIOS</t>
  </si>
  <si>
    <t>CUELLO</t>
  </si>
  <si>
    <t>HERMIDA</t>
  </si>
  <si>
    <t>ADRIANA ESPERANZA</t>
  </si>
  <si>
    <t>AV. CARRERA 45 NÂº 128D 60 APTO.103</t>
  </si>
  <si>
    <t>SANITAS S.A. E.P.S</t>
  </si>
  <si>
    <t>Sin identificar</t>
  </si>
  <si>
    <t>8-PROFESIONAL</t>
  </si>
  <si>
    <t>DIAZ</t>
  </si>
  <si>
    <t>RINCON</t>
  </si>
  <si>
    <t>ANGELICA</t>
  </si>
  <si>
    <t>CALLE 13 NÂº 8 23 FACATATIVA (CUNDINAMARCA)</t>
  </si>
  <si>
    <t>DIRECCIÃ“N DISTRITAL DE DOCTRINA Y ASUNTOS NORMATIVOS</t>
  </si>
  <si>
    <t>MALAGON</t>
  </si>
  <si>
    <t>ORJUELA</t>
  </si>
  <si>
    <t>AURA JANETH</t>
  </si>
  <si>
    <t>CALLE 96 NO. 21-33 APTO 601</t>
  </si>
  <si>
    <t>NUEVA EPS</t>
  </si>
  <si>
    <t>DIRECTOR TECNICO</t>
  </si>
  <si>
    <t>CRUZ</t>
  </si>
  <si>
    <t>PARDO</t>
  </si>
  <si>
    <t>MARTHA RUBIELA</t>
  </si>
  <si>
    <t>URBANIZACION EL PORTAL MANZANA 1 CASA 6 (UBAQUE)</t>
  </si>
  <si>
    <t>TECNICO OPERATIVO</t>
  </si>
  <si>
    <t>GIL</t>
  </si>
  <si>
    <t>HERRERA</t>
  </si>
  <si>
    <t>ANA JULIETH</t>
  </si>
  <si>
    <t>CALLE 51F BIS SUR NÂº4B-20 ESTE</t>
  </si>
  <si>
    <t>PROFESIONAL-1</t>
  </si>
  <si>
    <t>GUZMAN</t>
  </si>
  <si>
    <t>CONTRERAS</t>
  </si>
  <si>
    <t>ADRIANA PATRICIA</t>
  </si>
  <si>
    <t>CALLE 24D NÂº 11 80 SUR CASA 1 INTERIOR 5</t>
  </si>
  <si>
    <t>AB</t>
  </si>
  <si>
    <t>EPS SURA</t>
  </si>
  <si>
    <t xml:space="preserve"> No Hallado </t>
  </si>
  <si>
    <t>Realizar las actividades relacionas con la gestión documental y de logística que le sean asignadas con oportunidad y eficiencia como apoyo a la gestión a la dependencia.</t>
  </si>
  <si>
    <t>1.	Realizar el proceso de organización de los documentos asignados por el superior, para el cumplimiento de los propósitos de la Dependencia.
2.	Apoyar las actividades logísticas y administrativas relacionadas con la organización de reuniones, que sean requeridas por el superior inmediato.
3.	Redactar oficios y memorandos para dar trámite a las solicitudes presentadas con criterios de calidad y oportunidad. 
4.	Elaborar los informes que le sean requeridos por el superior inmediato.
5.	Desempeñar las demás funciones que le asigne el superior inmediato de acuerdo a la naturaleza del cargo.</t>
  </si>
  <si>
    <t>290-291 RES. 020 de 2019</t>
  </si>
  <si>
    <t>GARCIA</t>
  </si>
  <si>
    <t>MARTHA LUCIA</t>
  </si>
  <si>
    <t>CALLE 72 SUR NÂ° 89A - 34</t>
  </si>
  <si>
    <t>PROTECCION</t>
  </si>
  <si>
    <t>ALVARADO</t>
  </si>
  <si>
    <t>ROJAS</t>
  </si>
  <si>
    <t>CHEILA ALEXANDRA</t>
  </si>
  <si>
    <t>CALLE 69A NÂº 68B 80</t>
  </si>
  <si>
    <t>OFICINA ASESORA DE PLANEACIÃ“N</t>
  </si>
  <si>
    <t>14-ASISTENCIAL</t>
  </si>
  <si>
    <t>9-PROFESIONAL</t>
  </si>
  <si>
    <t>SALAS</t>
  </si>
  <si>
    <t>VANESSA</t>
  </si>
  <si>
    <t>CL 19 A 96 B - 60 AP 203</t>
  </si>
  <si>
    <t>B</t>
  </si>
  <si>
    <t>Despacho Secretaría Jurídica</t>
  </si>
  <si>
    <t>Talento Humano</t>
  </si>
  <si>
    <t>Oficina Asesora de Planeación</t>
  </si>
  <si>
    <t>Oficina de Tecnologías de la Información y las Comunicaciones</t>
  </si>
  <si>
    <t>Oficina de Control Interno</t>
  </si>
  <si>
    <t>Subsecretaría Jurídica</t>
  </si>
  <si>
    <t>HERNANDEZ</t>
  </si>
  <si>
    <t>Dirección Distrital de Asuntos Disciplinarios</t>
  </si>
  <si>
    <t>LIBREROS</t>
  </si>
  <si>
    <t>ELVIRA LILIANA</t>
  </si>
  <si>
    <t>CL 5   No. 29   - 24 VERAGUAS</t>
  </si>
  <si>
    <t>Dirección Distrital de Doctrina y Asuntos Normativos</t>
  </si>
  <si>
    <t>Dirección de Gestión Corporativa</t>
  </si>
  <si>
    <t>ORTEGA</t>
  </si>
  <si>
    <t>CESPEDES</t>
  </si>
  <si>
    <t>ESTEFANIA</t>
  </si>
  <si>
    <t>CALLE 1 B NO. 51A-64</t>
  </si>
  <si>
    <t>PROTECCION S.A.</t>
  </si>
  <si>
    <t>DIANA YURANY</t>
  </si>
  <si>
    <t>DG 100 C 4B 32 SUR</t>
  </si>
  <si>
    <t>DIRECCIÃ“N DISTRITAL DE GESTION JUDICIAL</t>
  </si>
  <si>
    <t>NANDAR</t>
  </si>
  <si>
    <t>BEJARANO</t>
  </si>
  <si>
    <t>SARITH MANUELA</t>
  </si>
  <si>
    <t>CALLE 1B NO. 37A - 04</t>
  </si>
  <si>
    <t>Realizar las actividades relacionas con el apoyo logístico de las actividades de bienestar social y capacitación de la entidad que le sean asignadas con oportunidad y eficiencia como apoyo a la gestión a la dependencia.</t>
  </si>
  <si>
    <t>PORVENIR S.A.</t>
  </si>
  <si>
    <t>PORVENIR</t>
  </si>
  <si>
    <t>1.	Realizar el proceso de organización de los documentos asignados por el superior, para el cumplimiento de los propósitos de la Dependencia.
2.	Dar información a los funcionarios de la entidad sobre las diferentes actividades, citaciones y trámites relacionados con bienestar social y capacitación de conformidad con las instrucciones impartidas. 
3.	Apoyar las actividades logísticas relacionadas con la organización de las diferentes actividades de bienestar social y capacitación en las que se le requieran por el superior inmediato.
4.	Desempeñar las demás funciones que le asigne el superior inmediato de acuerdo a la naturaleza del cargo.</t>
  </si>
  <si>
    <t>292-293 RES. 020 de 2019</t>
  </si>
  <si>
    <t>GOMEZ</t>
  </si>
  <si>
    <t>DELGADO</t>
  </si>
  <si>
    <t>LAURA JULIANA</t>
  </si>
  <si>
    <t>CARRERA 36 NO. 18-31 PASTO NARIÃ‘O</t>
  </si>
  <si>
    <t>OSUNA</t>
  </si>
  <si>
    <t>BERRIO</t>
  </si>
  <si>
    <t>JEFFERSON JOSE</t>
  </si>
  <si>
    <t>CALLE 18 A NO. 114A-05</t>
  </si>
  <si>
    <t>M</t>
  </si>
  <si>
    <t>13-ASISTENCIAL</t>
  </si>
  <si>
    <t>10-PROFESIONAL</t>
  </si>
  <si>
    <t>BUITRAGO</t>
  </si>
  <si>
    <t>VILLADA</t>
  </si>
  <si>
    <t>MAGDALENA</t>
  </si>
  <si>
    <t>CALLE 138 A NO. 112 B - 14</t>
  </si>
  <si>
    <t>TRUJILLO</t>
  </si>
  <si>
    <t>JARAMILLO</t>
  </si>
  <si>
    <t>DANITZA LORENA</t>
  </si>
  <si>
    <t>CALLE 130 C NÂº 59D 75 TORRE 2 APTO 405</t>
  </si>
  <si>
    <t>PALOMINO</t>
  </si>
  <si>
    <t>NATALIA KATHERINE</t>
  </si>
  <si>
    <t>CALLE 3 A NÂº 51A 93</t>
  </si>
  <si>
    <t>PROFESIONAL-2</t>
  </si>
  <si>
    <t>BORJA</t>
  </si>
  <si>
    <t>YAMILE</t>
  </si>
  <si>
    <t>CALLE 57 A NO. 57A-84 BLOQUE 66 APTO 102</t>
  </si>
  <si>
    <t>CONCEPTOS</t>
  </si>
  <si>
    <t>Asignacion Básica</t>
  </si>
  <si>
    <t>CORREA</t>
  </si>
  <si>
    <t>AGATON</t>
  </si>
  <si>
    <t>DIANA ALEJANDRA</t>
  </si>
  <si>
    <t>CALLE 31B NÂ° 20-11 SUR</t>
  </si>
  <si>
    <t>Prima Técnica 40%</t>
  </si>
  <si>
    <t>Cumplimiento Requisitos</t>
  </si>
  <si>
    <t>Primka Antiguedad</t>
  </si>
  <si>
    <t>TOTAL</t>
  </si>
  <si>
    <t>SUESCUN</t>
  </si>
  <si>
    <t>MARIÃ‘O</t>
  </si>
  <si>
    <t>DANIEL</t>
  </si>
  <si>
    <t>CALLE 10 SUR NÂ° 39-05</t>
  </si>
  <si>
    <t xml:space="preserve">prestar el servicio de conducción, efectuar las diligencias que le sean asignadas y llevar a mantenimiento el vehículo, con la oportunidad requerida.
</t>
  </si>
  <si>
    <t>FOSYGA EPS</t>
  </si>
  <si>
    <t>1.Conducir el vehículo asignado por la Secretaría Jurídica Distrital de acuerdo con los instrucciones que se le indiquen y respetando las normas de transito correspondiente. 
2.Verificar el estado mecánico y los aspectos de mantenimiento del mismo para su normal funcionamiento, y reportar el estado del mismo a la Dirección de Gestión Corporativa de manera periódica. 3.Mantener en buen estado de aseo interno y externo el vehículo para la prestaciónón del servicio. 4.Cumplir con las programaciones efectuadas, de tal manera que se garantice la presencia en los lugares y horas indicadas para la prestación del servicio. 5.Verificar que los documentos del vehículo estén actualizados y adelantar las diligencias necesarias para tal efecto con criterios de oportunidad y eficiencia. 6.Realizar los informes a la Dirección de Gestión Corporativa sobre los siniestros ocurridos o desperfectos causados al vehículo de acuerdo con los procedimientos vigentes, para la toma de decisiones. 7.Desempeñar las demás funciones que le asigne el superior inmediato de acuerdo a la naturaleza del cargo.</t>
  </si>
  <si>
    <t>Estudio: Aprobación de cuatro (4) años de educación básica secundaria. Licencia de conducción para vehículo vigente.</t>
  </si>
  <si>
    <t>18-19 RES. 039 de 2019</t>
  </si>
  <si>
    <t>OFICINA DE TECNOLOGÃAS DE LA INFORMACIÃ“N Y LAS COMUNICACIONES</t>
  </si>
  <si>
    <t>FLECHAS</t>
  </si>
  <si>
    <t>ALONSO</t>
  </si>
  <si>
    <t>JOAN SEBASTIAN</t>
  </si>
  <si>
    <t>CALLE 25 SUR NÂº 69 46 APTO. 607</t>
  </si>
  <si>
    <t>DIRECCIÃ“N DISTRITAL DE POLÃTICA JURÃDICA</t>
  </si>
  <si>
    <t>11-PROFESIONAL</t>
  </si>
  <si>
    <t>ALVAREZ</t>
  </si>
  <si>
    <t>MORALES</t>
  </si>
  <si>
    <t>RICARDO DANIEL</t>
  </si>
  <si>
    <t>CARRERA 52 NO. 52-26 TORRE 2 APTO 404</t>
  </si>
  <si>
    <t>Cuenta de EDAD</t>
  </si>
  <si>
    <t>JEFE OFICINA ASESORA</t>
  </si>
  <si>
    <t>GONZALEZ</t>
  </si>
  <si>
    <t>LOPEZ</t>
  </si>
  <si>
    <t>ESTEBAN AUGUSTO</t>
  </si>
  <si>
    <t>CALLE 78C 104-45</t>
  </si>
  <si>
    <t>NIETO</t>
  </si>
  <si>
    <t>LEIDY VANESSA</t>
  </si>
  <si>
    <t>PROFESIONAL-3</t>
  </si>
  <si>
    <t>CALLE 18 SUR # 29 C 06</t>
  </si>
  <si>
    <t>PERIODO PRUEBA</t>
  </si>
  <si>
    <t>MURILLO</t>
  </si>
  <si>
    <t>FULA</t>
  </si>
  <si>
    <t>ANGIE GERALDINE</t>
  </si>
  <si>
    <t>CLL 49 BIS SUR N. 72 I - 12</t>
  </si>
  <si>
    <t>prestar el servicio de conducción, efectuar las diligencias que le sean asignadas y llevar a mantenimiento el vehículo, con la oportunidad requerida.</t>
  </si>
  <si>
    <t>LONDOÃ‘O</t>
  </si>
  <si>
    <t>OLGA LILIANA</t>
  </si>
  <si>
    <t>CARRERA 78 A NÂº 71C 23 SUR</t>
  </si>
  <si>
    <t>ARAGON</t>
  </si>
  <si>
    <t>BOHORQUEZ</t>
  </si>
  <si>
    <t>LEONARDO</t>
  </si>
  <si>
    <t>12-PROFESIONAL</t>
  </si>
  <si>
    <t>CARRERA 95 NO. 71-46 SUR</t>
  </si>
  <si>
    <t>PIÃ‘EROS</t>
  </si>
  <si>
    <t>ROGER EDUARDO</t>
  </si>
  <si>
    <t>CALLE 6 A NÂº 89 42 INTERIOR 6 APTO 301</t>
  </si>
  <si>
    <t>BALLESTEROS</t>
  </si>
  <si>
    <t>MARTHA ADRIANA CATALINA</t>
  </si>
  <si>
    <t>CALLE 11 24 - 33 PISO 2</t>
  </si>
  <si>
    <t>PAEZ</t>
  </si>
  <si>
    <t>UBAQUE</t>
  </si>
  <si>
    <t>LEVIS STEVEEN</t>
  </si>
  <si>
    <t>PROFESIONAL-4</t>
  </si>
  <si>
    <t>CRR 6 C 49 D - 20 SUR</t>
  </si>
  <si>
    <t>COLFONDOS S.A.</t>
  </si>
  <si>
    <t>SANMIGUEL</t>
  </si>
  <si>
    <t>MONICA JULIANA</t>
  </si>
  <si>
    <t>CARRERA 72 BIS NO. 24D-50 BLOQUE 1 APTO 604</t>
  </si>
  <si>
    <t>PALACIO</t>
  </si>
  <si>
    <t>SHAIRA VALENTINA</t>
  </si>
  <si>
    <t>AV. CALLE 56 A SUR NÂ° 24B - 10</t>
  </si>
  <si>
    <t>VIDAL</t>
  </si>
  <si>
    <t>BECERRA</t>
  </si>
  <si>
    <t>ANA MERCEDES</t>
  </si>
  <si>
    <t>CARRERA 145 NO. 144 C - 52 CASA 88</t>
  </si>
  <si>
    <t>13-PROFESIONAL</t>
  </si>
  <si>
    <t>RAMOS</t>
  </si>
  <si>
    <t>JUAN ANDRES</t>
  </si>
  <si>
    <t>KR 79 A 5 - 27 SUR</t>
  </si>
  <si>
    <t>interno_persona</t>
  </si>
  <si>
    <t>PEÃ‘A</t>
  </si>
  <si>
    <t>JORGE ANDRES</t>
  </si>
  <si>
    <t>CARRERA 75BIS NÂº 66B 05</t>
  </si>
  <si>
    <t>851130-37844</t>
  </si>
  <si>
    <t>numero_identificacion</t>
  </si>
  <si>
    <t>primer_apellido</t>
  </si>
  <si>
    <t>segundo_apellido</t>
  </si>
  <si>
    <t>nombres</t>
  </si>
  <si>
    <t>cargo</t>
  </si>
  <si>
    <t>grado</t>
  </si>
  <si>
    <t>desccargo</t>
  </si>
  <si>
    <t>centro_costo dependencia</t>
  </si>
  <si>
    <t xml:space="preserve"> descdep</t>
  </si>
  <si>
    <t>PORCANT</t>
  </si>
  <si>
    <t>PORRIESG</t>
  </si>
  <si>
    <t>PORCTECN</t>
  </si>
  <si>
    <t>PORSECRET</t>
  </si>
  <si>
    <t>MAYA</t>
  </si>
  <si>
    <t>ANDRES MAURICIO</t>
  </si>
  <si>
    <t>CALLE 104 NO. 13A-46</t>
  </si>
  <si>
    <t>PROFESIONAL-5</t>
  </si>
  <si>
    <t>VILLARRAGA</t>
  </si>
  <si>
    <t>LIZETH MAYERLY</t>
  </si>
  <si>
    <t>CALLE 43 SUR NÂ° 72 N - 59</t>
  </si>
  <si>
    <t>DirecciÃ³n Distrital de Doctrina y Asuntos Normativos</t>
  </si>
  <si>
    <t>DirecciÃ³n de GestiÃ³n Corporativa</t>
  </si>
  <si>
    <t>MORA</t>
  </si>
  <si>
    <t>MONTOYA</t>
  </si>
  <si>
    <t>HELVER MANUEL</t>
  </si>
  <si>
    <t>CR 69 64 D 19 AP 202</t>
  </si>
  <si>
    <t>Realizar las labores asistenciales con oportunidad y eficiencia para satisfacer las necesidades institucionales de carácter administrativo.</t>
  </si>
  <si>
    <t>1.	Realizar el envío, recepción y correspondencia relacionados con asuntos de competencia del área de trabajo, de acuerdo con las normas y procedimientos respectivos 
2.	Actualizar y manejar el archivo asignado conforme a instrucciones recibidas.
3.	Elaborar los informes que le sean requeridos por el superior inmediato.
4.	Apoyar la organización y actualización de los inventarios de la entidad de conformidad con lo establecido en el procedimiento. 
5.	Desempeñar las demás funciones que le asigne el superior inmediato de acuerdo a la naturaleza del cargo.</t>
  </si>
  <si>
    <t>CASALLAS</t>
  </si>
  <si>
    <t>294-295 RES. 020 de 2019</t>
  </si>
  <si>
    <t>ALEJANDRA NATALY</t>
  </si>
  <si>
    <t>CALLE 15 NÂº 119A 37 TORRE 8 APTO. 603</t>
  </si>
  <si>
    <t>RAMIREZ</t>
  </si>
  <si>
    <t>CARDENAS</t>
  </si>
  <si>
    <t>ESTEBAN</t>
  </si>
  <si>
    <t>CARRERA 57 B NO. 65-39</t>
  </si>
  <si>
    <t>MEDINA</t>
  </si>
  <si>
    <t>CAROLINA</t>
  </si>
  <si>
    <t>QUIJANO</t>
  </si>
  <si>
    <t>VASQUEZ</t>
  </si>
  <si>
    <t>MARIA FERNANDA</t>
  </si>
  <si>
    <t>Despacho SecretarÃ­a JurÃ­dica</t>
  </si>
  <si>
    <t>VICTORIA</t>
  </si>
  <si>
    <t>YURY PAOLA</t>
  </si>
  <si>
    <t>ROA</t>
  </si>
  <si>
    <t>SILVA</t>
  </si>
  <si>
    <t>CALLE 3 NÂº 69C 71</t>
  </si>
  <si>
    <t>SONIA TERESA</t>
  </si>
  <si>
    <t>NARVAEZ</t>
  </si>
  <si>
    <t>DANIELA</t>
  </si>
  <si>
    <t>11-ASISTENCIAL</t>
  </si>
  <si>
    <t>VELASQUEZ</t>
  </si>
  <si>
    <t>FLOREZ</t>
  </si>
  <si>
    <t>14-PROFESIONAL</t>
  </si>
  <si>
    <t>DAYANNA LORENA</t>
  </si>
  <si>
    <t>SOLANO</t>
  </si>
  <si>
    <t>FERNANDEZ</t>
  </si>
  <si>
    <t>DIEGO ALEJANDRO</t>
  </si>
  <si>
    <t>ANA MARIA</t>
  </si>
  <si>
    <t>CARRERA 88A NÂº 21-75 CASA 49</t>
  </si>
  <si>
    <t>ALBORNOZ</t>
  </si>
  <si>
    <t>MARIA PAULA</t>
  </si>
  <si>
    <t>SOTO</t>
  </si>
  <si>
    <t>ALBA</t>
  </si>
  <si>
    <t>PROFESIONAL-6</t>
  </si>
  <si>
    <t>NICOLAS SANTIAGO</t>
  </si>
  <si>
    <t>GAONA</t>
  </si>
  <si>
    <t>FARIAS</t>
  </si>
  <si>
    <t>LUIS CARLOS</t>
  </si>
  <si>
    <t>ROMERO</t>
  </si>
  <si>
    <t>TORRES</t>
  </si>
  <si>
    <t>HEIDY LORENA</t>
  </si>
  <si>
    <t>LEON</t>
  </si>
  <si>
    <t>BELTRAN</t>
  </si>
  <si>
    <t>JULIES KATHERINE</t>
  </si>
  <si>
    <t>CALLE 79 NÂ° 119-95 TORRE 4 APTO 402</t>
  </si>
  <si>
    <t>ALEJO</t>
  </si>
  <si>
    <t>ALVARO FELIPE</t>
  </si>
  <si>
    <t>KATHERINE PAOLA</t>
  </si>
  <si>
    <t>DORA RAQUEL</t>
  </si>
  <si>
    <t>CONRADO</t>
  </si>
  <si>
    <t>CALDERIN</t>
  </si>
  <si>
    <t>AIDA VICTORIA</t>
  </si>
  <si>
    <t>CALLE 74 A NÂº 56 55 INTERIOR 5 APTO. 202</t>
  </si>
  <si>
    <t>PEREZ</t>
  </si>
  <si>
    <t>GUTIERREZ</t>
  </si>
  <si>
    <t>FAVER</t>
  </si>
  <si>
    <t>Oficina de TecnologÃ­as de la InformaciÃ³n y las Comunicaciones</t>
  </si>
  <si>
    <t>AREVALO</t>
  </si>
  <si>
    <t>JENNIFER LIZBETH</t>
  </si>
  <si>
    <t>SubsecretarÃ­a JurÃ­dica</t>
  </si>
  <si>
    <t>MONTERO</t>
  </si>
  <si>
    <t>MARINA LUZ</t>
  </si>
  <si>
    <t>DirecciÃ³n Distrital de Asuntos Disciplinarios</t>
  </si>
  <si>
    <t>CORZO</t>
  </si>
  <si>
    <t>ESTEPA</t>
  </si>
  <si>
    <t>OLGA MILENA</t>
  </si>
  <si>
    <t>BARREIRO</t>
  </si>
  <si>
    <t>MARIA DEL PILAR</t>
  </si>
  <si>
    <t>Oficina Asesora de PlaneaciÃ³n</t>
  </si>
  <si>
    <t>CALLE 22 A BIS NÂ° 90-14</t>
  </si>
  <si>
    <t>BERNAL</t>
  </si>
  <si>
    <t>JUAN CARLOS</t>
  </si>
  <si>
    <t>BERMUDEZ</t>
  </si>
  <si>
    <t>DAVID ALEJANDRO</t>
  </si>
  <si>
    <t>LEIDY JOHANNA</t>
  </si>
  <si>
    <t>JUAN PABLO</t>
  </si>
  <si>
    <t>DIAGONAL 81I 72B 58</t>
  </si>
  <si>
    <t>PULIDO</t>
  </si>
  <si>
    <t>ANYELA PAOLA</t>
  </si>
  <si>
    <t>NOVOA</t>
  </si>
  <si>
    <t>DUEÃ‘AS</t>
  </si>
  <si>
    <t>SANDRA LISETTE</t>
  </si>
  <si>
    <t>ZABALETA</t>
  </si>
  <si>
    <t>TABOADA</t>
  </si>
  <si>
    <t>DONALDO YAMITH</t>
  </si>
  <si>
    <t>DANIEL FERNANDO</t>
  </si>
  <si>
    <t>PROFESIONAL-7</t>
  </si>
  <si>
    <t>CALLE 71 NÂº 108A-40</t>
  </si>
  <si>
    <t>CITA</t>
  </si>
  <si>
    <t>WENDY PAOLA</t>
  </si>
  <si>
    <t>SOTELO</t>
  </si>
  <si>
    <t>HOYOS</t>
  </si>
  <si>
    <t>DURLEY</t>
  </si>
  <si>
    <t>AUXILIAR SERVICIOS GENERALES</t>
  </si>
  <si>
    <t>URBANO</t>
  </si>
  <si>
    <t>OROZCO</t>
  </si>
  <si>
    <t>MARIAN VANESSA</t>
  </si>
  <si>
    <t>15-PROFESIONAL</t>
  </si>
  <si>
    <t>OSPINA</t>
  </si>
  <si>
    <t>ACOSTA</t>
  </si>
  <si>
    <t>ALEJANDRA PATRICIA</t>
  </si>
  <si>
    <t>JUAN DIEGO</t>
  </si>
  <si>
    <t>CL 73 SUR NÂº 14V 65</t>
  </si>
  <si>
    <t>ARIZA</t>
  </si>
  <si>
    <t>PUENTES</t>
  </si>
  <si>
    <t>ANDRES FELIPE</t>
  </si>
  <si>
    <t>JIMENEZ</t>
  </si>
  <si>
    <t>CRISTHIAM DAVID</t>
  </si>
  <si>
    <t>CALLE 64 NO. 4 A - 85</t>
  </si>
  <si>
    <t>VARGAS</t>
  </si>
  <si>
    <t>CORDERO</t>
  </si>
  <si>
    <t>MIGUEL ANGEL</t>
  </si>
  <si>
    <t>MEJIA</t>
  </si>
  <si>
    <t>MARIA TATIANA</t>
  </si>
  <si>
    <t>MARQUEZ</t>
  </si>
  <si>
    <t>CASTELBLANCO</t>
  </si>
  <si>
    <t>CASTILLO</t>
  </si>
  <si>
    <t>IVAN DAVID</t>
  </si>
  <si>
    <t>OTALORA</t>
  </si>
  <si>
    <t>DIANA CAROLINA</t>
  </si>
  <si>
    <t>CALLE 61 NÂ° 2-56 APTO. 307</t>
  </si>
  <si>
    <t>SUBSECRETARÃA JURÃDICA</t>
  </si>
  <si>
    <t>SUBSECRETARIO DE DESPACHO</t>
  </si>
  <si>
    <t>RIAÃ‘O</t>
  </si>
  <si>
    <t>JUAN SEBASTIAN</t>
  </si>
  <si>
    <t>CALLE 12 A 1B ESTE - 85 MANZANA 13 INT. 12 CASA 1</t>
  </si>
  <si>
    <t>JEIMMY JOHANNA</t>
  </si>
  <si>
    <t>CELIS</t>
  </si>
  <si>
    <t>OSCAR FRANCISCO</t>
  </si>
  <si>
    <t>VALENCIA</t>
  </si>
  <si>
    <t>CARRERA 92 NÂº 150A 86 TORRE 1 APTO. 602</t>
  </si>
  <si>
    <t>PROFESIONAL-8</t>
  </si>
  <si>
    <t>ALBARRACIN</t>
  </si>
  <si>
    <t>JORGE ELIECER</t>
  </si>
  <si>
    <t>realizar actividades administrativas en el desarrollo de los procesos de la dependencia, de acuerdo con las directrices impartidas por el jefe inmediato.</t>
  </si>
  <si>
    <t>1.Trascribir los documentos que le sean asignados para revisión y firma del jefe inmediato, con oportunidad, eficiencia y calidad. 
2.Organizar el proceso de correspondencia y archivo de la dependencia, de acuerdo con los procedimientos establecidos y las normas vigentes. 3.Realizar el control sobre los elementos de consumo de la dependencia con el fin de determinar su necesidad real y solicitar los necesarios oportunamente. 4.Realizar la actualización de información, validación y consolidación de información en las bases de datos o herramientas de software, como soporte para la toma de decisiones de la Dependencia. 5.Prestar atención telefónica y presencial sobre los trámites que adelanta la dependencia con oportunidad y veracidad. 6.Desempeñar las demás funciones que le asigne el superior inmediato de acuerdo a la naturaleza del cargo.</t>
  </si>
  <si>
    <t>QUINTERO</t>
  </si>
  <si>
    <t>OCTAVIO</t>
  </si>
  <si>
    <t>CASTILLA</t>
  </si>
  <si>
    <t>OLAYA</t>
  </si>
  <si>
    <t>CLAUDIA BEATRIZ</t>
  </si>
  <si>
    <t>SIERRA</t>
  </si>
  <si>
    <t>LABORDE</t>
  </si>
  <si>
    <t>ROSA ISABEL</t>
  </si>
  <si>
    <t>CHACON</t>
  </si>
  <si>
    <t>TRIVIÃ‘O</t>
  </si>
  <si>
    <t>BONILLA</t>
  </si>
  <si>
    <t>VIKY MILENA</t>
  </si>
  <si>
    <t>MAGDA EDITH</t>
  </si>
  <si>
    <t>CALLE 129C NÂº 98A-03</t>
  </si>
  <si>
    <t>SUAREZ</t>
  </si>
  <si>
    <t>ZULMA</t>
  </si>
  <si>
    <t>16-PROFESIONAL</t>
  </si>
  <si>
    <t>ANAYA</t>
  </si>
  <si>
    <t>SARMIENTO</t>
  </si>
  <si>
    <t>MARULANDA</t>
  </si>
  <si>
    <t>CARRERA 7B NÂ° 146-50 APTO 304</t>
  </si>
  <si>
    <t>PINILLA</t>
  </si>
  <si>
    <t>SERRANO</t>
  </si>
  <si>
    <t>ESTHER</t>
  </si>
  <si>
    <t>MESA</t>
  </si>
  <si>
    <t>GLORIA ASTRID</t>
  </si>
  <si>
    <t>SALCEDO</t>
  </si>
  <si>
    <t>RONDON</t>
  </si>
  <si>
    <t>TAMAYO</t>
  </si>
  <si>
    <t>LINA BRIYITH</t>
  </si>
  <si>
    <t>GLORIA ESTHER</t>
  </si>
  <si>
    <t>CARRERA 90 NÂ° 135 B - 47</t>
  </si>
  <si>
    <t>DIANA PAOLA</t>
  </si>
  <si>
    <t>AVILA</t>
  </si>
  <si>
    <t>MARIN</t>
  </si>
  <si>
    <t>ALEXANDRA</t>
  </si>
  <si>
    <t>CALLE 158 NO. 101-21</t>
  </si>
  <si>
    <t>URQUIJO</t>
  </si>
  <si>
    <t>LUIS ALFONSO</t>
  </si>
  <si>
    <t>PROFESIONAL-9</t>
  </si>
  <si>
    <t>CASTAÃ‘EDA</t>
  </si>
  <si>
    <t>ZULY NATALIA</t>
  </si>
  <si>
    <t>ACUÃ‘A</t>
  </si>
  <si>
    <t>PORRAS</t>
  </si>
  <si>
    <t>ANGELICA MARIA</t>
  </si>
  <si>
    <t>LINA MARIA</t>
  </si>
  <si>
    <t>CARREERA 53 A 128B 14</t>
  </si>
  <si>
    <t>MARY DAYANA</t>
  </si>
  <si>
    <t>VANEGAS</t>
  </si>
  <si>
    <t>LARGO</t>
  </si>
  <si>
    <t>MARIA CRISTINA</t>
  </si>
  <si>
    <t>MENDIETA</t>
  </si>
  <si>
    <t>CESAR ORLANDO</t>
  </si>
  <si>
    <t>CARRERA 53 NO. 134 - 96</t>
  </si>
  <si>
    <t>NELCY</t>
  </si>
  <si>
    <t>VALDERRAMA</t>
  </si>
  <si>
    <t>PEREIRA</t>
  </si>
  <si>
    <t>MARIA TERESA</t>
  </si>
  <si>
    <t>NOPE</t>
  </si>
  <si>
    <t>MARIA MARGARITA</t>
  </si>
  <si>
    <t>CARRERA 8A NO. 151- 49 APTO 402 TORRE 1</t>
  </si>
  <si>
    <t>CABRERA</t>
  </si>
  <si>
    <t>GABRIELINA</t>
  </si>
  <si>
    <t>APONTE</t>
  </si>
  <si>
    <t>PENSO</t>
  </si>
  <si>
    <t>SILVIA MODESTA</t>
  </si>
  <si>
    <t>CADENA</t>
  </si>
  <si>
    <t>CASAS</t>
  </si>
  <si>
    <t>MARTHA YANETH</t>
  </si>
  <si>
    <t>CALLE 106 NÂº 23 07 APTO. 405</t>
  </si>
  <si>
    <t>DIAGO</t>
  </si>
  <si>
    <t>CASASBUENAS</t>
  </si>
  <si>
    <t>GLORIA MAGDALENA</t>
  </si>
  <si>
    <t>9-ASISTENCIAL</t>
  </si>
  <si>
    <t>17-PROFESIONAL</t>
  </si>
  <si>
    <t>DORA BELEN</t>
  </si>
  <si>
    <t>ZERDA</t>
  </si>
  <si>
    <t>DORIS VANESA</t>
  </si>
  <si>
    <t>ACENETH</t>
  </si>
  <si>
    <t>CR 55 A 169 A 10 IN 1 AP 402</t>
  </si>
  <si>
    <t>FORERO</t>
  </si>
  <si>
    <t>CARMEN ALICIA</t>
  </si>
  <si>
    <t>MARTHA LILIANA</t>
  </si>
  <si>
    <t>ESTRADA</t>
  </si>
  <si>
    <t>URIBE</t>
  </si>
  <si>
    <t>CABALLERO</t>
  </si>
  <si>
    <t>FABIO</t>
  </si>
  <si>
    <t>AZULA</t>
  </si>
  <si>
    <t>KR 17 145 A 23 AP 809</t>
  </si>
  <si>
    <t>PROFESIONAL-10</t>
  </si>
  <si>
    <t>MELO</t>
  </si>
  <si>
    <t>LINA MARCELA</t>
  </si>
  <si>
    <t>OMAIRA</t>
  </si>
  <si>
    <t>MONTAÃ‘A</t>
  </si>
  <si>
    <t>SAENZ</t>
  </si>
  <si>
    <t>BETTY ESPERANZA</t>
  </si>
  <si>
    <t>AURA CRISTINA</t>
  </si>
  <si>
    <t>CALLE 121 NÂ° 47A - 30</t>
  </si>
  <si>
    <t>COTAMO</t>
  </si>
  <si>
    <t>JAIMES</t>
  </si>
  <si>
    <t>MARIA CAMILA</t>
  </si>
  <si>
    <t>RODGERS</t>
  </si>
  <si>
    <t>QUIROGA</t>
  </si>
  <si>
    <t>KATHERYN YOLANDA</t>
  </si>
  <si>
    <t>VILLANUEVA</t>
  </si>
  <si>
    <t>DALIDA</t>
  </si>
  <si>
    <t>CALLE97# 16-50</t>
  </si>
  <si>
    <t>E25</t>
  </si>
  <si>
    <t>CL 142 13 47 CA 6</t>
  </si>
  <si>
    <t>realizar las labores secretariales como apoyo a la gestión de la dependencia, con oportunidad y eficiencia para satisfacer las necesidades.</t>
  </si>
  <si>
    <t>1.Efectuar el envío y la recepción de los documentos y de la correspondencia relacionados con asuntos de competencia del área e trabajo, de acuerdo con las normas y procedimientos respectivos.
2.Custodiar y actualizar el archivo asignado conforme a instrucciones recibidas y con la eficiencia y oportunidad requerida. 3.Elaborar oficios y memorandos para dar trámite a las solicitudes presentadas, conforme a las instrucciones impartidas por el jefe inmediato. 4.Elaborar los informes que le sean requeridos por el jefe inmediato con criterios de oportunidad y efectividad. 5.Prestar atención telefónica y presencial sobre los trámites que adelanta la dependencia con oportunidad y veracidad 6.Desempeñar las demás funciones que le asigne el superior inmediato de acuerdo a la naturaleza del cargo.</t>
  </si>
  <si>
    <t>TELLEZ</t>
  </si>
  <si>
    <t>ALVARO JAVIER</t>
  </si>
  <si>
    <t>CARRERA 68 B NÂº 22 A 62</t>
  </si>
  <si>
    <t>CALLE 3A NÂº 69F 25</t>
  </si>
  <si>
    <t>18-PROFESIONAL</t>
  </si>
  <si>
    <t>BLANCO</t>
  </si>
  <si>
    <t>YUDY ZULEYMA</t>
  </si>
  <si>
    <t>ALARCON</t>
  </si>
  <si>
    <t>ACERO</t>
  </si>
  <si>
    <t>YOMAIRA AMPARO</t>
  </si>
  <si>
    <t>NIÃ‘O</t>
  </si>
  <si>
    <t>GUARIN</t>
  </si>
  <si>
    <t>CARRERA 46 NÂº 141-22 APTO. 101</t>
  </si>
  <si>
    <t>LOZANO</t>
  </si>
  <si>
    <t>CAMARGO</t>
  </si>
  <si>
    <t>CASTRO</t>
  </si>
  <si>
    <t>CLAUDIA MARCELA</t>
  </si>
  <si>
    <t>PROFESIONAL-11</t>
  </si>
  <si>
    <t>BAUTISTA</t>
  </si>
  <si>
    <t>SACIPA</t>
  </si>
  <si>
    <t>GINNA PAOLA</t>
  </si>
  <si>
    <t>TRANSVERSAL 19 BIS NÂº 45D 58</t>
  </si>
  <si>
    <t>DORIS</t>
  </si>
  <si>
    <t>ORGANISTA</t>
  </si>
  <si>
    <t>BUILES</t>
  </si>
  <si>
    <t>SANDRA NICOLASA</t>
  </si>
  <si>
    <t>MARIA CATALINA</t>
  </si>
  <si>
    <t>CALLE 28B NÂ° 12F-33</t>
  </si>
  <si>
    <t>CARDONA</t>
  </si>
  <si>
    <t>LUZ ESPERANZA</t>
  </si>
  <si>
    <t>JENIFER</t>
  </si>
  <si>
    <t>FONSECA</t>
  </si>
  <si>
    <t>KEVIN ANDRES</t>
  </si>
  <si>
    <t>CARRERA 88 NÂº 59C 61 SUR</t>
  </si>
  <si>
    <t>CUBIDES</t>
  </si>
  <si>
    <t>AMAYA</t>
  </si>
  <si>
    <t>MARIA XIMENA</t>
  </si>
  <si>
    <t>LUZ ESTELLA</t>
  </si>
  <si>
    <t>DIANA MARIA</t>
  </si>
  <si>
    <t>E03</t>
  </si>
  <si>
    <t>CARRERA 68 D NO. 40 - 58 SUR</t>
  </si>
  <si>
    <t>RUEDA</t>
  </si>
  <si>
    <t>MANTILLA</t>
  </si>
  <si>
    <t>GAMEZ</t>
  </si>
  <si>
    <t>JOHANA PATRICIA</t>
  </si>
  <si>
    <t>JENIFFER</t>
  </si>
  <si>
    <t>RUBIO</t>
  </si>
  <si>
    <t>LEIDY MILENA</t>
  </si>
  <si>
    <t>MARIA VICTORIA</t>
  </si>
  <si>
    <t>CR 94152 90 IN 7 AP 301 PINAR DE SUBA</t>
  </si>
  <si>
    <t>LUISA FERNANDA</t>
  </si>
  <si>
    <t>CALA</t>
  </si>
  <si>
    <t>ADDILY JOHANNA</t>
  </si>
  <si>
    <t>BRICEIDA</t>
  </si>
  <si>
    <t>MARTHA ALEJANDRA</t>
  </si>
  <si>
    <t>CALLE 160 NÂ°72-34</t>
  </si>
  <si>
    <t>MARIA</t>
  </si>
  <si>
    <t>ALMA ROSA</t>
  </si>
  <si>
    <t>19-PROFESIONAL</t>
  </si>
  <si>
    <t>SOCHA</t>
  </si>
  <si>
    <t>CARLOS ANDRES</t>
  </si>
  <si>
    <t>FORTICH</t>
  </si>
  <si>
    <t>FERNAN ENRIQUE</t>
  </si>
  <si>
    <t>FINO</t>
  </si>
  <si>
    <t>JESSICA ANDREA</t>
  </si>
  <si>
    <t>AGUIRRE</t>
  </si>
  <si>
    <t>CORRALES</t>
  </si>
  <si>
    <t>CARRERA 64 NÂº 23A 49 TORRE 3 APTO. 203</t>
  </si>
  <si>
    <t>HUGO HERNANDO</t>
  </si>
  <si>
    <t>HURTADO</t>
  </si>
  <si>
    <t>WILSON RAMON</t>
  </si>
  <si>
    <t>SKANDIA</t>
  </si>
  <si>
    <t>SALAMANCA</t>
  </si>
  <si>
    <t>PABLO  DANIEL</t>
  </si>
  <si>
    <t>MUÃ‘OZ</t>
  </si>
  <si>
    <t>CORTES</t>
  </si>
  <si>
    <t>BEDOYA</t>
  </si>
  <si>
    <t>SALGADO</t>
  </si>
  <si>
    <t>ANGELA LISETH</t>
  </si>
  <si>
    <t>ALEX</t>
  </si>
  <si>
    <t>CALLE 69 A 18 - 21 SUR</t>
  </si>
  <si>
    <t>OSCAR  ERNESTO</t>
  </si>
  <si>
    <t>HERREÃ‘O</t>
  </si>
  <si>
    <t>JOSE ORLANDO</t>
  </si>
  <si>
    <t>BENAVIDES</t>
  </si>
  <si>
    <t>DIANA MARCELA</t>
  </si>
  <si>
    <t>OVALLE</t>
  </si>
  <si>
    <t>PROFESIONAL-12</t>
  </si>
  <si>
    <t>CUERVO</t>
  </si>
  <si>
    <t>EDGAR ENRIQUE</t>
  </si>
  <si>
    <t>CARRERA 12 ESTE NÂº 30C 135 SOACHA</t>
  </si>
  <si>
    <t>VICTOR HERNANDO</t>
  </si>
  <si>
    <t>FREDY ESTEBAN</t>
  </si>
  <si>
    <t>ZAPATA</t>
  </si>
  <si>
    <t>CARRERA 80J NO. 42-29 SUR</t>
  </si>
  <si>
    <t>WALTER</t>
  </si>
  <si>
    <t>MOLINA</t>
  </si>
  <si>
    <t>HENRY ALBERTO</t>
  </si>
  <si>
    <t>GARAVITO</t>
  </si>
  <si>
    <t>EDGAR ANDRES</t>
  </si>
  <si>
    <t>ESPINOSA</t>
  </si>
  <si>
    <t>JONATHAN</t>
  </si>
  <si>
    <t>Realizar las actividades relacionas con la gestión documental, de correspondencia, atención telefónica y presencial al público como apoyo a la gestión a la dependencia.</t>
  </si>
  <si>
    <t>CALLE 40 B SUR NO. 77 - 24</t>
  </si>
  <si>
    <t>1.	Realizar el proceso de organización de los documentos asignados por el superior, para el cumplimiento de los propósitos de la Dependencia.
2.	Organizar y actualizar el archivo de la dependencia conforme a instrucciones recibidas y a la normatividad vigente y a los procesos de la entidad.
3.	Prestar atención telefónica y presencial sobre los trámites que adelanta la dependencia con oportunidad y veracidad.
4.	Registrar en la agenda los compromisos del superior e informar diariamente sobre las actividades programadas con oportunidad y claridad.     
5.	Desempeñar las demás funciones que le asigne el superior inmediato de acuerdo a la naturaleza del cargo.</t>
  </si>
  <si>
    <t>APERADOR</t>
  </si>
  <si>
    <t>WILLIAM</t>
  </si>
  <si>
    <t>296-297 RES. 020 de 2019</t>
  </si>
  <si>
    <t>PACHON</t>
  </si>
  <si>
    <t>FERNANDO</t>
  </si>
  <si>
    <t>SALAZAR</t>
  </si>
  <si>
    <t>URRUTIA</t>
  </si>
  <si>
    <t>NELSON JULIAN</t>
  </si>
  <si>
    <t>BASTIDAS</t>
  </si>
  <si>
    <t>PADILLA</t>
  </si>
  <si>
    <t>MARIA ALEJANDRA</t>
  </si>
  <si>
    <t>KR 68 A 3 59 SUR</t>
  </si>
  <si>
    <t>PEDRO ALFONSO</t>
  </si>
  <si>
    <t>PINTO</t>
  </si>
  <si>
    <t>SEGURA</t>
  </si>
  <si>
    <t>MIGUEL</t>
  </si>
  <si>
    <t>ALVARO</t>
  </si>
  <si>
    <t>20-PROFESIONAL</t>
  </si>
  <si>
    <t>MARROQUIN</t>
  </si>
  <si>
    <t>CARRERA 78 F 0 33 BLOQUE 1 INTERIROR 4 APTO 302</t>
  </si>
  <si>
    <t>JAUMI MANFRED</t>
  </si>
  <si>
    <t>BERNATE</t>
  </si>
  <si>
    <t>NAVARRO</t>
  </si>
  <si>
    <t>ALVARO CAMILO</t>
  </si>
  <si>
    <t>CAMILO ANDRES</t>
  </si>
  <si>
    <t>CARDOZO</t>
  </si>
  <si>
    <t>RUIZ</t>
  </si>
  <si>
    <t>MURCIA</t>
  </si>
  <si>
    <t>NICOLAS</t>
  </si>
  <si>
    <t>SAMUEL ARTURO</t>
  </si>
  <si>
    <t>CARRERA 16 NO. 112-67 APARTAMENTO 503</t>
  </si>
  <si>
    <t>URREGO</t>
  </si>
  <si>
    <t>EDUARDO ALEJANDRO</t>
  </si>
  <si>
    <t>ZAMUDIO</t>
  </si>
  <si>
    <t>JUAN CAMILO</t>
  </si>
  <si>
    <t>CARRERA 69 NO. 20-16</t>
  </si>
  <si>
    <t>OMAR ANDRES</t>
  </si>
  <si>
    <t>GERMAN ALBERTO</t>
  </si>
  <si>
    <t>PROFESIONAL-13</t>
  </si>
  <si>
    <t>CR 88 C 26 SUR 21</t>
  </si>
  <si>
    <t>CARLOS JULIO</t>
  </si>
  <si>
    <t>VICTOR HUGO</t>
  </si>
  <si>
    <t>VELANDIA</t>
  </si>
  <si>
    <t>JEFFER FRANK</t>
  </si>
  <si>
    <t>GALLEGO</t>
  </si>
  <si>
    <t>RUBEN DARIO</t>
  </si>
  <si>
    <t>CALLE 4 SUR NÂ° 19B-106 TORRE 12 APTO 402 SOACHA</t>
  </si>
  <si>
    <t>MONCAYO</t>
  </si>
  <si>
    <t>MAURICIO ALEJANDRO</t>
  </si>
  <si>
    <t>SECRETARIO DE DESPACHO</t>
  </si>
  <si>
    <t>MANOTAS</t>
  </si>
  <si>
    <t>MALDONADO</t>
  </si>
  <si>
    <t>EURANIO JOSE</t>
  </si>
  <si>
    <t>OJEDA</t>
  </si>
  <si>
    <t>IAM ALEXANDER</t>
  </si>
  <si>
    <t>ASHLEY JHOANNA</t>
  </si>
  <si>
    <t>CARRERA 67 NO. 58 - 31 SUR TO 3 AP 408</t>
  </si>
  <si>
    <t>GRANADOS</t>
  </si>
  <si>
    <t>GELVES</t>
  </si>
  <si>
    <t>CAPITAL SALUD - EPS</t>
  </si>
  <si>
    <t>DANIEL YIDID</t>
  </si>
  <si>
    <t>SANDOVAL</t>
  </si>
  <si>
    <t>DUVAN</t>
  </si>
  <si>
    <t>21-PROFESIONAL</t>
  </si>
  <si>
    <t>DIEGO ESTEBAN</t>
  </si>
  <si>
    <t>CALLE 98 NO. 21-53</t>
  </si>
  <si>
    <t>CALLE 147 NÂº 11-10 APTO. 1306</t>
  </si>
  <si>
    <t>SUSPES</t>
  </si>
  <si>
    <t>CARRERA 85F NÂº 53 21</t>
  </si>
  <si>
    <t>MATEUS</t>
  </si>
  <si>
    <t>DICKSON HERNANDO</t>
  </si>
  <si>
    <t>CL 78 D 110 72 PLAZOLETA 6 CA 6</t>
  </si>
  <si>
    <t>LENIS</t>
  </si>
  <si>
    <t>LAURA STHEPANY</t>
  </si>
  <si>
    <t>CL 87 SUR 21 49 ESTE</t>
  </si>
  <si>
    <t>PROFESIONAL-14</t>
  </si>
  <si>
    <t>JUAN FELIPE</t>
  </si>
  <si>
    <t>TRANSVERSAL 85G NÂº 24C 56</t>
  </si>
  <si>
    <t xml:space="preserve">Realizar las labores de aseo y cafetería, de acuerdo con los lineamientos y parámetros establecidos. </t>
  </si>
  <si>
    <t>1.	Realizar labores de aseo en las diferentes áreas y/o sede de la Secretaría Jurídica Distrital con oportunidad.
2.	Efectuar el suministro de los servicios de cafetería de manera oportuna, de acuerdo con los parámetros establecidos por la Entidad. 
3.	Efectuar la limpieza de los baños y el abastecimiento de los mismos, con criterios de oportunidad. 
4.	Efectuar las labores de limpieza de las instalaciones y bienes muebles de la Entidad, con calidad y oportunidad. 
5.	Conservar con higiene los instrumentos de trabajo para contribuir en la salud de los funcionarios de la entidad. 
6.	Desempeñar las demás funciones que le asigne el superior inmediato de acuerdo a la naturaleza del cargo.</t>
  </si>
  <si>
    <t>313-314 RES.020 de 2019</t>
  </si>
  <si>
    <t>CALLE 63C NÂº 73A 20</t>
  </si>
  <si>
    <t>7-ASISTENCIAL</t>
  </si>
  <si>
    <t>22-PROFESIONAL</t>
  </si>
  <si>
    <t>TRIANA</t>
  </si>
  <si>
    <t>CALLE 153 A 104 46</t>
  </si>
  <si>
    <t>CALLE 53B SUR NÂº 5C 33 ESTE</t>
  </si>
  <si>
    <t>CARRERA 9 NÂº 52A 11 APTO.301</t>
  </si>
  <si>
    <t>BARBOSA</t>
  </si>
  <si>
    <t>JASON</t>
  </si>
  <si>
    <t>CALLE 31 SUR NÂº 52C 82</t>
  </si>
  <si>
    <t>CALLE 69 J NO. 18 M - 40 SUR</t>
  </si>
  <si>
    <t>CARRERA 30 NÂº 48-30 APTO. 317</t>
  </si>
  <si>
    <t>PROFESIONAL-15</t>
  </si>
  <si>
    <t>ALIANSALUD EPS S.A.</t>
  </si>
  <si>
    <t>23-PROFESIONAL</t>
  </si>
  <si>
    <t>ROSAS</t>
  </si>
  <si>
    <t>HENAO</t>
  </si>
  <si>
    <t>ANGELA CRISTINA</t>
  </si>
  <si>
    <t>CALLE 146 NÂº 12A-89 APTO.405</t>
  </si>
  <si>
    <t>YANNY ALEXANDRA</t>
  </si>
  <si>
    <t>CALLE 16A NÂ° 4-60 APTO 505 TUNJA</t>
  </si>
  <si>
    <t>1.	Efectuar el suministro de los servicios de cafetería de manera oportuna, de acuerdo con los parámetros establecidos por la entidad. 
2.	Efectuar la limpieza de los baños y el abastecimiento de los mismos, con criterios de oportunidad. 
3.	Efectuar las labores de limpieza de las instalaciones y bienes muebles de la entidad, con calidad y oportunidad. 
4.	Conservar con higiene los instrumentos de trabajo para contribuir en la salud de los funcionarios de la entidad. 
5.	Desempeñar las demás funciones que le asigne el superior inmediato de acuerdo a la naturaleza del cargo. Desempeñar las demás funciones que le asigne el superior inmediato de acuerdo a la naturaleza del cargo.</t>
  </si>
  <si>
    <t>315-316 RES. 020 de 2019</t>
  </si>
  <si>
    <t>PARRA</t>
  </si>
  <si>
    <t>MONICA ROCIO</t>
  </si>
  <si>
    <t>CARRERA 54 NÂº 64A 45</t>
  </si>
  <si>
    <t>CARRERA 9A NÂº 68 70 APTO. 315 MONTERIA</t>
  </si>
  <si>
    <t>3-ASISTENCIAL</t>
  </si>
  <si>
    <t>24-PROFESIONAL</t>
  </si>
  <si>
    <t>ELSA MARGARITA</t>
  </si>
  <si>
    <t>CARRERA 6 NO. 124-37</t>
  </si>
  <si>
    <t>JUSTIN RENE</t>
  </si>
  <si>
    <t>CARRERA 102 NÂº 69 19 CASA 38</t>
  </si>
  <si>
    <t>COOMEVA E.P.S.</t>
  </si>
  <si>
    <t>TERNERA</t>
  </si>
  <si>
    <t>BONETH</t>
  </si>
  <si>
    <t>JOSE ALFONSO</t>
  </si>
  <si>
    <t>CARRERA 19A NÂº 120 32 APTO. 202</t>
  </si>
  <si>
    <t>PROFESIONAL-16</t>
  </si>
  <si>
    <t>JHON ESTIBEN</t>
  </si>
  <si>
    <t>CALLE 11 D NÂ° 81D - 20</t>
  </si>
  <si>
    <t>Formular, orientar y coordinar la gerencia jurídica del Distrito Capital; la definición, adopción, coordinación y ejecución de políticas en materia de contratación estatal, gestión judicial, representación judicial y extrajudicial, gestión disciplinaria Distrital, prevención del daño antijurídico, gestión de la información jurídica e inspección, vigilancia y control de las entidades sin ánimo de lucro, en procura de lograr la optimización de la gestión jurídica de la administración Distrital; y resolver los procesos disciplinarios de su competencia, de conformidad con lo establecido con la normativa vigente.</t>
  </si>
  <si>
    <t>1. Dirigir, coordinar y controlar las funciones jurídicas y administrativas de la Secretaría Jurídica Distrital para el cumplimiento de la misión y de objetivos institucionales, en el marco de los principios de racionalización del gasto.
2. Orientar al/la alcalde/sa mayor en la adopción de políticas, planes y programas relacionados con la gestión jurídica en el Distrito Capital, para garantizar la aplicación de la normativa vigente, con criterios de eficacia y eficiencia en la gestión.
3. Orientar al/la alcalde/sa mayor en el ejercicio de sus atribuciones constitucionales y legales garantizando la oportunidad y la eficiencia en las decisiones que se adopte.
4. Dirigir los procesos de articulación de las políticas, planes, programas y proyectos de las entidades distritales con la política jurídica nacional, con criterios de oportunidad y calidad.
5. Orientar al/la alcalde/sa mayor en los asuntos relacionados con los proyectos de acuerdo que deban presentarse al Concejo de Bogotá, a efectos de garantizar la legalidad y constitucionalidad de los mismos.
6. Dirigir la formulación, definición, ejecución y coordinación de las políticas de gerencia jurídica pública en el Distrito Capital de manera eficiente y efectiva.
7. Adoptar y evaluar las políticas de la gerencia jurídica pública, la gestión judicial y la prevención del daño antijurídico, así como las políticas en materia disciplinarias, de manera eficiente y oportuna.
8. Orientar la formulación de las políticas públicas disciplinarias en el Distrito Capital y realizar el seguimiento de las mismas con criterios de oportunidad y eficiencia.
9. Dirigir la formulación y orientar las políticas y estrategias de la función de inspección, vigilancia y control a las entidades sin ánimo de lucro domiciliadas en el Distrito Capital, de conformidad con la normativa vigente.                                                                                                  10. Definir la formulación e implementación de las políticas para el establecimiento, desarrollo y mejoramiento continuo del Sistema Integrado de Gestión y del Sistema de Control Interno de la Entidad con criterios de eficiencia, eficacia y oportunidad.
11. Coordinar los informes de las labores de la Secretaría al/la alcalde/sa mayor, a los organismos de control y a las demás autoridades que los requieran, dentro del marco legal establecido y con la oportunidad requerida.
12. Liderar la formulación de la política de comunicaciones interna y externa de la Secretaría Jurídica Distrital con el objeto de aportar al desarrollo de la misión y visión de la entidad.
13. Llevar a cabo las actuaciones a que haya lugar dentro del proceso disciplinario en segunda instancia adelantado contra los funcionarios de la Secretaría Jurídica Distrital, de conformidad con la normativa vigente.
14. Fallar en segunda instancia los procesos disciplinarios adelantados contra los funcionarios de la Secretaría Jurídica Distrital, garantizando el debido proceso de las partes procesales.
15. Adelantar y orientar la indagación preliminar y la etapa de instrucción en primera instancia de los procesos disciplinarios contra los/as secretarios y ex/secretarios de despacho del Distrito Capital, hasta la formulación del pliego de cargos o su archivo, de conformidad con el Código General Disciplinario o la norma que lo modifique o sustituya y las demás disposiciones vigentes sobre la materia.
16. Resolver el recurso de la doble conformidad contra las decisiones expedidas por los representantes legales de las entidades del distrito nominados por el/la alcalde/sa mayor de Bogotá.
17. Presentar informes de las labores de la Secretaría al/la alcalde/sa mayor, a los organismos de control y a las demás autoridades que los requieran, dentro del marco legal establecido y con la oportunidad requerida.
18. Dirigir y orientar las actuaciones a que haya lugar en el trámite del recurso de la doble conformidad contra las decisiones expedidas por los representantes legales de las entidades del Distrito nominadas por la el/la alcalde/sa mayor de Bogotá.
19. Las demás asignadas o delegadas por el/la alcalde/sa mayor u otras autoridades distritales.</t>
  </si>
  <si>
    <t>Estudio: Título de formación profesional en: Derecho; Jurisprudencia; Leyes y Jurisprudencia; Derecho y Ciencias Sociales; Derecho y Ciencias Políticas; Derecho y Ciencias Humanas del NBC de Derecho y afines.
Título de posgrado en áreas relacionadas con las funciones del cargo. Tarjeta o matrícula profesional en los casos
reglamentados por la ley.</t>
  </si>
  <si>
    <t>4-7 RES. 074 de 2023</t>
  </si>
  <si>
    <t>25-PROFESIONAL</t>
  </si>
  <si>
    <t>MONTAÃ‘EZ</t>
  </si>
  <si>
    <t>REY</t>
  </si>
  <si>
    <t>MAICOL ANDRÃ‰S</t>
  </si>
  <si>
    <t>CALLE 43 SUR NÂº 6 16 ESTE</t>
  </si>
  <si>
    <t>PROFESIONAL-17</t>
  </si>
  <si>
    <t>VEREDA AZAFRANAL EL RETIRO (SILVANIA)</t>
  </si>
  <si>
    <t>E08</t>
  </si>
  <si>
    <t>Asesorar al Despacho de la Secretaría Jurídica en la formulación, adopción y orientación de la gerencia jurídica del Distrito Capital y en la definición, adopción y ejecución de las políticas en materia de gestión judicial, contractual, inspección, vigilancia y control de las entidades sin ánimo de lucro y prevención del daño antijurídico del Distrito Capital; y llevar a cabo la etapa de juzgamiento dentro de los procesos disciplinarios que instruye la Dirección Distrital de Asuntos Disciplinarios, de conformidad con lo establecido con la normativa vigente.</t>
  </si>
  <si>
    <t>CALLE 2 NÂº 20A 12 (MADRID)</t>
  </si>
  <si>
    <t>1. Dirigir las propuestas de políticas sobre Gerencia Jurídica Pública del Distrito Capital y las demás que se elaboren al interior de la entidad para presentar al Despacho de la Secretaría Jurídica Distrital de acuerdo a la normatividad vigente.
2. Dirigir la ejecución de los servicios jurídicos requeridos por el/a alcalde/sa mayor de Bogotá, D.C., y al/a secretario/a jurídico distrital, con criterios de oportunidad y eficiencia.
3. Dirigir las propuestas y el desarrollo de la política de coordinación jurídica para el Distrito Capital atendiendo los principios de la función pública.
4. Dirigir el control de legalidad de los proyectos de actos administrativos, los convenios interadministrativos, de colaboración y coordinación, de cofinanciación para infraestructura de transporte, cartas de intención, memorandos de entendimiento y las modificaciones respectivas y que remitan las entidades, a excepción de los actos administrativos en materia disciplinaria que deba suscribir el/la alcalde/sa mayor o el/la secretario/a jurídico distrital, de acuerdo al procedimiento establecido en la Secretaría.               
5. Emitir pronunciamientos jurídicos cuando exista disparidad de criterios jurídicos entre sectores administrativos de coordinación de la administración distrital o al interior de un mismo sector administrativo, a solicitud del/la alcalde/sa mayor, del respectivo secretario/a de Despacho o de los/as jefes de las oficinas jurídicas o las dependencias que hagan sus veces, de acuerdo con el artículo 13 del Decreto 430 de 2018 o norma que lo modifique.
6. Dirigir y proponer estrategias para el desarrollo de las actividades, la proyección y el fortalecimiento de las competencias jurídicas del Cuerpo de Abogados del Distrito Capital para la defensa adecuada de los intereses del Distrito.
7. Dirigir el desarrollo de las actividades de las diferentes instancias de coordinación jurídica para la articulación jurídica distrital, aplicando criterios de efectividad y oportunidad.
8. Dirigir la formulación de las políticas y estrategias de la función de inspección, vigilancia y control de las entidades sin ánimo de lucro en el Distrito Capital, en el marco de la normatividad vigente.
9. Dirigir y definir los lineamientos para el desarrollo, mantenimiento e implementación de los sistemas de información jurídica con el fin de garantizar la gestión de la información y la consulta permanente de los mismos.
10. Dirigir la mediación de las controversias jurídicas entre entidades u organismos Distritales suscitadas en el ejercicio de sus funciones, salvo en materia disciplinaria, de acuerdo al procedimiento establecido en la Secretaría.
11. Orientar, articular y coordinar las acciones para el cumplimiento de las funciones a cargo de las direcciones que integran la Subsecretaría Jurídica Distrital con el fin de dar aplicación y desarrollo de la política jurídica distrital.
12. Dirigir las acciones encaminadas a ejercer el control de legalidad de los proyectos de actos administrativos que deba suscribir el/la alcalde/sa mayor o el/la secretario/a jurídico distrital, así como los convenios interadministrativos, de colaboración y coordinación, de cofinanciación para infraestructura de transporte, cartas de intención, memorandos de entendimiento y las modificaciones de todos estos, que deba suscribir el/la alcalde/sa mayor y que remitan las entidades, previas las respectivas revisiones, salvo en materia disciplinaria.                                                                                                                                                                                                                                                                                                                                                                                                                                                                                                                                
13. Resolver los recursos de apelación y/o queja contra los actos administrativos proferidos por la Dirección Distrital de Inspección, Vigilancia y Control y de las demás direcciones que integran la Secretaría Jurídica Distrital de Bogotá, D.C., cuando aquellos sean procedentes.
14. Asesorar jurídicamente a las dependencias de la Secretaría Jurídica Distrital, de manera oportuna, eficiente y cumpliendo los principios de la función pública.
15. Dirigir las actuaciones a que haya lugar dentro del proceso disciplinario en la etapa de juzgamiento de los procesos instruidos por la Dirección Distrital de Asuntos Disciplinarios de conformidad con la normativa vigente.
16. Fallar en primera instancia los procesos disciplinarios instruidos por la Dirección Distrital de Asuntos Disciplinarios en los que se haya proferido pliego de cargos, garantizando el debido proceso de las partes procesales.
17. Desempeñar las demás funciones que le asigne el superior inmediato de acuerdo a la naturaleza del cargo.</t>
  </si>
  <si>
    <t xml:space="preserve">Estudio: Título de formación profesional en: Derecho; Jurisprudencia; Leyes y Jurisprudencia; Derecho y Ciencias Sociales; Derecho y Ciencias Políticas; Derecho y Ciencias Humanas del NBC de Derecho y afines.
Título de posgrado en áreas relacionadas con las funciones del cargo.
Tarjeta o matrícula profesional en los casos
</t>
  </si>
  <si>
    <t>8-11 RES. 074 de 2023</t>
  </si>
  <si>
    <t>PEREA</t>
  </si>
  <si>
    <t>LEIDY YULIETH</t>
  </si>
  <si>
    <t>CALLE 5B NO. 17C-34 NEIVA HUILA</t>
  </si>
  <si>
    <t>ORDINARIO</t>
  </si>
  <si>
    <t>NATALI SOFIA</t>
  </si>
  <si>
    <t>26-PROFESIONAL</t>
  </si>
  <si>
    <t>CALLE 64 NO. 2-40</t>
  </si>
  <si>
    <t>MAMIAN</t>
  </si>
  <si>
    <t>ANYELA VIVIETH</t>
  </si>
  <si>
    <t>KR 30A NO. 25A 20 AP 603</t>
  </si>
  <si>
    <t>DANIEL RICARDO</t>
  </si>
  <si>
    <t>CARRERA 17A NO. 119A-51</t>
  </si>
  <si>
    <t>PROFESIONAL-18</t>
  </si>
  <si>
    <t>CARRERA 27 B NÂ° 5 A- 43</t>
  </si>
  <si>
    <t>POVEDA</t>
  </si>
  <si>
    <t>JESSICA ALEJANDRA</t>
  </si>
  <si>
    <t>CARRERA 82A NÂº 6-37 APTO.325</t>
  </si>
  <si>
    <t>Dirigir y orientar el diseño y desarrollo de los planes, programas y proyectos de gestión corporativa para el cumplimiento de los objetivos institucionales con criterios de oportunidad y eficiencia.</t>
  </si>
  <si>
    <t>BLAYITD SOLEY</t>
  </si>
  <si>
    <t>1. Dirigir y orientar la formulación y ejecución de los planes y los programas en materia de talento humano, administrativa y financiera, gestión documental y archivo, contratación y servicio a la ciudadanía con el propósito de lograr el cumplimiento de sus objetivos trazados de manera oportuna.
2. Asesorar al Secretario/a Jurídico/a Distrital, en el cumplimiento de los objetivos y estrategias relacionadas con la administración de la Entidad, de manera oportuna.
3. Dirigir el proceso de contratación de la Secretaría Jurídica Distrital en todas sus etapas, teniendo en cuenta la normatividad vigente.
4. Dirigir la ejecución de los programas y actividades relacionadas con los asuntos de carácter administrativo, logístico, operativo y financiero, de conformidad con las disposiciones vigentes y dentro de la oportunidad requerida.
5. Dirigir el diseño de mecanismos tendientes a la recepción, trámite y resolución oportuna de las quejas, reclamos, sugerencias y soluciones que los/as ciudadanos/as, o los/as servidores/as públicas formulen, en relación con el cumplimiento de la misión de la Entidad, en los términos que la ley señale y con criterios de eficiencia y oportunidad.
6. Dirigir el desarrollo de estrategias para la atención a la ciudadanía atendiendo los parámetros establecidos en la Política Distrital de atención a la ciudadanía y demás disposiciones vigentes.
7. Liderar y orientar el proceso de Cobro Persuasivo de las obligaciones exigibles pendientes de pago a favor de la Secretaría, en concordancia con la normatividad vigente dentro de la oportunidad requerida.
8. Desempeñar las demás funciones que le asigne el superior inmediato de acuerdo a la naturaleza del cargo.</t>
  </si>
  <si>
    <t>CALLE 71 B NO. 81 A - 94</t>
  </si>
  <si>
    <t>Titulo profesional en disciplina académica de uno de los diguintes los núcleos básicos de conocimiento - NBC-: Economía; Ingeniería Industrial y afines; Administración; Derecho y afines; Ingeniería Administrativa y afines; Contaduría Pública. Titulo de posgrado en áreas relacionadas con la funciones del cargo. Tarjeta o matrícula profesional en los casos reglamentados por la Ley.</t>
  </si>
  <si>
    <t>31-34 RES. 085 de 2020</t>
  </si>
  <si>
    <t>MARTIN</t>
  </si>
  <si>
    <t>DIANA CAMILA</t>
  </si>
  <si>
    <t>CARRERA 17 NÂº 137-28 APTO. 102</t>
  </si>
  <si>
    <t>27-PROFESIONAL</t>
  </si>
  <si>
    <t>MONSALVO</t>
  </si>
  <si>
    <t>LOURDES MARIA</t>
  </si>
  <si>
    <t>CARRERA 9 NO. 59-12</t>
  </si>
  <si>
    <t>CARRERA 17 NO. 43-46 APTO. 202</t>
  </si>
  <si>
    <t>BURBANO</t>
  </si>
  <si>
    <t>MARIA ANGELICA</t>
  </si>
  <si>
    <t>CL 83 5 57 TO B AP 1804</t>
  </si>
  <si>
    <t>PROFESIONAL-19</t>
  </si>
  <si>
    <t>ASTAIZA</t>
  </si>
  <si>
    <t>CHAVES</t>
  </si>
  <si>
    <t>ELIANA STEPHANIE</t>
  </si>
  <si>
    <t>CARRERA 13 NO. 48-50 ED-K3</t>
  </si>
  <si>
    <t>CALLE 69 NO. 6-31</t>
  </si>
  <si>
    <t>Diseñar e implementar las estrategias de investigación y sanción de conductas disciplinarias y de prevención de las mismas, al interior de la Secretaría Jurídica Distrital y en el Distrito Capital, con el fin de contribuir en el fortalecimiento de la política de gerencia jurídica Distrital. Adelantar la etapa de instrucción en primera instancia de los procesos disciplinarios que se adelanten en contra de los servidores y exservidores públicos, en los términos de oportunidad, de conformidad con la normativa vigente sobre la materia.</t>
  </si>
  <si>
    <t>1. Liderar las actividades de formulación de políticas y estrategias para el ejercicio de la función disciplinaria en las entidades y organismos del Distrito Capital, con el fin de garantizar la prevención de conductas disciplinables y la corrupción.
2. Orientar a las diferentes oficinas de control disciplinario en la implementación y aplicación de las políticas que en materia disciplinaria se expidan, a efectos de garantizar la gestión disciplinaria, con criterios de efectividad y de oportunidad.
3. Establecer herramientas de prevención de las conductas disciplinarias para el fortalecimiento institucional y la lucha contra la corrupción aplicables a todos los servidores/as públicos Distritales.
4. Adelantar la etapa de instrucción hasta la notificación del pliego de cargos o la decisión de archivo de los procesos disciplinarios contra los directores y exdirectores de departamentos administrativos, gerentes y exgerentes, presidentes y expresidentes, directores y exdirectores de establecimientos públicos, unidades administrativas especiales, empresas industriales y comerciales del distrito, sociedades de economía mixta, sociedades entre entidades públicas, empresa de acueducto y alcantarillado de Bogotá EAAB-ESP, empresas sociales del estado, agencias, jefes y exjefes de oficinas de control interno, y demás servidores y exservidores públicos nominados por el/la alcalde/sa mayor cuya competencia no esté asignada al secretario jurídico distrital o a otras Oficinas de Control Interno Disciplinario Distrital, de conformidad con el Código General Disciplinario o aquella norma que lo modifique o sustituya y las demás disposiciones vigentes sobre la materia.
5. Adelantar la indagación preliminar y la etapa de instrucción en primera instancia de los procesos disciplinarios contra los/as servidores/as y ex servidores/as de la entidad, hasta la formulación del pliego de cargos o su archivo, de conformidad con el Código General Disciplinario o la norma que lo modifique o sustituya y las demás disposiciones vigentes sobre la materia.
6. Sustanciar las actuaciones propias de la indagación preliminar y la etapa de instrucción en primera instancia de los procesos disciplinarios contra los/as secretarios y ex/secretarios de despacho del Distrito Capital, hasta la formulación del pliego de cargos o su archivo, de conformidad con el Código General Disciplinario o la norma que lo modifique o sustituya y las demás disposiciones vigentes sobre la materia.
7. Sustanciar y proyectar para firma de la alcaldesa mayor de Bogotá D.C., de las decisiones de segunda instancia de los procesos adelantados contra los/as alcaldes/sas locales o ex alcaldes/as locales, cuya primera instancia corresponde a la Secretaría Distrital de Gobierno.
8. Asesorar y mantener informado al Despacho de la Secretaría Jurídica Distrital en todo lo referente a la aplicación del régimen disciplinario y de los procesos que se adelanten contra los servidores de la entidad.
9. Coordinar la proyección de las resoluciones mediante las cuales se haga efectiva la aplicación de las sanciones disciplinarias impuestas a los servidores públicos cuyo
nombramiento haya sido efectuado por el/la alcalde/sa mayor o el/la secretario/a jurídico distrital.
10. Dirigir el seguimiento a la ejecución de las sanciones que se impongan a servidores y ex servidores de la Secretaría, hasta su remisión a la jurisdicción coactiva, si es del caso.
11. Coordinar el desarrollo de las actividades de capacitación a los operadores disciplinarios del Distrito.
12. Encabezar y dirigir la administración y coordinación del Sistema de Información para atender el control y seguimiento de los Procesos Disciplinarios y prestar asesoría e impartir las orientaciones a las entidades y organismos distritales, en el manejo de dicho
sistema, conforme a las reglas que para el efecto determine el Gobierno Nacional, el Distrital y la Secretaría Jurídica Distrital. Así como mantener actualizada la información de los procesos disciplinarios de la entidad, en el Sistema de Información Disciplinaria
Distrital o el que haga sus veces, y fijar procedimientos operativos disciplinarios acorde con las pautas señaladas13. Expedir los pronunciamientos y/o conceptos relacionados con temas de asunto disciplinarios.
14. Coordinar el proceso de notificación y/o comunicación y organización documental de los expedientes disciplinarios en los términos y forma establecida en la normativa disciplinaria vigente.
15. Liderar el proceso de notificación y/o comunicación y organización documental de lo expedientes disciplinarios que conozca en la etapa de instrucción en los términos y forma establecida en la normativa disciplinaria vigente.
16. Resolver las consultas sobre aspectos relacionados con la acción disciplinaria que sformulen a la entidad, en términos de interpretación y aplicación de las normas sobre la materia.
17. Diseñar e implementar estrategias de difusión de la normativa disciplinaria a los servidores de la entidad, con el fin de prevenir la ocurrencia de comportamientos o conductas violatorias de las normas que rigen la materia. 18. Atender las peticiones y requerimientos relacionados con asuntos de su competencia.
19. Orientar y sustanciar las actuaciones que adelanta el/a secretario/a jurídico/a distrital en el trámite del recurso de la doble conformidad contra las decisiones expedidas por lo representantes legales de las Entidades del distrito nominadas por la el/la alcalde/sa
mayor de Bogotá.
20. Las demás funciones  que se le asignen que correspondan a la naturaleza de empleo.</t>
  </si>
  <si>
    <t>Estudio: Título profesional en disciplina académica del núcleo básico de conocimiento en Derecho y afines. Título de posgrado en áreas relacionadas con las funciones del cargo. Tarjeta o matrícula profesional en los casos reglamentados por la Ley.</t>
  </si>
  <si>
    <t>11-15 RES. 074 de 2023</t>
  </si>
  <si>
    <t>PEDRAZA</t>
  </si>
  <si>
    <t>CARRERA 77 19 35 TORRE 1 APTO 804</t>
  </si>
  <si>
    <t>IONA JESSICA</t>
  </si>
  <si>
    <t>CARRERA 30 NÂº 36 309 TORRE 13 APTO.302 SOACHA</t>
  </si>
  <si>
    <t>28-PROFESIONAL</t>
  </si>
  <si>
    <t>E21</t>
  </si>
  <si>
    <t>DURAN</t>
  </si>
  <si>
    <t>CENTENO</t>
  </si>
  <si>
    <t>ADRIANA</t>
  </si>
  <si>
    <t>CARRERA 34D NÂ° 16-51 SUR</t>
  </si>
  <si>
    <t>PROFESIONAL-20</t>
  </si>
  <si>
    <t>LAIDEO</t>
  </si>
  <si>
    <t>MARLY YULY</t>
  </si>
  <si>
    <t>CALLE 9F NO. 16A-02 MOSQUERA CUNDINAMARCA</t>
  </si>
  <si>
    <t>Dirigir la defensa judicial del Distrito Capital, así como proponer estrategias de defensa judicial y prevención del daño antijurídico, encaminadas a la salvaguarda de los intereses litigiosos del Distrito Capital con la eficacia y oportunidad requerida.</t>
  </si>
  <si>
    <t>1. Dirigir y desarrollar las políticas en materia de gestión judicial y extrajudicial, así como en la prevención del daño antijurídico y proponerle a la subsecretaria jurídica distrital previo asesoramiento de la dirección de política jurídica de acuerdo a los procesos establecido en la entidad.
2. Ejercer y liderar la representación judicial y extrajudicial de la Secretaría Jurídica Distrital y del Sector Central de la Administración Distrital, en aquellos asuntos que determine el/la Alcalde/sa Mayor, con eficacia y oportunidad.
3. Dirigir las acciones para establecer las razones de trascendencia económica, social, cultural, ambiental, de seguridad o de otra índole, que debido a su importancia ameriten el ejercicio de la representación judicial y/o extrajudicial por parte de la Secretaría Jurídica Distrital.
4. Dirigir el seguimiento al ejercicio de la defensa judicial de las entidades y organismos Distritales a través de los Sistemas de Información Jurídica establecidos de forma oportuna, veraz y confiable.
5. Orientar la unificación de los criterios de representación judicial y extrajudicial de la Administración Distrital, en los casos que se requieran y de conformidad con la normatividad y jurisprudencia vigente.
6. Asesorar y hacer seguimiento a los Comités de Conciliación de los órganos, entidades y organismos del Distrito Capital que así lo requieran, para la prevención del daño antijurídico y la representación judicial y extrajudicial, con criterios de oportunidad y efectividad de acuerdo a los criterios que se definan por parte de la Subsecretaría Jurídica Distrital.
7. Dirigir y establecer los criterios y medidas administrativas para el cumplimiento y ejecución de las sentencias judiciales, de conformidad con la normatividad y aplicando los principios de la función pública
8. Orientar y establecer los criterios para la proyección de los actos administrativos requeridos para el cumplimiento de sentencias y providencias judiciales de la Secretaría Jurídica Distrital y en aquellos asuntos que determine el/la Alcalde/sa Mayor, de manera oportuna.
9. Dirigir y establecer los criterios para el seguimiento, análisis y coordinación interinstitucional efectiva y oportuna, para el cumplimiento de las sentencias, providencias judiciales de trascendencia económica, social, cultural, ambiental, de seguridad o de impacto jurídico, en las cuales sea parte Bogotá, Distrito Capital, y/o donde la Secretaría Jurídica Distrital actué como representante judicial, o que establezcan obligaciones a cargo del/la Alcalde/sa Mayor de Bogotá, D.C.
10. Dirigir e impartir las orientaciones a las entidades y organismos distritales y definir los entes públicos, mixtos o de otra naturaleza que deben incorporar o intercambiar información en el Sistema de Información de Proceso Judiciales con la oportunidad requerida.
11. Expedir los conceptos jurídicos y pronunciamientos relacionados con su competencia, enmarcados en sus funciones, con criterios de oportunidad y efectividad.
12. Asesorar jurídicamente a las dependencias de la Secretaría Jurídica Distrital en los temas de su competencia.
13. Desempeñar las demás funciones que le asigne el superior inmediato de acuerdo a la naturaleza del cargo.</t>
  </si>
  <si>
    <t>25-28 RES. 085  de 2020</t>
  </si>
  <si>
    <t>GALEANO</t>
  </si>
  <si>
    <t>NAYDA JULYHT</t>
  </si>
  <si>
    <t>AV. BOYACA NÂº 64B 25</t>
  </si>
  <si>
    <t>CALL 144 NO 13-54</t>
  </si>
  <si>
    <t>CAMPUZANO</t>
  </si>
  <si>
    <t>PAULA ANDREA</t>
  </si>
  <si>
    <t>CARRERA 17 NO. 106 - 51</t>
  </si>
  <si>
    <t>CARRERA 9 NO. 48 - 90</t>
  </si>
  <si>
    <t>LAZARO</t>
  </si>
  <si>
    <t>RAISA STELLA</t>
  </si>
  <si>
    <t>CALLE 52B NÂ° 4-39 APTO. 601</t>
  </si>
  <si>
    <t>PROFESIONAL-21</t>
  </si>
  <si>
    <t>CARRERA 14 NÂº 39 18 APTO. 217</t>
  </si>
  <si>
    <t>PATIÃ‘O</t>
  </si>
  <si>
    <t>HOOVER HERNAN</t>
  </si>
  <si>
    <t>CARRERA 5 NÂº 45-25</t>
  </si>
  <si>
    <t>YARCE</t>
  </si>
  <si>
    <t>BARRAGAN</t>
  </si>
  <si>
    <t>CRISTHIAN FELIPE</t>
  </si>
  <si>
    <t>CARRERA 28 46 73 AP 402</t>
  </si>
  <si>
    <t>29-PROFESIONAL</t>
  </si>
  <si>
    <t>JIMMY ARISTIDES</t>
  </si>
  <si>
    <t>CL 48 I BIS 10 C 03 SUR</t>
  </si>
  <si>
    <t>CALLE 56 G SUR NÂ° 88H-60</t>
  </si>
  <si>
    <t>CALLE 119 NO. 11B-68</t>
  </si>
  <si>
    <t>Id Cargo</t>
  </si>
  <si>
    <t>Situación Administrativa</t>
  </si>
  <si>
    <t>Nombres y Apellidos</t>
  </si>
  <si>
    <t>Documento</t>
  </si>
  <si>
    <t>PLANTA</t>
  </si>
  <si>
    <t>PROFESIONAL-22</t>
  </si>
  <si>
    <t>diferencias</t>
  </si>
  <si>
    <t>DAZA</t>
  </si>
  <si>
    <t>MARIA SUSANA</t>
  </si>
  <si>
    <t>CALLE 146 NÂº 58C 21</t>
  </si>
  <si>
    <t>ANA MARTA MIRANDA CORRALES</t>
  </si>
  <si>
    <t>VILLEGAS</t>
  </si>
  <si>
    <t>JESSE JOSE</t>
  </si>
  <si>
    <t>K 12 # 40A 45 SUR</t>
  </si>
  <si>
    <t>Dirigir la elaboración y revisión de los actos administrativos que deben suscribir el/la Alcalde/sa Mayor, Secretario/a Jurídico/a; así como absolver las consultas que formulen las diferentes entidades Distritales, los organismos externos, dependencias de la Secretaría Jurídica Distrital y la ciudadanía en general con la eficacia requerida.</t>
  </si>
  <si>
    <t>1. Liderar las actividades relacionadas con la definición y coordinación de la gestión jurídica Distrital en materia de actos administrativos y de la unidad conceptual del Distrito, para la prevención del daño antijurídico en el Distrito Capital.
2. Dirigir la revisión de la legalidad de los proyectos de actos administrativos y los documentos de contenido o efecto legal procedentes de las entidades y/o organismos distritales que deban ser sancionados o suscritos por el/la Alcalde/sa Mayor y/o el Secretario Jurídico Distrital, diferentes a los previstos en los numerales 8, 9 y 16 del artículo 9 del Decreto Distrital 323 de 2016 o norma que lo modifique.
3. Fijar los criterios para la proyección de los actos administrativos que deben ser suscritos por el/la Secretario/a Jurídico/a Distrital en desarrollo de las funciones misionales de la entidad que le sean asignados.
4. Expedir de manera conjunta con la Subsecretaría Jurídica Distrital los pronunciamientos jurídicos sobre los proyectos de Acuerdo y de Ley, que le sean solicitados a la Secretaría Jurídica Distrital, en los términos de los Decretos Distritales 6 de 2009 y 438 de 2019, o los que los modifiquen, adicionen o sustituyan.
5. Dirigir y orientar la propuesta de criterios de unificación jurídica cuando exista disparidad de criterios, entre las entidades distritales con la oportunidad requerida.
6. Dirigir el desarrollo de asuntos o temáticas que puedan ser objeto de formulación de políticas de acuerdo con el ámbito funcional de la Dirección con la eficacia requerida.
7. Revisar los documentos jurídicos mediante los cuales se resuelvan los recursos de reposición, apelación, queja y las solicitudes de revocatoria directa, interpuestos contra actos expedidos por el Alcalde Mayor, diferentes a temas disciplinarios.
8. Asesorar jurídicamente a las dependencias de la Secretaría Jurídica Distrital en los temas de su competencia.
9. Desempeñar las demás funciones que le asigne el superior inmediato de acuerdo a la naturaleza del cargo.</t>
  </si>
  <si>
    <t>23-25 RES. 085 de 2020</t>
  </si>
  <si>
    <t>OSCAR JAVIER SUAREZ RAMOS</t>
  </si>
  <si>
    <t>CARRERA18 A NO. 53-66</t>
  </si>
  <si>
    <t>CALLE 22B NO. 58-60</t>
  </si>
  <si>
    <t xml:space="preserve">   </t>
  </si>
  <si>
    <t>30-PROFESIONAL</t>
  </si>
  <si>
    <t>MARIA PAULA ALBORNOZ CARDENAS</t>
  </si>
  <si>
    <t>CARRERA 30 NO. 36-309 SUR T12 APTO103 SOACHA</t>
  </si>
  <si>
    <t>MARIA TATIANA MEJIA ROJAS</t>
  </si>
  <si>
    <t>ALBINO</t>
  </si>
  <si>
    <t>LAURA</t>
  </si>
  <si>
    <t>CALLE 119 NÂº 54 34</t>
  </si>
  <si>
    <t>MEDIMAS EPS S.A.S.</t>
  </si>
  <si>
    <t>CARLOS ANDRES BERNAL CASAS</t>
  </si>
  <si>
    <t>CARRERA 3 NO. 16 - 56 FACATATIVA</t>
  </si>
  <si>
    <t>LAURA JULIANA ARIZA HERRERA</t>
  </si>
  <si>
    <t>PROFESIONAL-23</t>
  </si>
  <si>
    <t>RENGIFO</t>
  </si>
  <si>
    <t>MONTAÃ‘O</t>
  </si>
  <si>
    <t>ELKIN</t>
  </si>
  <si>
    <t>CALLE 10 NÂº 86 90 INTERIOR 11 APTO 503 KENNEDY</t>
  </si>
  <si>
    <t>MILDRED PAOLA ARDILA VERGARA</t>
  </si>
  <si>
    <t>KATHERYN YOLANDA RODGERS QUIROGA</t>
  </si>
  <si>
    <t>TREJO</t>
  </si>
  <si>
    <t>MARIA GABRIELA</t>
  </si>
  <si>
    <t>KR 53 A 127 70</t>
  </si>
  <si>
    <t>TOMAS ANDRES</t>
  </si>
  <si>
    <t>CR 6 NÂº 57 53 INT. 505</t>
  </si>
  <si>
    <t>ADRIANA PATRICIA RAMIREZ BAUTISTA</t>
  </si>
  <si>
    <t>CALLE 59 NÂº 14A 82 APTO. 202</t>
  </si>
  <si>
    <t>CARMEN ALICIA FORERO FORERO</t>
  </si>
  <si>
    <t>SENECA</t>
  </si>
  <si>
    <t>CALLE 22 NÂ° 2-80 APTO. 302</t>
  </si>
  <si>
    <t>BETTY ESPERANZA MONTAÑA MORA</t>
  </si>
  <si>
    <t>31-PROFESIONAL</t>
  </si>
  <si>
    <t>WALTER  OSPINA ZAPATA</t>
  </si>
  <si>
    <t>DIK</t>
  </si>
  <si>
    <t>CALLE 22 45 - 36 APTO 703</t>
  </si>
  <si>
    <t>BLAYITD SOLEY JIMENEZ RODRIGUEZ</t>
  </si>
  <si>
    <t>RIVERA</t>
  </si>
  <si>
    <t>GUSTAVO ADOLFO</t>
  </si>
  <si>
    <t>CARRERA 16 C NÂº 164-70 INT. 5 APTO.203</t>
  </si>
  <si>
    <t>6741374   4783938  3124922762</t>
  </si>
  <si>
    <t>D559743</t>
  </si>
  <si>
    <t>PROFESIONAL-24</t>
  </si>
  <si>
    <t>CAGUA</t>
  </si>
  <si>
    <t>NIAMPIRA</t>
  </si>
  <si>
    <t>LUIS ALBERTO</t>
  </si>
  <si>
    <t>CALLE 68  C  No   110 18 CASA 2</t>
  </si>
  <si>
    <t>DIAG. 145 NÂ°32-38 APTO. 503</t>
  </si>
  <si>
    <t>MARLY YULY ROJAS LAIDEO</t>
  </si>
  <si>
    <t>Dirigir las acciones de inspección, vigilancia y control de las entidades sin ánimo de lucro domiciliadas en la ciudad de Bogotá, D.C., que sean de su competencia, con el fin de garantizar que estén cumpliendo con los estatutos, su objeto social y sus obligaciones financieras, acorde con la normatividad que les aplica.</t>
  </si>
  <si>
    <t>GARZON</t>
  </si>
  <si>
    <t>1. Liderar las actividades de coordinación de la gerencia jurídica Distrital en materia de Inspección, Vigilancia y Control de Personas Jurídicas sin Ánimo de Lucro domiciliadas en Bogotá, D.C. de acuerdo a la normatividad y jurisprudencia vigente.
2. Orientar y dirigir el ejercicio de la función de inspección, vigilancia y control a las entidades sin ánimo de lucro domiciliadas en Bogotá D.C., sin perjuicio de las competencias asignadas en la materia, a otras entidades y organismos Distritales, de manera oportuna.
3. Establecer los criterios para la orientación a la ciudadanía y a las entidades sin ánimo de lucro con domicilio en Bogotá D.C., en relación con el marco de regulación legal y en general, respecto de sus derechos y obligaciones frente a la comunidad y las autoridades públicas en ejercicio del derecho de asociación, con criterios de efectividad y oportunidad.
4. Dirigir e impartir instrucciones a las entidades y organismos distritales en la actualización y operación del Sistema de información para para atender el control y seguimiento de las Entidades sin Ánimo de Lucro ESAL, conforme a las reglas que para el efecto determine el Gobierno Distrital y la Secretaría Jurídica Distrital.
5. Dirigir la elaboración de estudios para promover el desarrollo de políticas para el ejercicio de la inspección, vigilancia y control de las entidades sin ánimo de lucro y proponer su formulación a la Dirección Distrital de Política Jurídica de acuerdo con el procedimiento establecido en la Secretaría.
6. Dirigir el sistema de reconocimiento y registro de las ligas de consumidores conforme a las disposiciones especiales sobre la materia.
7. Dirigir la expedición de las certificaciones de existencia y representación legal de las ligas de consumidores y de los Comités de Desarrollo y Control Social de Servicios Públicos Domiciliarios.
8. Dirigir la expedición de las certificaciones especiales con destino a las cámaras de comercio, en los términos del artículo 2.2.2.40.1.8. del Decreto 1074 de 2015 o el que lo modifique, adicione o sustituya, así como las certificaciones de inspección, vigilancia y control e históricas de las entidades sin ánimo de lucro con domicilio en Bogotá, D.C., que sean o hayan sido sujeto de su inspección, vigilancia y control.
9. Dirigir el trámite de legalización a las solicitudes de posesión que formulen aquellos cabildos indígenas legalmente constituidos, que tengan tradición y domicilio en la ciudad, previo a su posesión ante el Alcalde Mayor, de manera eficiente y oportuna.
10. Dirigir la expedición de los conceptos jurídicos y pronunciamientos relacionados con su competencia y enmarcados en sus funciones.
11. Asesorar y asistir jurídicamente a las dependencias de la Secretaría Jurídica Distrital en los temas de su competencia.
12. Desempeñar las demás funciones que le asigne el superior inmediato de acuerdo a la naturaleza del cargo.</t>
  </si>
  <si>
    <t>LUIS ENRIQUE</t>
  </si>
  <si>
    <t>28-31 RES. 085 de 2020</t>
  </si>
  <si>
    <t>CALLE 1 C BIS # 5 A-22</t>
  </si>
  <si>
    <t>FONCEP  ANTIGUO REGIMEN</t>
  </si>
  <si>
    <t>JEFFER FRANK VELANDIA LOPEZ</t>
  </si>
  <si>
    <t>DIANA LICET SANCHEZ CASTIBLANCO</t>
  </si>
  <si>
    <t>CALLE 145 A17 82 APTO 406</t>
  </si>
  <si>
    <t>32-PROFESIONAL</t>
  </si>
  <si>
    <t>Vacaciones</t>
  </si>
  <si>
    <t>CALIXTO</t>
  </si>
  <si>
    <t>GUILLERMO ALFONSO</t>
  </si>
  <si>
    <t>CARRERA 45 NÂº 57 38 APTO. 402</t>
  </si>
  <si>
    <t>DIEGO EMILIO</t>
  </si>
  <si>
    <t>CL 40 # 24-25</t>
  </si>
  <si>
    <t>OMAIRA  ALONSO BERNAL</t>
  </si>
  <si>
    <t>BARRAZA</t>
  </si>
  <si>
    <t>TERRAZA</t>
  </si>
  <si>
    <t>Asesorar a la alta dirección en la verificación y evaluación de los componentes del sistema integrado de gestión y de control interno y en la adopción de mecanismos de autocontrol, autorregulación institucional, valoración del riesgo y mejoramiento continuo, para el cumplimiento de la misión y objetivos de la Entidad, así como las relaciones con entes externos, de conformidad con las normas legales vigentes.</t>
  </si>
  <si>
    <t>CARRERA 9 NÂº 50 60 APTO.504A EDIFICIO MARLY 51</t>
  </si>
  <si>
    <t>1. Planear, dirigir y organizar la verificación y evaluación del Sistema de Control Interno;
2. Verificar que el Sistema de Control Interno esté formalmente establecido dentro de la organización y que su ejercicio sea intrínseco al desarrollo de las funciones de todos los cargos y, en particular, de aquellos que tengan responsabilidad de mando;
3. Verificar que los controles definidos para los procesos y actividades de la organización, se cumplan por los responsables de su ejecución y en especial, que las áreas o empleados encargados de la aplicación del régimen disciplinario ejerzan adecuadamente esta función;
4. Verificar que los controles asociados con todas y cada una de las actividades de la organización, estén adecuadamente definidos, sean apropiados y se mejoren permanentemente, de acuerdo con la evolución de la entidad;
5. Velar por el cumplimiento de las leyes, normas, políticas, procedimientos, planes, programas, proyectos y metas de la organización y recomendar los ajustes necesarios;
6. Servir de apoyo a los directivos en el proceso de toma de decisiones, a fin que se obtengan los resultados esperados;
7. Verificar los procesos relacionados con el manejo de los recursos, bienes y los sistemas de información de la entidad y recomendar los correctivos que sean necesarios;
8. Fomentar en toda la organización la formación de una cultura de control que contribuya al mejoramiento continuo en el cumplimiento de la misión institucional;
9. Evaluar y verificar la aplicación de los mecanismos de participación ciudadana, que en desarrollo del mandato constitucional y legal, diseñe la entidad correspondiente;
10. Mantener permanentemente informados a los directivos acerca del estado del control interno dentro de la entidad, dando cuenta de las debilidades detectadas y de las fallas en su cumplimiento;
11. Verificar que se implanten las medidas respectivas recomendadas;
12. Desempeñar las demás que le asigne el jefe del organismo o entidad, de acuerdo con el carácter de sus funciones. Reglamentado Decreto 1826 de 1994.</t>
  </si>
  <si>
    <t>Titulo profesional. Titulo de posgrado en la modalidad de maestría. Tarjeta profesional en los casos reglamentados por la Ley.</t>
  </si>
  <si>
    <t>LUIS DAUVINY DUARTE ROA</t>
  </si>
  <si>
    <t>6-9 RES. 085 de 2020</t>
  </si>
  <si>
    <t>PROFESIONAL-25</t>
  </si>
  <si>
    <t>EDUARDO ALEJANDRO URREGO BECERRA</t>
  </si>
  <si>
    <t>CALLE 165 B NO. 56B - 12</t>
  </si>
  <si>
    <t>SIN DEFINIR</t>
  </si>
  <si>
    <t>1-TECNICO</t>
  </si>
  <si>
    <t>ERIKA MARCELA MEDINA SANTANA</t>
  </si>
  <si>
    <t>ANYELA PAOLA PULIDO GUTIERREZ</t>
  </si>
  <si>
    <t>DORA RAQUEL BARRERA PALACIO</t>
  </si>
  <si>
    <t>MONTILLA</t>
  </si>
  <si>
    <t>FABIOLA</t>
  </si>
  <si>
    <t>CARRERA 108    16 H-31 BLOQUE 3 CASA 4</t>
  </si>
  <si>
    <t>LIZETH MAYERLY VILLARRAGA ROJAS</t>
  </si>
  <si>
    <t>FALTA N SIDEAP</t>
  </si>
  <si>
    <t>CALLE 155 A NÂ° 7 G-10 BLOQUE 9 APTO 101</t>
  </si>
  <si>
    <t>Gestionar conforme al Plan Estratégico de la Entidad el presupuesto anual de gastos de funcionamiento e inversión para el manejo eficiente y eficaz de los recursos financieros de conformidad con la normatividad vigente.</t>
  </si>
  <si>
    <t>1.	Elaborar y ajustar el anteproyecto de presupuesto anual de gastos de funcionamiento e inversión, con base en la información reportada por las dependencias de la Entidad en concordancia con el plan estratégico siguiendo los lineamientos y parámetros fijados por la Secretaría Distrital de Hacienda.
2.	Elaborar el Plan Anual de Caja (PAC) de acuerdo con la meta global de pagos autorizados por el CONFIS para consolidar e informar a la Tesorería Distrital los pagos programados.
3.	Gestionar la ejecución presupuestal para dar cumplimiento oportuno a los gastos de funcionamiento e inversión, así como realizar el seguimiento y control de la misma, de conformidad al plan estratégico de la Entidad.
4.	Generar el pago de los impuestos inherentes a las obligaciones tributarias de la entidad de conformidad con las disposiciones legales.  
5.	Dar aplicación y velar porque en la Secretaria Jurídica Distrital, las políticas presupuestales dictadas por la Secretaría de Hacienda - Dirección Distrital de Presupuesto, se cumplan.
6.	Presentar los informes gerenciales de presupuesto que requiera la administración, de acuerdo a las instrucciones dadas.
7.	Efectuar el registro, control y seguimiento de las operaciones financieras y presupuestales derivadas del manejo de los recursos externos y de fuente nacional que suscriba la Entidad, en el sistema de presupuesto del Distrital. 
8.	Realizar las modificaciones presupuestales que requiera las dependencias, para garantizar el cumplimiento de las metas de la Entidad.
9.	Preparar la cuenta a la Contraloría de Bogotá, conforme a las disposiciones legales vigentes.
10.	Establecer los criterios para la evaluación económica y financiera de las propuestas presentadas en los procesos de selección, de conformidad a la normatividad vigente.
11.	Proyectar y elaborar los informes y respuestas a observaciones y requerimientos solicitados por la Contraloría de Bogotá, Veeduría Distrital, el Concejo de Bogotá, órganos de control y demás entidades y dependencias, de acuerdo a la normatividad vigente.
12.	Preparar y elaborar estudios e informes estadísticos y analíticos sobre las operaciones y procesos financieros o presupuestales, requeridos a la Entidad, con la oportunidad requerida. 
13.	Proyectar respuesta a consultas, conceptos, peticiones, y atender requerimientos de los procesos de presupuesto, de manera eficiente y oportuna.  
14.	Desempeñar las demás funciones que le asigne el superior inmediato de acuerdo a la naturaleza del cargo.</t>
  </si>
  <si>
    <t>Estudio: Título profesional en: Economía; del núcleo básico de conocimiento en Economía. Título profesional en: Ingeniería Industrial; del
núcleo básico de conocimiento en Ingeniería Industrial y afines. Título profesional en: Administración pública, Administración de Empresas, Administración
Financiera, o Administración Financiera y de Sistemas; del núcleo básico de conocimiento en Administración. Título profesional en: Ingeniería Administrativa o Ingeniería Financiera; del núcleo básico de conocimiento en Ingeniería Financiera y afines. Título profesional en: Contaduría pública; del
núcleo básico de conocimiento en Contaduría Pública. Título de postgrado en áreas relacionadas con las funciones del cargo. Tarjeta o matricula profesional en los casos reglamentados por la Ley.</t>
  </si>
  <si>
    <t>83-86 RES. 020  de 2019</t>
  </si>
  <si>
    <t>MAURICIO ALEJANDRO MONCAYO VALENCIA</t>
  </si>
  <si>
    <t>PROFESIONAL-26</t>
  </si>
  <si>
    <t>BIELVA</t>
  </si>
  <si>
    <t>YULIMAR</t>
  </si>
  <si>
    <t>CALLE 23 NÂº 97 67 APTO. 201 BLOQUE C</t>
  </si>
  <si>
    <t>2-TECNICO</t>
  </si>
  <si>
    <t>MARIA FERNANDA QUIJANO VASQUEZ</t>
  </si>
  <si>
    <t>CARRERA 79 NÂº 19 88 TORRE 1 APTO. 1102</t>
  </si>
  <si>
    <t>MARINA LUZ ORTEGA MONTERO</t>
  </si>
  <si>
    <t>ANDRÉS MAURICIO ORTIZ MAYA</t>
  </si>
  <si>
    <t>CARRERA 31 B NO. 4 A 25 APARTAMENTO 604</t>
  </si>
  <si>
    <t>ANDRÉS FELIPE PUENTES DÍAZ</t>
  </si>
  <si>
    <t>CARRERA 6 NÂº 48A - 27 APTO. 102</t>
  </si>
  <si>
    <t>MARÍA CATALINA JARAMILLO GONZÁLEZ</t>
  </si>
  <si>
    <t>CARRERA 46 NÂº 187 30 INTERIOR 8 APTO. 103</t>
  </si>
  <si>
    <t>CAMILO  GUARIN PRIETO</t>
  </si>
  <si>
    <t>TRANSVERSAL 23 No. 59-50 Apto. 101 BARRIO SAN LUIS</t>
  </si>
  <si>
    <t>2489502-4742602</t>
  </si>
  <si>
    <t>LEIDY YULIETH PEREA RAMÍREZ</t>
  </si>
  <si>
    <t>ejercer la función de contador público de la entidad de acuerdo a la normatividad vigente.</t>
  </si>
  <si>
    <t>1.Certificar los balances, estados contables y los informes contables que requiera la Entidad, de conformidad con la normatividad vigente.
2.Elaborar los registros contables y responder por los estados financieros con base en los balances generados por el sistema, de acuerdo a lo establecido por la Contaduría General de la Nación, directrices de la Secretaría Distrital de Hacienda y entes de control. 3.Incorporar y mantener actualizados los datos en el programa contable para generar oportunamente la información requerida. 4.Elaborar las conciliaciones financieras, cuentas de enlace y reciprocas para la Tesorería Distrital de la Secretaría de Hacienda Distrital, de acuerdo a lo establecido por la Contaduría General de la Nación para establecer la igualdad de saldos. 5.Responder por el desarrollo del Sistema Contable y el manejo de la contabilidad general de la Secretaría Jurídica Distrital, de conformidad con la normatividad vigente. 6.Llevar el manejo y control de los libros oficiales y auxiliares para el perfecto y claro entendimiento de las transacciones, movimientos y saldos de la Entidad. 7.Establecer los criterios y realizar seguimiento a la elaboración de los comprobantes de diario que conformen los estados contables de la Entidad. 8.Establecer los criterios y realizar seguimiento en la elaboración y ejecución de comprobantes de ingreso y egreso de elementos de consumo y devolutivos, en el marco de las directrices establecidas por la dependencia y la normatividad vigente. 9.Realizar el seguimiento y clasificación contable de los inventarios de elementos de consumo, devolutivos, en depósito, cuentas mensuales y anuales, con criterios de eficacia y eficiencia. 10.Elaborar informes requeridos por la Contraloría de Bogotá, la Veeduría Distrital y las demás entidades o dependencias de control de acuerdo con las disposiciones vigentes. 11.Preparar la cuenta a la Contraloría de Bogotá, conforme a las disposiciones legales vigentes.</t>
  </si>
  <si>
    <t>Estudio: Título profesional en: Contaduría Pública; del núcleo básico de conocimiento en Contaduría Pública. Título de posgrado en áreas relacionadas con las funciones del cargo. Tarjeta o matricula profesional en los casos reglamentados por la Ley.</t>
  </si>
  <si>
    <t>80-82 RES. 020 de 2019</t>
  </si>
  <si>
    <t>ADRIANA PATRICIA GUZMAN CONTRERAS</t>
  </si>
  <si>
    <t>QUIMBAYO</t>
  </si>
  <si>
    <t>LUZ ELENA</t>
  </si>
  <si>
    <t>PROFESIONAL-27</t>
  </si>
  <si>
    <t>AC 23A 60 35  BL 5 AP 801</t>
  </si>
  <si>
    <t>DEYSI YANIRA MORENO GUERRERO</t>
  </si>
  <si>
    <t>CALLE 141 No 9-92 APTO 603</t>
  </si>
  <si>
    <t>3-TECNICO</t>
  </si>
  <si>
    <t>GERMAN ALBERTO PULIDO PULIDO</t>
  </si>
  <si>
    <t>ESTHER  PINILLA SERRANO</t>
  </si>
  <si>
    <t>OSCAR JAVIER</t>
  </si>
  <si>
    <t>CALLE 123 NO. 9 C - 45 APTO 102</t>
  </si>
  <si>
    <t>DANIEL YIDID GRANADOS GELVES</t>
  </si>
  <si>
    <t>CALLE 3A NÂº 39A 15 INT. 2 APTO.402</t>
  </si>
  <si>
    <t>LUIS ALFONSO CASTIBLANCO URQUIJO</t>
  </si>
  <si>
    <t>CALLE 152 A 91 76</t>
  </si>
  <si>
    <t>PEDRO ALFONSO MEJIA SIERRA</t>
  </si>
  <si>
    <t>Diagonal 33 No 15-63 apto 101</t>
  </si>
  <si>
    <t>ALVARO  ARDILA MORA</t>
  </si>
  <si>
    <t>Adelantar procesos y emitir conceptos jurídicos en materia disciplinaria, con el objeto de prevenir y sancionar la ocurrencia de comportamientos o conductas que afecten la función pública, aplicando los principios de la función administrativa.</t>
  </si>
  <si>
    <t>MAGDA EDITH GUERRERO BONILLA</t>
  </si>
  <si>
    <t>GARI</t>
  </si>
  <si>
    <t>BEATRIZ ELENA</t>
  </si>
  <si>
    <t xml:space="preserve">1. Orientar al superior inmediato en el ejercicio de la función disciplinaria, en concordancia
con los procedimientos señalados en el Código Disciplinario Único, de manera eficiente
y efectiva.
2. Asesorar, analizar y/o emitir conceptos a las solicitudes de asesoría en asuntos disciplinarios, requeridas por las entidades y organismos Distritales, de manera oportuna.
3. Elaborar y desarrollar estrategias de divulgación en asuntos disciplinarios con calidad y oportunidad, con el objeto de prevenir la ocurrencia de comportamientos o conductas que afecten la función pública.
4. Elaborar diagnósticos y formulación de políticas públicas con criterios de efectiva, que redunden en el mejoramiento de la gestión pública Distrital.
5. Participar en las investigaciones y estudios confiados por el superior inmediato, de manera oportuna.
6. Adelantar las actuaciones disciplinarias en etapa de instrucción de los procesos de alta complejidad que lleve la Dirección Distrital de Asuntos Disciplinarios de competencia el/la alcalde/sa mayor de Bogotá, aplicando los principios de la función pública.
7. Actualizar el Sistema de Información Disciplinaria de forma oportuna, veraz y confiable. 8. Tramitar los actos propios de notificación y comunicación de las actuaciones disciplinarias en el marco del proceso que se profieran en las etapas de instrucción, juzgamiento y en desarrollo de la apelación.
9. Elaborar y presentar informes, conceptos, actos administrativos al superior inmediato y a los organismos de control, sobre las actividades desarrolladas con la oportunidad y periodicidad requerida.
10. Proponer acciones y/o proyectos para desarrollar en los planes estratégicos, de gestión y de inversión de la dependencia y de acuerdo con la política institucional.
11. Sustanciar las actuaciones que adelanta el/a secretario/a jurídico/a distrital en el trámite del recurso de la doble conformidad contra las decisiones expedidas por los representantes legales de las entidades del distrito nominadas por la el/la alcalde/sa mayor de Bogotá.
12. Desempeñar las demás funciones que le asigne el superior inmediato de acuerdo a la naturaleza del cargo.
</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</si>
  <si>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matrícula profesional en los casos reglamentados  por la ley.</t>
  </si>
  <si>
    <t>CALLE 25 NÂ° 68C-50 INT 02 APTO 102</t>
  </si>
  <si>
    <t>22-24 RES. 074 de 2023</t>
  </si>
  <si>
    <t>ALVARO CAMILO BERNATE NAVARRO</t>
  </si>
  <si>
    <t>PROFESIONAL-28</t>
  </si>
  <si>
    <t>CALLE 59 SUR NÂº 62A-84 TORRE 7 APTO.202</t>
  </si>
  <si>
    <t>MARTHA YANETH ORTIZ LEON</t>
  </si>
  <si>
    <t>4-TECNICO</t>
  </si>
  <si>
    <t>DONALDO YAMITH ZABALETA TABOADA</t>
  </si>
  <si>
    <t>GIRALDO</t>
  </si>
  <si>
    <t>MARTHA ALICIA</t>
  </si>
  <si>
    <t>CL 67   No. 11   - 32 BARRIO CHAPINERO APTO 401</t>
  </si>
  <si>
    <t>CRUZ BLANCA E.P.S.</t>
  </si>
  <si>
    <t>NAVA</t>
  </si>
  <si>
    <t>MERY ANEIDA</t>
  </si>
  <si>
    <t>DG 44   No. 43   - 26 CONJUNTO RESIDENCIAL LA ESMERALDA BLOQUE C APTO. 414</t>
  </si>
  <si>
    <t>2 21 22 29</t>
  </si>
  <si>
    <t>MARIA CAMILA COTAMO JAIMES</t>
  </si>
  <si>
    <t>LINA MARCELA MELO RODRIGUEZ</t>
  </si>
  <si>
    <t>ALDANA</t>
  </si>
  <si>
    <t>AVELINO</t>
  </si>
  <si>
    <t>MARTHA CLAUDIA</t>
  </si>
  <si>
    <t>CALLE 30 SUR 9 - 50</t>
  </si>
  <si>
    <t>ZULMA  ROJAS SUAREZ</t>
  </si>
  <si>
    <t>ALMA ROSA RAMOS MARÍA</t>
  </si>
  <si>
    <t>GLORIA EDITH</t>
  </si>
  <si>
    <t>CL 131 A 19 89 AP 206</t>
  </si>
  <si>
    <t>JORGE ELIECER HERNANDEZ ALBARRACIN</t>
  </si>
  <si>
    <t>realizar los estudios para el diseño y la formulación de la política pública de la gerencia jurídica, gestión judicial y gestión contractual para las entidades del distrito capital.</t>
  </si>
  <si>
    <t>CAÃ‘ON</t>
  </si>
  <si>
    <t>DEISY VIVIANA</t>
  </si>
  <si>
    <t>1.Identificar y analizar los problemas de gestión de la entidad, con el fin de elaborar propuestas de política y de gerencia jurídica Distrital, acordes con las necesidades de las entidades Distritales.
2.Diseñar metodologías, estrategias e instrumentos necesarios para la implementación de la política de gerencia jurídica de manera oportuna. 3.Realizar el seguimiento y evaluación a la implementación de la política y lineamientos de gerencia jurídica en las entidades y organismos Distritales, para proponer acciones para la ejecución de la misma de manera oportuna. 4.Realizar seguimiento y evaluación a la información de los Sistemas Jurídicos de manera eficiente y efectiva, con el fin de proponer las estrategias o soluciones para el fortalecimiento de la gerencia jurídica y prevenir el daño antijurídico. 5.Articular los comités o mesas técnicas necesarias para la implementación de la política de gerencia jurídica con calidad y oportunidad. 6.Elaborar los informes y documentos que se le soliciten sobre la implementación de la gerencia jurídica Distrital, de manera oportuna. 7.Proponer acciones y/o proyectos para desarrollar en los planes estratégicos, de gestión y de inversión de la dependencia y de acuerdo con la política institucional. 8.Desempeñar las demás funciones que le asigne el superior inmediato de acuerdo a la naturaleza del cargo.</t>
  </si>
  <si>
    <t>CARRERA 13 NÂº 11 A 22 FACATATIVA</t>
  </si>
  <si>
    <t>Estudio: Título profesional en: Ingeniería Industrial; del núcleo básico de conocimiento en Ingeniería Industrial y afines. Título profesional en: Economía; del núcleo básico de conocimiento en Economía. Título profesional en: Administración Pública, Administración de Empresas, Administración Financiera y de Sistemas o Administración Financiera; del núcleo básico de conocimiento en: Administración. Título de postgrado en áreas relacionadas con las funciones del cargo. Tarjeta o matricula profesional en los casos reglamentados por la Ley.</t>
  </si>
  <si>
    <t>MARTHA LILIANA BARRERA DIAZ</t>
  </si>
  <si>
    <t>58-60 RES. 020 de 2019</t>
  </si>
  <si>
    <t>AGUALIMPIA</t>
  </si>
  <si>
    <t>OCTAVIA</t>
  </si>
  <si>
    <t>CALLE 7A SUR NÂ° 1 58</t>
  </si>
  <si>
    <t>OCTAVIO  QUINTERO LARA</t>
  </si>
  <si>
    <t>PROFESIONAL-29</t>
  </si>
  <si>
    <t>5-TECNICO</t>
  </si>
  <si>
    <t>SANABRIA</t>
  </si>
  <si>
    <t>CHARRY</t>
  </si>
  <si>
    <t>JOVITA IDALBA</t>
  </si>
  <si>
    <t>CARRERA 49 NÂ° 165-30</t>
  </si>
  <si>
    <t>YUDY ZULEYMA RODRIGUEZ BLANCO</t>
  </si>
  <si>
    <t>CABRA</t>
  </si>
  <si>
    <t>MONICA MARIA</t>
  </si>
  <si>
    <t>CR 47 106A 68 AP 412</t>
  </si>
  <si>
    <t>RUBEN DARIO GALLEGO GONZALEZ</t>
  </si>
  <si>
    <t>LLANOS</t>
  </si>
  <si>
    <t>INES LORENA</t>
  </si>
  <si>
    <t>CALLE 70 NÂ° 1B-50 ESTE  APTO 401</t>
  </si>
  <si>
    <t>MIRANDA</t>
  </si>
  <si>
    <t>ANA MARTA</t>
  </si>
  <si>
    <t>ANGELA MARCELA RODRIGUEZ DIAZ</t>
  </si>
  <si>
    <t>CALLE 88 NO. 6-52 APTO 1204</t>
  </si>
  <si>
    <t>CAMILO ANDRES RODRIGUEZ RODRIGUEZ</t>
  </si>
  <si>
    <t>PORTILLO</t>
  </si>
  <si>
    <t>LINARES</t>
  </si>
  <si>
    <t>OLGA CECILIA</t>
  </si>
  <si>
    <t>CALLE 52 NÂº 17 21 APTO. 103</t>
  </si>
  <si>
    <t>EDGAR ENRIQUE OVALLE CUERVO</t>
  </si>
  <si>
    <t>CARRERA 12 NO. 78-51</t>
  </si>
  <si>
    <t>DIEGO ALEJANDRO SOLANO FERNÁNDEZ</t>
  </si>
  <si>
    <t>CAROLINA  LOZANO ARDILA</t>
  </si>
  <si>
    <t>Revisar y evaluar la legalidad de los pronunciamientos jurídicos, lineamientos y políticas de la gerencia jurídica, gestión judicial, contractual, disciplinarios y de daño antijurídico para la defensa de los intereses del distrito capital.</t>
  </si>
  <si>
    <t>1. Identificar y analizar las necesidades y problemas jurídicos, propuestas de lineamientos de política de gerencia jurídica oportunidad.
2. Analizar y proyectar conceptos o actos administrativos de unificación de posiciones jurídicas en las materias que le sean asignadas, con criterios de efectividad.
3. Proyectar los actos administrativos que deciden las segundas instancias de los procesos de investigación de entidades sin ánimo de lucro, conforme a los términos establecidos por ley.
4. Proyectar los actos administrativos necesarios para adelantar la etapa de juzgamiento de los procesos disciplinarios, conforme a los términos establecidos por ley.
5. Actualizar el Sistema de Información Disciplinaria de forma oportuna, veraz y confiable.
6. Proyectar y/o revisar los actos administrativos asignados, que deban ser suscritos por el/ la secretario/a jurídico/a, por el/la alcalde/sa mayor de Bogotá D.C. o cualquier jefe de despacho, de manera oportuna y con calidad.
7. Revisar y hacer comentarios a proposiciones, proyectos de acuerdos, ordenanzas y leyes que le sean asignados, teniendo en cuenta las normativa y jurisprudencia para cada caso, atendiendo criterios de oportunidad.
8. Revisar los proyectos de respuesta de las peticiones o cualquier otra situación que le sea asignada, de acuerdo con el marco legal y constitucional, atendiendo los principios de la función pública.
9. Realizar la práctica de pruebas en la etapa de juzgamiento de los procesos disciplinarios, en el trámite de segunda instancia de los procesos administrativos sancionatorios contra personas jurídicas sin ánimo de lucro y demás actuaciones administrativas que le sean asignadas de manera imparcial y con oportunidad.
10. Realizar seguimientos y participar en mesas de trabajo de manera eficiente, en el marco de la coordinación interinstitucional.
11. Proponer acciones y/o proyectos para desarrollar en los planes estratégicos, de gestión y de inversión de la dependencia y de acuerdo con la política institucional.
12. Desempeñar las demás funciones que le asigne el superior inmediato de acuerdo a la naturaleza del cargo.</t>
  </si>
  <si>
    <t>19-22 RES. 074 de 2023</t>
  </si>
  <si>
    <t>CARRERA 48 NÂº 180A 22</t>
  </si>
  <si>
    <t>PROFESIONAL-30</t>
  </si>
  <si>
    <t>CARMONA</t>
  </si>
  <si>
    <t>WALDINA</t>
  </si>
  <si>
    <t>CR 18   No. 46   - 58 apartamento 504</t>
  </si>
  <si>
    <t>6-TECNICO</t>
  </si>
  <si>
    <t>ETHEL</t>
  </si>
  <si>
    <t>CARRERA 119 NÂº 80-22 INTERIOR 8 APTO. 101</t>
  </si>
  <si>
    <t>JOSÉ ORLANDO ALVARADO HERREÑO</t>
  </si>
  <si>
    <t>BERENICE</t>
  </si>
  <si>
    <t>CALLE 14 SUR NÂº 11-55 APTO. 301</t>
  </si>
  <si>
    <t>NADER</t>
  </si>
  <si>
    <t>JIMENA</t>
  </si>
  <si>
    <t>TRANSVERSAL 39 A 3 A - 07 BLOQUE 5 APTO 402</t>
  </si>
  <si>
    <t>REVELO</t>
  </si>
  <si>
    <t>SONIA DEL ROSARIO</t>
  </si>
  <si>
    <t>PROFESIONAL-31</t>
  </si>
  <si>
    <t>CRA 75 No. 62A - 31SUR</t>
  </si>
  <si>
    <t>GLORIA ESTHER SALCEDO TAMAYO</t>
  </si>
  <si>
    <t>ROBAYO</t>
  </si>
  <si>
    <t>ALFONSO</t>
  </si>
  <si>
    <t>ANDREA</t>
  </si>
  <si>
    <t>CL 145 49 34 AP 308</t>
  </si>
  <si>
    <t xml:space="preserve">Luz  Andrea  Cubillos  Gualdron </t>
  </si>
  <si>
    <t>ESCOBAR</t>
  </si>
  <si>
    <t>REMICIO</t>
  </si>
  <si>
    <t>MARIA PILAR</t>
  </si>
  <si>
    <t>CARRERA 105 NÂº 19-55</t>
  </si>
  <si>
    <t>2676322     2674294</t>
  </si>
  <si>
    <t>JENIFFER  GUTIERREZ GUTIERREZ</t>
  </si>
  <si>
    <t>revisar y evaluar la legalidad de los pronunciamientos jurídicos, lineamientos y políticas de la gerencia jurídica, gestión judicial, contractual, disciplinarios y de daño antijurídico para la defensa de los intereses del distrito capital.</t>
  </si>
  <si>
    <t>Cra. 15 A No. 159 A 10</t>
  </si>
  <si>
    <t>7 03 30 57</t>
  </si>
  <si>
    <t>YOMAIRA AMPARO ALARCON ACERO</t>
  </si>
  <si>
    <t>LUZ DARY MERCHAN LARA</t>
  </si>
  <si>
    <t>CALLE 140 NÂº 13 66 APTO. 1104 TORRE 3</t>
  </si>
  <si>
    <t>7-TECNICO</t>
  </si>
  <si>
    <t>DORA BELEN GUTIERREZ HERNANDEZ</t>
  </si>
  <si>
    <t>CARRERA 26 NÂ° 45C-77 APTO 401</t>
  </si>
  <si>
    <t>MARÍA XIMENA CUBIDES AMAYA</t>
  </si>
  <si>
    <t>MARIA INES DEL ROSARIO</t>
  </si>
  <si>
    <t>CALLE 63 NÂº 37 43 APTO. 402</t>
  </si>
  <si>
    <t>CARLOS ANDRES NIÑO SOCHA</t>
  </si>
  <si>
    <t>LIGIA YANETH</t>
  </si>
  <si>
    <t>CR 10  SUR No. 17   - 74 SOCIEGO SUR AP 203</t>
  </si>
  <si>
    <t>DE GAMBOA</t>
  </si>
  <si>
    <t>MARTHA LUZ</t>
  </si>
  <si>
    <t>Calle 11 Sur No. 4-40 Este</t>
  </si>
  <si>
    <t>Realizar actividades de  defensa judicial  y extrajudicial, así como el análisis y seguimiento de la información jurídica, encaminadas a la salvaguarda  de los intereses litigiosos del Distrito Capital, en los procesos judiciales y extrajudiciales en los que haga parte Bogotá D.C, con oportunidad y eficacia.</t>
  </si>
  <si>
    <t>BRICEIDA  ALVARADO ROJAS</t>
  </si>
  <si>
    <t>CARRERA 12 BIS  No. 36 - 37 SUR</t>
  </si>
  <si>
    <t>1.	Realizar los análisis para la formulación y seguimiento de los lineamientos de política de gerencia jurídica, de acuerdo con los parámetros establecidos y dentro de la oportunidad requerida. 
2.	Desarrollar metodologías para el análisis de la información jurídica, con criterios de oportunidad y eficacia, teniendo en cuenta el precedente judicial, disposiciones e instrucciones del jefe inmediato.
3.	Realizar el acompañamiento técnico en materia de representación judicial  en los procesos de alto impacto y en aquellos que se requiera, con criterios de oportunidad y efectividad.
4.	Efectuar los análisis para la elaboración de lineamientos sobre la conciliación y los comités de conciliación de las Entidades y organismos del Distrito Capital, en temas de alto impacto de manera oportuna
5.	Analizar la acción judicial, extrajudicial de tutela y/o actuación administrativa, en concordancia con la normatividad vigente y con criterios de oportunidad y eficacia. 
6.	Realizar actividades y estrategias de defensa de los intereses del Distrito Capital, en los procesos de alto impacto y en aquellos que se requieran, según las disposiciones vigentes y atendiendo criterios de oportunidad, efectividad y eficacia.
7.	Ejercer la representación judicial y extrajudicial de Bogotá Distrito Capital,  en los procesos judiciales y demás que le sean asignados, realizando todas las gestiones procesales necesarias para la defensa de los intereses del Distrito Capital, cumpliendo con los términos judiciales, administrativos, lo consagrado en el Estatuto del Ejercicio de la Abogacía y oportunamente. 
8.	Analizar la procedencia de acción de repetición, llamamiento de garantía y /o Conciliación, en los casos asignados para presentar al comité de conciliación de la Secretaria Jurídica Distrital, según los procedimientos establecidos y dentro de la oportunidad requerida. 
9.	Realizar el registro y actualización de las actuaciones de los procesos a su cargo así, como las piezas procesales importantes en el Sistema Único de Información de Procesos Judiciales SIPROJ WEB Bogotá y/o el que haga sus veces, según los procedimientos,  normatividad vigente y la calidad y oportunidad requerida. 
10.	Participar en los mesas de trabajos, consejos, y/o comités, levantar las actas correspondientes, e informar al jefe inmediato sobre las conclusiones del mismo. 
11.	Mantener actualizados los expedientes de los procesos a su cargo, con las piezas procesales principales correspondientes de conformidad con las tablas de  retención  documental.
12.	Proyectar los conceptos jurídicos en materia de defensa judicial y prevención del daño antijurídico, en concordancia con la normatividad vigente y de forma oportuna. 
13.	Elaborar los actos administrativos, poderes y documentos que le asigne el superior inmediato dentro de la oportunidad requerida y  en el marco de las competencias de la Secretaría  Jurídica Distrital. 
14.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</si>
  <si>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reglamentadosor la Ley.</t>
  </si>
  <si>
    <t>71-74 RES. 020 de 2019</t>
  </si>
  <si>
    <t>LUZ DARY CORREDOR MORENO</t>
  </si>
  <si>
    <t>JUDITH</t>
  </si>
  <si>
    <t>CL 80 A  No. 106 A  - 21 BOLIVIA APTO. 402</t>
  </si>
  <si>
    <t>LUISA FERNANDA GARCIA AVILA</t>
  </si>
  <si>
    <t>NELCY   TORRES MARTINEZ</t>
  </si>
  <si>
    <t>PROFESIONAL-32</t>
  </si>
  <si>
    <t>8-TECNICO</t>
  </si>
  <si>
    <t>DE GARCIA</t>
  </si>
  <si>
    <t>LUZ STELLA</t>
  </si>
  <si>
    <t>TRANSVERSAL 13G ESTE NÂ° 47 C - 80 SUR</t>
  </si>
  <si>
    <t>SANDRA LISETTE NOVOA DUEÑAS</t>
  </si>
  <si>
    <t>LEIDY JOHANNA ALONSO GUTIÉRREZ</t>
  </si>
  <si>
    <t>ANGELA MARCELA</t>
  </si>
  <si>
    <t>CALLE 146 NO. 12A-40</t>
  </si>
  <si>
    <t>GIOVANNY ALEXANDER CORTES PACHON</t>
  </si>
  <si>
    <t>CARLOS JULIO RAMÍREZ MUÑOZ</t>
  </si>
  <si>
    <t>SANTANA</t>
  </si>
  <si>
    <t>ERIKA MARCELA</t>
  </si>
  <si>
    <t>CALLE 46 B SUR NO. 78 L-56</t>
  </si>
  <si>
    <t>CRISTHIAM DAVID JIMÉNEZ VÁSQUEZ</t>
  </si>
  <si>
    <t>VIVIANA CAROLINA</t>
  </si>
  <si>
    <t>CALLE 23 A NO. 60-35 TORRE 1 APTO 201</t>
  </si>
  <si>
    <t>MÓNICA JULIANA SANMIGUEL ROJAS</t>
  </si>
  <si>
    <t>E06</t>
  </si>
  <si>
    <t>ANDRES FABIAN NOSSA GUZMAN</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</si>
  <si>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reglamentadosor la Ley .</t>
  </si>
  <si>
    <t>Calle 135 A No. 9B - 11 apto 303</t>
  </si>
  <si>
    <t>IVAN DAVID RAMIREZ VALENCIA</t>
  </si>
  <si>
    <t>AGUAS</t>
  </si>
  <si>
    <t>PALENCIA</t>
  </si>
  <si>
    <t>RUBY ESMERALDA</t>
  </si>
  <si>
    <t>CALLE 26 SUR NÂ° 93D - 60</t>
  </si>
  <si>
    <t>9-TECNICO</t>
  </si>
  <si>
    <t>CHEILA ALEXANDRA ALVARADO ROJAS</t>
  </si>
  <si>
    <t>CARRERA 31A NÂº 25 25 APTO.408</t>
  </si>
  <si>
    <t>EDIT MARLENE</t>
  </si>
  <si>
    <t>CR 3   No. 49   - 11 CHAPINERO ALTO</t>
  </si>
  <si>
    <t>TÉCNICO OPERATIVO-1</t>
  </si>
  <si>
    <t>CALLE 64 No. 1-19 INT 1 PISO 4 APT 401</t>
  </si>
  <si>
    <t>MONTEJO</t>
  </si>
  <si>
    <t>YOLANDA</t>
  </si>
  <si>
    <t>CL 63 B  No. 20   - 29 BAQUERO</t>
  </si>
  <si>
    <t>2489187 - 542 73 07 -3124787943</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</si>
  <si>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reglamentadosor la Ley.</t>
  </si>
  <si>
    <t>CUEVAS</t>
  </si>
  <si>
    <t>LUZ MAVEL</t>
  </si>
  <si>
    <t>CALLE 2 NO. 72-17 AMERICAS OCCIDENTAL</t>
  </si>
  <si>
    <t>DUVAN  SANDOVAL RODRIGUEZ</t>
  </si>
  <si>
    <t>10-TECNICO</t>
  </si>
  <si>
    <t>RONCANCIO</t>
  </si>
  <si>
    <t>LUZ MARY</t>
  </si>
  <si>
    <t>CR 28 A  No. 49-A-77 GALERIAS AP. 301</t>
  </si>
  <si>
    <t>PINZON</t>
  </si>
  <si>
    <t>JEANNETT</t>
  </si>
  <si>
    <t>CALLE 173 A NÂ° 20A 32 INTERIOR 3 APTO. 109</t>
  </si>
  <si>
    <t>CR 32 A   No. 23 - 79 INTERIOR 2. A-501</t>
  </si>
  <si>
    <t>MENDOZA</t>
  </si>
  <si>
    <t>HILDA CONSUELO</t>
  </si>
  <si>
    <t>CL 131 B  No. 54 - 21 CASA 63 HACIENDA IBERIA II</t>
  </si>
  <si>
    <t>TÉCNICO OPERATIVO-2</t>
  </si>
  <si>
    <t>ARBELAEZ</t>
  </si>
  <si>
    <t>MARIA CAROLINA</t>
  </si>
  <si>
    <t>CALLE 114 NÂº 56-45 APTO. 203</t>
  </si>
  <si>
    <t>NANCY PATRICIA</t>
  </si>
  <si>
    <t>TRANSV. 76 C BIS NÂº 81 05</t>
  </si>
  <si>
    <t>orientar a la dirección, hacer seguimiento y evaluación de los procesos a cargo de la dependencia.</t>
  </si>
  <si>
    <t>MIGUEL  PINTO SEGURA</t>
  </si>
  <si>
    <t>1.Adoptar e implementar las políticas, directrices o parámetros establecidos por el Departamento Administrativo del Servicio Civil Distrital en materia de empleo público.
2.Diseñar, hacer seguimiento y evaluación a los planes y programas de administración de personal, carrera administrativa, evaluación y seguimiento del desempeño de los funcionarios(as) de la Entidad, en concordancia con la normatividad vigente. 3.Ejecutar y evaluar los planes y programas de salud ocupacional, capacitación, bienestar social e incentivos realizados para los funcionarios(as) de la Entidad, en concordancia con la normatividad vigente. 4.Desarrollar acciones que impacten y mejoren, la selección, desarrollo, permanencia y retiro de los funcionarios de la Entidad, de acuerdo con la planeación estratégica, las políticas institucionales, sectoriales y nacionales, directrices y procedimientos vigentes. 5.Elaborar los informes, actos administrativos, respuestas y en general los documentos que se le soliciten en relación con los procesos y procedimientos asociados a la Dirección de Gestión Corporativa, de conformidad a las instrucciones dadas. 6.Atender y elaborar las respuestas a los requerimientos a las entidades de control sobre los procesos de la dependencia, así como realizar el seguimiento a los planes o acciones de mejoramiento definidos por la Dirección. 7.Promover los estudios e investigaciones que permitan mejorar la prestación de los servicios a cargo de la Entidad, de conformidad con las instrucciones dadas. 8.Controlar el programa anual de compras, de gastos de funcionamiento y verificar el suministro de los elementos requeridos por las dependencias, de conformidad al plan institucional. 9.Llevar el control del uso adecuado de los recursos en la administración de la caja menor, de conformidad a las instrucciones dadas. 10.Asistir a la Dirección en la planeación de la dependencia, así como en la ejecución de las acciones necesarias tendientes al cumplimiento de los objetivos. 11. Apoyar a la Dirección en la realización de los trámites correspondientes para la adquisición de bienes y contratación de servicios. 12. Desempeñar las demás funciones que le asigne el superior inmediato de acuerdo a la naturaleza del cargo.</t>
  </si>
  <si>
    <t xml:space="preserve"> 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Psicología; del núcleo básico de conocimiento en Psicología.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Economía; del núcleo básico de conocimiento en Economía. Título de posgrado en áreas relacionadas con las funciones del cargo. Tarjeta o matricula profesional en los casos reglamentados.</t>
  </si>
  <si>
    <t>86-88 RES. 020 de 2019</t>
  </si>
  <si>
    <t>ERAZO</t>
  </si>
  <si>
    <t>MELIDA ALEXANDRA</t>
  </si>
  <si>
    <t>CR 56 A   137 B  60 INTERIOR 2  AP 606</t>
  </si>
  <si>
    <t>HUGO ALFONSO CABARCAS AYOLA</t>
  </si>
  <si>
    <t>HUGO HERNANDO AGUIRRE CORRALES</t>
  </si>
  <si>
    <t>RABIA</t>
  </si>
  <si>
    <t>AYDA CONSTANZA</t>
  </si>
  <si>
    <t>CR 64 A  No. 5  SUR - 78 BARRIO PRADERA</t>
  </si>
  <si>
    <t>11-TECNICO</t>
  </si>
  <si>
    <t>CALLE 62 BIS SUR NÂº 67-38</t>
  </si>
  <si>
    <t>7103022  5630646</t>
  </si>
  <si>
    <t>KATHERINE PAOLA ARAGON CASTIBLANCO</t>
  </si>
  <si>
    <t>PABON</t>
  </si>
  <si>
    <t>PIEDAD RUBY</t>
  </si>
  <si>
    <t>CL 127 B 19 35 CA 3</t>
  </si>
  <si>
    <t>DANIELA  RODRIGUEZ NARVAEZ</t>
  </si>
  <si>
    <t>ELIANA STEPHANIE ASTAIZA CHAVES</t>
  </si>
  <si>
    <t>DALILA ASTRID</t>
  </si>
  <si>
    <t>CR 69 D 25 50 AP 505</t>
  </si>
  <si>
    <t>ANA LUCY</t>
  </si>
  <si>
    <t>CALLE 23 NÂº 68B-32 INTERIOR 1 APTO. 601</t>
  </si>
  <si>
    <t>JUAN CAMILO RUIZ ZAMUDIO</t>
  </si>
  <si>
    <t>realizar actividades de defensa judicial y extrajudicial, así como el análisis y seguimiento de la información jurídica, encaminadas a la salvaguarda de los intereses litigiosos del distrito capital, en los procesos judiciales y extrajudiciales en los que haga parte bogotá d.c, con oportunidad y eficacia.</t>
  </si>
  <si>
    <t>1.Realizar los análisis para la formulación y seguimiento de los lineamientos de política de gerencia jurídica, de acuerdo con los parámetros establecidos y dentro de la oportunidad requerida. 
2.Desarrollar metodologías para el análisis de la información jurídica, con criterios de oportunidad y eficacia, teniendo en cuenta el precedente judicial, disposiciones e instrucciones del jefe inmediato. 3.Realizar el acompañamiento técnico en materia de representación judicial en los procesos de alto impacto y en aquellos que se requiera, con criterios de oportunidad y efectividad. 4.Efectuar los análisis para la elaboración de lineamientos sobre la conciliación y los comités de conciliación de las Entidades y organismos del Distrito Capital, en temas de alto impacto de manera oportuna 5.Analizar la acción judicial, extrajudicial de tutela y/o actuación administrativa, en concordancia con la normatividad vigente y con criterios de oportunidad y eficacia. 6.Realizar actividades y estrategias de defensa de los intereses del Distrito Capital, en los procesos de alto impacto y en aquellos que se requieran, según las disposiciones vigentes y atendiendo criterios de oportunidad, efectividad y eficacia. 7.Ejercer la representación judicial y extrajudicial de Bogotá Distrito Capital, en los procesos judiciales y demás que le sean asignados, realizando todas las gestiones procesales necesarias para la defensa de los intereses del Distrito Capital, cumpliendo con los términos judiciales, administrativos, lo consagrado en el Estatuto del Ejercicio de la Abogacía y oportunamente. 8.Analizar la procedencia de acción de repetición, llamamiento de garantía y /o Conciliación, en los casos asignados para presentar al comité de conciliación de la Secretaria Jurídica Distrital, según los procedimientos establecidos y dentro de la oportunidad requerida. 9.Realizar el registro y actualización de las actuaciones de los procesos a su cargo así, como las piezas procesales importantes en el Sistema Único de Información de Procesos Judiciales SIPROJ WEB Bogotá y/o el que haga sus veces, según los procedimientos, normatividad vigente y la calidad y oportunidad requerida.
10. Participar en los mesas de trabajos, consejos, y/o comités, levantar las actas correspondientes, e informar al jefe inmediato sobre las conclusiones del mismo. 11. Mantener actualizados los expedientes de los procesos a su cargo, con las piezas procesales principales correspondientes de conformidad con las tablas de retención documental. 12. Proyectar los conceptos jurídicos en materia de defensa judicial y prevención del daño antijurídico, en concordancia con la normatividad vigente y de forma oportuna. 13. Elaborar los actos administrativos, poderes y documentos que le asigne el superior inmediato dentro de la oportunidad requerida y en el marco de las competencias de la Secretaría Jurídica Distrital. 14. 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</si>
  <si>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</si>
  <si>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CASTELLANOS</t>
  </si>
  <si>
    <t>MARTHA LIGIA</t>
  </si>
  <si>
    <t>CARRERA 12 22 A - 20 SUR</t>
  </si>
  <si>
    <t>HELVER MANUEL MORA MONTOYA</t>
  </si>
  <si>
    <t>DIANA ESTHER</t>
  </si>
  <si>
    <t>CALLE 123 No. 46-45 AP. 513</t>
  </si>
  <si>
    <t>MARIA MERY</t>
  </si>
  <si>
    <t>carrera118 NÂ° 86-20 Int 40 Apt 203</t>
  </si>
  <si>
    <t>12-TECNICO</t>
  </si>
  <si>
    <t>MARTHA YOLANDA</t>
  </si>
  <si>
    <t>Cra 27 No 161 - 90 Casa 35</t>
  </si>
  <si>
    <t>6 79 39 50</t>
  </si>
  <si>
    <t>GLORIA INES MARTINEZ ORTIZ</t>
  </si>
  <si>
    <t>JUAN CARLOS MARTINEZ BERNAL</t>
  </si>
  <si>
    <t>CALLE 34 SUR No 93-20</t>
  </si>
  <si>
    <t>Licencia por maternidad</t>
  </si>
  <si>
    <t>DIANA  CAROLINA CASTILLO OTALORA</t>
  </si>
  <si>
    <t>NANCY STELLA</t>
  </si>
  <si>
    <t>CRA 72 B  62 F 46 SUR MANZANA 24 ENTRADA 8 APT.202</t>
  </si>
  <si>
    <t>JEIMMY JOHANNA PÁEZ GIL</t>
  </si>
  <si>
    <t>LUIS CARLOS GAONA FARIAS</t>
  </si>
  <si>
    <t>CLL 106 A NO. 58 04 APTO 501</t>
  </si>
  <si>
    <t>CARRERA 58 C NÂ° 152 B 66 INT. 7 APTO 503</t>
  </si>
  <si>
    <t>13-TECNICO</t>
  </si>
  <si>
    <t>ALEXANDRA  AVILA MARIN</t>
  </si>
  <si>
    <t>TIBAMOSCA</t>
  </si>
  <si>
    <t>VILLAMARIN</t>
  </si>
  <si>
    <t>SANDRA YANETH</t>
  </si>
  <si>
    <t>CALLE 88 B # 30 - 77</t>
  </si>
  <si>
    <t>CAROLINA  ANAYA SARMIENTO</t>
  </si>
  <si>
    <t>TRANSVERSAL 80H NÂº 66A 04 SUR ( BOSA)</t>
  </si>
  <si>
    <t>DAVID ALEJANDRO MORA BERMUDEZ</t>
  </si>
  <si>
    <t>JOSE JAVIER PINTO CASTAÑEDA</t>
  </si>
  <si>
    <t>PRIETO</t>
  </si>
  <si>
    <t>TÉCNICO OPERATIVO-3</t>
  </si>
  <si>
    <t>LIDA DE LOS ANGELES</t>
  </si>
  <si>
    <t>CALLE 6A NÂº 93D 67 INTERIOR 9 APTO. 501</t>
  </si>
  <si>
    <t>DALIDA  VILLANUEVA SANCHEZ</t>
  </si>
  <si>
    <t>MEDRANO</t>
  </si>
  <si>
    <t>GLORIA PATRICIA</t>
  </si>
  <si>
    <t>CARRERA 36 NÂº 16 44 SUR</t>
  </si>
  <si>
    <t>NICOLAS SANTIAGO SOTO ALBA</t>
  </si>
  <si>
    <t>DANIEL FERNANDO BUITRAGO DIAZ</t>
  </si>
  <si>
    <t>ABANETH</t>
  </si>
  <si>
    <t>CALLE 3 NÂ° 20 A-75</t>
  </si>
  <si>
    <t>CALLE 44 D NO. 45-30 APTO. 204 INT. 5</t>
  </si>
  <si>
    <t>JENIFER  CELIS ORTEGA</t>
  </si>
  <si>
    <t>WENDY PAOLA LEON CITA</t>
  </si>
  <si>
    <t>MARIBEL</t>
  </si>
  <si>
    <t>CARRERA 78 I 58 P - 20 SUR</t>
  </si>
  <si>
    <t>MARIA VICTORIA TORRES BECERRA</t>
  </si>
  <si>
    <t>SOFIA</t>
  </si>
  <si>
    <t>CALLE 115 NÂº 9A 10 APTO. 303</t>
  </si>
  <si>
    <t>MARTHA RUBIELA CRUZ PARDO</t>
  </si>
  <si>
    <t>14-TECNICO</t>
  </si>
  <si>
    <t>NUBIA STELLA</t>
  </si>
  <si>
    <t>MARTINEZ MARTINEZ DIANA YURANY</t>
  </si>
  <si>
    <t>carrera 78a No 70-41</t>
  </si>
  <si>
    <t>TÉCNICO OPERATIVO-4</t>
  </si>
  <si>
    <t>CL 54 A SUR 37 - 11 IN 2 AP 502</t>
  </si>
  <si>
    <t>ESTEBAN  RAMIREZ CARDENAS</t>
  </si>
  <si>
    <t>.CALLE 38 No. 16-82 SUR</t>
  </si>
  <si>
    <t>CALLE 30 B BIS NO. 2-34 INT. 5 APTO. 401</t>
  </si>
  <si>
    <t>MARIA PAULA RUEDA MANTILLA</t>
  </si>
  <si>
    <t>CALLE 82 No. 102-79 BLOQUE 10 INT. 6 APTO. 303</t>
  </si>
  <si>
    <t>4406820 o 3007861420</t>
  </si>
  <si>
    <t>CARRERA 37 NÂº 24-30 BLOQUE 4 APTO.1107</t>
  </si>
  <si>
    <t>GABRIELINA  VELASQUEZ CABRERA</t>
  </si>
  <si>
    <t>EDGAR ANDRES GARCIA GARAVITO</t>
  </si>
  <si>
    <t>TRANSVERSAL 71 B NO. 7 C-34</t>
  </si>
  <si>
    <t>VICTOR HERNANDO MURILLO HURTADO</t>
  </si>
  <si>
    <t>CALLE 25 G NÂ° 74 B - 50 TORRE 7 APTO. 631</t>
  </si>
  <si>
    <t>ADDILY JOHANNA CALA CASTRO</t>
  </si>
  <si>
    <t>CARRERA 101 B NÂº 130C - 46</t>
  </si>
  <si>
    <t>15-TECNICO</t>
  </si>
  <si>
    <t>OSCAR ERNESTO LOPEZ ACUÑA</t>
  </si>
  <si>
    <t>TOBON</t>
  </si>
  <si>
    <t>ALEJANDRA</t>
  </si>
  <si>
    <t>CL 137 A 58 70 TO 6 AP 704</t>
  </si>
  <si>
    <t>CURIEL</t>
  </si>
  <si>
    <t>AGUANCHA</t>
  </si>
  <si>
    <t>LAURA GABRIELA</t>
  </si>
  <si>
    <t>CARRERA 54 NÂº 122A 23 CASA 110</t>
  </si>
  <si>
    <t>ALEX  CORTES SALGADO</t>
  </si>
  <si>
    <t>TÉCNICO OPERATIVO-5</t>
  </si>
  <si>
    <t>EURANIO JOSÉ MANOTAS MALDONADO</t>
  </si>
  <si>
    <t>SEPULVEDA</t>
  </si>
  <si>
    <t>ORDOÃ‘EZ</t>
  </si>
  <si>
    <t>LIDA TATIANA</t>
  </si>
  <si>
    <t>CARRERA 73 BIS NÂº 81 20 APTO. 101</t>
  </si>
  <si>
    <t>OLGA LILIANA LONDONO GARCIA</t>
  </si>
  <si>
    <t>GAMBOA</t>
  </si>
  <si>
    <t>PINEDA</t>
  </si>
  <si>
    <t>CLAUDIA YOHANA</t>
  </si>
  <si>
    <t>CARRERA 54 NÂº 59 - 53</t>
  </si>
  <si>
    <t>JUAN DIEGO ACOSTA TORRES</t>
  </si>
  <si>
    <t>SAMUEL ARTURO HERNANDEZ MURCIA</t>
  </si>
  <si>
    <t>LEIDY PAOLA</t>
  </si>
  <si>
    <t>DIAGONAL 2Âª NÂº 66 30</t>
  </si>
  <si>
    <t>AZULA  URIBE CABALLERO</t>
  </si>
  <si>
    <t>GUANTIVA</t>
  </si>
  <si>
    <t>CALLE 27A NÂ° 25 55 APTO. 304</t>
  </si>
  <si>
    <t>SANDRA NICOLASA ORGANISTA BUILES</t>
  </si>
  <si>
    <t>ANDREA DEL PILAR</t>
  </si>
  <si>
    <t>CARRERA 70 C NO. 80-48 TORRE 1 APTO 604</t>
  </si>
  <si>
    <t>FREDY ESTEBAN JAIMES CASTILLO</t>
  </si>
  <si>
    <t>CUBILLOS</t>
  </si>
  <si>
    <t>GUALDRON</t>
  </si>
  <si>
    <t>SONIA TERESA ROA SILVA</t>
  </si>
  <si>
    <t>LUZ ANDREA</t>
  </si>
  <si>
    <t>CALLE 149 NO. 45-59</t>
  </si>
  <si>
    <t>JEHIMY ESPERANZA</t>
  </si>
  <si>
    <t>CARRERA 45 NÂº 22 44 TORRE 4 APTO. 403</t>
  </si>
  <si>
    <t>TÉCNICO OPERATIVO-6</t>
  </si>
  <si>
    <t>JEFFERSON JOSE OSUNA BERRIO</t>
  </si>
  <si>
    <t>SONIA YANETH</t>
  </si>
  <si>
    <t>ALVARO FELIPE ALEJO CASTIBLANCO</t>
  </si>
  <si>
    <t>CALLE 98A NÂº 68 15 APTO. 204</t>
  </si>
  <si>
    <t>CALLE 119 NÂº 70G 32</t>
  </si>
  <si>
    <t>DURLEY  SOTELO HOYOS</t>
  </si>
  <si>
    <t>16-TECNICO</t>
  </si>
  <si>
    <t>PALACIOS</t>
  </si>
  <si>
    <t>OLGA LUCIA</t>
  </si>
  <si>
    <t>CALLE 59 SUR NÂº 74-73</t>
  </si>
  <si>
    <t>RODRIGO DIDIER MUÑOZ CONTRERAS</t>
  </si>
  <si>
    <t>CARRERA 63 NÂ° 23 A - 84 INTERIOR 5 APTO. 403</t>
  </si>
  <si>
    <t>NELSON JULIAN SALAZAR URRUTIA</t>
  </si>
  <si>
    <t>SANDRA MILENA</t>
  </si>
  <si>
    <t>CALLE 132 92-62 CASA 7</t>
  </si>
  <si>
    <t>ANA JULIETH GIL HERRERA</t>
  </si>
  <si>
    <t>MALAVER</t>
  </si>
  <si>
    <t>CALLE 19 NÂº 9 42 CHIA (CUNDINAMARCA)</t>
  </si>
  <si>
    <t>JENNIFER LIZBETH GOMEZ AREVALO</t>
  </si>
  <si>
    <t>CAMPOS</t>
  </si>
  <si>
    <t>ANDREA DEL PILAR CARDENAS SARMIENTO</t>
  </si>
  <si>
    <t>CALLE 36 NÂº 73D 10 SUR</t>
  </si>
  <si>
    <t>TÉCNICO OPERATIVO-7</t>
  </si>
  <si>
    <t>NINI JOHANNA</t>
  </si>
  <si>
    <t>CARRERA 10 NÂº 16 04 SUR APTO. 607</t>
  </si>
  <si>
    <t>MAGDA PATRICIA</t>
  </si>
  <si>
    <t>CARRERA 97 NÂº 24 B 86 C 11</t>
  </si>
  <si>
    <t>LIZARAZO</t>
  </si>
  <si>
    <t>OLGA LUCILA</t>
  </si>
  <si>
    <t>CARRERA 81B NÂ° 13 A 25</t>
  </si>
  <si>
    <t>Proyectar, analizar y efectuar la revisión de legalidad de los actos administrativos de alta complejidad, proyectar conceptos de alta complejidad  y atender peticiones y solicitudes de Control Político, con el fin de prevenir el daño antijurídico y garantizar la seguridad jurídica.</t>
  </si>
  <si>
    <t>1.	Revisar, analizar, evaluar y proyectar los conceptos de alta complejidad, así como los pronunciamientos unificadores o que definen disparidad de criterios entre diversos sectores o de un sector de la administración Distrital, que le sean asignados, con criterios con oportunidad y calidad.  
2.	Revisar, analizar y proyectar respuestas a las solicitudes de comentarios a proyectos de Acuerdo, de ley y de actos legislativos de alta complejidad, que le sean asignados, atendiendo parámetros de oportunidad.
3.	Analizar y proyectar las respuestas a las solicitudes para dirimir controversias entre entidades y organismos Distritales, relacionadas con proyectos de acuerdo, de ley e iniciativas legislativas, con criterios de calidad y oportunidad. 
4.	Elaborar anteproyectos de ley, de actos legislativos, acuerdos, decretos, resoluciones y demás actos administrativos concernientes a las actividades propias de Bogotá, D.C., - Secretaría Jurídica Distrital, que le sean asignados y dentro de la oportunidad requerida.
5.	Revisar, ajustar y tramitar los proyectos de actos administrativos y demás documentos que deban expedir el/la Alcalde/sa Mayor y/o el/la Secretario/a Jurídico/a Distrital, que le sean asignados y que sean de alta complejidad, para garantizar la legalidad de los mismos, con criterios de efectividad y oportunidad. 
6.	Revisar, tramitar, consolidar y proyectar respuestas a las proposiciones, solicitudes y derechos de petición relacionadas con el ejercicio del control político, de conformidad con las disposiciones legales y jurisprudenciales vigentes.
7.	Participar en las mesas de trabajo y reuniones que le sean asignadas, presentar los informes correspondientes y proponer acciones, en caso que se requieran, para la solución de los temas jurídicos que se presenten.
8.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</si>
  <si>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</si>
  <si>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69-71 RES. 020 de 2019</t>
  </si>
  <si>
    <t>CALLE 8A NÂº 92 71 CASA 27</t>
  </si>
  <si>
    <t>E15</t>
  </si>
  <si>
    <t>CRA. 115 N. 149B-10 INT. 6 APTO. 303</t>
  </si>
  <si>
    <t>Resolucion No. 140 del 27 de marzo de 2026, reubicacion, se modifican proposito y funciones</t>
  </si>
  <si>
    <t>17-TECNICO</t>
  </si>
  <si>
    <t>DIAGONAL159B NÂº 14A 40 INTERIOR 18 APTO. 301</t>
  </si>
  <si>
    <t>GINA CATHERINE</t>
  </si>
  <si>
    <t>CL  165B 56 33 AP 302 ED ARABELLA</t>
  </si>
  <si>
    <t>CARRERA 17 NO. 121-50</t>
  </si>
  <si>
    <t>TÉCNICO OPERATIVO-8</t>
  </si>
  <si>
    <t>CULMA</t>
  </si>
  <si>
    <t>SOACHA</t>
  </si>
  <si>
    <t>MARTHA ISABEL</t>
  </si>
  <si>
    <t>CALLE 55 SUR NÂº 79G 20 BLOQUE 23 APTO 403</t>
  </si>
  <si>
    <t>PRECIADO</t>
  </si>
  <si>
    <t>DIANA HERLINDA</t>
  </si>
  <si>
    <t>CALLE 59 SUR NÂº65 31</t>
  </si>
  <si>
    <t>CR 115 89 A 31 IN 6 AP 502</t>
  </si>
  <si>
    <t>CALLE 18 NO. 110 - 61 TORRE 1 APTO 1104</t>
  </si>
  <si>
    <t>18-TECNICO</t>
  </si>
  <si>
    <t>CRA 94  7-83 APTO 603</t>
  </si>
  <si>
    <t>ESTEVEZ</t>
  </si>
  <si>
    <t>ALBA KARINA</t>
  </si>
  <si>
    <t>CALLE 49 B SUR # 10 B 67 IN 2</t>
  </si>
  <si>
    <t>MARITZA</t>
  </si>
  <si>
    <t>CALLE 37 C SUR NÂº 4 36 ESTE</t>
  </si>
  <si>
    <t>YENNY PATRICIA</t>
  </si>
  <si>
    <t>CALLE 67F NÂº 66-19</t>
  </si>
  <si>
    <t>TÉCNICO OPERATIVO-9</t>
  </si>
  <si>
    <t>CARRERA 8H NÂº 166-36 APTO. 306</t>
  </si>
  <si>
    <t>POLANIA</t>
  </si>
  <si>
    <t>TRANSVERSAL 48B NÂº 69D-07 SUR</t>
  </si>
  <si>
    <t>proyectar, analizar y efectuar la revisión de legalidad de los actos administrativos de alta complejidad, proyectar conceptos de alta complejidad y atender peticiones y solicitudes de control político, con el fin de prevenir el daño antijurídico y garantizar la seguridad jurídica.</t>
  </si>
  <si>
    <t>1.Revisar, analizar, evaluar y proyectar los conceptos de alta complejidad, así como los pronunciamientos unificadores o que definen disparidad de criterios entre diversos sectores o de un sector de la administración Distrital, que le sean asignados, con criterios con oportunidad y calidad. 
2.Revisar, analizar y proyectar respuestas a las solicitudes de comentarios a proyectos de Acuerdo, de ley y de actos legislativos de alta complejidad, que le sean asignados, atendiendo parámetros de oportunidad. 3.Analizar y proyectar las respuestas a las solicitudes para dirimir controversias entre entidades y organismos Distritales, relacionadas con proyectos de acuerdo, de ley e iniciativas legislativas, con criterios de calidad y oportunidad. 4.Elaborar anteproyectos de ley, de actos legislativos, acuerdos, decretos, resoluciones y demás actos administrativos concernientes a las actividades propias de Bogotá, D.C., - Secretaría Jurídica Distrital, que le sean asignados y dentro de la oportunidad requerida. 5.Revisar, ajustar y tramitar los proyectos de actos administrativos y demás documentos que deban expedir el/la Alcalde/sa Mayor y/o el/la Secretario/a Jurídico/a Distrital, que le sean asignados y que sean de alta complejidad, para garantizar la legalidad de los mismos, con criterios de efectividad y oportunidad. 6.Revisar, tramitar, consolidar y proyectar respuestas a las proposiciones, solicitudes y derechos de petición relacionadas con el ejercicio del control político, de conformidad con las disposiciones legales y jurisprudenciales vigentes. 7.Participar en las mesas de trabajo y reuniones que le sean asignadas, presentar los informes correspondientes y proponer acciones, en caso que se requieran, para la solución de los temas jurídicos que se presenten. 8.Desempeñar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</si>
  <si>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</si>
  <si>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INGRID MARCELA</t>
  </si>
  <si>
    <t>TRANSV. 1B NÂº 55 66 APTO. 403</t>
  </si>
  <si>
    <t>codigo</t>
  </si>
  <si>
    <t>XIMENA</t>
  </si>
  <si>
    <t>CALLE 119 A NÂº 71 A 19</t>
  </si>
  <si>
    <t>u</t>
  </si>
  <si>
    <t>valoract</t>
  </si>
  <si>
    <t>valorant</t>
  </si>
  <si>
    <t>%</t>
  </si>
  <si>
    <t>105-5</t>
  </si>
  <si>
    <t>19-TECNICO</t>
  </si>
  <si>
    <t>CLARA INES</t>
  </si>
  <si>
    <t>CARRERA 19 A NO. 137 - 37</t>
  </si>
  <si>
    <t>FUENTES</t>
  </si>
  <si>
    <t>TUTA</t>
  </si>
  <si>
    <t>CALLE 96 # 17 - 17</t>
  </si>
  <si>
    <t>115-6</t>
  </si>
  <si>
    <t>QUINTANA</t>
  </si>
  <si>
    <t>PAULA JOHANNA</t>
  </si>
  <si>
    <t>CALLE 72F NÂ° 116B - 84 TORRE 11 APTO. 304</t>
  </si>
  <si>
    <t>20-9</t>
  </si>
  <si>
    <t>ZULMA BIBIANA</t>
  </si>
  <si>
    <t>CALLE 47 SUR NO. 80 - 56</t>
  </si>
  <si>
    <t>TÉCNICO OPERATIVO-10</t>
  </si>
  <si>
    <t>219-10</t>
  </si>
  <si>
    <t>CARRERA 4B 190A 05</t>
  </si>
  <si>
    <t>219-15</t>
  </si>
  <si>
    <t>LA CALERA</t>
  </si>
  <si>
    <t>CALLE 146 NÂº 13 23 APTO. 211 TORRE 5</t>
  </si>
  <si>
    <t>219-8</t>
  </si>
  <si>
    <t>219-9</t>
  </si>
  <si>
    <t>PILAR ANDREA</t>
  </si>
  <si>
    <t>CL 25 68 B 27</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</si>
  <si>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</si>
  <si>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222-19</t>
  </si>
  <si>
    <t>CARRERA 21 NÂº 103 51 APTO. 601</t>
  </si>
  <si>
    <t>222-20</t>
  </si>
  <si>
    <t>CARRERA 78 L 51 A 17 SUR</t>
  </si>
  <si>
    <t>222-21</t>
  </si>
  <si>
    <t>Este empleo fue reubicado de la Dirección de Política Jurídica a  la Dirección de Doctrina y Asuntos Normativos (Resolución No. 660 de 2023)</t>
  </si>
  <si>
    <t>20-TECNICO</t>
  </si>
  <si>
    <t>CALLE 36 SUR NÂº 93 75</t>
  </si>
  <si>
    <t>222-24</t>
  </si>
  <si>
    <t>CALLE 152 NO. 58-49 CASA 12</t>
  </si>
  <si>
    <t>TÉCNICO OPERATIVO-11</t>
  </si>
  <si>
    <t>222-25</t>
  </si>
  <si>
    <t>222-26</t>
  </si>
  <si>
    <t>MENDEZ</t>
  </si>
  <si>
    <t>AC 26 # 44 A 77</t>
  </si>
  <si>
    <t>CALLE34 SUR NÂº 12 71 TORRE 6 APTO. 404</t>
  </si>
  <si>
    <t>CELEMIN</t>
  </si>
  <si>
    <t>ALBA YAMILE</t>
  </si>
  <si>
    <t>AV. CARRERA 89 NÂº 127 05 BOSQUES DE SALAMANCA</t>
  </si>
  <si>
    <t>314-20</t>
  </si>
  <si>
    <t>CALLE 35 NÂº 0-09 CASA 9 CHIA</t>
  </si>
  <si>
    <t>314-21</t>
  </si>
  <si>
    <t>OMANA</t>
  </si>
  <si>
    <t>ELAYNE LILIANA</t>
  </si>
  <si>
    <t>CARRERA 89 NÂ° 19A-49 INTERIOR 8 APTO. 302</t>
  </si>
  <si>
    <t>314-9</t>
  </si>
  <si>
    <t>DUCAT</t>
  </si>
  <si>
    <t>SONIA CRISTINA</t>
  </si>
  <si>
    <t>CALLE 64 NÂº 52 53 TORRE 7 APTO. 1203 ETAPA 3</t>
  </si>
  <si>
    <t>CALLE 66 NÂ° 59-31 TORRE11 APTO. 704</t>
  </si>
  <si>
    <t>TÉCNICO OPERATIVO-12</t>
  </si>
  <si>
    <t>MAGDA MERCEDES</t>
  </si>
  <si>
    <t>CARRERA 88A NÂº 21-75 CASA 196</t>
  </si>
  <si>
    <t>21-TECNICO</t>
  </si>
  <si>
    <t>ELSA</t>
  </si>
  <si>
    <t>CALLE 64A NÂº 52-53  TORRE 7 APTO.602</t>
  </si>
  <si>
    <t>HERNAN BENJAMIN</t>
  </si>
  <si>
    <t>CR 38 A  NO. 125 A  - 75 ATABANZA AP. 604 INT. 4 U</t>
  </si>
  <si>
    <t>LEGUIZAMON</t>
  </si>
  <si>
    <t>JORGE ERNESTO</t>
  </si>
  <si>
    <t>CARRERA 54   No. 126  - 35 APTO. 301 TORRE 4</t>
  </si>
  <si>
    <t>CAMINO REAL 1 CASA 58</t>
  </si>
  <si>
    <t>TIRANO</t>
  </si>
  <si>
    <t>MILLAN</t>
  </si>
  <si>
    <t>CARRERA 54A NÂº 167A-41 TORRE 2 APTO.204</t>
  </si>
  <si>
    <t>PINILLOS</t>
  </si>
  <si>
    <t>CABRALES</t>
  </si>
  <si>
    <t>SERGIO</t>
  </si>
  <si>
    <t>CALLE 118 71 A - 76</t>
  </si>
  <si>
    <t>TÉCNICO OPERATIVO-13</t>
  </si>
  <si>
    <t>BARROS</t>
  </si>
  <si>
    <t>SAFI</t>
  </si>
  <si>
    <t>RICARDO JOSE</t>
  </si>
  <si>
    <t>CALLE 148 NO. 107-50 TORRE 3 APTO 1104</t>
  </si>
  <si>
    <t>Estudiar, analizar y aplicar el proceso sancionatorio o las acciones jurídicas necesarias sobre los sujetos de control haciendo uso de los procedimientos y recursos a su disposición con el fin ejercer la función de inspección, vigilancia y control.</t>
  </si>
  <si>
    <t>1.	Analizar los problemas jurídicos presentados en el ejercicio de la función de inspección, vigilancia y control de las entidades sin ánimo de lucro y de las organizaciones gubernamentales que ejercen la función, para trazar propuestas de solución de manera efectiva. 
2.	Proyectar los lineamientos y actos administrativos que sean requeridos por la Entidad de manera oportuna. 
3.	Diseñar estrategias que permitan mejorar la prestación de servicios del área en lo que corresponde a la actividad misional. 
4.	Compilar y analizar la aplicación e interpretación de normas, jurisprudencia y doctrina relacionadas con asuntos a cargo de la dependencia, para la toma de decisiones de conformidad con el ordenamiento jurídico vigente.
5.	Revisar y orientar el curso de los procesos sancionatorios iniciados en contra de las personas jurídicas sin ánimo de lucro, en concordancia con la normatividad vigente.
6.	Proyectar y revisar los actos administrativos de trámite y definitivos de los procesos sancionatorios a las personas jurídicas sin ánimo de lucro dentro de los términos legales y de acuerdo con la normativa vigente.
7.	Proyectar y revisar los recursos de reposición interpuestos contra los actos administrativos, en concordancia con la normatividad vigente y dentro de la oportunidad procesal requerida.
8.	Efectuar el cumplimiento de la decisión de segunda instancia, con criterios de eficacia y oportunidad. 
9.	Realizar seguimiento al cumplimiento de la sanción impuesta, a la entidad sin ánimo de lucro atendiendo criterios de efectividad. 
10.	Mantener actualizado el sistema de información de personas jurídicas sin ánimo de lucro, de conformidad con las acciones que adelante, en el ejercicio de sus funciones y dentro de la oportunidad requerida.
11.	Proyectar y revisar las respuestas a los derechos de petición y consultas que le sean asignados, conforme a la normatividad vigente y dentro de la oportunidad requerida.  
12.	Participar en los planes, programas y proyectos, que se adelanten en el área de trabajo o en la Entidad, las mesas de trabajo, consejos, y/o comités, levantar las actas correspondientes, e informar al jefe inmediato, de manera oportuna, sobre las conclusiones del mismo.
13.	Realizar visita administrativa a las entidades sin ánimo de lucro, en concordancia con las directrices establecidas  dentro de los parámetros establecidos por la Constitución y la Ley. 
14.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</si>
  <si>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matrícula profesional reglamentados por
la Ley.</t>
  </si>
  <si>
    <t>77-80 RES. 020 de 2019</t>
  </si>
  <si>
    <t>OTERO</t>
  </si>
  <si>
    <t>CR 9 50 60 AP 504</t>
  </si>
  <si>
    <t>CALLE 9D NÂº 69B - 80 INTERIOR 2 APTO.105</t>
  </si>
  <si>
    <t>22-TECNICO</t>
  </si>
  <si>
    <t>45-8</t>
  </si>
  <si>
    <t>ARREDONDO</t>
  </si>
  <si>
    <t>VELEZ</t>
  </si>
  <si>
    <t>HECTOR IVAN</t>
  </si>
  <si>
    <t>CARRERA 4 NÂº 30A-21</t>
  </si>
  <si>
    <t>FRANCO</t>
  </si>
  <si>
    <t>LUIS HERNANDO</t>
  </si>
  <si>
    <t>CALLE 49 SUR NÂº 5N 08</t>
  </si>
  <si>
    <t>6-6</t>
  </si>
  <si>
    <t>CALLE 66 NÂº 11 50 APTO. 507</t>
  </si>
  <si>
    <t>2Âº</t>
  </si>
  <si>
    <t>TÉCNICO OPERATIVO-14</t>
  </si>
  <si>
    <t>VEGA</t>
  </si>
  <si>
    <t>HECTOR RAFAEL</t>
  </si>
  <si>
    <t>CARRERA 68 C 22 B - 71 TORRE 7 APTO. 202</t>
  </si>
  <si>
    <t>CARRERA 16C NÂ° 164-50 TORRE 5 APTO. 204</t>
  </si>
  <si>
    <t>estudiar, analizar y aplicar las herramientas financieras y contables para realizar el proceso sancionatorio o las acciones legales necesarias sobre los sujetos de control haciendo uso de los procedimientos y recursos a su disposición con el fin de ejercer la función de inspección, vigilancia y control.</t>
  </si>
  <si>
    <t>1.Determinar y analizar en el ejercicio de la función de inspección, vigilancia y control los problemas financieros y contables de las entidades sin ánimo de lucro con el fin de diseñar propuestas de solución de manera efectiva. 
2.Proyectar los lineamientos y actos administrativos que sean requeridos por la Entidad de manera oportuna. 3.Diseñar estrategias que permitan mejorar la prestación de servicios del área en lo que corresponde a la actividad misional. 4.Compilar y analizar la aplicación e interpretación de normas, jurisprudencia y doctrina relacionadas con asuntos financieros y contables de las Entidades sin Ánimo de Lucro, para la toma de decisiones de conformidad con el ordenamiento jurídico vigente. 5.Proponer acciones, herramientas e instrumentos para el análisis y requerimientos en la función de inspección, vigilancia y control a las entidades sin ánimo de lucro, de conformidad a las normas internacionales de información financiera. 6.Emitir concepto sobre la situación financiera y contable de las entidades sin ánimo de lucro incursas en procesos administrativos sancionatorios, en concordancia con la normatividad vigente. 7.Registrar y analizar los estados financieros aportados por las entidades sin ánimo de lucro y requerir la documentación necesaria para ejercer la función de inspección, vigilancia y control de las entidades sin ánimo de lucro, de acuerdo con los lineamientos, parámetros establecidos y con oportunidad. 8.Realizar y revisar estudios financieros con el fin de determinar la procedencia de iniciar acciones administrativas, a las entidades sin ánimo de lucro, de manera oportuna. 9.Revisar y proponer actualizaciones y modificaciones sobre los documentos, guías, circulares, resoluciones y manuales que se expiden para el ejercicio de la función de inspección, vigilancia y control de las entidades sin ánimo de lucro, con domicilio en Bogotá. 10. Hacer mesas técnicas con el equipo que realiza la inspección, vigilancia y control de la documentación financiera y contable para unificar criterios en la implementación de la normatividad y llevar las evidencias, de acuerdo a las instrucciones dadas.
11.Presentar y revisar informes sobre el estado financiero y contable de las ESAL vigiladas, requeridas por la Dirección, de conformidad con los parámetros establecidos. 12.Realizar visita administrativa a las entidades sin ánimo de lucro, en concordancia con las directrices establecidas y con criterios de oportunidad y efectividad. 13 Mantener actualizado el sistema de información de personas jurídicas sin ánimo de lucro, de conformidad con las acciones que adelante en el ejercicio de sus funciones y de manera oportuna. 14. Proyectar las respuestas a los derechos de petición y consultas que le sean asignados, de manera oportuna. 15. Desempeñar las demás funciones que le asigne el superior inmediato de acuerdo a la naturaleza del cargo.</t>
  </si>
  <si>
    <t>Estudio: Título profesional en: Economía; del núcleo básico de conocimiento en Economía. Título profesional en: Contaduría Pública; del núcleo básico de conocimiento en Contaduría pública. Título profesional en: Administración Pública, Administración de Empresas, Administración Financiera y de Sistemas o Administración Financiera; del núcleo básico de conocimiento en: Administración. Título de postgrado en áreas relacionadas con las funciones del cargo. Tarjeta o matricula profesional en los casos reglamentados por la Ley.</t>
  </si>
  <si>
    <t>74-77 RES. 020 de 2019</t>
  </si>
  <si>
    <t>WALBERTO JAIME</t>
  </si>
  <si>
    <t>CALLE 58 A SUR NÂ° 87 I -16</t>
  </si>
  <si>
    <t>1-ASISTENCIAL</t>
  </si>
  <si>
    <t>Calle 24 No. 84-86</t>
  </si>
  <si>
    <t>CARRERA 2 ESTE 2 - 21 (MOSQUERA)</t>
  </si>
  <si>
    <t>ERNESTO</t>
  </si>
  <si>
    <t>CALLE 127 C NO. 3-60 INT 7</t>
  </si>
  <si>
    <t>TÉCNICO OPERATIVO-15</t>
  </si>
  <si>
    <t>GACHARNA</t>
  </si>
  <si>
    <t>DOMINGUEZ</t>
  </si>
  <si>
    <t>JOSE VICENTE</t>
  </si>
  <si>
    <t>CARRERA 12 A NO. 13A-13 FACATATIVA</t>
  </si>
  <si>
    <t>estudiar, analizar y aplicar el proceso sancionatorio o las acciones jurídicas necesarias sobre los sujetos de control haciendo uso de los procedimientos y recursos a su disposición con el fin ejercer la función de inspección, vigilancia y control.</t>
  </si>
  <si>
    <t>1.Analizar los problemas jurídicos presentados en el ejercicio de la función de inspección, vigilancia y control de las entidades sin ánimo de lucro y de las organizaciones gubernamentales que ejercen la función, para trazar propuestas de solución de manera efectiva. 
2.Proyectar los lineamientos y actos administrativos que sean requeridos por la Entidad de manera oportuna. 3.Diseñar estrategias que permitan mejorar la prestación de servicios del área en lo que corresponde a la actividad misional. 4.Compilar y analizar la aplicación e interpretación de normas, jurisprudencia y doctrina relacionadas con asuntos a cargo de la dependencia, para la toma de decisiones de conformidad con el ordenamiento jurídico vigente. 5.Revisar y orientar el curso de los procesos sancionatorios iniciados en contra de las personas jurídicas sin ánimo de lucro, en concordancia con la normatividad vigente. 6.Proyectar y revisar los actos administrativos de trámite y definitivos de los procesos sancionatorios a las personas jurídicas sin ánimo de lucro dentro de los términos legales y De acuerdo con la normativa vigente. 7.Proyectar y revisar los recursos de reposición interpuestos contra los actos administrativos, en concordancia con la normatividad vigente y dentro de la oportunidad procesal requerida. 8.Efectuar el cumplimiento de la decisión de segunda instancia, con criterios de eficacia y oportunidad. 9.Realizar seguimiento al cumplimiento de la sanción impuesta, a la entidad sin ánimo de lucro atendiendo criterios de efectividad. 10.Mantener actualizado el sistema de información de personas jurídicas sin ánimo de lucro, de conformidad con las acciones que adelante, en el ejercicio de sus funciones y dentro de la oportunidad requerida. 11.Proyectar y revisar las respuestas a los derechos de petición y consultas que le sean asignados, conforme a la normatividad vigente y dentro de la oportunidad requerida. 12. Participar en los planes, programas y proyectos, que se adelanten en el área de trabajo o en la Entidad, las mesas de trabajo, consejos, y/o comités, levantar las actas correspondientes, e informar al jefe inmediato, de manera oportuna, sobre las conclusiones del mismo.
13. Realizar visita administrativa a las entidades sin ánimo de lucro, en concordancia con las directrices establecidas dentro de los parámetros establecidos por la Constitución y la Ley. 14.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</si>
  <si>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matrícula profesional reglamentados por la Ley.</t>
  </si>
  <si>
    <t>CL 51   No. 159   - 15 SAN JOSE DE BAVARIA</t>
  </si>
  <si>
    <t>300  461 91 94</t>
  </si>
  <si>
    <t>LARROTA</t>
  </si>
  <si>
    <t>SUTA</t>
  </si>
  <si>
    <t>PEDRO LUIS</t>
  </si>
  <si>
    <t>DIAG 50 NO. 31-84 SUR</t>
  </si>
  <si>
    <t>JOSE JAVIER</t>
  </si>
  <si>
    <t>CARRERA 51 NÂº 103B 71 APTO. 302</t>
  </si>
  <si>
    <t>4677667 - 3111708</t>
  </si>
  <si>
    <t>2-ASISTENCIAL</t>
  </si>
  <si>
    <t>JESUS MARIA</t>
  </si>
  <si>
    <t>cra 62 No. 94 A 25</t>
  </si>
  <si>
    <t>2369464 6136452</t>
  </si>
  <si>
    <t>ES</t>
  </si>
  <si>
    <t>VILLAMIL</t>
  </si>
  <si>
    <t>MARTIN EDUARDO</t>
  </si>
  <si>
    <t>CARRERA 72 NÂº 67 75 TORRE 1 APTO 1404</t>
  </si>
  <si>
    <t>HENRY</t>
  </si>
  <si>
    <t>TRANSVERSAL 42 NÂº 4 03 PISO 3</t>
  </si>
  <si>
    <t>TÉCNICO OPERATIVO-16</t>
  </si>
  <si>
    <t>DIAGONAL 52B NÂº 53A 19 SUR</t>
  </si>
  <si>
    <t>CONCEPTO</t>
  </si>
  <si>
    <t>CORDOBA</t>
  </si>
  <si>
    <t>JOSE IGNACIO</t>
  </si>
  <si>
    <t>ASIGNACION BASICA</t>
  </si>
  <si>
    <t>CARRERA 12 NÂº 140-91 APTO. 307</t>
  </si>
  <si>
    <t>E24256</t>
  </si>
  <si>
    <t>PRIMA TECNICA</t>
  </si>
  <si>
    <t>CRA 101 No. 82-57 INT. 4  APTO. 108</t>
  </si>
  <si>
    <t>TOTAL SALARIO</t>
  </si>
  <si>
    <t>MAYORGA</t>
  </si>
  <si>
    <t>ROBERTO JAVIER</t>
  </si>
  <si>
    <t>CALLE 152 NÂº 13 64 APTO. 601</t>
  </si>
  <si>
    <t>CRA 79A No 11B40 Interior E Apartamento 202</t>
  </si>
  <si>
    <t>DUARTE</t>
  </si>
  <si>
    <t>LUIS DAUVINY</t>
  </si>
  <si>
    <t>CARRERA 128 NO. 145-70</t>
  </si>
  <si>
    <t>VERA</t>
  </si>
  <si>
    <t>BOJACA</t>
  </si>
  <si>
    <t>CARLOS ARIEL</t>
  </si>
  <si>
    <t>CARRERA 20A NÂº 173A 03 INT. 1 APTO. 402</t>
  </si>
  <si>
    <t>CR 86   No. 86   - 50 APTO 523 PARIS - GAITAN</t>
  </si>
  <si>
    <t>CARRERA 5 NÂº 185A-15 CASA 29</t>
  </si>
  <si>
    <t>6692682  3112232104</t>
  </si>
  <si>
    <t>TÉCNICO OPERATIVO-17</t>
  </si>
  <si>
    <t>FAJARDO</t>
  </si>
  <si>
    <t>FRANCISCO JAVIER</t>
  </si>
  <si>
    <t>CARRERA 54D NÂ° 135-46 TORRE 3 APTO. 301</t>
  </si>
  <si>
    <t>CL 6 A No. 89 - 42 INTERIOR 3. APTO. 204 PRADOS DE</t>
  </si>
  <si>
    <t>7401035 / 7403552</t>
  </si>
  <si>
    <t>CARRERA 53A NÂº 5B 20</t>
  </si>
  <si>
    <t>BURGOS</t>
  </si>
  <si>
    <t>DURANGO</t>
  </si>
  <si>
    <t>WILLIAM ANTONIO</t>
  </si>
  <si>
    <t>CL 22 A 82 43</t>
  </si>
  <si>
    <t>CARRERA 20 NÂº 70-12</t>
  </si>
  <si>
    <t>CALLE 168 NÂº 65-67 CASA 85</t>
  </si>
  <si>
    <t>CALLE 32 NÂº 13-83 TORRE 6 APTO. 702</t>
  </si>
  <si>
    <t>TÉCNICO OPERATIVO-18</t>
  </si>
  <si>
    <t>CALLE 2 F 38 B 13</t>
  </si>
  <si>
    <t>TRANSV. 49 NÂº 59C-20 SUR BLOQUE J APTO.401</t>
  </si>
  <si>
    <t>Realizar la defensa  judicial y extrajudicial de  los intereses del Distrito Capital, en concordancia con los lineamientos y parámetros establecidos, cumpliendo con los objetivos institucionales.</t>
  </si>
  <si>
    <t xml:space="preserve">1.	Realizar el estudio y análisis de los casos jurídicos del Distrito Capital, para sugerir lineamientos de conciliación para el cumplimiento de los procesos institucionales.
2.	Realizar acompañamiento y asesoría a los comités de conciliación de las entidades que requieran orientación en temas de impacto jurídico, para el cumplimiento de los objetivos organizacionales.
3.	Gestionar los trámites de las conciliaciones notificadas al Distrito Capital, de manera oportuna.  
4.	Realizar gestiones y actividades de representación judicial y extrajudicial en defensa de los intereses del Distrito Capital, en concordancia con los parámetros establecidos. 
5.	Realizar el seguimiento a la implementación y uso de lineamientos jurídicos adoptados por la entidad, con criterios de oportunidad. 
6.	Analizar la acción judicial, extrajudicial y establecer estrategias de defensa para los procesos y acciones que le sean asignados, que permitan la defensa de los intereses del Distrito de manera eficiente. 
7.	Analizar la procedencia de la acción de repetición, llamamiento de garantía y /o Conciliación, en los casos asignados  para presentar al comité de conciliación de la Secretaría Jurídica Distrital, según los procedimientos establecidos.
8.	Realizar el registro y actualización de las actuaciones de los procesos a su cargo así, como las piezas procesales importantes en el Sistema Único de Información de Procesos Judiciales SIPROJ WEB Bogotá y/o el que haga sus veces, según los procedimientos y normatividad vigente. 
9.	Participar en los mesas de trabajos, consejos, y/o comités, levantar las actas correspondientes, e informar al jefe inmediato, de manera oportuna, sobre las conclusiones del mismo.
10.	Mantener actualizados los expedientes de los procesos a su cargo, con las piezas procesales principales correspondientes de conformidad con las tablas de  retención  documental.
11.	Elaborar los actos administrativos, poderes y documentos que le asigne el superior inmediato, en el marco de las competencias de la Secretaría  Jurídica Distrital.
12.	Desempeñar las demás funciones que le asigne el superior inmediato de acuerdo a la naturaleza del cargo.
</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</si>
  <si>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posgrado en áreas relacionadas con las funciones del cargo. Tarjeta o matricula profesional en los casos
reglamentados por la Ley.</t>
  </si>
  <si>
    <t>89-92 RES. 020 de 2019</t>
  </si>
  <si>
    <t>ALFONSO GABRIEL</t>
  </si>
  <si>
    <t>CALLE 164 NÂº 16C 15 APTO. 217</t>
  </si>
  <si>
    <t>RESTREPO</t>
  </si>
  <si>
    <t>CALLE 124 NO. 16 - 19 APARTAMENTO 203</t>
  </si>
  <si>
    <t>CALLE 166 NÂº 9-45 TORRE 3 APTO 1409</t>
  </si>
  <si>
    <t>4-ASISTENCIAL</t>
  </si>
  <si>
    <t>JOHN WILLIAM</t>
  </si>
  <si>
    <t>CALLE 48 U NÂ° 5 J - 72 SUR APTO. 101</t>
  </si>
  <si>
    <t>Cuenta de CÓDIGO</t>
  </si>
  <si>
    <t>FIALLO</t>
  </si>
  <si>
    <t>HERNAN ADOLFO</t>
  </si>
  <si>
    <t>CL 65 SUR 68 C 30 CA 28</t>
  </si>
  <si>
    <t>GERMAN EDUARDO</t>
  </si>
  <si>
    <t>TRANSVERSAL 73B NÂº 7A 35 INTERIOR 110</t>
  </si>
  <si>
    <t>TÉCNICO OPERATIVO-19</t>
  </si>
  <si>
    <t>TOTALES</t>
  </si>
  <si>
    <t>DIAGONAL 62H BIS SUR NÂº 74A 54</t>
  </si>
  <si>
    <t>Total general</t>
  </si>
  <si>
    <t>CL 134  A No. 11 A  - 21 LISBOA PRADOS DE  DE ANTI</t>
  </si>
  <si>
    <t>3158086833 - 2111640</t>
  </si>
  <si>
    <t>Orientar y realizar el proceso de contratación pública conforme a las normas vigentes dando aplicación a los principios de la función pública.</t>
  </si>
  <si>
    <t>1.	Implementar las políticas y directrices en materia contractual de la Entidad, de acuerdo con la política institucional y normatividad vigente.
2.	Definir los parámetros del análisis jurídico, formatos y documentos de cada etapa contractual para el debido ejercicio de la contratación de la Entidad.
3.	Implementar herramientas, procedimientos y/o manuales del proceso de contratación de la Entidad en todas sus etapas, de conformidad con la normatividad vigente.
4.	Adelantar los procesos de contratación que le sean asignados para la adquisición de bienes y servicios, de acuerdo con las diferentes modalidades de selección, en las etapas precontractual, contractual y post-contractual, surtiendo cada uno de los procedimientos y requisitos, con el fin de dar cumplimiento a la normatividad vigente en la materia.
5.	Proyectar las minutas y documentos que se requieran en los procesos de contratación, de manera eficiente y oportuna. 
6.	Orientar a los/las funcionarios/as de la Entidad en el adecuado ejercicio de la supervisión de contratos, de conformidad con la normatividad vigente.
7.	Llevar y mantener el registro y control sobre el cumplimiento de los términos, plazos, garantías y demás requisitos previstos en los procesos de selección, contratos, o convenios, de manera eficiente y oportuna.
8.	Hacer estudios sobre proyectos de ley o decretos que expida el gobierno nacional o Distrital en materia de contratación. 
9.	Resolver consultas, solicitudes y derechos de petición en materia de contratación, formuladas por otras dependencias, por órganos de control o por el público en general de acuerdo a la normatividad vigente. 
10.	Elaborar los informes que se requieran en materia de contratación, de manera oportuna y eficiente.
11.	Proyectar actos administrativos que se requieran en materia de contratación, así como la proyección de memorandos, oficios y demás comunicaciones relacionadas con los asuntos que deba atender la dependencia, acordes con las funciones del empleo. 
12.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</si>
  <si>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</si>
  <si>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94-97 RES. 020 de 2019</t>
  </si>
  <si>
    <t>CARRERA 77 BIS NÂº 64B 55</t>
  </si>
  <si>
    <t>VILLALOBOS</t>
  </si>
  <si>
    <t>WILLIAM ALEXIS</t>
  </si>
  <si>
    <t>CL 127 112 B 90 AP 102 BLOQUE 102</t>
  </si>
  <si>
    <t>5-ASISTENCIAL</t>
  </si>
  <si>
    <t>TIBADUIZA</t>
  </si>
  <si>
    <t>JHON ALEXANDER</t>
  </si>
  <si>
    <t>CARRERA 14C NO. 73D-57 SUR</t>
  </si>
  <si>
    <t>FABIAN</t>
  </si>
  <si>
    <t>CARRERA 15 NÂº 173 25 TORRE 3 APTO. 201</t>
  </si>
  <si>
    <t>DIEGO DAVID</t>
  </si>
  <si>
    <t>CARRERA 72 NÂ° 163-31</t>
  </si>
  <si>
    <t>CALLE 1H NÂº 38 51 APTO. 124</t>
  </si>
  <si>
    <t>TÉCNICO OPERATIVO-20</t>
  </si>
  <si>
    <t>MÃ‰NDEZ</t>
  </si>
  <si>
    <t>PULECIO</t>
  </si>
  <si>
    <t>JAIME ALEXANDER</t>
  </si>
  <si>
    <t>CL 77 B 129 11 TO 4 AP 603</t>
  </si>
  <si>
    <t>diseñar e implementar propuestas y soluciones a los problemas jurídicos en el ejercicio de la función de inspección, vigilancia y control en el distrito capital, en concordancia con la normatividad vigente.</t>
  </si>
  <si>
    <t>1.Realizar actividades para la formulación de propuestas y de soluciones a los problemas jurídicos en Inspección Vigilancia y Control respecto de entidades sin Ánimo de lucro domiciliadas en el Distrito Capital, con la oportunidad requerida.
2.Proyectar, revisar y/o analizar las solicitudes, documentos, conceptos jurídicos, derechos de petición e informes, en concordancia con la normatividad vigente y dentro de los términos establecidos. 3.Diseñar las acciones jurídicas para el desarrollo de las funciones de la dependencia y articulación con entes estratégicos para el fortalecimiento de la política pública en la materia. 4.Realizar las visitas administrativas requeridas a las entidades sin ánimo de lucro para el cumplimiento del ejercicio de inspección, vigilancia y control a cargo de la dependencia y presentar los informes correspondientes. 5.Adelantar el proceso sancionatorio a las personas jurídicas sin ánimo de lucro, en concordancia con la normatividad vigente. 6.Elaborar los actos administrativos de trámite y definitivos de los procesos sancionatorios iniciados a las personas jurídicas sin ánimo de lucro dentro de los términos legales y de acuerdo con la normativa vigente. 7.Mantener actualizado el sistema de información de personas jurídicas sin ánimo de lucro, de conformidad con las acciones que adelante en el ejercicio de sus funciones y de manera oportuna. 8.Elaborar el proyecto de concepto jurídico de solicitudes, informes y consultas, en concordancia con la normatividad vigente y lineamientos establecidos. 9.Desempeñar las demás funciones que le asigne el superior inmediato de acuerdo a la naturaleza del cargo.</t>
  </si>
  <si>
    <t>GIOVANNY ALBERTO</t>
  </si>
  <si>
    <t>CARRERA 63 NÂº 22 45 TORRE 3 APTO. 103</t>
  </si>
  <si>
    <t>97-100 RES. 020 de 2019</t>
  </si>
  <si>
    <t>MONTEALEGRE</t>
  </si>
  <si>
    <t>WILLIAM LIBARDO</t>
  </si>
  <si>
    <t>CALLE 24B NÂ° 71 A -53 TORRE 2 APTO. 1002</t>
  </si>
  <si>
    <t>GIOVANNY ALEXANDER</t>
  </si>
  <si>
    <t>CARRERA 5 NO. 185 C - 21 TORRE 7 APTO 301</t>
  </si>
  <si>
    <t>RODRIGO DIDIER</t>
  </si>
  <si>
    <t>CARRERA 56 B SUR NO 78 M 35</t>
  </si>
  <si>
    <t>JULIAN EDULFO</t>
  </si>
  <si>
    <t>6-ASISTENCIAL</t>
  </si>
  <si>
    <t>CALLE 20 SUR NÂº 68D 29</t>
  </si>
  <si>
    <t>3399474-3142481274</t>
  </si>
  <si>
    <t>PEDREROS</t>
  </si>
  <si>
    <t>CARLOS ALBERTO</t>
  </si>
  <si>
    <t>CALLE 72A 87 39 APTO. 304 BALCONES DEL ALAMO</t>
  </si>
  <si>
    <t>TÉCNICO OPERATIVO-21</t>
  </si>
  <si>
    <t>JUAN GABRIEL</t>
  </si>
  <si>
    <t>CALLE 77B NÂº 119-40 TORRE 1 APTO. 702</t>
  </si>
  <si>
    <t>CUELLAR</t>
  </si>
  <si>
    <t>PEDRO ANDRES</t>
  </si>
  <si>
    <t>CR 27 B 71 B 53 AP 201</t>
  </si>
  <si>
    <t>BELALCAZAR</t>
  </si>
  <si>
    <t>ERASSO</t>
  </si>
  <si>
    <t>EDISON ANDRES</t>
  </si>
  <si>
    <t>CL 24   No. 35   - 48 TACAY RESERVADO INTERIOR 9, APARTAMENTO 737.</t>
  </si>
  <si>
    <t>LUIS ALFREDO</t>
  </si>
  <si>
    <t>CALLE 69C SUR NÂº 3 85</t>
  </si>
  <si>
    <t>DE LOS RIOS</t>
  </si>
  <si>
    <t>CALLE 119A NÂº 57 60</t>
  </si>
  <si>
    <t>KR 23 137 16</t>
  </si>
  <si>
    <t>efectuar la adopción de políticas, planes y programas relacionados con la gestión informática de la secretaría jurídica distrital, necesarios para el cumplimiento de los objetivos de la entidad.</t>
  </si>
  <si>
    <t>1.Elaborar las metas y actividades del Plan Estratégico de Tecnología y Sistemas de Información de la entidad, según criterios técnicos y normativos establecidos.
2.Realizar las actividades y/o estudios para la formulación y el seguimiento de políticas de TIC, Seguridad de la Información y Portafolio de TIC de la entidad, de acuerdo con la normatividad y especificaciones técnicas. 3.Efectuar las actividades para la implementación de la Arquitectura Tecnológica Empresarial de la Entidad y el seguimiento, de manera oportuna y eficiente. 4.Elaborar y realizar la socialización del Plan Estratégico de Tecnología y Sistemas de Información (PETI) de la entidad, de manera oportuna y eficaz. 5.Desarrollar y mantener los sistemas administrativos y misionales de la entidad para garantizar su funcionalidad y disponibilidad en su operación. 6.Diseñar las metodologías y procedimientos que adopte la Entidad para el desarrollo, instalación, administración, seguridad y uso de la infraestructura tecnológica, teniendo en cuenta los lineamientos que en la materia generan las entidades competentes. 7.Desempeñar las demás funciones que le asigne el superior inmediato de acuerdo a la naturaleza del cargo.</t>
  </si>
  <si>
    <t>Estudio: Título profesional en: Ingeniería de Sistemas, Ingeniería Telemática, Ingeniería Informática, Administración de Informática, Administración de Sistemas de Información, Administración Informática, o Ingeniería de Sistemas Informáticos; del núcleo básico de conocimiento en Ingeniería de Sistemas, o Telemática y afines. Título de posgrado en áreas relacionadas con las funciones del cargo. Tarjeta o matrícula profesional en los casos reglamentados por la Ley.</t>
  </si>
  <si>
    <t>104-106 RES. 020 de 2019</t>
  </si>
  <si>
    <t>CARRERA 94 NÂº 152 50 INTERIOR 7 APTO. 302</t>
  </si>
  <si>
    <t>CALLE 5 NÂº 69C 37</t>
  </si>
  <si>
    <t>TÉCNICO OPERATIVO-22</t>
  </si>
  <si>
    <t>DIAGONAL 51 SUR NÂº 61B-16</t>
  </si>
  <si>
    <t>CARRERA 68A NÂº 31A 11 SUR</t>
  </si>
  <si>
    <t>CAMILO ALFONSO</t>
  </si>
  <si>
    <t>CALLE 92 NO. 16-30 TORRE 2 APTO 507</t>
  </si>
  <si>
    <t>GARAY</t>
  </si>
  <si>
    <t>PAULO ANDRES</t>
  </si>
  <si>
    <t>CALLE 22 N 4-75 APTO 401</t>
  </si>
  <si>
    <t>ANGEL</t>
  </si>
  <si>
    <t>OMAR LEONARDO</t>
  </si>
  <si>
    <t>CALLE 10B NÂº 88A 17 INTERIOR 1 APTO. 303</t>
  </si>
  <si>
    <t>CALLE 6B NÂº 80B 85 APTO. 251 BLOQUE 13</t>
  </si>
  <si>
    <t>BRICEÃ‘O</t>
  </si>
  <si>
    <t>FERNANDO ENRIQUE</t>
  </si>
  <si>
    <t>TRANSVERSAL 74 NÂ° 11 A -15 APTO. 1006 TORRE 2</t>
  </si>
  <si>
    <t>Efectuar la adopción de políticas, planes y programas relacionados con la gestión informática de la Secretaría Jurídica Distrital, necesarios para el cumplimiento de los objetivos de la entidad.</t>
  </si>
  <si>
    <t>1.	Elaborar las metas y actividades del Plan Estratégico de Tecnología y Sistemas de Información de la entidad, según criterios técnicos y normativos establecidos.
2.	Realizar las actividades y/o estudios para la formulación y el seguimiento de políticas de TIC, Seguridad de la Información y Portafolio de TIC de la Entidad, de acuerdo con la normatividad y especificaciones técnicas.  
3.	Efectuar las actividades para la implementación de la Arquitectura Tecnológica Empresarial de la Entidad y el seguimiento, de manera oportuna y eficiente.
4.	Elaborar y realizar la socialización del Plan Estratégico de Tecnología y Sistemas de Información (PETI) de la entidad, de manera oportuna y eficaz.
5.	Desarrollar y mantener los sistemas administrativos y misionales de la entidad para garantizar su funcionalidad y disponibilidad en su operación.
6.	Diseñar las metodologías y procedimientos que adopte la Entidad para el desarrollo, instalación, administración, seguridad y uso de la infraestructura tecnológica, teniendo en cuenta los lineamientos que en la materia generan las entidades competentes.
7.	Desempeñar las demás funciones que le asigne el superior inmediato de acuerdo a la naturaleza del cargo.</t>
  </si>
  <si>
    <t>Estudio: Título profesional en: Ingeniería de Sistemas, Ingeniería Telemática, Ingeniería Informática, Administración de Informática, Administración de
Sistemas de Información, Administración Informática, o Ingeniería de Sistemas Informáticos; del núcleo básico de conocimiento en Ingeniería de Sistemas, o Telemática y afines. Título de posgrado en áreas relacionadas con las funciones del cargo. Tarjeta o matrícula profesional en los casos reglamentados por la Ley.</t>
  </si>
  <si>
    <t>NESTOR DANIEL</t>
  </si>
  <si>
    <t>TRANSVERSAL 25 NÂº 68J-25</t>
  </si>
  <si>
    <t>ARIAS</t>
  </si>
  <si>
    <t>MARIO HERNAN</t>
  </si>
  <si>
    <t>CARRERA 15 NÂ° 17A 17 SUR</t>
  </si>
  <si>
    <t>8-ASISTENCIAL</t>
  </si>
  <si>
    <t>KM 5, VIA BRICEÃ‘O ZIPA. COND. RES. BOSQUE ENTRELO</t>
  </si>
  <si>
    <t>MARTHA BARRERA</t>
  </si>
  <si>
    <t>ASISTENCIAL-1</t>
  </si>
  <si>
    <t>CALLE 169B NO. 75-73</t>
  </si>
  <si>
    <t>CARBONELL</t>
  </si>
  <si>
    <t>CALLE 19 SUR NÂº 69-55 APTO. 103 BLOQUE 4</t>
  </si>
  <si>
    <t>LUIS GABRIEL</t>
  </si>
  <si>
    <t>CARRERA 8 C NÂº 182 - 45 PISO 1</t>
  </si>
  <si>
    <t>Adelantar el proceso de contratación conforme a las normas vigentes dando aplicación a los principios de la contratación pública.</t>
  </si>
  <si>
    <t xml:space="preserve">1.	Realizar el análisis jurídico contractual verificando los documentos soporte para la contratación y solicitar las aclaraciones dentro del procedimiento a que haya lugar, dando cumplimiento al cronograma establecido.
2.	Adelantar los procesos de contratación para la adquisición de bienes y servicios de acuerdo con las modalidades de selección en las etapas precontractual, contractual y pos contractual, surtiendo cada uno de los procedimientos y requisitos, dando cumplimiento a lo establecido en el Estatuto Contractual y normas concordantes.
3.	Orientar y resolver consultas en el proceso contractual a los servidores de la Entidad con la veracidad y oportunidad requeridas.
4.	Proyectar las minutas y documentos anexos o integrantes de los contratos, convenios interadministrativos, de cooperación y demás instrumentos tales como memorandos de entendimiento, protocolos, cartas de intención, acuerdos marco, etc., que deba suscribir el/la Alcalde/sa Mayor de la Ciudad, o el/la Secretario/a Jurídico Distrital, y ejercer la custodia de los mismos, de acuerdo con los lineamientos establecidos. 
5.	Proyectar el Manual de Contratación y el Plan de Compras de la Entidad y revisar su cumplimiento, en concordancia con los parámetros establecidos. 
6.	Incorporar los documentos contractuales y la información relativa a los procesos de selección en el SECOP y en los demás medios electrónicos que corresponda, de conformidad con la normativa vigente.
7.	Desempeñar las demás funciones que le asigne el superior inmediato de acuerdo a la naturaleza del cargo.
</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</si>
  <si>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cargo.Tarjeta o matricula profesional en los casos
reglamentados por la Ley.</t>
  </si>
  <si>
    <t>115-117 RES. 020 de 2019</t>
  </si>
  <si>
    <t>JOSE MISAEL</t>
  </si>
  <si>
    <t>CALLE 26B SUR NÂº 11 33</t>
  </si>
  <si>
    <t>OCHOA</t>
  </si>
  <si>
    <t>HELMER FABIAN</t>
  </si>
  <si>
    <t>CARRERA 1 B NO. 22 D - 53</t>
  </si>
  <si>
    <t>NOSSA</t>
  </si>
  <si>
    <t>ANDRES FABIAN</t>
  </si>
  <si>
    <t>CALLE 24 B # 27 - 30</t>
  </si>
  <si>
    <t>CARRERA 30 NO. 49 A - 34</t>
  </si>
  <si>
    <t>CARRERA 50B NÂº 64 43 INTERIOR 3 APTO. 202</t>
  </si>
  <si>
    <t>ASISTENCIAL-2</t>
  </si>
  <si>
    <t>DE LA ROSA</t>
  </si>
  <si>
    <t>CHAMORRO</t>
  </si>
  <si>
    <t>HERNANDO ANDRES</t>
  </si>
  <si>
    <t>CARRERA 57 C NO. 128 B - 44</t>
  </si>
  <si>
    <t>proyectar, analizar y efectuar revisión de legalidad de los actos administrativos de mediana complejidad, proyectar conceptos de mediana complejidad y atender peticiones y solicitudes de control político, con el fin de prevenir el daño antijurídico y garantizar la seguridad jurídica.</t>
  </si>
  <si>
    <t>LEAL</t>
  </si>
  <si>
    <t>JOSE OSWALDO</t>
  </si>
  <si>
    <t>1.Analizar, evaluar y proyectar los conceptos de mediana complejidad, que le sean asignados, entre ellos, los que definen disparidad de criterios al interior de un sector de la administración Distrital, para garantizar la línea jurídica en el Distrito Capital. 
2.        Revisar, analizar y proyectar respuestas a las solicitudes de comentarios a proyectos de Acuerdo, de ley y de actos legislativos de mediana y baja complejidad, de acuerdo a la normatividad y la jurisprudencia vigente. 
3.        Elaborar anteproyectos de ley, de actos legislativos, acuerdos, decretos, resoluciones y demás actos administrativos concernientes a las actividades propias de la Secretaría Jurídica Distrital, de manera oportuna. 
4.        Revisar, ajustar y tramitar los proyectos de actos administrativos y demás documentos que deban expedir el/la Alcalde/sa Mayor y/o el Secretario/a Jurídico Distrital, de mediana complejidad que le sean asignados, atendiendo los parámetros señalados en la Política de Gerencia Jurídica.  
5.        Revisar, tramitar, consolidar y proyectar respuesta a las proposiciones, solicitudes y derechos de petición relacionados con el ejercicio del control político, para garantizar la legalidad y constitucionalidad de las mismas. 
6.        Participar en las mesas de trabajo y reuniones que le sean asignadas, presentar los informes correspondientes y proponer acciones, en caso que se requieran, para la solución de los temas jurídicos que se presenten.
7.        Desempeñar las demás funciones que le asigne el superior inmediato de acuerdo a la naturaleza del cargo.
IV. CONOCIMIENTOS BÁSICOS O ESENCIALES
1.        Estatuto orgánico de Bogotá
2.        Estructura organizacional del Distrito
3.        Plan de Desarrollo de Bogotá.
4.        Jurisprudencia, normatividad y doctrina en materia de función pública
5.        Derecho administrativo, derecho constitucional, derecho contractual, derecho público, derecho urbano.
6.        Código de Procedimiento Administrativo y de lo Contencioso Administrativo
7.        Estatuto Anticorrupción.
8.        Herramientas ofimáticas</t>
  </si>
  <si>
    <t>CALLE 153 NÂº 115 40 CASA 1 INTERIOR 7</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</si>
  <si>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posgrado en áreas relacionadas con las funciones del cargo.Tarjeta o matricula profesional en los casos reglamentados por la Ley.</t>
  </si>
  <si>
    <t>110-112 RES. 020 de 2019</t>
  </si>
  <si>
    <t>CARRERA 11 A NO. 95 - 58</t>
  </si>
  <si>
    <t>DAVID HERNANDO</t>
  </si>
  <si>
    <t>10-ASISTENCIAL</t>
  </si>
  <si>
    <t>CARRERA 2 NÂº 21-55 BLOQUE 13 APTO. 501 (FUNZA)</t>
  </si>
  <si>
    <t>CARRERA 100 NO. 148-78 TORRE2 APARTAMENTO 106</t>
  </si>
  <si>
    <t>CALLE 22C NÂº 28 20 INTERIOR 2 APTO. 504</t>
  </si>
  <si>
    <t>ASISTENCIAL-3</t>
  </si>
  <si>
    <t>MONTES</t>
  </si>
  <si>
    <t>EDUARDO JOSE</t>
  </si>
  <si>
    <t>TV 34 24 42 TO 12 AP 202</t>
  </si>
  <si>
    <t>CABARCAS</t>
  </si>
  <si>
    <t>AYOLA</t>
  </si>
  <si>
    <t>HUGO ALFONSO</t>
  </si>
  <si>
    <t>CALLE 8 NO. 79-04</t>
  </si>
  <si>
    <t>1.Analizar, evaluar y proyectar los conceptos de mediana complejidad, que le sean asignados, entre ellos, los que definen disparidad de criterios al interior de un sector de la administración Distrital, para garantizar la línea jurídica en el Distrito Capital. 
2.Revisar, analizar y proyectar respuestas a las solicitudes de comentarios a proyectos de Acuerdo, de ley y de actos legislativos de mediana y baja complejidad, de acuerdo a la normatividad y la jurisprudencia vigente. 3.Elaborar anteproyectos de ley, de actos legislativos, acuerdos, decretos, resoluciones y demás actos administrativos concernientes a las actividades propias de la Secretaría Jurídica Distrital, de manera oportuna. 4.Revisar, ajustar y tramitar los proyectos de actos administrativos y demás documentos que deban expedir el/la Alcalde/sa Mayor y/o el Secretario/a Jurídico Distrital, de mediana complejidad que le sean asignados, atendiendo los parámetros señalados en la Política de Gerencia Jurídica. 5.Revisar, tramitar, consolidar y proyectar respuesta a las proposiciones, solicitudes y derechos de petición relacionados con el ejercicio del control político, para garantizar la legalidad y constitucionalidad de las mismas. 6.Participar en las mesas de trabajo y reuniones que le sean asignadas, presentar los informes correspondientes y proponer acciones, en caso que se requieran, para la solución de los temas jurídicos que se presenten. 7.Desempeñar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</si>
  <si>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posgrado en áreas relacionadas con las funciones del cargo. Tarjeta o matricula profesional en los casos reglamentados por la Ley.</t>
  </si>
  <si>
    <t>JORGE</t>
  </si>
  <si>
    <t>CALLE 182 NÂ° 45-45 INTERIOR 4 APTO. 803</t>
  </si>
  <si>
    <t>VESGA</t>
  </si>
  <si>
    <t>WILMAR DARIO</t>
  </si>
  <si>
    <t>AV. 80 62-54 UNIDAD 5 APTO. 113</t>
  </si>
  <si>
    <t>CARRERA 7E NÂº 5 32 APTO.304 TORRE 4 (CAJICA)</t>
  </si>
  <si>
    <t>CARRERA 78B NÂº7A-79 INTERIOR 8 APTO. 516</t>
  </si>
  <si>
    <t>LUIS FERNANDO</t>
  </si>
  <si>
    <t>CARRERA 3 NÂº 2 02 VIJES (VALLE DEL CAUCA)</t>
  </si>
  <si>
    <t>KM 2. VIA ZIPAS</t>
  </si>
  <si>
    <t>ASISTENCIAL-4</t>
  </si>
  <si>
    <t>E18</t>
  </si>
  <si>
    <t>12-ASISTENCIAL</t>
  </si>
  <si>
    <t>ASISTENCIAL-5</t>
  </si>
  <si>
    <t>ASISTENCIAL-6</t>
  </si>
  <si>
    <t>realizar seguimiento y evaluación a los procesos de la secretaría jurídica distrital para el logro de sus objetivos, a través de las herramientas del sistema integrado de gestión, en concordancia con las normas legales vigentes.</t>
  </si>
  <si>
    <t>1.Ejecutar el programa anual de auditorías aprobado por el Comité Directivo del Sistema Integrado de Gestión, de acuerdo al plan de gestión de la Entidad.
2.Diseñar, elaborar e implementar estrategias, herramientas, programas y metodologías que contribuyan al mejoramiento continuo del seguimiento, evaluación y auditorías internas y al autocontrol de la gestión en la Secretaria Jurídica Distrital. 3.Elaborar los informes de seguimiento y evaluación de los procesos que requiera el Superior Inmediato, de conformidad con las directrices dadas. 4.Llevar el control y el seguimiento a los planes de mejoramiento institucional, entes de control y los mismos productos de las auditorías internas, con el fin de verificar su eficacia y efectividad. 5.Proponer recomendaciones para el mejoramiento del Sistema Integrado de Gestión al Superior Inmediato. 6.Realizar evaluación a los procesos de la Secretaria Jurídica Distrital sobre el marco de las competencias asignadas a la Oficina. 7.Realizar control y seguimiento a los mapas de riesgos de los procesos de la Secretaria Jurídica Distrital, de conformidad al Sistema de Administración de Riesgos. 8.Realizar seguimiento y evaluación a la gestión física, contractual y presupuestal de los planes, programas y proyectos de inversión de la Secretaría Jurídica Distrital, de acuerdo a la planeación estratégica de la Entidad. 9.Consolidar las respuestas a los requerimientos presentados por organismos de control respecto de la gestión de la Secretaría Jurídica Distrital, de acuerdo a las directrices dadas por el Superior Inmediato. 10.Proyectar actos administrativos relacionados con la Oficina de Control Interno de la Entidad, así como la proyección de memorandos, oficios y demás comunicaciones relacionadas con los asuntos que deba atender la dependencia, acordes con las funciones del empleo. 11.Desempeñar las demás funciones asignadas que correspondan a la naturaleza del cargo y de la dependencia.</t>
  </si>
  <si>
    <t>Estudio: Título profesional en: Economía; del núcleo básico de conocimiento en Economía. Título profesional en: Ingeniería industrial: del núcleo básico de conocimiento en Ingeniería Industrial y afines.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Contaduría pública: del núcleo básico de conocimiento en Contaduría Pública. Título de posgrado en áreas relacionadas con las funciones del cargo. Tarjeta o matricula profesional en los casos reglamentados por la Ley.</t>
  </si>
  <si>
    <t>101-104 RES. 020 de 2019</t>
  </si>
  <si>
    <t>ASISTENCIAL-7</t>
  </si>
  <si>
    <t>realizar la verificación sobre los sujetos de control de acuerdo a los procedimientos internos, la normatividad vigente y recursos a su disposición con el fin de emitir concepto sobre la situación de la entidad estudiada, de acuerdo con los parámetros establecidos.</t>
  </si>
  <si>
    <t>1. Revisar y analizar las solicitudes y/o documentos allegadas por las entidades sin ánimo de lucro, de
acuerdo con los lineamientos establecidos para ejercer la función de inspección, vigilancia y control. 2. Revisar los expedientes que reposan en la entidad y requerir la documentación de las entidades sin ánimo de lucro, de manera oportuna. 3. Adelantar el proceso administrativo sancionatorio a las entidades sin ánimo de lucro, que incumplen sus obligaciones legales, financieras y contables para garantizar el cumplimiento de su objeto social, en concordancia con la normatividad vigente. 4. Realizar capacitaciones de orientación respecto de las obligaciones a cargo de las Entidades sin ánimo de lucro, de manera oportuna y eficaz. 5. Analizar la información presentada por las entidades sin ánimo de lucro, para elaborar el concepto y/o adelantar las actuaciones administrativas a que haya lugar. 6. Estudiar y analizar el objeto social de las entidades sin ánimo de lucro con el fin de determinar la competencia del ente de inspección, vigilancia y control, de conformidad con la normativa vigente. 7. Realizar visita administrativa a las entidades sin ánimo de lucro, en concordancia con las directrices establecidas. 8. Elaborar y/o revisar los documentos de respuesta a consultas o derechos de petición y actos administrativos a las entidades sin ánimo de lucro, en el marco de las funciones de inspección, vigilancia y control y de conformidad con la normatividad vigente. 9. Mantener actualizado el sistema de información de personas jurídicas sin ánimo de lucro, de conformidad con las acciones que adelante en el ejercicio de sus funciones y de manera oportuna. 10.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</si>
  <si>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Economía; del núcleo básico de conocimiento en Economía. Título profesional en: Contaduría Pública; del núcleo básico de conocimiento en Contaduría Pública. Título profesional en: Administración de Empresas, Administración Pública, o Administración Industrial; del núcleo básico de conocimiento en Administración. Título profesional en: Ingeniería Industrial; del núcleo básico de conocimiento en Ingeniería Industrial y afines. Título de postgrado en áreas relacionadas con las funciones del cargo. Tarjeta o matricula profesional en los casos reglamentados por la Ley.</t>
  </si>
  <si>
    <t>112-115 RES. 020 de 2019</t>
  </si>
  <si>
    <t>ASISTENCIAL-8</t>
  </si>
  <si>
    <t>ASISTENCIAL-9</t>
  </si>
  <si>
    <t>Desarrollar actividades para la formulación, implementación, seguimiento y evaluación de la política pública, planes, programas y proyectos de la Entidad, así como el seguimiento al plan estratégico de la Entidad y a la sostenibilidad de los procesos y procedimientos, al sistema de gestión de calidad para fortalecer y mejorar el desarrollo institucional.</t>
  </si>
  <si>
    <t xml:space="preserve">1.	Desarrollar actividades para la formulación, implementación, seguimiento y evaluación de las políticas públicas, planes, programas y proyectos de la Entidad de acuerdo con los criterios normativos y directrices del superior inmediato.
2.	Desarrollar estrategias para la elaboración, socialización y seguimiento a la aplicación de las herramientas establecidas para la sostenibilidad y mejora continúa del Sistema Integrado de Gestión y sus subsistemas. 
3.	Participar en la preparación del anteproyecto anual de presupuesto de inversiones y funcionamiento, con base en los planes y programas previstos, y evaluar su ejecución, así como desarrollar las actividades de seguimiento del mismo. 
4.	Desarrollar estrategias para la promoción de la cultura de la calidad con la periodicidad requerida.
5.	Gestionar modificaciones y ajustes a la programación financiera y presupuestal de políticas, planes, programas, proyectos y presupuestos de la Entidad, en coordinación con las dependencias competentes, de acuerdo con los lineamientos y normatividad vigente. 
6.	Realizar el seguimiento a los proyectos de inversión y herramientas de gestión definidas en los planes de acción de la entidad para lograr el cumplimiento de las metas propuestas, ajustándose a las normas vigentes. 
7.	Desempeñar las demás funciones que le asigne el superior inmediato de acuerdo a la naturaleza del cargo
</t>
  </si>
  <si>
    <t>Estudio: Título profesional en: Administración Pública, Administración de Empresas, Administración Financiera, o Finanzas y Relaciones Internacionales; del núcleo básico de conocimiento en Administración. Título profesional en: Ingeniería Industrial; del núcleo básico de conocimiento en Ingeniería Industrial y afines. Título profesional en disciplina académica: Economía; del núcleo básico de conocimiento en Economía. Título de posgrado en áreas relacionadas con las funciones del cargo. Tarjeta o matricula profesional en los casos requeridos por la Ley.</t>
  </si>
  <si>
    <t>121-123 RES. 020 de 2019</t>
  </si>
  <si>
    <t>Proyectar, analizar y efectuar revisión de legalidad de los actos administrativos de mediana complejidad, proyectar conceptos de mediana complejidad y atender peticiones y solicitudes de Control Político, con el fin de prevenir el daño antijurídico y garantizar la seguridad jurídica.</t>
  </si>
  <si>
    <t>1.	Analizar, evaluar y proyectar los conceptos de mediana complejidad, que le sean asignados, entre ellos, los que definen disparidad de criterios al interior de un sector de la administración Distrital, para garantizar la línea jurídica en el Distrito Capital. 
2.	Revisar, analizar y proyectar respuestas a las solicitudes de comentarios a proyectos de Acuerdo, de ley y de actos legislativos de mediana y baja complejidad, de acuerdo a la normatividad y la jurisprudencia vigente. 
3.	Elaborar anteproyectos de ley, de actos legislativos, acuerdos, decretos, resoluciones y demás actos administrativos concernientes a las actividades propias de la Secretaría Jurídica Distrital, de manera oportuna. 
4.	Revisar, ajustar y tramitar los proyectos de actos administrativos y demás documentos que deban expedir el/la Alcalde/sa Mayor y/o el Secretario/a Jurídico Distrital, de mediana complejidad que le sean asignados, atendiendo los parámetros señalados en la Política de Gerencia Jurídica.  
5.	Revisar, tramitar, consolidar y proyectar respuesta a las proposiciones, solicitudes y derechos de petición relacionados con el ejercicio del control político, para garantizar la legalidad y constitucionalidad de las mismas. 
6.	Participar en las mesas de trabajo y reuniones que le sean asignadas, presentar los informes correspondientes y proponer acciones, en caso que se requieran, para la solución de los temas jurídicos que se presenten.
7.	Desempeñar las demás funciones que le asigne el superior inmediato de acuerdo a la naturaleza del cargo.
IV. CONOCIMIENTOS BÁSICOS O ESENCIALES
1.	Estatuto orgánico de Bogotá
2.	Estructura organizacional del Distrito
3.	Plan de Desarrollo de Bogotá.
4.	Jurisprudencia, normatividad y doctrina en materia de función pública
5.	Derecho administrativo, derecho constitucional, derecho contractual, derecho público, derecho urbano.
6.	Código de Procedimiento Administrativo y de lo Contencioso Administrativo
7.	Estatuto Anticorrupción.
8.	Herramientas ofimáticas</t>
  </si>
  <si>
    <t>ASISTENCIAL-10</t>
  </si>
  <si>
    <t>realizar la implementación del sistema de información documental y de correspondencia de la entidad, conforme a las normas que determinen la materia.</t>
  </si>
  <si>
    <t>1.Realizar la gestión y trámite del proceso de gestión documental de la Entidad de acuerdo con las normas y procedimientos vigentes.
2.Realizar seguimiento al proceso de organización, transferencia, disposición de documentos, preservación y valoración de los archivos, de manera eficiente y de acuerdo con la normatividad vigente. 3.Revisar y ajustar los procesos y procedimientos relacionados con la Gestión Documental, de acuerdo con las necesidades de la Entidad, los requerimientos técnicos y la normatividad vigente. 4.Realizar el seguimiento y ajustes al trámite de correspondencia interna y externa de la entidad y el cumplimiento de las normas, procedimientos y sistemas establecidos, de manera oportuna y eficiente. 5.Realizar actividades dirigidas a la custodia de la memoria institucional, la clasificación y configuración del archivo central de la Secretaría, conforme a las normas que determinen la materia y el manejo de la biblioteca de la entidad, de acuerdo con las instrucciones impartidas por la dependencia. 6.Hacer el seguimiento al servicio de fotocopiado; correspondencia interna y externa; notificación, expedición de copias y autenticación de los actos administrativos y documentos expedidos por el/la Alcalde/sa Mayor y el/la Secretario/a Jurídico/a Distrital, y las demás dependencias de la entidad. 7.Desempeñar las demás funciones que le asigne el superior inmediato de acuerdo a la naturaleza del cargo.</t>
  </si>
  <si>
    <t>Estudio: Título profesional en: Administración Pública o Administración de Empresas; del núcleo básico de conocimiento en Administración. Título profesional en: Ciencias de la Información y la Documentación Bibliotecología y Archivística, Ciencia de la Información – Bibliotecología, Bibliotecología y Archivística, Archivística, o Bibliotecología; del núcleo básico de conocimiento en Bibliotecología, otros de Ciencias Sociales y Humanas. Título de posgrado en áreas relacionadas con las funciones del cargo. Tarjeta o matricula profesional en los casos reglamentados por la Ley.</t>
  </si>
  <si>
    <t>143-145 RES. 020 de 2019</t>
  </si>
  <si>
    <t>18-ASISTENCIAL</t>
  </si>
  <si>
    <t>ASISTENCIAL-11</t>
  </si>
  <si>
    <t>Realizar actividades en materia administrativa y de bienes y servicios de la Entidad, de acuerdo con los parámetros y la normatividad vigente</t>
  </si>
  <si>
    <t xml:space="preserve">1.	Revisar y elaborar planes, programas y proyectos de la dependencia, de acuerdo a los criterios técnicos y financieros establecidos por la Entidad. 
2.	Desarrollar actividades de ejecución y control relacionadas con los bienes y servicios y recursos físicos y logísticos de la Entidad, de acuerdo a la normatividad vigente. 
3.	Elaborar y administrar el programa anual de compras y servicios requeridos por las dependencias.
4.	Realizar los trámites correspondientes para la adquisición de bienes y contratación de servicios requeridos por la Entidad de conformidad a las políticas institucionales.
5.	Manejar el plan contractual en cada vigencia de la Dirección de conformidad con la política institucional.
6.	Realizar las actividades relacionadas con la administración, mantenimiento y control de los recursos físicos de la Entidad, con la oportunidad requerida. 
7.	Elaborar informes, documentos, actos administrativos, memorandos, oficios y demás comunicaciones que le sean requeridos sobre los procesos y procedimientos de la Dirección, de manera eficiente y oportuna. 
8.	Ejercer el seguimiento al cumplimiento de los procedimientos establecidos para el ingreso, salidas, traslados, bajas y asignación de bienes, elementos de uso y lo relacionado con el manejo de inventarios atendiendo eficazmente las necesidades de la Entidad.
9.	Controlar la constitución, manejo y renovación de las pólizas de seguros de los equipos, bienes, patrimonio y los amparos para los funcionarios de manejo al servicio de la Entidad de forma oportuna y eficaz.
10.	Desempeñar las demás funciones que le asigne el superior inmediato de acuerdo a la naturaleza del cargo.
</t>
  </si>
  <si>
    <t>Estudio: Título profesional en: Economía o Relaciones Económicas Internacionales; del núcleo básico de conocimiento en Economía. Título profesional en: Ingeniería Industrial, o Ingeniería de Producción; del núcleo básico de conocimiento en Ingeniería Industrial y afines. Título profesional en: Administración Pública, Administración de Empresas, Administración Financiera, o Administración Financiera y de Sistemas; del núcleo básico de conocimiento en Administración. Título profesional en: Ingeniería Administrativa o Ingeniería Financiera; del núcleo básico de conocimiento en Ingeniería Financiera y fines.
Título de postgrado en áreas relacionadas con las funciones del cargo. Tarjeta o matricula profesional en los casos reglamentados por la Ley.</t>
  </si>
  <si>
    <t>134-136 RES. 020 de 2019</t>
  </si>
  <si>
    <t>ASISTENCIAL-12</t>
  </si>
  <si>
    <t>implementar las políticas públicas en materia de salarios, prestaciones sociales, seguridad social y demás conceptos asociados a la nómina de la entidad, de acuerdo con la normatividad vigente.</t>
  </si>
  <si>
    <t>1.Implementar los lineamientos y directrices en materia de nómina en la Entidad, de acuerdo con la normatividad vigente.
2.Responder por el proceso de nómina y orientar a la dependencia en temas relacionados con salarios, prestaciones sociales y demás pagos inherentes a la nómina de la Entidad, de acuerdo con la normativa vigente. 3.Administrar la base de datos de la planta de personal de la Secretaría Jurídica Distrital de acuerdo con las instrucciones impartidas y en el marco de la normatividad vigente. 4.Planear la programación, reprogramación y seguimiento de la ejecución presupuestal respecto a la nómina de la entidad para generar el pago oportuno de los salarios, prestaciones sociales, seguridad social y demás conceptos asociados a ésta. 5.Atender y resolver las consultas y peticiones formuladas por otras dependencias, por el público en general y por entes de control relacionadas con las funciones de la dependencia y generar las constancias y certificaciones a que haya lugar en materia de nómina. 6.Elaborar los proyectos de respuesta a los recursos interpuestos contra decisiones administrativas, así como a consultas, conceptos, peticiones, y atender requerimientos del proceso de nómina, de manera eficiente y oportuna. 7.Elaborar actos administrativos de reconocimiento de salarios, prestaciones sociales y demás emolumentos a los que haya lugar a los funcionarios(as) y exfuncionarios(as) de la Entidad de manera oportuna y de acuerdo a la normatividad vigente. 8.Elaborar memorandos, oficios y demás comunicaciones relacionadas con los asuntos que deba atender propios de la dependencia, acordes con las políticas y disposiciones vigentes. 9.Desempeñar las demás funciones que le asigne el superior inmediato de acuerdo a la naturaleza del cargo.</t>
  </si>
  <si>
    <t>Estudio: Título profesional en: Contaduría Pública; del núcleo básico de conocimiento en Contaduría Pública.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Ingeniería Industrial; del núcleo básico de conocimiento en Ingeniería Industrial y afines. Título profesional en: Economía; del núcleo básico de conocimiento en Economía. Título de posgrado en áreas relacionadas con las funciones del cargo. Tarjeta o matrícula profesional en los casos reglamentados por la Ley.</t>
  </si>
  <si>
    <t>140-142 RES. 020 de 2019</t>
  </si>
  <si>
    <t>diseñar, ejecutar y evaluar planes y programas con el fin de promover el desarrollo integral del talento humano de la entidad.</t>
  </si>
  <si>
    <t>1.Implementar lineamientos y directrices en materia del talento humano en la Entidad, en concordancia con las normas Distritales y nacionales.
2.Proyectar actos administrativos relacionados con las situaciones administrativas de la planta de personal de la Entidad, así como memorandos, oficios y demás comunicaciones relacionadas con los asuntos que deba atender la dependencia, acordes con las funciones del empleo. 3.Gestionar el registro público de empleados de la Secretaría Jurídica Distrital inscritos en carrera administrativa, de conformidad con la delegación e instrucciones que imparta la Comisión Nacional del Servicio Civil. 4.Ejecutar y hacer seguimiento a los planes y programas de administración de personal, carrera administrativa, programas de salud ocupacional, capacitación, bienestar social, clima organizacional e incentivos de la Entidad, de manera oportuna. 5.Realizar actividades de orientación dirigida a los evaluadores y evaluados sobre la herramienta de evaluación del desempeño, en concordancia con la normatividad vigente. 6.Levantar el diagnóstico de necesidades en materia de bienestar y capacitación de la Entidad, de forma oportuna, acertada y responsable. 7.Consolidar los acuerdos de gestión del nivel directivo y realizar los reportes de conformidad con el procedimiento y la normativa vigente. 8.Elaborar las actualizaciones y/o modificaciones al manual específico de funciones y competencias laborales, de acuerdo con las instrucciones dadas y la normatividad vigente. 9.Elaborar los proyectos de respuesta a los recursos interpuestos contra decisiones administrativas, así como a consultas, conceptos, peticiones, y atender requerimientos del proceso de talento humano, de manera eficiente y oportuna. 10.Desempeñar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</si>
  <si>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Psicología; del núcleo básico de conocimiento en Psicología.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Ingeniería Industrial; del núcleo básico de conocimiento en Ingeniería Industrial y afines. Título de posgrado en áreas relacionadas con las funciones del cargo. Tarjeta o matricula profesional en los casos reglamentados por la Ley.</t>
  </si>
  <si>
    <t>136 - 140 RES. 020 de 2019</t>
  </si>
  <si>
    <t>ASISTENCIAL-13</t>
  </si>
  <si>
    <t>ASISTENCIAL-14</t>
  </si>
  <si>
    <t xml:space="preserve">Ejercer representación judicial y extrajudicial en procesos y las actividades administrativas relacionadas con la dependencia, de acuerdo con los lineamientos y parámetros establecidos. </t>
  </si>
  <si>
    <t xml:space="preserve">1.	Realizar actividades de conciliación judicial y extrajudicial, llamamiento en garantía, acción de repetición o de pacto, de acuerdo con los parámetros establecidos para el uso y consulta del SIPROJ, con calidad y oportunidad.
2.	Elaborar las estrategias de defensa para acciones judiciales y para el ejercicio de la actuación procesal con criterio de oportunidad y eficiencia.  
3.	Administrar, analizar y actualizar la información registrada en los sistemas de información jurídica, con calidad y oportunidad.
4.	Ejercer vigilancia, control y supervisión del proceso judicial y extrajudicial de la Secretaría Jurídica Distrital, de acuerdo con los lineamientos establecidos.
5.	Registrar las actuaciones de los procesos a su cargo, así como las piezas procesales importantes en el Sistema Único de Información de Procesos Judiciales SIPROJ WEB Bogotá y/o el que haga sus veces, según los procedimientos y normatividad vigente.
6.	Emitir conceptos jurídicos en materia de defensa judicial y prevención del daño antijurídico, en concordancia con la normatividad vigente. 
7.	Mantener actualizados los expedientes de los procesos a su cargo, con las piezas procesales principales correspondientes de conformidad con las tablas de retención documental.
8.	Elaborar los actos administrativos, poderes y documentos que le asigne el superior inmediato, en el marco de las competencias de la Secretaría Jurídica Distrital y dentro de la oportunidad requerida.
9.	Participar en las mesas de trabajo y reuniones que le sean asignadas, presentar los informes correspondientes y proponer acciones, en caso que se requieran, para la solución de los temas jurídicos que se presenten.
10.	Desempeñar las demás funciones que le asigne el superior inmediato de acuerdo a la naturaleza del cargo.
</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</si>
  <si>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</si>
  <si>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126-128 Res. 020 de 2019</t>
  </si>
  <si>
    <t>22-ASISTENCIAL</t>
  </si>
  <si>
    <t>proyectar, analizar y efectuar revisión de legalidad de actos administrativos de mediana y/o baja complejidad, proyectar conceptos de mediana y/o baja complejidad y atender peticiones y solicitudes, con el fin de prevenir el daño antijurídico y garantizar la seguridad jurídica.</t>
  </si>
  <si>
    <t>1.Revisar, analizar, evaluar y proyectar los conceptos de mediana y/o baja complejidad, que le sean asignados, entre ellos los que definen disparidad de criterios al interior de un sector de la administración Distrital, de manera oportuna.
2.Revisar, analizar y proyectar respuestas a las solicitudes de comentarios a proyectos de Acuerdo y de ley de mediana y/o baja complejidad, que le sean asignados, de acuerdo a la normatividad y la jurisprudencia vigente. 3.Elaborar anteproyectos de Ley, acuerdos, decretos, resoluciones y demás actos administrativos concernientes a las actividades propias de Bogotá, D.C. - Secretaría Jurídica Distrital, que le sean asignados. 4.Revisar, ajustar y tramitar los proyectos de actos administrativos y demás documentos de mediana y/o baja complejidad que deban expedir el/la Alcalde/sa Mayor y/o el/la Secretario/a Jurídico/a Distrital, de acuerdo a los parámetros establecidos al respecto y con criterio de oportunidad. 5.Revisar, tramitar, consolidar y proyectar respuesta a las proposiciones, solicitudes y derechos de petición, consultas de mediana y/o baja complejidad que le sean asignados, de manera oportuna. 6.Participar en las mesas de trabajo y reuniones que le sean asignadas, presentar los informes correspondientes y proponer acciones, en caso que se requieran, para la solución de los temas jurídicos que se presenten. 7.Desempeñar las demás funciones que le asigne el superior inmediato de acuerdo a la naturaleza del cargo.</t>
  </si>
  <si>
    <t>Estudio: Título profesional en: Derecho, Derecho y Ciencias Sociales, Derecho y Ciencias Políticas, Derecho y Ciencias Humanas, Derecho y Ciencias Administrativas, Ciencias Políticas y Relaciones Internacionales, Jurisprudencia, Justicia y Derecho, o Leyes y Jurisprudencia; del núcleo básico de conocimiento en Derecho y afines. Tarjeta o matricula profesional en los casos reglamentados por la Ley.</t>
  </si>
  <si>
    <t>5-7 RES. 039 de 2019</t>
  </si>
  <si>
    <t>ASISTENCIAL-15</t>
  </si>
  <si>
    <t>23-ASISTENCIAL</t>
  </si>
  <si>
    <t>efectuar las acciones pertinentes para el ejercicio de la función de inspección, vigilancia y control de las entidades sin ánimo de lucro para realizar propuestas y dar elementos para la toma de decisiones con criterios de oportunidad.</t>
  </si>
  <si>
    <t>1.Diseñar metodologías de análisis y evaluación de la información para la formulación de lineamientos de la política, con criterios de eficacia y eficiencia. 
2.Elaborar documentos y estrategias para la actualización de la información jurídica, financiera y contable de las entidades sin ánimo de lucro y entidades gubernamentales que ejercen control, inspección y vigilancia en el Sistema de Personas Jurídicas, que permitan la solución de los problemas que se presenten en el ejercicio de la función. 3.Desarrollar las estrategias para la articulación con las entidades gubernamentales que ejercen la función de inspección, vigilancia y control para establecer lineamientos, diseñar acciones y políticas unificadas a nivel Distrital, departamental y nacional. 4.Articular acciones con entidades públicas o privadas para propiciar actividades de orientación, promoción y divulgación de las entidades sin ánimo de lucro y la función de inspección, vigilancia y control. 5.Evaluar y proponer acciones de mejora continua sobre la información que registran los usuarios del Sistema de Información de Personas Jurídicas para garantizar la oportunidad en la gestión de la información jurídica. 6.Elaborar documentos, informes, actos administrativos y respuestas a derechos de petición y consultas que le sean asignados de acuerdo a la normatividad vigente. 7.Adelantar las acciones de inspección, vigilancia y control de las entidades sin ánimo de lucro con domicilio en el Distrito Capital de conformidad con la normatividad vigente. 8.Elaborar los informes de gestión de ejecución del presupuesto y de las actividades misionales para la toma de decisión y acciones de mejoramiento. 9.Desempeñar las demás funciones que le asigne el superior inmediato de acuerdo a la naturaleza del cargo.</t>
  </si>
  <si>
    <t>Estudio: Título profesional en: Economía; del núcleo básico de conocimiento en Economía. Título profesional en: Contaduría Pública; del núcleo básico de conocimiento en Contaduría Pública. Título profesional en: Administración de empresas, Administración Pública, o Administración Industrial; del núcleo básico de conocimiento en Administración. Título profesional en: Ingeniería Administrativa o Ingeniería Financiera; del núcleo básico de conocimiento en Ingeniería Financiera y afines. Título profesional en: Ingeniería Industrial; del núcleo básico de conocimiento en Ingeniería Industrial y afines. Título de postgrado en áreas relacionadas con las funciones del cargo. Tarjeta o matricula profesional en los casos reglamentados por la Ley.</t>
  </si>
  <si>
    <t>129-131 RS.020 de 2019</t>
  </si>
  <si>
    <t>ASISTENCIAL-16</t>
  </si>
  <si>
    <t>estudiar y analizar las acciones jurídicas necesarias sobre los sujetos de control haciendo uso de los procedimientos internos, normatividad vigente y recursos a su disposición, con el fin ejercer la función de inspección, vigilancia y control.</t>
  </si>
  <si>
    <t>1.Proyectar el auto de formulación de cargos, pruebas y archivo de queja que involucren a la entidad sin ánimo de lucro o archivo de acuerdo con los parámetros establecidos. 
2.Estudiar y analizar las pruebas recaudadas en la etapa de averiguación preliminar con el fin de determinar si hay lugar a la formulación de cargos o en su defecto el archivo de la actuación administrativa iniciada en contra de las entidades sin ánimo de lucro, de manera oportuna. 3.Proyectar el acto administrativo sancionatorio definitivo de acuerdo con los lineamientos establecidos. 4.Dar cumplimiento a las decisiones de cierre, en concordancia con la normatividad vigente. 5.Realizar el seguimiento al cumplimiento de la sanción, a las entidades sin ánimo de Lucro de manera oportuna. 6.Mantener actualizado el sistema de información de personas jurídicas sin ánimo de lucro, de conformidad a las acciones que adelante en el ejercicio de sus funciones. 7.Proyectar las respuestas a los derechos de petición y consultas que le sean asignados, de manera oportuna. 8.Realizar las visitas administrativas a las entidades sin ánimo de lucro, en concordancia con las directrices establecidas. 9.Desempeñar las demás funciones que le asigne el superior inmediato de acuerdo a la naturaleza del cargo.</t>
  </si>
  <si>
    <t>131-133 RES. 020 de 2019</t>
  </si>
  <si>
    <t>ASISTENCIAL-17</t>
  </si>
  <si>
    <t>25-ASISTENCIAL</t>
  </si>
  <si>
    <t>Efectuar las actividades relacionadas con la Defensa Judicial y Daño Antijurídico de Procesos Judiciales en contra del Distrito.</t>
  </si>
  <si>
    <t>1.	Efectuar la representación judicial y extrajudicial en los procesos que se le asignen, en el marco de la política de Gerencia Jurídica Pública. 
2.	Ejercer la representación judicial de tutelas, en concordancia con la normatividad vigente. 
3.	Analizar la procedencia de acción de repetición, llamamiento de garantía y /o Conciliación, en los casos asignados para presentar al comité de conciliación de la Secretaria Jurídica Distrital, según los procedimientos establecidos y dentro de la oportunidad requerida. 
4.	Realizar el registro y actualización de las actuaciones de los procesos a su cargo así, como las piezas procesales importantes en el Sistema Único de Información de Procesos Judiciales SIPROJ WEB Bogotá y/o el que haga sus veces, según los procedimientos,  normatividad vigente y la calidad y oportunidad requerida. 
5.	Participar en los mesas de trabajos, consejos, y/o comités, levantar las actas correspondientes, e informar al jefe inmediato sobre las conclusiones del mismo. 
6.	Mantener actualizados los expedientes de los procesos a su cargo, con las piezas procesales principales correspondientes de conformidad con las tablas de  retención  documental.
7.	Elaborar los actos administrativos, poderes y documentos que le asigne el superior inmediato dentro de la oportunidad requerida y  en el marco de las competencias de la Secretaría  Jurídica Distrital. 
8.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</si>
  <si>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posgrado en áreas relacionadas con las funciones del cargo. Tarjeta o matrícula profesional en los casos reglamentados por la Ley.</t>
  </si>
  <si>
    <t>149-151 RES. 020 de 2019</t>
  </si>
  <si>
    <t>ASISTENCIAL-18</t>
  </si>
  <si>
    <t>realizar el seguimiento de la gestión jurídica para la defensa judicial y daño antijurídico y administrar la información registrada en el sistema de procesos judiciales siporj web, de acuerdo con los lineamientos establecidos.</t>
  </si>
  <si>
    <t>1.Efectuar las actividades relacionadas con el seguimiento a las demandas instauradas en contra del Distrito Capital que se registran en el Sistema de Información de Procesos Judiciales SIPROJ WEB, de manera oportuna, de acuerdo con las instrucciones del superior inmediato. 
2.Realizar el análisis al Sistema de Información de Procesos Judiciales SIPROJ WEB para la toma de decisiones por parte de la Dirección. 3.Realizar capacitaciones internas y externas a los usuarios del Sistema de Información SIPROJ WEB, de acuerdo con los lineamientos establecidos. 4.Realizar el análisis y proyección de respuestas sobre las tipologías de las tutelas a nivel Distrital, en concordancia con la normatividad vigente. 5.Proponer e implementar los parámetros metodológicos para el análisis de la información judicial y extrajudicial, con la oportunidad requerida. 6.Proyectar conceptos jurídicos en materia de defensa judicial y prevención del daño antijurídico, en concordancia con la normatividad vigente. 7.Elaborar y presentar informes, documentos y actos administrativos al superior inmediato y a los organismos de control, sobre las actividades desarrolladas con la oportunidad, calidad y según la periodicidad requerida. 8.Participar en las mesas de trabajo y reuniones que le sean asignadas, presentar los informes correspondientes y proponer acciones, en caso que se requieran, para la solución de los temas jurídicos que se presenten. 9.Desempeñar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</si>
  <si>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</si>
  <si>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146-148 RES. 020 de 2019</t>
  </si>
  <si>
    <t>ASISTENCIAL-19</t>
  </si>
  <si>
    <t>adelantar jurídicamente la sustanciación de los procesos disciplinarios de competencia del/la alcalde/sa mayor e internos de la secretaría jurídica distrital, con el objeto de prevenir y sancionar la ocurrencia de comportamientos o conductas que afecten la función pública, aplicando los principios de la función administrativa.</t>
  </si>
  <si>
    <t>1.Realizar el estudio jurídico a los procesos que se le asignen de conformidad con la normatividad relacionada con el asunto.
2.Adelantar la práctica de las pruebas y diligencias que sean necesarias dentro de las actuaciones disciplinarias que se le asignen de conformidad con la normatividad vigente. 3.Elaborar y presentar informes, conceptos, actos administrativos al superior inmediato, sobre las actividades desarrolladas con la oportunidad y periodicidad requerida. 4.Brindar asistencia al funcionamiento y actualización de la información del Sistema de Información Disciplinaria a las entidades del Distrito de forma oportuna, veraz y confiable. 5.Proyectar para la firma del/la Secretario/a Jurídico/a Distrital los actos administrativos que ejecutan sanciones y hacer su seguimiento con criterios de oportunidad y eficiencia. 6.Desempeñar las demás funciones que le asigne el superior inmediato de acuerdo a la naturaleza del cargo.</t>
  </si>
  <si>
    <t xml:space="preserve"> 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posgrado en áreas relacionadas con las funciones del cargo. Tarjeta o matricula profesional en los casos reglamentados por la Ley.</t>
  </si>
  <si>
    <t>152-154 RES. 020 de 2019</t>
  </si>
  <si>
    <t>ASISTENCIAL-20</t>
  </si>
  <si>
    <t>ASISTENCIAL-21</t>
  </si>
  <si>
    <t>proyectar, analizar y efectuar la revisión de legalidad de actos administrativos de baja complejidad, proyectar conceptos de baja complejidad y atender peticiones y solicitudes, con el fin de prevenir el daño antijurídico y garantizar la seguridad jurídica con calidad, oportunidad y efectividad requerida.</t>
  </si>
  <si>
    <t>1.Revisar, analizar, evaluar y proyectar los conceptos de baja complejidad, que le sean asignados de manera oportuna y eficaz.
2.Revisar, analizar y proyectar respuestas a las solicitudes de comentarios sobre proyectos de Acuerdo y de ley de baja complejidad, que le sean asignados, de acuerdo a las normas vigentes. 3.Elaborar anteproyectos de decretos, resoluciones y demás actos administrativos concernientes a las actividades propias de Bogotá D.C. y de la Secretaría Jurídica Distrital, de conformidad con el manual de imagen institucional. 4.Revisar, ajustar y tramitar los proyectos de actos administrativos y demás documentos que deban expedir el Alcalde Mayor y/o el/la Secretario/a Jurídico/a Distrital de baja complejidad que le sean asignados de manera oportuna, veraz y confiable. 5.Analizar y tramitar las peticiones diferentes a conceptos o consultas, elevadas por las entidades públicas, particulares, y demás autoridades, que le sean asignados de conformidad con las competencias de las entidades Distritales. 6.Desempeñar las demás funciones que le asigne el superior inmediato de acuerdo a la naturaleza del cargo.</t>
  </si>
  <si>
    <t>154-156 RES. 020 de 2019</t>
  </si>
  <si>
    <t>LEIDY VANESSA NIETO ROJAS</t>
  </si>
  <si>
    <t>ASISTENCIAL-22</t>
  </si>
  <si>
    <t>Implementar los procesos estipulados en el marco legal de inspección, vigilancia y control, tendientes a impulsar los procesos investigativos - sancionatorios, acciones de orientación y atención a la ciudadanía respecto a las Entidades Sin Ánimo de Lucro, con criterios de eficiencia, eficacia y oportunidad.</t>
  </si>
  <si>
    <t>1.	Realizar actividades relacionadas con los procesos de inspección, vigilancia y control, para el cumplimiento de las acciones investigativas, sancionatorias y atención a la ciudadanía con criterios de eficiencia, eficacia y confidencialidad.
2.	Realizar la programación y preparar la información para la orientación en temas relacionados con las obligaciones jurídicas para las Entidades Sin Ánimo de Lucro y entes de control a nivel Distrital conforme la normatividad vigente. 
3.	Revisar jurídicamente los documentos aportados por las entidades sin ánimo de lucro, en concordancia con los lineamientos y la normatividad vigente. 
4.	Adelantar el proceso sancionatorio de personas jurídicas sin ánimo de lucro, en concordancia con la normatividad vigente. 
5.	Analizar las tipologías y categorías definidas en el Sistema de Información de Personas Jurídicas para el seguimiento del control y vigilancia de las entidades sin ánimo de lucro. 
6.	Realizar visita administrativa a las entidades sin ánimo de lucro, en los casos que se requiera con oportunidad, eficacia y eficiencia. 
7.	Gestionar las solicitudes de información, conceptos y derechos de petición que se deriven de sus actuaciones con oportunidad y de acuerdo a la normatividad vigente. 
8.	Mantener actualizado el sistema de información de personas jurídicas sin ánimo de lucro, de conformidad con las acciones que adelante en el ejercicio de sus funciones y de manera oportuna.
9.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</si>
  <si>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cargo.Tarjeta o matricula profesional en los casos reglamentados por la Ley.</t>
  </si>
  <si>
    <t>156-158 RES. 020 de 2019</t>
  </si>
  <si>
    <t>ASISTENCIAL-23</t>
  </si>
  <si>
    <t>desarrollar e implementar políticas y estrategias de comunicación para la entidad, que permitan la interacción, el sentido de pertenencia y la interiorización de los valores de la cultura de la entidad.</t>
  </si>
  <si>
    <t>1.Realizar el diseño y producción creativa de campañas y piezas comunicacionales institucionales, para fortalecer la imagen corporativa.
2.Orientar y apoyar los proyectos de multimedios dirigidos a la divulgación y comunicación organizacional para la gestión de la entidad. 3.Realizar los diagnósticos y estudios relacionadas con la comunicación organizacional de la entidad para proponer estrategias de comunicación para el logro de la gestión institucional. 4.Implementar los lineamientos de comunicación organizacional en la entidad de manera oportuna. 5.Desempeñar las demás funciones que le asigne el superior inmediato de acuerdo a la naturaleza del cargo.</t>
  </si>
  <si>
    <t>Estudio: Título profesional en: Comunicación Social o Periodismo del núcleo básico del conocimiento en Comunicación Social, Periodismo y afines. Tarjeta o matricula profesional en los casos reglamentados por la Ley.</t>
  </si>
  <si>
    <t>159-160 RES. 020 de 2019</t>
  </si>
  <si>
    <t>participar en los procesos relacionados con la formulación y seguimiento a los planes de acción, proyectos de inversión, indicadores de gestión, así como en la implementación y el mejoramiento continuo del sistema integrado de gestión (SIG) en coordinación con las demás áreas, para el mejoramiento continuo de la entidad.</t>
  </si>
  <si>
    <t>1. Brindar asistencia profesional a las dependencias de la Secretaría Jurídica Distrital para la elaboración y formulación de los proyectos y los planes de acción.
2.Orientar y acompañar en la formulación de proyectos de inversión de la entidad en concordancia con los lineamientos establecidos en el Plan de Desarrollo vigente y garantizar que queden plasmados en documentos técnicos, de manera oportuna. 3.Orientar y participar en la elaboración de los indicadores de gestión a las dependencias o áreas para su implementación, con el fin de medir el cumplimiento de las metas del plan de acción de las mismas. 4.Consolidar y analizar la información estadística producida por las dependecias de la Entidad con la oportunidad requerida y efectuar las recomendaciones, con el fin de mejorar la eficacia, eficiencia y efectividad de la entidad. 5.Realizar las diferentes actividades relacionadas con la sostenibilidad y mejora continua del Sistema Integrado de Gestión que le sean asignadas de conformidad con su competencia. 6.Desempeñar las demás funciones relacionadas con la naturaleza del cargo que sean asignadas por el superior inmediato.</t>
  </si>
  <si>
    <t>Estudio: Título profesional en: Administración Pública, Administración de Empresas o Finanzas y Relaciones Internacionales; del núcleo básico de conocimiento en Administración. Título profesional en: Ingeniería Industrial; del núcleo básico de conocimiento en Ingeniería Industrial y afines. Título profesional en: Economía; del núcleo básico de conocimiento en Economía. Tarjeta o matricula profesional en los casos requeridos por la Ley.</t>
  </si>
  <si>
    <t>7-9 RES. 039 de 2019</t>
  </si>
  <si>
    <t>ASISTENCIAL-24</t>
  </si>
  <si>
    <t>ASISTENCIAL-25</t>
  </si>
  <si>
    <t>desarrollar actividades presupuestales de reconocimiento y liquidación de salarios, prestaciones sociales, seguridad social y demás conceptos asociados a la nómina de la entidad, con calidad y oportunidad para redistribuir el servicio prestado por los servidores.</t>
  </si>
  <si>
    <t>1.Realizar el registro y revisión de la información de la nómina de la Entidad, con el fin de liquidar salarios, prestaciones sociales y demás devengos y deducciones, de acuerdo con la normativa vigente.
2.Ejecutar la programación, reprogramación y el seguimiento de la ejecución presupuestal para garantizar el efectivo pago de la nómina de la Entidad, de acuerdo con la normativa vigente. 3.Actualizar las bases de datos relacionadas con la administración del talento humano de la Entidad, de manera eficiente y oportuna. 4.Elaborar informes y reportes de medios magnéticos a entes de control relacionados con la nómina de entidad de conformidad a la normatividad vigente y directrices dadas. 5.Elaborar documentos, actos administrativos, circulares y demás, que sean requeridos por la dependencia, de manera oportuna. 6.Atender y resolver las consultas y peticiones formuladas por otras dependencias, por el público en general y por entes de control, así como, generar las constancias y certificaciones relacionadas con las funciones de la dependencia. 7.Desempeñar las demás funciones relacionadas con la naturaleza del cargo, el área de desempeño y las que le sean asignadas por el jefe inmediato.</t>
  </si>
  <si>
    <t>Estudio: Título profesional en: Contaduría Pública; del núcleo básico de conocimiento en Contaduría Pública.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Economía; del núcleo básico de conocimiento en Economía. Tarjeta o matrícula profesional en los casos reglamentados por la Ley.</t>
  </si>
  <si>
    <t>184-186 RES. 020 de 2019</t>
  </si>
  <si>
    <t xml:space="preserve">Realizar actividades relacionadas con los procesos presupuestal, contable y financiero de la Dirección de Gestión Corporativa, para el cumplimiento de los planes, programas y proyectos y de acuerdo con los parámetros y la normatividad vigente.  </t>
  </si>
  <si>
    <t xml:space="preserve">1.	Preparar, aprobar y enviar las órdenes de pago conforme a las normas tributarias tanto de recurso externo como del Distrito, de acuerdo a los requerimientos establecidos por la Tesorería Distrital y la Entidad.
2.	Efectuar el registro, control y seguimiento de las operaciones financieras y presupuestales derivadas del manejo de los recursos externos y de fuente nacional que suscriba la Entidad, en el sistema de presupuesto del Distrital. 
3.	Realizar actividades relacionadas con el proceso contable y estados financieros de la Secretaría Jurídica, de acuerdo con la normatividad y directrices establecidas. 
4.	Elaborar el informe de gestión y realizar seguimiento a los indicadores de ejecución del presupuesto, de acuerdo con las directrices dadas.
5.	Realizar los cuadros comparativos de precios, valores unitarios y características de los productos ofrecidos en los procesos de selección.
6.	Desarrollar actividades que permitan el seguimiento y mejoramientos de los procedimientos de ejecución presupuestal, financiera y contable, de acuerdo con las directrices establecidas.
7.	Realizar la construcción del aspecto financiero en los distintos procesos precontractuales y contractuales que se requieran, así como la evaluación económica y financiera de los procesos de selección presentados, con efectividad y oportunidad.
8.	Realizar el Cobro Persuasivo de las obligaciones exigibles pendientes de pago a favor de la Secretaría, en concordancia con la normatividad vigente dentro de la oportunidad requerida. 
9.	Preparar y elaborar estudios e informes estadísticos y analíticos sobre las operaciones y procesos financieros o presupuestales, requeridos a la Entidad, con la oportunidad requerida. 
10.	Proyectar respuesta a consultas, conceptos, peticiones, y atender requerimientos de los procesos de presupuesto, de manera eficiente y oportuna.  
11.	Desempeñar las demás funciones que le asigne el superior inmediato de acuerdo a la naturaleza del cargo.
</t>
  </si>
  <si>
    <t>Estudio: Título profesional en: Economía; del núcleo básico de conocimiento en Economía. Título profesional en: Contaduría Pública; del núcleo básico de conocimiento en Contaduría Pública. Título profesional en: Ingeniería Industrial; del núcleo básico de conocimiento en Ingeniería Industrial y afines. Título profesional en: Administración Pública, Administración de Empresas, Administración Financiera o Administración Financiera y de Sistemas; del núcleo básico de conocimiento en Administración. Título profesional en: Ingeniería Administrativa o Ingeniería Financiera; del núcleo básico de conocimiento en Ingeniería Financiera y afines.</t>
  </si>
  <si>
    <t>181-183 RES. 020 de 2019</t>
  </si>
  <si>
    <t>realizar actividades de liquidación, seguimiento y control de los pagos efectuados por la entidad en cumplimiento de los compromisos adquiridos por la misma, en coordinación con el líder del proceso y acorde con los procesos presupuestal, contable y financiero de la dirección de gestión corporativa.</t>
  </si>
  <si>
    <t>1.Desarrollar los procesos de programación, ejecución y control de las actividades a su cargo.
2. Preparar, aprobar y enviar las órdenes de pago conforme a las normas tributarias tanto de recurso externo como del distrito, de acuerdo a los requerimientos establecidos por la tesorería distrital y la entidad. 3. Efectuar el registro, control y seguimiento de las operaciones financieras y presupuestales derivadas del manejo de los recursos externos y de fuente nacional que suscriba la entidad, en el sistema de presupuesto del distrital. Realizar actividades relacionadas con el proceso contable y estados financieros de la secretaría jurídica, de acuerdo con la normatividad y directrices establecidas. 5. Participar en el desarrollo del sistema contable y el manejo de la contabilidad general de la secretaría jurídica de conformidad con las normas establecidas. 6. Participar en la elaboración de informes requeridos por los entes de control externos o dependencias de control internas de acuerdo con las disposiciones vigentes. 7. Preparar y analizar la información sobre el funcionamiento administrativo, financiero y productivo de las actividades realizadas. 8. Entregar al líder del proceso la información financiera, contable, estadística y técnica para la elaboración de informes de gestión y/o requeridos por el superior inmediato. 9. Realizar control y seguimiento a los indicadores de ejecución del presupuesto, de acuerdo con las directrices dadas. 10. Desarrollar actividades que permitan el seguimiento y mejoramientos de los procedimientos de ejecución presupuestal, financiera y contable, de acuerdo con las directrices establecidas. 11. Proyectar respuesta a consultas, conceptos, peticiones, y atender requerimientos de los procesos de presupuesto, de manera eficiente y oportuna. 12. Desempeñar las demás funciones que le asigne el superior inmediato de acuerdo a la naturaleza del cargo.</t>
  </si>
  <si>
    <t>Estudio: Título profesional en la disciplina académica de: Administración Pública, Administración de Empresas, Administración Pública, Administración de Empresas Comerciales, Administración Financiera y de Sistemas, Administración Financiera, Administración y Finanzas. NBC en Administración. Título profesional en la disciplina académica de: Ingeniería Industrial o Ingeniería de Producción NBC en Ingeniería Industrial y afines. Título profesional en la disciplina académica de: Economía, Economía y Finanzas, Relaciones Económicas Internacionales, Finanzas y Comercio Internacional,Negocios Internacionales NBC en Economía. Título profesional en la disciplina académica de: Contaduría Pública NBC en Economía, Administración, Contaduría y Afines. Título profesional en la disciplina académica de: Ingeniería Financiera, Ingeniería Administrativa. NBC en Ingeniería Administrativa y Afines. Tarjeta o matricula profesional en los casos reglamentados por la Ley.</t>
  </si>
  <si>
    <t>189-191 RES. 020 de 2019</t>
  </si>
  <si>
    <t>ASISTENCIAL-26</t>
  </si>
  <si>
    <t>desarrollar las actividades de contratación de la entidad para el cumplimiento de los planes, programas, proyectos y la normatividad vigente.</t>
  </si>
  <si>
    <t>1.Desarrollar actividades relacionadas con la elaboración de minutas, suscripción de los contratos, pliegos de condiciones, proyectos de resolución y demás actos administrativos relacionados con el proceso contractual, de conformidad con la normatividad vigente sobre el tema. 
2.Desarrollar actividades relacionadas con el sistema de contratación, compras, registro de proveedores, adquisición, almacenamiento y suministro de los elementos equipos y demás bienes necesarios para el eficiente funcionamiento de las dependencias de la Entidad. 3.Brindar asistencia profesional a las dependencias de la Secretaria, a los usuarios internos y externos en aspectos de carácter contractual con la eficacia requerida 4.Sustanciar los actos que resuelven los recursos interpuestos contra los actos administrativos emitidos por la dependencia, de acuerdo con la normatividad vigente. 5.Elaborar actos administrativos, documentos, actas e informes en materia contractual, de acuerdo con los lineamientos y parámetros establecidos. 6.Actualizar la información derivada de la ejecución contractual, con el fin de que se facilite el control y seguimiento contractual, con calidad y oportunidad. 7.Desempeñar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</si>
  <si>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Tarjeta o matricula profesional en los casos reglamentados por la Ley.</t>
  </si>
  <si>
    <t>192-194  RES. 020 de 2019</t>
  </si>
  <si>
    <t>ASISTENCIAL-27</t>
  </si>
  <si>
    <t>desarrollar las actividades relacionadas con la gestión en materia de talento humano de la entidad, de acuerdo a los procedimientos establecidos y a las directrices de los órganos rectores.</t>
  </si>
  <si>
    <t>1.Efectuar los análisis y estudio de las hojas de vida de la planta de personal para el proceso de encargo, así como para la vinculación a los empleos de la Entidad, de forma oportuna, acertada y responsable.
2.Realizar la modificación y actualización del manual de funciones y competencias laborales, de manera oportuna y de acuerdo a las directrices y normatividad vigente. 3.Brindar asistencia profesional en los procedimientos y mecanismos que permitan el desarrollo adecuado de la salud ocupacional y seguridad industrial en el trabajo, de acuerdo con las normas y procedimientos vigentes. 4.Aportar al desarrollo e implementación de los planes, programas y proyectos en materia de capacitación, bienestar e incentivos, teniendo en cuenta la normatividad vigente. 5.Elaborar documentos, actos administrativos, circulares y demás, que sean requeridos por la dependencia, de manera oportuna. 6.Desempeñar las demás funciones relacionadas con la naturaleza del cargo, el área de desempeño y las que le sean asignadas por el jefe inmediato.</t>
  </si>
  <si>
    <t>Estudio: Título profesional en: Derecho, Derecho y Ciencias Sociales, Derecho y Ciencias Políticas, Derecho y Ciencias Humanas, Derecho y Ciencias Administrativas, Derecho y Ciencias Sociales Derecho, Ciencias Políticas y Relaciones Internacionales, Jurisprudencia, Justicia y Derecho, o Leyes y Jurisprudencia; del núcleo básico de conocimiento en Derecho y afines.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Ingeniería Industrial; del núcleo básico de conocimiento en Ingeniería Industrial y afines.</t>
  </si>
  <si>
    <t>186-189 RES. 020 de 2019</t>
  </si>
  <si>
    <t>E13</t>
  </si>
  <si>
    <t xml:space="preserve">Realizar las gestiones pertinentes para la defensa de los intereses del Distrito Capital y adopción de medidas de prevención del daño antijurídico, en el marco de la política de Gerencia Jurídica Pública. </t>
  </si>
  <si>
    <t>1.	Efectuar asistencia profesional en la representación judicial y extrajudicial de los procesos que se le asignen, en el marco de la política de Gerencia Jurídica Pública. 
2.	Ejercer la representación judicial de tutelas, en concordancia con la normatividad vigente. 
3.	Realizar actividades relacionadas con la consolidación del Sistema de Información de Procesos Judiciales SIPROJ WEB, de manera oportuna. 
4.	Realizar la compilación, análisis y sistematización de documentos jurídicos en temas relacionadas con el Distrito Capital, con el objeto de establecer la vigencia de las normas Distritales. 
5.	Aplicar criterios y medidas administrativas para el cumplimiento y ejecución de las sentencias judiciales, de acuerdo con los lineamientos que sean establecidos. 
6.	Emitir conceptos jurídicos en materia de defensa judicial y prevención del daño antijurídico, en concordancia con la normatividad vigente. 
7.	Elaborar y presentar informes, documentos, actos administrativos al superior inmediato y a los organismos de control, sobre las actividades desarrolladas con la oportunidad y periodicidad requerida.
8.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</si>
  <si>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Tarjeta o matricula profesional en los casos reglamentados por la Ley.</t>
  </si>
  <si>
    <t>169-171 RES. 020 de 2019</t>
  </si>
  <si>
    <t>realizar las gestiones pertinentes para la defensa de los intereses del distrito capital y adopción de medidas de prevención del daño antijurídico, en el marco de la política de gerencia jurídica pública.</t>
  </si>
  <si>
    <t>1.Efectuar asistencia profesional en la representación judicial y extrajudicial de los procesos que se le asignen, en el marco de la política de Gerencia Jurídica Pública. 
2.Ejercer la representación judicial de tutelas, en concordancia con la normatividad vigente. 3.Realizar actividades relacionadas con la consolidación del Sistema de Información de Procesos Judiciales SIPROJ WEB, de manera oportuna. 4.Realizar la compilación, análisis y sistematización de documentos jurídicos en temas relacionadas con el Distrito Capital, con el objeto de establecer la vigencia de las normas Distritales. 5.Aplicar criterios y medidas administrativas para el cumplimiento y ejecución de las sentencias judiciales, de acuerdo con los lineamientos que sean establecidos. 6.Emitir conceptos jurídicos en materia de defensa judicial y prevención del daño antijurídico, en concordancia con la normatividad vigente. 7.Elaborar y presentar informes, documentos, actos administrativos al superior inmediato y a los organismos de control, sobre las actividades desarrolladas con la oportunidad y periodicidad requerida. 8.Desempeñar las demás funciones que le asigne el superior inmediato de acuerdo a la naturaleza del cargo.</t>
  </si>
  <si>
    <t>E24</t>
  </si>
  <si>
    <t>realizar el análisis financiero y contable del ejercicio de la defensa judicial y extra judicial de las entidades y organismos distritales, en el marco de la política de gerencia jurídica.</t>
  </si>
  <si>
    <t>1.Realizar el seguimiento contable del ejercicio de la defensa judicial, extrajudicial de las entidades y organismos Distritales, de manera técnica. 
2.Realizar la auditoria de la información contable y módulo de pago de sentencias que sean requeridas, con el fin de realizar las acciones de mejoramiento continuo. 3.Orientar a las Entidades para que corrijan la información contable de los procesos judiciales, de manera oportuna. 4.Elaborar y presentar informes, documentos, actos administrativos al superior inmediato y a los organismos de control, sobre las actividades desarrolladas con la oportunidad y periodicidad requerida. 5.Participar en los mesas de trabajos que se le asignen, asi como en los comités en los que es delegado o asignado en cumplimiento de la mision de la Secretaría Jurídica, de cuyas reuniones deberá levantar las actas correspondientes, e informar al jefe inmediato. 6.Desempeñar las demás funciones que le asigne el superior inmediato de acuerdo a la naturaleza del cargo.</t>
  </si>
  <si>
    <t>Estudio: Título profesional en: Administración Pública, Administración de Empresas, Administración Financiera, o Administración Financiera y de Sistemas; del núcleo básico de conocimiento en: Administración. Título profesional en: Contaduría Pública; del núcleo básico de conocimiento en Contaduría Pública. Título profesional en: Economía; del núcleo básico de conocimiento en Economía. Título profesional en: Ingeniería Administrativa, o Ingeniería Financiera; del núcleo básico de conocimiento en Ingeniería Financiera y afines. Tarjeta o matricula profesional en los casos reglamentados por la Ley.</t>
  </si>
  <si>
    <t>171-173 RES. 020 de 2019</t>
  </si>
  <si>
    <t>E11</t>
  </si>
  <si>
    <t>Proyectar, analizar y efectuar la revisión de legalidad de actos administrativos de baja complejidad, proyectar conceptos de baja complejidad y atender peticiones y traslados, con el fin de prevenir el daño antijurídico y garantizar la seguridad jurídica.</t>
  </si>
  <si>
    <t xml:space="preserve">1.	Analizar y proyectar los conceptos de baja complejidad, que le sean asignados para prevenir el daño antijurídico y garantizar la seguridad jurídica.
2.	Estudiar y proyectar respuestas a las solicitudes de comentarios a proyectos de Acuerdo y de Ley de baja complejidad para determinar la pertinencia y viabilidad de los mismos.
3.	Elaborar anteproyectos de acuerdos, decretos, resoluciones y demás actos administrativos concernientes a las actividades propias de Bogotá, D.C., - Secretaría Jurídica Distrital, de conformidad con la normatividad vigente.
4.	Revisar, ajustar y tramitar los proyectos de actos administrativos y demás documentos que deban expedir el Alcalde Mayor y/o el/la Secretario/a Jurídico/a Distrital de baja complejidad, que le sean asignados dentro de la oportunidad requerida.
5.	Analizar y dar trámite a las peticiones diferentes a conceptos o consultas, elevadas por las entidades públicas, particulares, y demás autoridades, que le sean asignados de conformidad con las competencias de las entidades Distritales.
6.	Desempeñar las demás funciones que le asigne el superior inmediato de acuerdo a la naturaleza del cargo.
</t>
  </si>
  <si>
    <t>167-169 RES. 020 de 2019</t>
  </si>
  <si>
    <t>proyectar, analizar y efectuar la revisión de legalidad de actos administrativos de baja complejidad, proyectar conceptos de baja complejidad y atender peticiones y traslados, con el fin de prevenir el daño antijurídico y garantizar la seguridad jurídica.</t>
  </si>
  <si>
    <t>1.Analizar y proyectar los conceptos de baja complejidad, que le sean asignados para prevenir el daño antijurídico y garantizar la seguridad jurídica.
2.Estudiar y proyectar respuestas a las solicitudes de comentarios a proyectos de Acuerdo y de Ley de baja complejidad para determinar la pertinencia y viabilidad de los mismos. 3.Elaborar anteproyectos de acuerdos, decretos, resoluciones y demás actos administrativos concernientes a las actividades propias de Bogotá, D.C., - Secretaría Jurídica Distrital, de conformidad con la normatividad vigente. 4.Revisar, ajustar y tramitar los proyectos de actos administrativos y demás documentos que deban expedir el Alcalde Mayor y/o el/la Secretario/a Jurídico/a Distrital de baja complejidad, que le sean asignados dentro de la oportunidad requerida. 5.Analizar y dar trámite a las peticiones diferentes a conceptos o consultas, elevadas por las entidades públicas, particulares, y demás autoridades, que le sean asignados de conformidad con las competencias de las entidades Distritales. 6.Desempeñar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</si>
  <si>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Tarjeta o matricula profesional en los casos reglamentados por la Ley.</t>
  </si>
  <si>
    <t>Efectuar las acciones de verificación sobre los sujetos de control haciendo uso de los procedimientos y recursos a su disposición; así como analizar la información de las entidades sin ánimo de lucro, con el fin de emitir un concepto sobre la situación financiera observada que sirva como soporte para la toma de decisiones.</t>
  </si>
  <si>
    <t xml:space="preserve">1.	Realizar el registro de los estados financieros en el Sistema de información de personas jurídicas-SIPEJ asignados para verificar el cumplimiento de las obligaciones financieras y contables.
2.	Analizar financieramente y requerir la documentación necesaria para ejercer la función de inspección, vigilancia y control a las entidades sin ánimo de lucro, acorde con la normatividad vigente en la materia.
3.	Realizar las visitas administrativas que le sean asignadas en el ejercicio de las funciones de la dependencia y presentar oportunamente los informes correspondientes. 
4.	Analizar las pruebas allegadas al proceso desde el punto de vista financiero para establecer concepto y verificar si es necesario formular cargos a las entidades sin ánimo de lucro, de acuerdo con la normatividad.
5.	Elaborar y proyectar concepto sobre la situación financiera en las etapas del proceso administrativo sancionatorio a las entidades sin ánimo de lucro que sean asignadas, con oportunidad.
6.	Mantener actualizado el sistema de información de personas jurídicas sin ánimo de lucro, de conformidad a las acciones que adelante en el ejercicio de sus funciones, de forma oportuna, veraz y confiable.
7.	Proyectar informes, respuestas a derechos de petición y consultas que le sean asignados, de acuerdo a la normatividad vigente. 
8.	Desempeñar las demás funciones que le asigne el superior inmediato de acuerdo a la naturaleza del cargo.
</t>
  </si>
  <si>
    <t>Estudio: Título profesional en: Contaduría Pública; del núcleo básico de conocimiento en Contaduría Pública. Título profesional en: Economía; del núcleo básico de conocimiento en Economía. Título profesional en: Administración de Empresas, Administración Pública o Administración Financiera; del núcleo básico de conocimiento en Administración. Tarjeta o matricula profesional en los casos reglamentados por la Ley.</t>
  </si>
  <si>
    <t>174-176 RES. 020 de 2019</t>
  </si>
  <si>
    <t>E20</t>
  </si>
  <si>
    <t>efectuar las acciones de verificación sobre los sujetos de control de acuerdo con una programación establecida, haciendo uso de los procedimientos y recursos a su disposición con el fin de emitir un concepto sobre la situación jurídica observada que sirva como soporte para la toma de decisiones.</t>
  </si>
  <si>
    <t>1.Revisar jurídicamente y requerir la documentación de las entidades sin ánimo de lucro asignadas para verificar el cumplimiento de las obligaciones legales, de conformidad con la normatividad vigente.
2.Realizar el traslado por competencia de las entidades sin ánimo de lucro, a las entidades gubernamentales correspondientes según la normatividad vigente. 3.Aplicar el proceso administrativo sancionatorio a las entidades sin ánimo de lucro que incumplan sus obligaciones legales, financieras y contables para garantizar el cumplimiento del objeto social por el cual fueron creados. 4.Realizar las visitas administrativas que le sean asignadas en el ejercicio de las funciones de la dependencia, de conformidad con la programación. 5.Proyectar los actos administrativos de trámite y definitivos de los procesos sancionatorios iniciados a las personas jurídicas sin ánimo de lucro dentro de los términos legales y de acuerdo con la normativa vigente. 6.Realizar las gestiones para convocar a los vocales de control registrados por los Comités de Desarrollo y Control Social de Servicios Públicos Domiciliarios, con el fin de conformar y presentar al Alcalde Mayor de Bogotá una terna para designar a cada vocal de control que harán parte de la Junta Directiva de las empresas oficiales de servicios públicos del orden Distrital. 7.Mantener actualizado el Sistema de Información de Personas Jurídicas sin ánimo de lucro, de conformidad a las acciones que adelante en el ejercicio de sus funciones. 8.Proyectar las respuestas a los derechos de petición, consultas que le sean asignados e informes, de manera oportuna. 9.Desempeñar las demás funciones que le asigne el superior inmediato de acuerdo a la naturaleza del cargo.</t>
  </si>
  <si>
    <t>9-11 RES. 039 de 2019</t>
  </si>
  <si>
    <t>efectuar las acciones de verificación sobre los sujetos de control haciendo uso de los procedimientos y recursos a su disposición; así como analizar la información de las entidades sin ánimo de lucro, con el fin de emitir un concepto sobre la situación financiera observada que sirva como soporte para la toma de decisiones.</t>
  </si>
  <si>
    <t>1.Realizar el registro de los estados financieros en el Sistema de información de personas jurídicas-SIPEJ asignados para verificar el cumplimiento de las obligaciones financieras y contables.
2.Analizar financieramente y requerir la documentación necesaria para ejercer la función de inspección, vigilancia y control a las entidades sin ánimo de lucro, acorde con la normatividad vigente en la materia. 3.Realizar las visitas administrativas que le sean asignadas en el ejercicio de las funciones de la dependencia y presentar oportunamente los informes correspondientes. 4.Analizar las pruebas allegadas al proceso desde el punto de vista financiero para establecer concepto y verificar si es necesario formular cargos a las entidades sin ánimo de lucro, de acuerdo con la normatividad. 5.Elaborar y proyectar concepto sobre la situación financiera en las etapas del proceso administrativo sancionatorio a las entidades sin ánimo de lucro que sean asignadas, con oportunidad. 6.Mantener actualizado el sistema de información de personas jurídicas sin ánimo de lucro, de conformidad a las acciones que adelante en el ejercicio de sus funciones, de forma oportuna, veraz y confiable. 7.Proyectar informes, respuestas a derechos de petición y consultas que le sean asignados, de acuerdo a la normatividad vigente. 8.Desempeñar las demás funciones que le asigne el superior inmediato de acuerdo a la naturaleza del cargo.</t>
  </si>
  <si>
    <t xml:space="preserve"> Estudio: Título profesional en: Contaduría Pública; del núcleo básico de conocimiento en Contaduría Pública. Título profesional en: Economía; del núcleo básico de conocimiento en Economía. Título profesional en: Administración de Empresas, Administración Pública o Administración Financiera; del núcleo básico de conocimiento en Administración. Tarjeta o matricula profesional en los casos reglamentados por la Ley.</t>
  </si>
  <si>
    <t>analizar y evaluar información reportada en el sistema de información de personas jurídicas de las entidades sin ánimo de lucro para la definición de acciones, programas, metas, lineamientos de política pública, con la oportunidad requerida.</t>
  </si>
  <si>
    <t>1.Realizar actividades de análisis y evaluación de la información primaria para la formulación de lineamientos de la política, con criterios de eficacia y eficiencia. 
2.Orientar la actualización jurídica, financiera y contable a las entidades sin ánimo de lucro y entidades gubernamentales que ejercen control, inspección y vigilancia. 3.Articular el Sistema Integrado de Gestión de Calidad y el Sistema de Personas Jurídicas actualizado respecto a los procedimientos y políticas de la entidad en concordancia con los lineamientos establecidos y la normatividad vigente. 4.Realizar actividades de contratación en la dependencia, cumplimiento las directrices que sean establecidas. 5.Desarrollar acciones y analizar la información del Sistema de Información de Personas Jurídicas, de acuerdo con los lineamientos establecidos. 6.Diseñar los objetivos, estrategias, indicadores de resultados y demás aspectos relacionados con los procesos institucionales, con el fin de lograr el cumplimiento de metas y proyectos de la Secretaría Jurídica Distrital. 7.Elaborar y analizar las encuestas de satisfacción que sean requeridos por la dependencia con criterios de eficacia y eficiencia. 8.Elaborar documentos, informes, actos administrativos y respuestas a derechos de petición y consultas que le sean asignados, con la oportunidad requerida. 9.Mantener actualizado el Sistema de Información de Personas Jurídicas, de conformidad a las acciones que adelante en el ejercicio de sus funciones. 10.Desempeñar las demás funciones que le asigne el superior inmediato de acuerdo a la naturaleza del cargo.</t>
  </si>
  <si>
    <t xml:space="preserve"> Estudio: Título profesional en: Economía; del núcleo básico de conocimiento en Economía. Título profesional en: Contaduría Pública; del núcleo básico de conocimiento en Contaduría Pública. Título profesional en: Administración de Empresas, Administración Pública, o Administración Industrial; del núcleo básico de conocimiento en Administración. Título profesional en: Ingeniería Industrial; del núcleo básico de conocimiento en Ingeniería Industrial y afines. Tarjeta o matricula profesional en los casos reglamentados por la Ley.</t>
  </si>
  <si>
    <t>178-180 RES. 020 de 2019</t>
  </si>
  <si>
    <t>E12</t>
  </si>
  <si>
    <t>realizar análisis de información y efectuar seguimiento y evaluación a los lineamientos de política disciplinaria que ayuden a mejorar la gestión pública en el distrito capital, de acuerdo con los lineamientos y parámetros establecidos.</t>
  </si>
  <si>
    <t>1.Analizar los datos estadísticos del Sistema Distrital de Información Disciplinaria y demás fuentes, que sirven de insumo para la construcción de propuestas de políticas públicas.
2.Realizar el seguimiento y evaluación a los lineamientos de política, con el fin de verificar su implementación en todas las entidades Distritales donde se ejerce función disciplinaria; y sugerir los cambios que permitan fortalecerla o cambiarla. 3.Incorporar la información al Sistema Distrital de Información Disciplinaria de acuerdo a la asignación efectuada por el superior inmediato. 4.Realizar el análisis de las decisiones que en materia disciplinaria que efectúan los despachos judiciales y administrativos para la incorporación a los Sistemas de Información Jurídica. 5.Realizar las visitas a las entidades Distritales para efectuar el seguimiento a la implementación de la política para el ejercicio disciplinario en el Distrito Capital. 6.Desempeñar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</si>
  <si>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Administración Pública, o Administración de Empresas; del núcleo básico de conocimiento en: Administración. Título profesional en: Ciencia Política Gobierno y Relaciones Internacionales, Relaciones Internacionales y Estudios Políticos, Relaciones Internacionales, Ciencia Política, Gobierno y Relaciones Internacionales, Finanzas y Relaciones Internacionales, Política y Relaciones Internacionales, o Relaciones Económicas Internacionales; del núcleo básico de conocimiento en Ciencia Política, Relaciones Internacionales. Tarjeta o matricula profesional en los casos reglamentados por la Ley.</t>
  </si>
  <si>
    <t>198-200 RES. 020 de 2019</t>
  </si>
  <si>
    <t>E26</t>
  </si>
  <si>
    <t>ejecutar los procesos y mecanismos estipulados por el marco legal de inspección, control y vigilancia, tendientes a impulsar los procesos investigativos – sancionatorios, que se deben adelantar contra los sujetos de control por infracción a la ley que las regula, con base en los informes de la información jurídica.</t>
  </si>
  <si>
    <t>1.Estudiar, realizar y revisar las acciones del proceso de actas de posesión de cabildos indígenas, de acuerdo con los lineamientos establecidos. 
2.Verificar el cumplimiento de los requisitos y realizar el acto administrativo de reconocimiento y registro de las ligas y asociaciones de consumidores, de conformidad con la normativa vigente. 3.Realizar estudios y análisis de documentos de las entidades sin ánimo de lucro para definir si cumplen con los requisitos de ley. 4.Revisar jurídicamente y requerir la documentación de las entidades sin ánimo de lucro, acorde con la normatividad que las rige. 5.Implementar las estrategias adoptadas por la Dirección, en materia de proceso administrativo sancionatorio a las entidades sin ánimo de lucro que incumplan sus obligaciones legales, financieras y contables para garantizar el cumplimiento del objeto social por el cual fueron creados. 6.Mantener actualizado el sistema de información de personas jurídicas sin ánimo de lucro, de conformidad a las acciones que adelante en el ejercicio de sus funciones. 7.Proyectar las respuestas a los derechos de petición, consultas y actos administrativos que le sean asignados, de manera oportuna. 8.Realizar las visitas administrativas que le sean asignadas en el ejercicio de las funciones de la dependencia, de manera oportuna. 9.Desempeñar las demás funciones que le asigne el superior inmediato de acuerdo a la naturaleza del cargo.</t>
  </si>
  <si>
    <t>202-204 RES.020 de 2019</t>
  </si>
  <si>
    <t>Desarrollar los procesos y mecanismos estipulados por el marco legal de inspección, control y vigilancia, tendientes a impulsar los procesos investigativos – sancionatorios, que se deben adelantar contra los sujetos de control por infracción a la ley que las regula, con base en los informes de la información contable y financiera.</t>
  </si>
  <si>
    <t>1.Realizar el registro de los estados financieros en el Sistema de información de personas jurídicas SIPEJ, con la oportunidad requerida.
2.Analizar, comparar y evaluar la información contable y financiera aportada por las entidades sin ánimo de lucro asignadas por la dependencia, de ser el caso realizar los requerimientos a que haya lugar con calidad y oportunidad requeridas. 3.Elaborar documentos, informes, actos administrativos y respuestas a derechos de petición y consultas que le sean asignados, con la oportunidad requerida. 4.Realizar visitas administrativas a las entidades sin ánimo de lucro, en concordancia con las directrices establecidas. 5.Mantener actualizado el sistema de información de personas jurídicas sin ánimo de lucro, de conformidad a las acciones que adelante en el ejercicio de sus funciones. 6.Proyectar las respuestas a los derechos de petición y consultas que le sean asignados, conforme a la normatividad vigente y dentro de la oportunidad requerida. 7.Desempeñar las demás funciones que le asigne el superior inmediato de acuerdo a la naturaleza del cargo.</t>
  </si>
  <si>
    <t>Estudio: Título profesional en: Economía; del núcleo básico de conocimiento en Economía. Título profesional en: Contaduría Pública; del núcleo básico de conocimiento en Contaduría Pública. Título profesional en: Administración Pública, Administración de Empresas, Administración Financiera y de Sistemas o Administración Financiera; del núcleo básico de conocimiento en: Administración. Tarjeta o matricula profesional en los casos reglamentados por la Ley.</t>
  </si>
  <si>
    <t>200-202 RES. 020 de 2019</t>
  </si>
  <si>
    <t>desarrollar los procesos y mecanismos estipulados por el marco legal de inspección, control y vigilancia, tendientes a impulsar los procesos investigativos – sancionatorios, que se deben adelantar contra los sujetos de control por infracción a la ley que las regula, con base en los informes de la información contable y financiera.</t>
  </si>
  <si>
    <t>E16</t>
  </si>
  <si>
    <t>realizar actividades relacionadas con los procesos, procedimientos y controles que contribuyan al mejoramiento continuo de la entidad y al fortalecimiento del sistema integrado de gestión y control de la secretaría jurídica distrital.</t>
  </si>
  <si>
    <t>1.Realizar las auditorías internas acorde con el Programa Anual de Auditoría establecido, que permita evaluar de manera integral la gestión de las dependencias de la Entidad, y de ser necesario efectuar recomendaciones para la elaboración del plan de mejoramiento, de conformidad con los procedimientos establecidos. 
2.Implementar el Programa Anual de Auditoria y verificar el grado de avance y el estado de las acciones preventivas, correctivas y recomendaciones implementadas por los procesos conforme a los informes de presentados por la Oficina de Control Interno 3.Elaborar documentos, informes y estudios relacionados con los hallazgos de las auditorias, no conformidades y gestión de la Secretaría Jurídica Distrital, con el fin de realizar las acciones preventivas y correctivas, para el mejoramiento continuo de la Entidad. 4.Realizar el seguimiento, análisis y evaluación de los procesos que le sean asignados de manera oportuna y de acuerdo a la normatividad vigente. 5.Analizar y realizar el seguimiento a los riesgos que representen una amenaza para la consecución de los objetivos organizacionales, de acuerdo con los parámetros y directrices establecidas. 6.Desempeñar las demás funciones que le asigne el superior inmediato de acuerdo a la naturaleza del cargo.</t>
  </si>
  <si>
    <t>Estudio: Título profesional en: Administración Pública, Administración de Empresas, Administración Financiera, o Administración Financiera y de Sistemas; del núcleo básico de conocimiento en Administración. Título profesional en: Economía; del núcleo básico de conocimiento en Economía. Título profesional en: Contaduría Pública; del núcleo básico de conocimiento en Contaduría Pública. Título profesional en: Ingeniería Administrativa, o Ingeniería Financiera; del núcleo básico de conocimiento en Ingeniería Financiera y afines.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Ingeniería Industrial; del núcleo básico de conocimiento en Ingeniería Industrial y afines. Tarjeta o matrícula profesional en los casos reglamentados por la Ley.</t>
  </si>
  <si>
    <t>205-208 RES. 020 de 2019</t>
  </si>
  <si>
    <t>realizar actividades relacionadas con los procesos, procedimientos y controles que contribuyan al mejoramiento continuo de la entidad, con calidad y oportunidad.</t>
  </si>
  <si>
    <t>1.Realizar las auditorias asignadas y realizar el seguimiento al grado de avance y el estado de las acciones preventivas, correctivas y recomendaciones implementadas por los procesos conforme a los informes de presentados por la Oficina de Control Interno.
2.Elaborar documentos, informes y estudios relacionados con los hallazgos de las auditorias, no conformidades y gestión de la Secretaría Jurídica Distrital, con el fin de realizar las acciones preventivas y correctivas, para el mejoramiento de la Entidad. 3.Realizar seguimiento análisis y evaluación de los procesos y actividades que le sean asignados de manera oportuna y de acuerdo a la normatividad vigente. 4.Identificar y analizar los riesgos que representen una amenaza para la consecución de los objetivos organizacionales, para la toma de decisiones, de acuerdo con los parámetros y directrices establecidas. 5.Desempeñar las demás funciones que le asigne el superior inmediato de acuerdo a la naturaleza del cargo.</t>
  </si>
  <si>
    <t>Estudio: Título profesional en: Administración Pública, Administración de Empresas, Administración Financiera, o Administración Financiera y de Sistemas; del núcleo básico de conocimiento en Administración. Título profesional en: Economía; del núcleo básico de conocimiento en Economía. Título profesional en: Contaduría Pública; del núcleo básico de conocimiento en Contaduría Pública. Título profesional en: Ingeniería Administrativa, o Ingeniería Financiera; del núcleo básico de conocimiento en Ingeniería Financiera y afines.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Ingeniería Industrial; del núcleo básico de conocimiento en Ingeniería Industrial y afines. Tarjeta o matrícula profesional en los casos reglamentados por la Ley.</t>
  </si>
  <si>
    <t>212-215 Res. 020 de 2019</t>
  </si>
  <si>
    <t>Adelantar las acciones administrativas de la dirección de gestión corporativa conforme a las normas vigentes.</t>
  </si>
  <si>
    <t>1. Elaborar las herramientas, procedimientos y/o manuales de la Dirección de Gestión Corporativa, de conformidad con las instrucciones dadas y la normatividad vigente.
2. Organizar, controlar y custodiar los bienes e insumos adquiridos para el funcionamiento de la Entidad. 3. Llevar el control de los traslados de elementos devolutivos entre servidores, verificando las características e identificación de los bienes, para mantener los inventarios individuales actualizados de los servidores, y los inventarios de activos fijos, de conformidad a las políticas institucionales. 4. Controlar el manejo del KARDEX de control de elementos de almacén, tanto de consumo como devolutivos. 5. Elaborar informes, documentos, actos administrativos, memorandos, oficios y demás comunicaciones que le sean requeridos respecto a las funciones propias del empleo, de manera eficiente y oportuna. 6. Colaborar en la preparación y presentación del anteproyecto de presupuesto y el plan de compras de la Entidad, de conformidad a las instrucciones dadas. 7.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</si>
  <si>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Administración Pública, Administración de Empresas, Administración de Gestión Humana, Administración en Recursos Humanos, Administración Humana, o Dirección Humana y Organizacional; del núcleo básico de conocimiento en Administración. Tarjeta o matricula profesional en los casos reglamentados por la Ley.</t>
  </si>
  <si>
    <t>219-221 RES. 020 de 2019</t>
  </si>
  <si>
    <t>desarrollar las actividades de contratación que le sean asignadas, para el cumplimiento de los planes, programas y proyectos de la entidad, acorde con la normatividad vigente.</t>
  </si>
  <si>
    <t>1.Ejecutar las actividades relacionadas con la elaboración de minutas y proyectos de resoluciones relacionados con el proceso contractual, en concordancia con la normatividad vigente. 
2.Incorporar la información relacionada con la contratación de la Entidad, en los sistemas de información contractual establecidos por la Ley o los que se determine en el Distrito Capital. 3.Elaborar los actos administrativos, documentos, actas e informes en materia contractual, de acuerdo con los lineamientos y parámetros establecidos. 4.Actualizar información confiable derivada de la ejecución contractual, con el fin de que se facilite el control y seguimiento contractual, de manera oportuna. 5.Desempeñar las demás funciones que le asigne el superior inmediato de acuerdo a la naturaleza del cargo.</t>
  </si>
  <si>
    <t>217-219 RES. 020 de 2019</t>
  </si>
  <si>
    <t>Realizar las acciones relacionadas con el diseño, implementación y seguimiento al Plan Institucional de Gestión Ambiental (PIGA), así como la asistencia en la elaboración de los procesos y procedimientos de la entidad, en coordinación con las demás áreas para el mejoramiento continuo de la gestión.</t>
  </si>
  <si>
    <t xml:space="preserve">1.	1.  Elaborar el Plan Institucional de Gestión Ambiental (PIGA) de la Secretaría Jurídica Distrital de conformidad con la normatividad vigente.
2.	Implementar y hacer seguimiento al Plan Institucional de Gestión Ambiental (PIGA) de la Secretaría Jurídica Distrital con criterios de oportunidad y eficiencia. 
3.	Conocer y divulgar las modificaciones normativas relacionadas con la gestión ambiental de manera oportuna.
4.	Proponer e implementar mejoras y controles en los Procesos, Indicadores de Gestión y Eventos de Riesgo relacionados con el Sistema de Gestión Ambiental.
5.	Realizar acciones de acompañamiento seguimiento, monitoreo y evaluación a las estrategias, planes, programas, proyectos, procesos y/o procedimientos en materia ambiental en el marco del sistema integrado de gestión de la Entidad.
6.	Elaborar y actualizar los procesos y procedimientos de Gestión ambiental y hacer el seguimiento para la certificación y/o acreditación  promoviendo la divulgación de los mismos con la calidad requerida.
7.	Realizar las diferentes actividades relacionadas con la sostenibilidad y mejora continua del Sistema Integrado de Gestión que le sean asignadas de conformidad con su competencia. 
8.	Elaborar los formatos que se utilicen en los procedimientos administrativos internos que le sean asignados.
9.	Desempeñar las demás funciones que le asigne el superior inmediato de acuerdo a la naturaleza del cargo.
</t>
  </si>
  <si>
    <t>Estudio: Título profesional en: Administración Ambiental; del núcleo básico de conocimiento en: Administración. Título profesional en: Ingeniería Administrativa del núcleo básico de conocimiento en Ingeniería Financiera y afines. Título profesional en: Ingeniería Industrial, Ingeniería de Procesos; del núcleo básico de conocimiento en Ingeniería Industrial y afines. Título profesional en: Ingeniería Ambiental, Ingeniería Ambiental y de Saneamiento, o Ingeniería Ambiental y Sanitaria; del núcleo básico de conocimiento en Ingeniería Ambiental, Sanitaria y afines. Tarjeta o matricula profesional en los casos reglamentados por la Ley.</t>
  </si>
  <si>
    <t>222-224 RES. 020 de 2019</t>
  </si>
  <si>
    <t>realizar la formulación de políticas, planes y programas relacionados con la gestión informática e implementación del plan estratégico de tecnología y sistemas de información de la entidad, de acuerdo con los parámetros de la entidad y la normatividad vigente sobre la materia.</t>
  </si>
  <si>
    <t>1.Realizar la implementación de las actividades del Plan Estratégico de Tecnología y Sistemas de Información de la entidad, según criterios técnicos y normativos establecidos.
2.Efectuar la recolección de información para la elaboración del Plan Estratégico de Tecnología y Sistemas de Información (PETI) de la entidad, de manera oportuna y eficaz. 3.Efectuar orientación para la elaboración de los planes y programas de gestión informática a las dependencias de la Secretaría Jurídica Distrital, con el fin de lograr el cumplimiento de las metas propuestas por la Entidad y de acuerdo con los lineamientos técnicos establecidos. 4.Elaborar y mantener actualizado el inventario de activos de información de la Secretaría Jurídica Distrital, con el fin de verificar y mantener los niveles de protección requeridos. 5.Desempeñar las demás funciones que le asigne el superior inmediato de acuerdo a la naturaleza del cargo.</t>
  </si>
  <si>
    <t>Estudio: Título profesional en: Ingeniería de Sistemas, Ingeniería Telemática, Ingeniería Informática, Administración de Informática, Administración de Sistemas de Información, Administración Informática, o Ingeniería de Sistemas Informáticas; del núcleo básico de conocimiento en Ingeniería de Sistemas, Telemática y afines. Título profesional en: Administración Informática; del núcleo básico de conocimiento en Administración. Tarjeta o matrícula profesional en los casos reglamentados por la Ley.</t>
  </si>
  <si>
    <t>225-227 RES. 020 de 2019</t>
  </si>
  <si>
    <t>Preparar la información contable que le sea solicitada, de acuerdo con las normas, procesos y procedimientos establecidos y utilizando las herramientas tecnológicas para contribuir al cumplimiento de los objetivos de la Dirección.</t>
  </si>
  <si>
    <t>1.	Preparar los estudios e informes estadísticos sobre las operaciones y procesos financieros, contables o presupuestales, con criterios de veracidad y oportunidad.
2.	Elaborar los comprobantes de diario que conformen los estados contables de la Entidad, de acuerdo a las instrucciones dadas y normatividad vigente.
3.	Participar en la elaboración y ejecución de comprobantes de ingreso y egreso de elementos de consumo y devolutivos, y la realización de conciliaciones de elementos con el almacén, en el marco de las directrices establecidas por la dependencia y la normatividad vigente.
4.	Realizar el seguimiento y clasificación contable de los inventarios de elementos de consumo, devolutivos, en depósito, cuentas mensuales y anuales, con criterios de eficacia y eficiencia.
5.	Preparar y rendir los informes contables que le sean asignados, con oportunidad.
6.	Desempeñar las demás funciones que le asigne el superior inmediato de acuerdo a la naturaleza del cargo.</t>
  </si>
  <si>
    <t>Estudio: Título profesional en: Contaduría Pública; del núcleo básico de conocimiento en Contaduría pública. Título profesional en: Economía; del núcleo básico de conocimiento en Economía. Título profesional en: Administración Pública, Administración de Empresas, Administración Financiera y de Sistemas o Administración Financiera; del núcleo básico de conocimiento en: Administración. Título profesional en: Ingeniería Administrativa o Ingeniería Financiera; del núcleo básico de conocimiento en Ingeniería Financiera y afines. Tarjeta o matrícula profesional en los casos reglamentados por la Ley.</t>
  </si>
  <si>
    <t>227-229 RES. 020 de 2019</t>
  </si>
  <si>
    <t>Reubicado mediante Resolución No. 062 del 06 de febrero de 2025</t>
  </si>
  <si>
    <t>E23</t>
  </si>
  <si>
    <t>realizar análisis y revisión de la información registrada en el sistema de información de procesos siprojweb y control de los procesos y/o acciones judiciales y extrajudiciales, de acuerdo con los lineamientos y parámetros establecidos.</t>
  </si>
  <si>
    <t>1.Realizar el reparto de las acciones de tutela de acuerdo al análisis realizado y notificarse de las que le sean asignadas, en concordancia con la normatividad vigente. 
2.Efectuar el análisis, dar contestación y realizar el seguimiento de las acciones de tutela asignadas, con la oportunidad requerida. 3.Analizar la información suministrada por el SIPROJWEB, de manera oportuna. 4.Emitir conceptos jurídicos en materia de defensa judicial y prevención del daño antijurídico de baja complejidad, en concordancia con la normatividad vigente. 5.Elaborar y presentar informes, documentos, actos administrativos al superior inmediato y a los organismos de control, sobre las actividades desarrolladas con la oportunidad y periodicidad requerida. 6.Mantener actualizados los expedientes de los procesos a su cargo, con las piezas procesales principales correspondientes de conformidad con las tablas de retención documental. 7.Desempeñar las demás funciones que le asigne el superior inmediato de acuerdo a la naturaleza del cargo.</t>
  </si>
  <si>
    <t>236-238 RES. 020 de 2019</t>
  </si>
  <si>
    <t>Reubicado mediante Resolución No. 568 del 20 de diciembre de 2024</t>
  </si>
  <si>
    <t>ofrecer asistencia profesional y orientación a la ciudadanía en general sobre los derechos y obligaciones contables y financieras de las entidades sin ánimo de lucro, de manera oportuna.</t>
  </si>
  <si>
    <t>1.Brindar orientación financiera a la ciudadanía sobre las Entidades Sin Ánimo de Lucro, de acuerdo con los parámetros establecidos.
2.Revisar, estudiar y analizar los documentos financieros de las entidades sin ánimo de lucro asignadas, con el fin de expedir las diferentes certificaciones de competencia de la Dirección de manera oportuna. 3.Analizar, comparar y evaluar la información contable y financiera aportada por las entidades sin ánimo de lucro asignadas, para el cumplimiento de los objetivos institucionales. 4.Proyectar las respuestas a los derechos de petición, consultas y actos administrativos que le sean asignados, de manera oportuna. 5.Mantener actualizado el sistema de información de personas jurídicas sin ánimo de lucro, de conformidad con las acciones que adelante en el ejercicio de sus funciones y de manera oportuna. 6.Realizar las visitas administrativas y operativas requeridas a las entidades sin ánimo de lucro para el cumplimiento del ejercicio de inspección, vigilancia y control a cargo de la dependencia y presentar los informes correspondientes. 7.Desempeñar las demás funciones que le asigne el superior inmediato de acuerdo a la naturaleza del cargo.</t>
  </si>
  <si>
    <t>Estudio: Título profesional en: Economía; del núcleo básico de conocimiento en Economía. Título profesional en: Contaduría Pública; del núcleo básico de conocimiento en Contaduría Pública. Título profesional en: Administración de Empresas, Administración Pública, Administración Industrial; del núcleo básico de conocimiento en Administración. Tarjeta o matricula profesional en los casos reglamentados por la Ley.</t>
  </si>
  <si>
    <t>240-242 RES. 020 de 2019</t>
  </si>
  <si>
    <t>ofrecer asistencia profesional y orientación a la ciudadanía en general sobre los derechos y obligaciones jurídicas de las entidades sin ánimo de lucro, de manera veraz y oportuna.</t>
  </si>
  <si>
    <t>1.Brindar orientación jurídica a la ciudadanía sobre las Entidades Sin Ánimo de Lucro, de acuerdo con los parámetros establecidos. 
2.Revisar, estudiar y analizar los estatutos y documentos legales de las entidades asignadas, con el fin de expedir las diferentes certificaciones de competencia de la Dirección así como adelantar las acciones pertinentes para el ejercicio de la función de inspección, vigilancia y control. 3.Consolidar la información y elaborar oficio de cumplimiento y/o requerimiento de obligaciones, legales, contables y financieras a las Entidades Sin Ánimo de Lucro asignadas, así como proyectar derechos de petición, consultas y actos administrativos que le sean asignados de manera oportuna. 4.Mantener actualizado el sistema de información de personas jurídicas sin ánimo de lucro, de conformidad con las acciones que adelante en el ejercicio de sus funciones y de manera oportuna. 5.Realizar las visitas administrativas y operativas requeridas a las entidades sin ánimo de lucro para el cumplimiento del ejercicio de inspección, vigilancia y control a cargo de la dependencia y presentar los informes correspondientes. 6.Desempeñar las demás funciones que le asigne el superior inmediato de acuerdo a la naturaleza del cargo.</t>
  </si>
  <si>
    <t>238-240 RES. 020 de 2019</t>
  </si>
  <si>
    <t>desarrollar actividades técnicas que permitan la operación y funcionamiento del área, de conformidad con los lineamientos institucionales y la normatividad vigente.</t>
  </si>
  <si>
    <t>1.Incorporar a las bases de datos de la dependencia y a los sistemas documentales de la entidad la documentación e información dirigida o asignada a la misma, realizar la actualización, verificando que la información sea veraz. 
2.Realizar el seguimiento a las peticiones incluidas en el Sistema de Quejas y Soluciones que deba atender la dependencia, e incorporar la respuesta de manera oportuna. 3.Realizar la tabulación y consolidación de las bases de datos, para la preparación de la información preliminar en el desarrollo de las instancias de coordinación y las requeridas por la dependencia. 4.Apoyar la elaboración de informes que le sean requeridos y suministrar debidamente clasificada la información que se requiera, en el marco de sus funciones. 5.Elaborar los documentos que deba presentar en razón a los asuntos de la dependencia, de forma oportuna. 6.Apoyar el proceso de gestión documental de la dependencia de conformidad con la asignación dada por el superior inmediato. 7.Desempeñar las demás funciones que le asigne el superior inmediato de acuerdo a la naturaleza del cargo.</t>
  </si>
  <si>
    <t>Estudio: Título de formación tecnológica o terminación y aprobación del pénsum académico de educación superior en formación profesional: Administración, Administración de Empresas, Administración Financiera y Comercial, Gestión en Recursos Humanos, Gestión de Empresas, Gestión Industrial, Gestión de Procesos Administrativos, Gestión Administrativa, Administración de Finanzas y Negocios Internacionales, Asistencia Administrativa, Comercio Internacional, Gestión y Administración de Empresas, Administración Financiera, Administración Financiera y de Sistemas, Administración Pública, Administración Industrial, Administración Comercial, Administración Logística, Administración y Finanzas, Administración Judicial, Administración de Contabilidad y Sistemas, Administración de Personal y Desarrollo Humano o Formulación de Proyectos; del núcleo básico de conocimiento en Administración. Título de formación tecnológica o terminación y aprobación del pénsum académico de educación superior en formación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formación tecnológica o terminación y aprobación del pénsum académico de educación superior en formación profesional en: Estadística; del núcleo básico de conocimiento en Matemáticas, estadística y afines. Título de formación tecnológica o terminación y aprobación del pénsum académico de educación superior en formación profesional en: Ingeniería Industrial, o Ingeniería de Producción; del núcleo básico de conocimiento en Ingeniería Industrial y afines. Título de formación tecnológica o terminación y aprobación del pénsum académico de educación superior en formación profesional en: Ingeniería Administrativa, o Ingeniería Financiera; del núcleo básico de conocimiento en Ingeniería Administrativa y afines. Título de formación tecnológica o terminación y aprobación del pénsum académico de educación superior en formación profesional en: Contabilidad, Contabilidad y Costos, Contaduría Pública, Contabilidad y Finanzas, Contabilidad Sistematizada, Contabilidad e Impuestos, Administración y Contabilidad Sistematizada, Contabilidad Financiera, o Administración en Contabilidad y en Sistemas; del núcleo básico de conocimiento en Contaduría Pública. Certificado de inscripción ante el COPNIA en los casos exigidos por la normatividad vigente.</t>
  </si>
  <si>
    <t>11-15 RES. 039 de 2019</t>
  </si>
  <si>
    <t>prestar soporte técnico de forma oportuna para garantizar el uso adecuado de las herramientas tecnológicas existentes en la entidad, con el fin de garantizar su funcionalidad.</t>
  </si>
  <si>
    <t>1.Identificar y clasificar las solicitudes de necesidades de soporte técnico de las diferentes dependencias de la entidad y proponer alternativas de solución a problemas de esa índole, con criterios de eficiencia y oportunidad.
2.Asistir en la ejecución de estudios de mercado para establecer presupuestos asociados a procesos de adquisición de elementos de cómputo de tipo ofimático. 3.Proponer a la dependencia las soluciones de cómputo requeridos por la entidad, presentando los análisis correspondientes cuando así se requiera. 4.Realizar acompañamiento al proceso de contratación relacionado con la adquisición de soluciones computacionales de tipo ofimático, cuando se requiera. 5.Diagnosticar, instalar, reparar y responder por el mantenimiento de los equipos y herramientas de sistemas del área respectiva y efectuar los controles periódicos necesarios de acuerdo con instrucciones recibidas. 6.Presentar sugerencia para la elaboración del plan estratégico de informática de la Secretaría Jurídica Distrital, acorde con las necesidades de la entidad. 7.Desempeñar las demás funciones que le asigne el superior inmediato de acuerdo a la naturaleza del cargo.</t>
  </si>
  <si>
    <t>Estudio: Título de formación tecnológica o terminación y aprobación del pénsum académico de educación superior en formación profesional en: Ingeniería Electrónica, o Ingeniería de Telecomunicaciones; del núcleo básico de conocimiento en Ingeniería Electrónica, Telecomunicaciones y afines. Título de formación tecnológica o terminación y aprobación del pénsum académico de educación superior en formación profesional en: Ingeniería de Sistemas, Ingeniería Telemática, o Ingeniería Informática; del núcleo básico de conocimiento en Ingeniería de Sistemas, Telemática y afines. Certificado de inscripción ante el COPNIA en los casos exigidos por la normatividad vigente.</t>
  </si>
  <si>
    <t>247-249 RES. 020 de 2019</t>
  </si>
  <si>
    <t>aplicar conocimientos técnicos en materia de gestión contractual que le sean requeridos por la dependencia con criterios de eficacia y oportunidad.</t>
  </si>
  <si>
    <t>1.Desarrollar actividades técnicas en la gestión contractual de la Entidad, de acuerdo con las directrices establecidas por su jefe inmediato. 
2.Elaborar informes estadísticos, certificados y demás documentos sobre las operaciones y procesos de la gestión contractual que le sean asignados con la confiabilidad y oportunidad requerida. 3.Mantener actualizadas las bases de datos, registros de los diferentes procesos de contratación de la Entidad que le sean asignados por el jefe inmediato y con criterios de eficacia y oportunidad. 4.Organizar y clasificar los bienes, suministros y correspondencia que se encuentren en la dependencia cuando se requiera y de acuerdo a las instrucciones del jefe inmediato. 5.Revisar, clasificar, y controlar documentos, datos y elementos relacionados con los asuntos de competencia de la dependencia de acuerdo con las normas y los procedimientos respectivos. 6.Desarrollar actividades de logística cuando la dependencia lo requiera, de forma oportuna y eficiente. 7.Desempeñar las demás funciones que le asigne el superior inmediato de acuerdo a la naturaleza del cargo.</t>
  </si>
  <si>
    <t>Estudio: Título de formación tecnológica o terminación y aprobación del pénsum académico de educación superior en formación profesional en: Administración, Administración de Empresas, Administración Financiera y Comercial, Gestión de Empresas, Gestión Industrial, Gestión de Procesos Administrativos, Gestión Administrativa, Gestión Financiera, Administración de Finanzas Y Negocios Internacionales, Asistencia Administrativa, Comercio Internacional, Gestión y Administración de Empresas, Administración Financiera, Administración Financiera y de Sistemas, Administración Pública, Administración Industrial, Administración Comercial, Administración y Finanzas, Administración de Contabilidad y Sistemas, Formulación de Proyectos, u Operaciones Administrativas; del núcleo básico de conocimiento en Administración. Título de formación tecnológica o terminación y aprobación del pénsum académico de educación superior en formación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formación tecnológica o terminación y aprobación del pénsum académico de educación superior en formación profesional en: Ingeniería Industrial, o Ingeniería de Producción; del núcleo básico de conocimiento en Ingeniería Industrial y afines. Título de formación tecnológica o terminación y aprobación del pénsum académico de educación superior en formación profesional en: Ingeniería Administrativa, o Ingeniería Financiera; del núcleo básico de conocimiento en Ingeniería Administrativa y afines. Título de formación tecnológica o terminación y aprobación del pénsum académico de educación superior en formación profesional en: Contabilidad, Contabilidad y Costos, Contaduría Pública, Contabilidad y Finanzas, Contabilidad Sistematizada, Contabilidad e Impuestos, Administración y Contabilidad Sistematizada, Contabilidad Financiera, o Administración en Contabilidad y en Sistemas; del núcleo básico de conocimiento en Contaduría Pública. Certificado de inscripción ante el COPNIA en los casos exigidos por la normatividad vigente.</t>
  </si>
  <si>
    <t>260-263 RES. 020 de 2019</t>
  </si>
  <si>
    <t>realizar labores técnicas que permitan la implementación y seguimiento a los diferentes componentes de la política de servicio a la ciudadanía y establecer un medio eficaz de participación ciudadana, que permita fomentar la transparencia y el control social, así como promover los principios y valores que deben guiar la conducta de los servidores públicos y de los ciudadanos.</t>
  </si>
  <si>
    <t>1. Adelantar acciones relacionadas con el Sistema Distrital de Quejas y Soluciones, para registrar, responder en los casos que sea de su competencia) y consultar los requerimientos interpuestos por la ciudadanía, de acuerdo al procedimiento establecido para tal fin.
2. Realizar las acciones relacionadas con la administración de los canales dispuestos para la prestación de servicio al ciudadano, de acuerdo con los lineamientos establecidos. 3. Hacer seguimiento a la prestación del servicio al ciudadano y proponer acciones de mejoramiento y verificar la implementación de los correctivos para garantizar la mejora continua. 4. Elaborar los instrumentos e informes administrativos, técnicos y estadísticos necesarios para medir la eficiencia y eficacia de los SDQS de competencia de la Secretaria Jurídica Distrital. 5. Desarrollar los informes sobre el estado y avance de los proyectos y demás documentos que deba presentar y/o entregar la dependencia en razón a los asuntos que requiera la Dirección Corporativa, para dar cuenta de su desarrollo, necesidades y características en cumplimiento de las metas y políticas institucionales, de forma oportuna de acuerdo a las directrices y políticas institucionales, acordes a la normatividad vigente. 6. Apoyar técnicamente las acciones necesarias para el adecuado seguimiento, medición y control de planes, programas, proyectos, convenios, entre otros, que requiera el (la) Director(a) de Gestión Corporativa. 7. Analizar y determinar las causas de las no conformidades detectadas en los Sistemas de Información y realizar las acciones pertinentes, generando información confiable, real y oportuna. 8. Apoyar el proceso de gestión documental de la dependencia de conformidad con la asignación dada por el superior inmediato. 9. Desempeñar las demás funciones que le asigne el superior inmediato de acuerdo a la naturaleza del cargo.</t>
  </si>
  <si>
    <t>Estudio: Título de formación tecnológica o terminación y aprobación del pensum académico de educación superior en formación profesional: Administración Financiera, Administración de Empresas, Administración Pública, Gestión Empresarial, Procesos Administrativos, Procesos Del Talento Humano, NBC en Administración. Título de formación Tecnológica en: Administración de Empresas, Gestión Administrativa, Administración Pública, Gestión Administrativa, Administración contable, tributaria y financiera, Administración del Talento Humano, finanzas públicas, NBC en Administración Título de formación Técnica Profesional en: Ciencias de Administración y gestión y ciencias de la educación; Ingeniería Industrial, Seguridad e Higiene Industrial; Desarrollo Empresarial; Producción Industrial, NBC en Ingeniería Industrial y Afines. Título de formación Técnica Profesional en: Gestión del Talento Humano, Gestión de la calidad, Administración pública, Gestión administrativa, Administración, Administración de negocios,Administración pública, Gestión financiera, Administración del talento humano, Administración logística, Logística empresarial, Gestión administrativa, Administración contable, tributaria y financiera, Administración de personal y desarrollo humano, NBC en Administración.</t>
  </si>
  <si>
    <t>15-18 RES. 039 de 2019</t>
  </si>
  <si>
    <t>realizar actividades técnicas relacionadas con los procesos y procedimientos propios de la dependencia, de conformidad con los lineamientos institucionales y la normatividad vigente.</t>
  </si>
  <si>
    <t>1.Incorporar la información de las entidades sin ánimo de lucro en el sistema de información de personas jurídicas, con criterios de oportunidad.
2.Catalogar la información que aportan las Entidades sin ánimo de lucro en el sistema de información de personas jurídicas, de conformidad con las directrices de la dependencia. 3.Brindar información general a la ciudadanía sobre los derechos y obligaciones de las entidades sin ánimo de lucro que se acerquen al punto de atención a la ciudadanía, de forma veraz y oportuna. 4.Elaborar informes, documentos y actas correspondientes de los diferentes procesos de la dependencia, de acuerdo con los lineamientos establecidos. 5.Elaborar e interpretar documentos, cuadros, informes, estadísticas y datos concernientes a la dependencia, de acuerdo con las instrucciones impartidas por el jefe inmediato. 6.Desarrollar las actividades de logística relacionadas con las capacitaciones a las entidades sin ánimo de lucro cuando la dependencia lo requiera, de forma oportuna y eficiente. 7.Llevar y mantener actualizadas las bases de datos y los registros, así como verificar la exactitud de los mismos y presentar los informes correspondientes, de forma oportuna. 8.Desempeñar las demás funciones que le asigne el superior inmediato de acuerdo a la naturaleza del cargo.</t>
  </si>
  <si>
    <t>Estudio: Título de formación tecnológica o terminación y aprobación del pénsum académico de educación superior en formación profesional en: Administración, Administración de Empresas, Administración Financiera y Comercial, Gestión en Recursos Humanos, Gestión de Empresas, Gestión Industrial, Gestión de Procesos Administrativos, Gestión Administrativa, Gestión Financiera, Administración de Finanzas y Negocios Internacionales, Asistencia Administrativa, Comercio Internacional, Gestión y Administración de Empresas, Administración Financiera, Administración Financiera y de Sistemas, Administración Pública, Administración Industrial, Administración Comercial, Administración Logística, Administración y Finanzas, Administración de Sistemas de Información y Documentación, Administración Judicial, Administración de Contabilidad y Sistemas, Administración de Personal y Desarrollo Humano, o formulación de proyectos; del núcleo básico de conocimiento en Administración.</t>
  </si>
  <si>
    <t>249-251 RES. 020 de 2019</t>
  </si>
  <si>
    <t>Estudio: Título de formación técnica profesional o tecnológica o terminación y aprobación del pénsum académico de educación superior en formación profesional en: Administración, Administración de Empresas, Administración Financiera y Comercial, Gestión en Recursos Humanos, Gestión de Empresas, Gestión Industrial, Gestión de Procesos Administrativos, Gestión Administrativa, Gestión Financiera, Administración De Finanzas y Negocios Internacionales, Asistencia Administrativa, Comercio Internacional, Gestión y Administración De Empresas, Administración Financiera, Administración Financiera y De Sistemas, Administración Pública, Administración Industrial, Administración Comercial, Administración Logística, Administración y Finanzas, Administración Judicial, Administración de Contabilidad y Sistemas, Administración de Personal y Desarrollo Humano, o Formulación de Proyectos; del núcleo básico de conocimiento en Administración.</t>
  </si>
  <si>
    <t>264-266 RES. 020 de 2019</t>
  </si>
  <si>
    <t>apoyar técnicamente las acciones requeridas para la logística de la implementación de las políticas de prevención del daño antijurídico, defensa judicial y el seguimiento a las entidades a través del siprojweb, con calidad y oportunidad.</t>
  </si>
  <si>
    <t>1.Realizar actividades técnicas relacionadas con los procesos y procedimientos propios de la dependencia, de conformidad con los lineamientos institucionales y la normatividad vigente. 
2.Realizar el levantamiento de la información de formulación y seguimiento de lineamientos de políticas, de acuerdo con las instrucciones establecidas. 3.Realizar el seguimiento técnico a las actividades y conclusiones de los comités o mesas de trabajos, de manera oportuna. 4.Asistir ante los despachos de autoridades judiciales y extrajudiciales para ejercer vigilancia en los procesos jurídicos, de manera oportuna. 5.Registrar la ficha de análisis jurisprudencial, lineamientos de políticas en el SIPROJ, con eficacia y oportunidad. 6.Realizar actividades relacionadas con los registros requeridos por la dependencia, para el mejoramiento continuo de la Entidad. 7.Elaborar los documentos que deba presentar en razón a los asuntos de la dependencia, de forma oportuna 8.Desempeñar las demás funciones que le asigne el superior inmediato de acuerdo a la naturaleza del cargo.</t>
  </si>
  <si>
    <t>Estudio: Título de formación técnica profesional o tecnológica o terminación y aprobación del pénsum académico de educación superior en formación profesional en: Derecho, Jurídica, Gestión Judicial, Investigación Judicial, Investigación Judicial, Procedimientos Judiciales, Procedimientos Jurídicos, o Proceso Judicial; del núcleo básico de Derecho y afines.</t>
  </si>
  <si>
    <t>269-271 RES. 020 de 2019</t>
  </si>
  <si>
    <t xml:space="preserve">apoyar en labores técnicas con oportunidad y eficiencia para satisfacer las necesidades de la dependencia, con criterios de eficacia y oportunidad.
</t>
  </si>
  <si>
    <t>1.Incorporar a las bases de datos de la dependencia y a los sistemas documentales de la entidad la documentación e información dirigida o asignada a la misma, realizar la actualización, verificando que la información sea veraz. 
2.Realizar el seguimiento a las peticiones incluidas en el Sistema de Quejas y Soluciones que deba atender la dependencia, e incorporar la respuesta de manera oportuna. 3.Apoyar la elaboración de informes que le sean requeridos y suministrar debidamente clasificada la información que se requiera, en el marco de sus funciones. 4.Elaborar los documentos que deba presentar en razón a los asuntos de la dependencia, de forma oportuna. 5.Apoyar el proceso de gestión documental de la dependencia de conformidad con la asignación dada por el superior inmediato. 6.Desempeñar las demás funciones que le asigne el superior inmediato de acuerdo a la naturaleza del cargo.</t>
  </si>
  <si>
    <t>268-269 RES. 020 de 2019</t>
  </si>
  <si>
    <t>apoyar técnicamente las acciones requeridas para la logística de los comités de conciliación y el seguimiento a las entidades a través del siprojweb, de manera oportuna.</t>
  </si>
  <si>
    <t>1.Realizar actividades técnicas relacionadas con los procesos y procedimientos propios de la dependencia, de conformidad con los lineamientos institucionales y la normatividad vigente. 
2.Asistir ante los despachos de autoridades judiciales y extrajudiciales para ejercer vigilancia en los procesos jurídicos, e informar sobre los estados procesales de manera oportuna 3.Realizar actividades relacionadas con los registros de la información requerida en el Sistema de Información de Procesos Judiciales SIPROJ, para el seguimiento de los procesos judiciales. 4.Realizar la convocatoria a la sesiones del Comité de Conciliación y efectuar el apoyo logístico que se requiera para el desarrollo del Comité. 5.Apoyar en la elaboración de las actas del Comité de Conciliación de conformidad con las memorias. 6.Desempeñar las demás funciones que le asigne el superior inmediato de acuerdo a la naturaleza del cargo.</t>
  </si>
  <si>
    <t>Estudio: Título de formación técnica profesional o tecnológica o terminación y aprobación del pénsum académico de educación superior en: Derecho, Jurídica, Gestión Judicial, Investigación Judicial, Procedimientos Judiciales, Procedimientos Jurídicos, o Proceso Judicial; del núcleo básico de Derecho y afines.</t>
  </si>
  <si>
    <t>273-274 RES. 020 de 2019</t>
  </si>
  <si>
    <t>apoyar en labores técnicas en relación con las actividades misionales de la dependencia, con oportunidad y eficiencia.</t>
  </si>
  <si>
    <t>1.Incorporar las respuestas a las peticiones que deba atender la dependencia en el Sistema de Quejas
y Soluciones, de forma oportuna. 2.Apoyar la elaboración de informes que le sean requeridos y suministrar debidamente clasificada la información que se requiera, en el marco de sus funciones. 3.Realizar el estudio de necesidades de bienes de la dependencia y efectuar las actividades relacionadas con solicitudes de los elementos requeridos por la dependencia al almacen, verificando la adecuada entrega de los mismos. 4.Participar en la actualización de la bases de datos de la dependencia y de los sistemas documentales de la entidad, incluyendo la información con confiabilidad y oportunidad. 5.Incorporar a las bases de datos de la dependencia y a los sistemas documentales de la entidad la documentación e información dirigida o asignada a la misma, realizar la actualización, verificando que la información sea veraz. 6.Desempeñar las demás funciones que le asigne el superior inmediato de acuerdo a la naturaleza del carro.</t>
  </si>
  <si>
    <t>Estudio: Título de formación técnica profesional o tecnológica o terminación y aprobación del pénsum académico de educación superior en formación profesional: Derecho, Jurídica, Gestión Judicial, Investigación Judicial, Procedimientos Judiciales, Procedimientos Jurídicos, o Proceso Judicial; del núcleo básico de Derecho y afines.</t>
  </si>
  <si>
    <t>271-272 RES. 020 de 2019</t>
  </si>
  <si>
    <t>Asignación Básica</t>
  </si>
  <si>
    <t>TOTAL SALARIO MENSUAL</t>
  </si>
  <si>
    <t>EN PERIODO DE PRUEBA EN OTRA ENTIDAD</t>
  </si>
  <si>
    <t>DORIS SILVA GARCIA</t>
  </si>
  <si>
    <t>OMAR ANDRES ORTIZ PAEZ</t>
  </si>
  <si>
    <t>JENIFER CELIS ORTEGA</t>
  </si>
  <si>
    <t>pt</t>
  </si>
  <si>
    <t>pa</t>
  </si>
  <si>
    <t>Nota: El porcetaje de Prima Técnica, se reconoce de acuerdo a la cantidad en años de experiencia y capacitación hasta llegar al tope del 40%, es decir, que este porcentaje puede ser menor de acuerdo a estos conceptos.</t>
  </si>
  <si>
    <t>15 CARGOS</t>
  </si>
  <si>
    <t>SUBSIDIO TRANSPORTE</t>
  </si>
  <si>
    <t>(en blanco)</t>
  </si>
  <si>
    <t>LM</t>
  </si>
  <si>
    <t>ROCHA</t>
  </si>
  <si>
    <t>CL 152 A 54 37</t>
  </si>
  <si>
    <t>SALINAS</t>
  </si>
  <si>
    <t>CRISTIAN ANDREY</t>
  </si>
  <si>
    <t>ARMANDO JAVIER</t>
  </si>
  <si>
    <t>CALVO</t>
  </si>
  <si>
    <t>Resolucion No. 444 del 05 de octubre de 2026, reubicacion, se modifican proposito y funciones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</si>
</sst>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d/m/yyyy"/>
    <numFmt numFmtId="165" formatCode="0.00_)"/>
    <numFmt numFmtId="166" formatCode="00#"/>
    <numFmt numFmtId="167" formatCode="0#"/>
    <numFmt numFmtId="168" formatCode="[$-240A]d&quot; de &quot;mmmm&quot; de &quot;yyyy"/>
    <numFmt numFmtId="169" formatCode="_-* #,##0.00_-;\-* #,##0.00_-;_-* &quot;-&quot;??_-;_-@"/>
    <numFmt numFmtId="170" formatCode="_-* #,##0_-;\-* #,##0_-;_-* &quot;-&quot;??_-;_-@"/>
    <numFmt numFmtId="171" formatCode="_(* #,##0_);_(* \(#,##0\);_(* &quot;-&quot;??_);_(@_)"/>
    <numFmt numFmtId="172" formatCode="_-&quot;$&quot;\ * #,##0_-;\-&quot;$&quot;\ * #,##0_-;_-&quot;$&quot;\ * &quot;-&quot;??_-;_-@"/>
    <numFmt numFmtId="173" formatCode="_-[$$-240A]\ * #,##0_-;\-[$$-240A]\ * #,##0_-;_-[$$-240A]\ * &quot;-&quot;??_-;_-@"/>
  </numFmts>
  <fonts count="38">
    <font>
      <sz val="11"/>
      <color theme="1"/>
      <name val="Calibri"/>
      <scheme val="minor"/>
    </font>
    <font>
      <b/>
      <i/>
      <sz val="10"/>
      <color rgb="FF000000"/>
      <name val="Arial"/>
      <family val="2"/>
    </font>
    <font>
      <sz val="11"/>
      <color theme="1"/>
      <name val="Calibri"/>
      <family val="2"/>
    </font>
    <font>
      <b/>
      <i/>
      <sz val="8"/>
      <color rgb="FF000000"/>
      <name val="Arial"/>
      <family val="2"/>
    </font>
    <font>
      <b/>
      <sz val="10"/>
      <color rgb="FF000000"/>
      <name val="Arial"/>
      <family val="2"/>
    </font>
    <font>
      <b/>
      <i/>
      <sz val="10"/>
      <color theme="1"/>
      <name val="Arial"/>
      <family val="2"/>
    </font>
    <font>
      <b/>
      <sz val="11"/>
      <color theme="1"/>
      <name val="Calibri"/>
      <family val="2"/>
    </font>
    <font>
      <sz val="10"/>
      <color rgb="FF000000"/>
      <name val="Arial"/>
      <family val="2"/>
    </font>
    <font>
      <sz val="10"/>
      <color theme="1"/>
      <name val="Arial"/>
      <family val="2"/>
    </font>
    <font>
      <sz val="8"/>
      <color theme="1"/>
      <name val="Arial"/>
      <family val="2"/>
    </font>
    <font>
      <i/>
      <sz val="10"/>
      <color theme="1"/>
      <name val="Arial"/>
      <family val="2"/>
    </font>
    <font>
      <sz val="10"/>
      <color theme="1"/>
      <name val="Calibri"/>
      <family val="2"/>
    </font>
    <font>
      <sz val="8"/>
      <color theme="1"/>
      <name val="Calibri"/>
      <family val="2"/>
    </font>
    <font>
      <sz val="11"/>
      <color theme="0"/>
      <name val="Calibri"/>
      <family val="2"/>
    </font>
    <font>
      <b/>
      <sz val="8"/>
      <color theme="1"/>
      <name val="Calibri"/>
      <family val="2"/>
    </font>
    <font>
      <sz val="11"/>
      <name val="Calibri"/>
      <family val="2"/>
    </font>
    <font>
      <b/>
      <i/>
      <sz val="8"/>
      <color theme="1"/>
      <name val="Calibri"/>
      <family val="2"/>
    </font>
    <font>
      <b/>
      <i/>
      <sz val="11"/>
      <color theme="1"/>
      <name val="Calibri"/>
      <family val="2"/>
    </font>
    <font>
      <b/>
      <i/>
      <sz val="8"/>
      <color theme="1"/>
      <name val="Arial"/>
      <family val="2"/>
    </font>
    <font>
      <sz val="8"/>
      <color theme="0"/>
      <name val="Calibri"/>
      <family val="2"/>
    </font>
    <font>
      <sz val="9"/>
      <color rgb="FF000000"/>
      <name val="Arial"/>
      <family val="2"/>
    </font>
    <font>
      <sz val="9"/>
      <color theme="1"/>
      <name val="Arial"/>
      <family val="2"/>
    </font>
    <font>
      <sz val="10"/>
      <color theme="0"/>
      <name val="Arial"/>
      <family val="2"/>
    </font>
    <font>
      <b/>
      <i/>
      <sz val="8"/>
      <color theme="0"/>
      <name val="Calibri"/>
      <family val="2"/>
    </font>
    <font>
      <b/>
      <i/>
      <sz val="11"/>
      <color theme="0"/>
      <name val="Calibri"/>
      <family val="2"/>
    </font>
    <font>
      <b/>
      <i/>
      <sz val="9"/>
      <color rgb="FF000000"/>
      <name val="Arial"/>
      <family val="2"/>
    </font>
    <font>
      <b/>
      <i/>
      <sz val="9"/>
      <color theme="1"/>
      <name val="Arial"/>
      <family val="2"/>
    </font>
    <font>
      <sz val="10"/>
      <color theme="0"/>
      <name val="Calibri"/>
      <family val="2"/>
    </font>
    <font>
      <sz val="10"/>
      <color theme="1"/>
      <name val="Arimo"/>
    </font>
    <font>
      <b/>
      <i/>
      <sz val="11"/>
      <color rgb="FFF2F2F2"/>
      <name val="Calibri"/>
      <family val="2"/>
    </font>
    <font>
      <b/>
      <sz val="10"/>
      <color theme="1"/>
      <name val="Arial"/>
      <family val="2"/>
    </font>
    <font>
      <b/>
      <sz val="12"/>
      <color rgb="FFFFFFFF"/>
      <name val="SansSerif"/>
    </font>
    <font>
      <sz val="10"/>
      <color rgb="FF000000"/>
      <name val="SansSerif"/>
    </font>
    <font>
      <sz val="10"/>
      <color rgb="FFFF0000"/>
      <name val="SansSerif"/>
    </font>
    <font>
      <b/>
      <sz val="11"/>
      <color theme="0"/>
      <name val="Calibri"/>
      <family val="2"/>
    </font>
    <font>
      <b/>
      <sz val="10"/>
      <color theme="1"/>
      <name val="Calibri"/>
      <family val="2"/>
    </font>
    <font>
      <sz val="11"/>
      <color rgb="FFB8CCE4"/>
      <name val="Calibri"/>
      <family val="2"/>
    </font>
    <font>
      <sz val="10"/>
      <color rgb="FFB8CCE4"/>
      <name val="Calibri"/>
      <family val="2"/>
    </font>
  </fonts>
  <fills count="17">
    <fill>
      <patternFill patternType="none"/>
    </fill>
    <fill>
      <patternFill patternType="gray125"/>
    </fill>
    <fill>
      <patternFill patternType="solid">
        <fgColor rgb="FFDBE5F1"/>
        <bgColor rgb="FFDBE5F1"/>
      </patternFill>
    </fill>
    <fill>
      <patternFill patternType="solid">
        <fgColor rgb="FFFFC000"/>
        <bgColor rgb="FFFFC000"/>
      </patternFill>
    </fill>
    <fill>
      <patternFill patternType="solid">
        <fgColor theme="0"/>
        <bgColor theme="0"/>
      </patternFill>
    </fill>
    <fill>
      <patternFill patternType="solid">
        <fgColor rgb="FF92D050"/>
        <bgColor rgb="FF92D050"/>
      </patternFill>
    </fill>
    <fill>
      <patternFill patternType="solid">
        <fgColor rgb="FFFFFF00"/>
        <bgColor rgb="FFFFFF00"/>
      </patternFill>
    </fill>
    <fill>
      <patternFill patternType="solid">
        <fgColor rgb="FFD8D8D8"/>
        <bgColor rgb="FFD8D8D8"/>
      </patternFill>
    </fill>
    <fill>
      <patternFill patternType="solid">
        <fgColor rgb="FF00B050"/>
        <bgColor rgb="FF00B050"/>
      </patternFill>
    </fill>
    <fill>
      <patternFill patternType="solid">
        <fgColor rgb="FF00B0F0"/>
        <bgColor rgb="FF00B0F0"/>
      </patternFill>
    </fill>
    <fill>
      <patternFill patternType="solid">
        <fgColor rgb="FFC2D69B"/>
        <bgColor rgb="FFC2D69B"/>
      </patternFill>
    </fill>
    <fill>
      <patternFill patternType="solid">
        <fgColor rgb="FFB8CCE4"/>
        <bgColor rgb="FFB8CCE4"/>
      </patternFill>
    </fill>
    <fill>
      <patternFill patternType="solid">
        <fgColor rgb="FF0070C0"/>
        <bgColor rgb="FF0070C0"/>
      </patternFill>
    </fill>
    <fill>
      <patternFill patternType="solid">
        <fgColor rgb="FF366092"/>
        <bgColor rgb="FF366092"/>
      </patternFill>
    </fill>
    <fill>
      <patternFill patternType="solid">
        <fgColor rgb="FFFFFFFF"/>
        <bgColor rgb="FFFFFFFF"/>
      </patternFill>
    </fill>
    <fill>
      <patternFill patternType="solid">
        <fgColor rgb="FFFBD4B4"/>
        <bgColor rgb="FFFBD4B4"/>
      </patternFill>
    </fill>
    <fill>
      <patternFill patternType="solid">
        <fgColor rgb="FFB6DDE8"/>
        <bgColor rgb="FFB6DDE8"/>
      </patternFill>
    </fill>
  </fills>
  <borders count="41">
    <border>
      <left/>
      <right/>
      <top/>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hair">
        <color rgb="FF000000"/>
      </left>
      <right/>
      <top style="hair">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s>
  <cellStyleXfs count="1">
    <xf numFmtId="0" fontId="0" fillId="0" borderId="0"/>
  </cellStyleXfs>
  <cellXfs count="267">
    <xf numFmtId="0" fontId="0" fillId="0" borderId="0" xfId="0"/>
    <xf numFmtId="3" fontId="1" fillId="2" borderId="1" xfId="0" applyNumberFormat="1" applyFont="1" applyFill="1" applyBorder="1" applyAlignment="1">
      <alignment horizontal="center" vertical="center" wrapText="1"/>
    </xf>
    <xf numFmtId="0" fontId="2" fillId="0" borderId="0" xfId="0" applyFont="1"/>
    <xf numFmtId="3" fontId="3" fillId="2" borderId="1"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3" fontId="1" fillId="3" borderId="3" xfId="0" applyNumberFormat="1" applyFont="1" applyFill="1" applyBorder="1" applyAlignment="1">
      <alignment horizontal="center" vertical="center" wrapText="1"/>
    </xf>
    <xf numFmtId="165" fontId="5" fillId="3" borderId="4" xfId="0" applyNumberFormat="1" applyFont="1" applyFill="1" applyBorder="1" applyAlignment="1">
      <alignment horizontal="center" vertical="center" wrapText="1"/>
    </xf>
    <xf numFmtId="0" fontId="4" fillId="2" borderId="5" xfId="0" applyFont="1" applyFill="1" applyBorder="1" applyAlignment="1">
      <alignment horizontal="center" vertical="center" wrapText="1"/>
    </xf>
    <xf numFmtId="0" fontId="2" fillId="0" borderId="1" xfId="0" applyFont="1" applyBorder="1"/>
    <xf numFmtId="166" fontId="1" fillId="2" borderId="1" xfId="0" applyNumberFormat="1" applyFont="1" applyFill="1" applyBorder="1" applyAlignment="1">
      <alignment horizontal="center" vertical="center" wrapText="1"/>
    </xf>
    <xf numFmtId="3" fontId="1" fillId="3" borderId="1" xfId="0" applyNumberFormat="1" applyFont="1" applyFill="1" applyBorder="1" applyAlignment="1">
      <alignment horizontal="center" vertical="center" wrapText="1"/>
    </xf>
    <xf numFmtId="167" fontId="1" fillId="2" borderId="1" xfId="0" applyNumberFormat="1" applyFont="1" applyFill="1" applyBorder="1" applyAlignment="1">
      <alignment horizontal="center" vertical="center" wrapText="1"/>
    </xf>
    <xf numFmtId="0" fontId="6" fillId="2" borderId="1" xfId="0" applyFont="1" applyFill="1" applyBorder="1"/>
    <xf numFmtId="0" fontId="7" fillId="0" borderId="1" xfId="0" applyFont="1" applyBorder="1" applyAlignment="1">
      <alignment horizontal="center" vertical="center" wrapText="1"/>
    </xf>
    <xf numFmtId="3" fontId="7" fillId="4" borderId="1" xfId="0" applyNumberFormat="1" applyFont="1" applyFill="1" applyBorder="1" applyAlignment="1">
      <alignment horizontal="right" vertical="center" wrapText="1"/>
    </xf>
    <xf numFmtId="0" fontId="8" fillId="0" borderId="1" xfId="0" applyFont="1" applyBorder="1" applyAlignment="1">
      <alignment horizontal="left" vertical="center"/>
    </xf>
    <xf numFmtId="3" fontId="1" fillId="5" borderId="1" xfId="0" applyNumberFormat="1" applyFont="1" applyFill="1" applyBorder="1" applyAlignment="1">
      <alignment horizontal="center" vertical="center" wrapText="1"/>
    </xf>
    <xf numFmtId="0" fontId="7" fillId="0" borderId="1" xfId="0" applyFont="1" applyBorder="1" applyAlignment="1">
      <alignment horizontal="left" vertical="center" wrapText="1"/>
    </xf>
    <xf numFmtId="3" fontId="8" fillId="0" borderId="1" xfId="0" applyNumberFormat="1" applyFont="1" applyBorder="1" applyAlignment="1">
      <alignment horizontal="left" vertical="center"/>
    </xf>
    <xf numFmtId="0" fontId="8" fillId="0" borderId="1" xfId="0" applyFont="1" applyBorder="1" applyAlignment="1">
      <alignment horizontal="center" vertical="center"/>
    </xf>
    <xf numFmtId="3" fontId="9" fillId="0" borderId="1" xfId="0" applyNumberFormat="1" applyFont="1" applyBorder="1" applyAlignment="1">
      <alignment horizontal="left" vertical="center" wrapText="1"/>
    </xf>
    <xf numFmtId="3" fontId="8" fillId="0" borderId="1" xfId="0" applyNumberFormat="1" applyFont="1" applyBorder="1" applyAlignment="1">
      <alignment horizontal="center" vertical="center" wrapText="1"/>
    </xf>
    <xf numFmtId="0" fontId="7" fillId="0" borderId="1" xfId="0" applyFont="1" applyBorder="1" applyAlignment="1">
      <alignment horizontal="left" vertical="center"/>
    </xf>
    <xf numFmtId="3" fontId="7" fillId="0" borderId="1" xfId="0" applyNumberFormat="1" applyFont="1" applyBorder="1" applyAlignment="1">
      <alignment horizontal="center" vertical="center" wrapText="1"/>
    </xf>
    <xf numFmtId="3" fontId="7" fillId="0" borderId="1" xfId="0" applyNumberFormat="1" applyFont="1" applyBorder="1" applyAlignment="1">
      <alignment horizontal="left" vertical="center" wrapText="1"/>
    </xf>
    <xf numFmtId="166" fontId="7" fillId="4" borderId="1" xfId="0" applyNumberFormat="1" applyFont="1" applyFill="1" applyBorder="1" applyAlignment="1">
      <alignment horizontal="center" vertical="center" wrapText="1"/>
    </xf>
    <xf numFmtId="3" fontId="8" fillId="0" borderId="6" xfId="0" applyNumberFormat="1" applyFont="1" applyBorder="1" applyAlignment="1">
      <alignment horizontal="center" vertical="center" wrapText="1"/>
    </xf>
    <xf numFmtId="167" fontId="8" fillId="4" borderId="1" xfId="0" applyNumberFormat="1" applyFont="1" applyFill="1" applyBorder="1" applyAlignment="1">
      <alignment horizontal="center" vertical="center"/>
    </xf>
    <xf numFmtId="3" fontId="8" fillId="0" borderId="1" xfId="0" applyNumberFormat="1" applyFont="1" applyBorder="1" applyAlignment="1">
      <alignment horizontal="center" vertical="center"/>
    </xf>
    <xf numFmtId="3" fontId="10" fillId="0" borderId="1" xfId="0" applyNumberFormat="1" applyFont="1" applyBorder="1" applyAlignment="1">
      <alignment horizontal="center" vertical="center"/>
    </xf>
    <xf numFmtId="3" fontId="7" fillId="0" borderId="7" xfId="0" applyNumberFormat="1" applyFont="1" applyBorder="1" applyAlignment="1">
      <alignment horizontal="right" vertical="center" wrapText="1"/>
    </xf>
    <xf numFmtId="3" fontId="8" fillId="0" borderId="1" xfId="0" applyNumberFormat="1" applyFont="1" applyBorder="1" applyAlignment="1">
      <alignment horizontal="left" vertical="center" wrapText="1"/>
    </xf>
    <xf numFmtId="3" fontId="7" fillId="0" borderId="1" xfId="0" applyNumberFormat="1" applyFont="1" applyBorder="1" applyAlignment="1">
      <alignment horizontal="right" vertical="center" wrapText="1"/>
    </xf>
    <xf numFmtId="164" fontId="8" fillId="0" borderId="1" xfId="0" applyNumberFormat="1" applyFont="1" applyBorder="1" applyAlignment="1">
      <alignment vertical="center" wrapText="1"/>
    </xf>
    <xf numFmtId="166" fontId="7" fillId="0" borderId="1" xfId="0" applyNumberFormat="1" applyFont="1" applyBorder="1" applyAlignment="1">
      <alignment horizontal="center" vertical="center" wrapText="1"/>
    </xf>
    <xf numFmtId="167" fontId="8" fillId="0" borderId="1" xfId="0" applyNumberFormat="1" applyFont="1" applyBorder="1" applyAlignment="1">
      <alignment horizontal="center" vertical="center"/>
    </xf>
    <xf numFmtId="3" fontId="8" fillId="0" borderId="7" xfId="0" applyNumberFormat="1" applyFont="1" applyBorder="1" applyAlignment="1">
      <alignment horizontal="right" vertical="center"/>
    </xf>
    <xf numFmtId="0" fontId="8" fillId="0" borderId="6" xfId="0" applyFont="1" applyBorder="1" applyAlignment="1">
      <alignment horizontal="center" vertical="center" wrapText="1"/>
    </xf>
    <xf numFmtId="0" fontId="8" fillId="0" borderId="1" xfId="0" applyFont="1" applyBorder="1" applyAlignment="1">
      <alignment horizontal="center" vertical="center" wrapText="1"/>
    </xf>
    <xf numFmtId="3" fontId="8" fillId="0" borderId="1" xfId="0" applyNumberFormat="1" applyFont="1" applyBorder="1" applyAlignment="1">
      <alignment horizontal="right" vertical="center"/>
    </xf>
    <xf numFmtId="3" fontId="7" fillId="0" borderId="1" xfId="0" applyNumberFormat="1" applyFont="1" applyBorder="1" applyAlignment="1">
      <alignment horizontal="left" vertical="center"/>
    </xf>
    <xf numFmtId="3" fontId="7" fillId="6" borderId="1" xfId="0" applyNumberFormat="1" applyFont="1" applyFill="1" applyBorder="1" applyAlignment="1">
      <alignment horizontal="left" vertical="center" wrapText="1"/>
    </xf>
    <xf numFmtId="0" fontId="2" fillId="4" borderId="8" xfId="0" applyFont="1" applyFill="1" applyBorder="1"/>
    <xf numFmtId="3" fontId="2" fillId="4" borderId="8" xfId="0" applyNumberFormat="1" applyFont="1" applyFill="1" applyBorder="1"/>
    <xf numFmtId="0" fontId="11" fillId="4" borderId="8" xfId="0" applyFont="1" applyFill="1" applyBorder="1"/>
    <xf numFmtId="0" fontId="12" fillId="4" borderId="8" xfId="0" applyFont="1" applyFill="1" applyBorder="1"/>
    <xf numFmtId="3" fontId="2" fillId="0" borderId="0" xfId="0" applyNumberFormat="1" applyFont="1"/>
    <xf numFmtId="0" fontId="2" fillId="4" borderId="8" xfId="0" applyFont="1" applyFill="1" applyBorder="1" applyAlignment="1">
      <alignment horizontal="right"/>
    </xf>
    <xf numFmtId="0" fontId="13" fillId="4" borderId="8" xfId="0" applyFont="1" applyFill="1" applyBorder="1"/>
    <xf numFmtId="3" fontId="2" fillId="4" borderId="8" xfId="0" applyNumberFormat="1" applyFont="1" applyFill="1" applyBorder="1" applyAlignment="1">
      <alignment horizontal="center"/>
    </xf>
    <xf numFmtId="3" fontId="2" fillId="4" borderId="8" xfId="0" applyNumberFormat="1" applyFont="1" applyFill="1" applyBorder="1" applyAlignment="1">
      <alignment horizontal="left"/>
    </xf>
    <xf numFmtId="3" fontId="11" fillId="4" borderId="8" xfId="0" applyNumberFormat="1" applyFont="1" applyFill="1" applyBorder="1" applyAlignment="1">
      <alignment horizontal="left"/>
    </xf>
    <xf numFmtId="168" fontId="14" fillId="4" borderId="8" xfId="0" applyNumberFormat="1" applyFont="1" applyFill="1" applyBorder="1"/>
    <xf numFmtId="3" fontId="12" fillId="4" borderId="8" xfId="0" applyNumberFormat="1" applyFont="1" applyFill="1" applyBorder="1"/>
    <xf numFmtId="166" fontId="2" fillId="4" borderId="8" xfId="0" applyNumberFormat="1" applyFont="1" applyFill="1" applyBorder="1"/>
    <xf numFmtId="167" fontId="2" fillId="4" borderId="8" xfId="0" applyNumberFormat="1" applyFont="1" applyFill="1" applyBorder="1"/>
    <xf numFmtId="0" fontId="8" fillId="0" borderId="1" xfId="0" applyFont="1" applyBorder="1" applyAlignment="1">
      <alignment horizontal="left" vertical="center" wrapText="1"/>
    </xf>
    <xf numFmtId="3" fontId="2" fillId="4" borderId="8" xfId="0" applyNumberFormat="1" applyFont="1" applyFill="1" applyBorder="1" applyAlignment="1">
      <alignment horizontal="right"/>
    </xf>
    <xf numFmtId="3" fontId="13" fillId="4" borderId="8" xfId="0" applyNumberFormat="1" applyFont="1" applyFill="1" applyBorder="1"/>
    <xf numFmtId="3" fontId="2" fillId="0" borderId="0" xfId="0" applyNumberFormat="1" applyFont="1" applyAlignment="1">
      <alignment horizontal="center"/>
    </xf>
    <xf numFmtId="164" fontId="16" fillId="2" borderId="1" xfId="0" applyNumberFormat="1" applyFont="1" applyFill="1" applyBorder="1"/>
    <xf numFmtId="164" fontId="17" fillId="4" borderId="8" xfId="0" applyNumberFormat="1" applyFont="1" applyFill="1" applyBorder="1" applyAlignment="1">
      <alignment horizontal="center"/>
    </xf>
    <xf numFmtId="0" fontId="2" fillId="0" borderId="13" xfId="0" applyFont="1" applyBorder="1"/>
    <xf numFmtId="3" fontId="7" fillId="4" borderId="1" xfId="0" applyNumberFormat="1" applyFont="1" applyFill="1" applyBorder="1" applyAlignment="1">
      <alignment horizontal="left" vertical="center" wrapText="1"/>
    </xf>
    <xf numFmtId="3" fontId="3" fillId="2" borderId="4" xfId="0" applyNumberFormat="1" applyFont="1" applyFill="1" applyBorder="1" applyAlignment="1">
      <alignment horizontal="center" vertical="center" wrapText="1"/>
    </xf>
    <xf numFmtId="3" fontId="3" fillId="2" borderId="14" xfId="0" applyNumberFormat="1" applyFont="1" applyFill="1" applyBorder="1" applyAlignment="1">
      <alignment horizontal="center" vertical="center" wrapText="1"/>
    </xf>
    <xf numFmtId="3" fontId="3" fillId="3" borderId="1" xfId="0" applyNumberFormat="1" applyFont="1" applyFill="1" applyBorder="1" applyAlignment="1">
      <alignment horizontal="center" vertical="center" wrapText="1"/>
    </xf>
    <xf numFmtId="3" fontId="3" fillId="3" borderId="3" xfId="0" applyNumberFormat="1" applyFont="1" applyFill="1" applyBorder="1" applyAlignment="1">
      <alignment horizontal="center" vertical="center" wrapText="1"/>
    </xf>
    <xf numFmtId="165" fontId="18" fillId="3" borderId="4" xfId="0" applyNumberFormat="1" applyFont="1" applyFill="1" applyBorder="1" applyAlignment="1">
      <alignment horizontal="center" vertical="center" wrapText="1"/>
    </xf>
    <xf numFmtId="165" fontId="18" fillId="3" borderId="4" xfId="0" applyNumberFormat="1" applyFont="1" applyFill="1" applyBorder="1" applyAlignment="1">
      <alignment horizontal="center" vertical="center"/>
    </xf>
    <xf numFmtId="0" fontId="18" fillId="3" borderId="4" xfId="0" applyFont="1" applyFill="1" applyBorder="1" applyAlignment="1">
      <alignment horizontal="center" vertical="center"/>
    </xf>
    <xf numFmtId="0" fontId="18" fillId="3" borderId="4" xfId="0" applyFont="1" applyFill="1" applyBorder="1" applyAlignment="1">
      <alignment horizontal="center" vertical="center" wrapText="1"/>
    </xf>
    <xf numFmtId="0" fontId="18" fillId="3" borderId="15" xfId="0" applyFont="1" applyFill="1" applyBorder="1" applyAlignment="1">
      <alignment horizontal="center" vertical="center" wrapText="1"/>
    </xf>
    <xf numFmtId="0" fontId="18" fillId="2" borderId="1" xfId="0" applyFont="1" applyFill="1" applyBorder="1" applyAlignment="1">
      <alignment horizontal="center" vertical="center" wrapText="1"/>
    </xf>
    <xf numFmtId="3" fontId="3" fillId="2" borderId="16" xfId="0" applyNumberFormat="1" applyFont="1" applyFill="1" applyBorder="1" applyAlignment="1">
      <alignment horizontal="center" vertical="center" wrapText="1"/>
    </xf>
    <xf numFmtId="3" fontId="3" fillId="6" borderId="1" xfId="0" applyNumberFormat="1" applyFont="1" applyFill="1" applyBorder="1" applyAlignment="1">
      <alignment horizontal="center" vertical="center" wrapText="1"/>
    </xf>
    <xf numFmtId="166" fontId="3" fillId="6" borderId="1" xfId="0" applyNumberFormat="1" applyFont="1" applyFill="1" applyBorder="1" applyAlignment="1">
      <alignment horizontal="center" vertical="center" wrapText="1"/>
    </xf>
    <xf numFmtId="167" fontId="3" fillId="6" borderId="1" xfId="0" applyNumberFormat="1" applyFont="1" applyFill="1" applyBorder="1" applyAlignment="1">
      <alignment horizontal="center" vertical="center" wrapText="1"/>
    </xf>
    <xf numFmtId="3" fontId="18" fillId="6" borderId="1" xfId="0" applyNumberFormat="1" applyFont="1" applyFill="1" applyBorder="1" applyAlignment="1">
      <alignment horizontal="center" vertical="center" wrapText="1"/>
    </xf>
    <xf numFmtId="3" fontId="18" fillId="7" borderId="1" xfId="0" applyNumberFormat="1" applyFont="1" applyFill="1" applyBorder="1" applyAlignment="1">
      <alignment horizontal="center" vertical="center" wrapText="1"/>
    </xf>
    <xf numFmtId="3" fontId="3" fillId="7" borderId="14" xfId="0" applyNumberFormat="1" applyFont="1" applyFill="1" applyBorder="1" applyAlignment="1">
      <alignment horizontal="center" vertical="center" wrapText="1"/>
    </xf>
    <xf numFmtId="3" fontId="3" fillId="2" borderId="8" xfId="0" applyNumberFormat="1" applyFont="1" applyFill="1" applyBorder="1" applyAlignment="1">
      <alignment horizontal="center" vertical="center" wrapText="1"/>
    </xf>
    <xf numFmtId="0" fontId="8" fillId="0" borderId="6" xfId="0" applyFont="1" applyBorder="1" applyAlignment="1">
      <alignment horizontal="left" vertical="center" wrapText="1"/>
    </xf>
    <xf numFmtId="3" fontId="19" fillId="4" borderId="8" xfId="0" applyNumberFormat="1" applyFont="1" applyFill="1" applyBorder="1"/>
    <xf numFmtId="0" fontId="19" fillId="4" borderId="8" xfId="0" applyFont="1" applyFill="1" applyBorder="1"/>
    <xf numFmtId="3" fontId="5" fillId="2" borderId="1" xfId="0" applyNumberFormat="1" applyFont="1" applyFill="1" applyBorder="1" applyAlignment="1">
      <alignment horizontal="center" vertical="center"/>
    </xf>
    <xf numFmtId="1" fontId="10" fillId="0" borderId="1" xfId="0" applyNumberFormat="1" applyFont="1" applyBorder="1" applyAlignment="1">
      <alignment horizontal="center" vertical="center"/>
    </xf>
    <xf numFmtId="3" fontId="9" fillId="0" borderId="1" xfId="0" applyNumberFormat="1" applyFont="1" applyBorder="1" applyAlignment="1">
      <alignment horizontal="center" vertical="center" wrapText="1"/>
    </xf>
    <xf numFmtId="3" fontId="8" fillId="0" borderId="17" xfId="0" applyNumberFormat="1" applyFont="1" applyBorder="1" applyAlignment="1">
      <alignment horizontal="center" vertical="center" wrapText="1"/>
    </xf>
    <xf numFmtId="0" fontId="8" fillId="0" borderId="17" xfId="0" applyFont="1" applyBorder="1" applyAlignment="1">
      <alignment horizontal="center" vertical="center" wrapText="1"/>
    </xf>
    <xf numFmtId="3" fontId="20" fillId="0" borderId="1" xfId="0" applyNumberFormat="1" applyFont="1" applyBorder="1" applyAlignment="1">
      <alignment horizontal="left" vertical="center" wrapText="1"/>
    </xf>
    <xf numFmtId="3" fontId="21" fillId="0" borderId="1" xfId="0" applyNumberFormat="1" applyFont="1" applyBorder="1" applyAlignment="1">
      <alignment horizontal="center" vertical="center"/>
    </xf>
    <xf numFmtId="0" fontId="21" fillId="0" borderId="1" xfId="0" applyFont="1" applyBorder="1" applyAlignment="1">
      <alignment horizontal="left" vertical="center"/>
    </xf>
    <xf numFmtId="3" fontId="2" fillId="0" borderId="1" xfId="0" applyNumberFormat="1" applyFont="1" applyBorder="1"/>
    <xf numFmtId="0" fontId="2" fillId="4" borderId="8" xfId="0" applyFont="1" applyFill="1" applyBorder="1" applyAlignment="1">
      <alignment horizontal="center"/>
    </xf>
    <xf numFmtId="3" fontId="6" fillId="7" borderId="14" xfId="0" applyNumberFormat="1" applyFont="1" applyFill="1" applyBorder="1"/>
    <xf numFmtId="3" fontId="6" fillId="2" borderId="1" xfId="0" applyNumberFormat="1" applyFont="1" applyFill="1" applyBorder="1"/>
    <xf numFmtId="3" fontId="6" fillId="2" borderId="8" xfId="0" applyNumberFormat="1" applyFont="1" applyFill="1" applyBorder="1"/>
    <xf numFmtId="169" fontId="2" fillId="4" borderId="8" xfId="0" applyNumberFormat="1" applyFont="1" applyFill="1" applyBorder="1"/>
    <xf numFmtId="3" fontId="8" fillId="0" borderId="7" xfId="0" applyNumberFormat="1" applyFont="1" applyBorder="1" applyAlignment="1">
      <alignment horizontal="right" vertical="center" wrapText="1"/>
    </xf>
    <xf numFmtId="0" fontId="22" fillId="4" borderId="1" xfId="0" applyFont="1" applyFill="1" applyBorder="1"/>
    <xf numFmtId="0" fontId="8" fillId="0" borderId="1" xfId="0" applyFont="1" applyBorder="1" applyAlignment="1">
      <alignment wrapText="1"/>
    </xf>
    <xf numFmtId="3" fontId="8" fillId="0" borderId="1" xfId="0" applyNumberFormat="1" applyFont="1" applyBorder="1" applyAlignment="1">
      <alignment horizontal="left" wrapText="1"/>
    </xf>
    <xf numFmtId="3" fontId="7" fillId="2" borderId="1" xfId="0" applyNumberFormat="1" applyFont="1" applyFill="1" applyBorder="1" applyAlignment="1">
      <alignment horizontal="left" vertical="center" wrapText="1"/>
    </xf>
    <xf numFmtId="0" fontId="8" fillId="0" borderId="6" xfId="0" applyFont="1" applyBorder="1" applyAlignment="1">
      <alignment wrapText="1"/>
    </xf>
    <xf numFmtId="0" fontId="2" fillId="4" borderId="8" xfId="0" applyFont="1" applyFill="1" applyBorder="1" applyAlignment="1">
      <alignment horizontal="left"/>
    </xf>
    <xf numFmtId="164" fontId="23" fillId="2" borderId="1" xfId="0" applyNumberFormat="1" applyFont="1" applyFill="1" applyBorder="1"/>
    <xf numFmtId="164" fontId="24" fillId="4" borderId="26" xfId="0" applyNumberFormat="1" applyFont="1" applyFill="1" applyBorder="1"/>
    <xf numFmtId="0" fontId="1" fillId="2" borderId="1" xfId="0" applyFont="1" applyFill="1" applyBorder="1" applyAlignment="1">
      <alignment horizontal="center" vertical="center" wrapText="1"/>
    </xf>
    <xf numFmtId="3" fontId="1" fillId="2" borderId="4" xfId="0" applyNumberFormat="1" applyFont="1" applyFill="1" applyBorder="1" applyAlignment="1">
      <alignment horizontal="center" vertical="center" wrapText="1"/>
    </xf>
    <xf numFmtId="3" fontId="1" fillId="2" borderId="14" xfId="0" applyNumberFormat="1" applyFont="1" applyFill="1" applyBorder="1" applyAlignment="1">
      <alignment horizontal="center" vertical="center" wrapText="1"/>
    </xf>
    <xf numFmtId="3" fontId="25" fillId="3" borderId="1" xfId="0" applyNumberFormat="1" applyFont="1" applyFill="1" applyBorder="1" applyAlignment="1">
      <alignment horizontal="center" vertical="center" wrapText="1"/>
    </xf>
    <xf numFmtId="165" fontId="5" fillId="3" borderId="4" xfId="0" applyNumberFormat="1" applyFont="1" applyFill="1" applyBorder="1" applyAlignment="1">
      <alignment horizontal="center" vertical="center"/>
    </xf>
    <xf numFmtId="0" fontId="5" fillId="3" borderId="4" xfId="0" applyFont="1" applyFill="1" applyBorder="1" applyAlignment="1">
      <alignment horizontal="center" vertical="center"/>
    </xf>
    <xf numFmtId="0" fontId="5" fillId="3" borderId="4"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5" fillId="2" borderId="1" xfId="0" applyFont="1" applyFill="1" applyBorder="1" applyAlignment="1">
      <alignment horizontal="center" vertical="center"/>
    </xf>
    <xf numFmtId="0" fontId="26" fillId="2" borderId="1" xfId="0" applyFont="1" applyFill="1" applyBorder="1" applyAlignment="1">
      <alignment horizontal="center" vertical="center" wrapText="1"/>
    </xf>
    <xf numFmtId="3" fontId="1" fillId="2" borderId="16" xfId="0" applyNumberFormat="1" applyFont="1" applyFill="1" applyBorder="1" applyAlignment="1">
      <alignment horizontal="center" vertical="center" wrapText="1"/>
    </xf>
    <xf numFmtId="3" fontId="5" fillId="7" borderId="1" xfId="0" applyNumberFormat="1" applyFont="1" applyFill="1" applyBorder="1" applyAlignment="1">
      <alignment horizontal="center" vertical="center" wrapText="1"/>
    </xf>
    <xf numFmtId="3" fontId="1" fillId="7" borderId="14" xfId="0" applyNumberFormat="1" applyFont="1" applyFill="1" applyBorder="1" applyAlignment="1">
      <alignment horizontal="center" vertical="center" wrapText="1"/>
    </xf>
    <xf numFmtId="3" fontId="1" fillId="2" borderId="8" xfId="0" applyNumberFormat="1" applyFont="1" applyFill="1" applyBorder="1" applyAlignment="1">
      <alignment horizontal="center" vertical="center" wrapText="1"/>
    </xf>
    <xf numFmtId="0" fontId="7" fillId="4" borderId="1" xfId="0" applyFont="1" applyFill="1" applyBorder="1" applyAlignment="1">
      <alignment horizontal="right" vertical="center" wrapText="1"/>
    </xf>
    <xf numFmtId="0" fontId="11" fillId="8" borderId="1" xfId="0" applyFont="1" applyFill="1" applyBorder="1" applyAlignment="1">
      <alignment horizontal="center" vertical="center" wrapText="1"/>
    </xf>
    <xf numFmtId="3" fontId="8" fillId="0" borderId="1" xfId="0" applyNumberFormat="1" applyFont="1" applyBorder="1" applyAlignment="1">
      <alignment horizontal="right" vertical="center" wrapText="1"/>
    </xf>
    <xf numFmtId="3" fontId="2" fillId="9" borderId="8" xfId="0" applyNumberFormat="1" applyFont="1" applyFill="1" applyBorder="1"/>
    <xf numFmtId="3" fontId="2" fillId="2" borderId="1" xfId="0" applyNumberFormat="1" applyFont="1" applyFill="1" applyBorder="1" applyAlignment="1">
      <alignment wrapText="1"/>
    </xf>
    <xf numFmtId="3" fontId="8" fillId="4" borderId="1" xfId="0" applyNumberFormat="1" applyFont="1" applyFill="1" applyBorder="1" applyAlignment="1">
      <alignment horizontal="left" vertical="center" wrapText="1"/>
    </xf>
    <xf numFmtId="0" fontId="11" fillId="0" borderId="1" xfId="0" applyFont="1" applyBorder="1" applyAlignment="1">
      <alignment horizontal="center" vertical="center" wrapText="1"/>
    </xf>
    <xf numFmtId="0" fontId="11" fillId="10"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3" fontId="6" fillId="2" borderId="8" xfId="0" applyNumberFormat="1" applyFont="1" applyFill="1" applyBorder="1" applyAlignment="1">
      <alignment wrapText="1"/>
    </xf>
    <xf numFmtId="3" fontId="7" fillId="4" borderId="28" xfId="0" applyNumberFormat="1" applyFont="1" applyFill="1" applyBorder="1" applyAlignment="1">
      <alignment horizontal="right" vertical="center" wrapText="1"/>
    </xf>
    <xf numFmtId="3" fontId="8" fillId="0" borderId="29" xfId="0" applyNumberFormat="1" applyFont="1" applyBorder="1" applyAlignment="1">
      <alignment horizontal="left" vertical="center"/>
    </xf>
    <xf numFmtId="3" fontId="9" fillId="0" borderId="29" xfId="0" applyNumberFormat="1" applyFont="1" applyBorder="1" applyAlignment="1">
      <alignment horizontal="left" vertical="center" wrapText="1"/>
    </xf>
    <xf numFmtId="3" fontId="10" fillId="0" borderId="6" xfId="0" applyNumberFormat="1" applyFont="1" applyBorder="1" applyAlignment="1">
      <alignment horizontal="center" vertical="center"/>
    </xf>
    <xf numFmtId="0" fontId="8" fillId="0" borderId="1" xfId="0" applyFont="1" applyBorder="1"/>
    <xf numFmtId="3" fontId="9" fillId="0" borderId="7" xfId="0" applyNumberFormat="1" applyFont="1" applyBorder="1" applyAlignment="1">
      <alignment horizontal="left" vertical="center" wrapText="1"/>
    </xf>
    <xf numFmtId="3" fontId="7" fillId="4" borderId="4" xfId="0" applyNumberFormat="1" applyFont="1" applyFill="1" applyBorder="1" applyAlignment="1">
      <alignment horizontal="right" vertical="center" wrapText="1"/>
    </xf>
    <xf numFmtId="3" fontId="8" fillId="0" borderId="17" xfId="0" applyNumberFormat="1" applyFont="1" applyBorder="1" applyAlignment="1">
      <alignment horizontal="left" vertical="center"/>
    </xf>
    <xf numFmtId="3" fontId="9" fillId="0" borderId="17" xfId="0" applyNumberFormat="1" applyFont="1" applyBorder="1" applyAlignment="1">
      <alignment horizontal="left" vertical="center" wrapText="1"/>
    </xf>
    <xf numFmtId="3" fontId="11" fillId="4" borderId="8" xfId="0" applyNumberFormat="1" applyFont="1" applyFill="1" applyBorder="1"/>
    <xf numFmtId="0" fontId="11" fillId="4" borderId="8" xfId="0" applyFont="1" applyFill="1" applyBorder="1" applyAlignment="1">
      <alignment horizontal="center"/>
    </xf>
    <xf numFmtId="3" fontId="1" fillId="11" borderId="1" xfId="0" applyNumberFormat="1" applyFont="1" applyFill="1" applyBorder="1" applyAlignment="1">
      <alignment horizontal="center" vertical="center" wrapText="1"/>
    </xf>
    <xf numFmtId="3" fontId="1" fillId="3" borderId="4" xfId="0" applyNumberFormat="1" applyFont="1" applyFill="1" applyBorder="1" applyAlignment="1">
      <alignment horizontal="center" vertical="center" wrapText="1"/>
    </xf>
    <xf numFmtId="166" fontId="1" fillId="5" borderId="1" xfId="0" applyNumberFormat="1" applyFont="1" applyFill="1" applyBorder="1" applyAlignment="1">
      <alignment horizontal="center" vertical="center" wrapText="1"/>
    </xf>
    <xf numFmtId="167" fontId="1" fillId="5" borderId="1" xfId="0" applyNumberFormat="1" applyFont="1" applyFill="1" applyBorder="1" applyAlignment="1">
      <alignment horizontal="center" vertical="center" wrapText="1"/>
    </xf>
    <xf numFmtId="3" fontId="1" fillId="12" borderId="1" xfId="0" applyNumberFormat="1" applyFont="1" applyFill="1" applyBorder="1" applyAlignment="1">
      <alignment horizontal="center" vertical="center" wrapText="1"/>
    </xf>
    <xf numFmtId="0" fontId="27" fillId="4" borderId="8" xfId="0" applyFont="1" applyFill="1" applyBorder="1"/>
    <xf numFmtId="0" fontId="28" fillId="4" borderId="8" xfId="0" applyFont="1" applyFill="1" applyBorder="1" applyAlignment="1">
      <alignment vertical="center"/>
    </xf>
    <xf numFmtId="164" fontId="11" fillId="4" borderId="8" xfId="0" applyNumberFormat="1" applyFont="1" applyFill="1" applyBorder="1"/>
    <xf numFmtId="14" fontId="11" fillId="4" borderId="8" xfId="0" applyNumberFormat="1" applyFont="1" applyFill="1" applyBorder="1"/>
    <xf numFmtId="0" fontId="11" fillId="4" borderId="1" xfId="0" applyFont="1" applyFill="1" applyBorder="1"/>
    <xf numFmtId="3" fontId="8" fillId="4" borderId="1" xfId="0" applyNumberFormat="1" applyFont="1" applyFill="1" applyBorder="1" applyAlignment="1">
      <alignment horizontal="left" vertical="center"/>
    </xf>
    <xf numFmtId="14" fontId="2" fillId="4" borderId="8" xfId="0" applyNumberFormat="1" applyFont="1" applyFill="1" applyBorder="1"/>
    <xf numFmtId="0" fontId="2" fillId="11" borderId="31" xfId="0" applyFont="1" applyFill="1" applyBorder="1"/>
    <xf numFmtId="170" fontId="2" fillId="11" borderId="32" xfId="0" applyNumberFormat="1" applyFont="1" applyFill="1" applyBorder="1"/>
    <xf numFmtId="0" fontId="2" fillId="0" borderId="33" xfId="0" applyFont="1" applyBorder="1"/>
    <xf numFmtId="170" fontId="2" fillId="0" borderId="34" xfId="0" applyNumberFormat="1" applyFont="1" applyBorder="1"/>
    <xf numFmtId="0" fontId="2" fillId="11" borderId="35" xfId="0" applyFont="1" applyFill="1" applyBorder="1"/>
    <xf numFmtId="170" fontId="2" fillId="11" borderId="36" xfId="0" applyNumberFormat="1" applyFont="1" applyFill="1" applyBorder="1"/>
    <xf numFmtId="3" fontId="29" fillId="13" borderId="1" xfId="0" applyNumberFormat="1" applyFont="1" applyFill="1" applyBorder="1"/>
    <xf numFmtId="0" fontId="29" fillId="13" borderId="1" xfId="0" applyFont="1" applyFill="1" applyBorder="1"/>
    <xf numFmtId="0" fontId="2" fillId="2" borderId="8" xfId="0" applyFont="1" applyFill="1" applyBorder="1"/>
    <xf numFmtId="3" fontId="30" fillId="0" borderId="1" xfId="0" applyNumberFormat="1" applyFont="1" applyBorder="1" applyAlignment="1">
      <alignment horizontal="center" vertical="center" wrapText="1"/>
    </xf>
    <xf numFmtId="0" fontId="31" fillId="9" borderId="1" xfId="0" applyFont="1" applyFill="1" applyBorder="1" applyAlignment="1">
      <alignment horizontal="center" vertical="center" wrapText="1"/>
    </xf>
    <xf numFmtId="0" fontId="32" fillId="14" borderId="37" xfId="0" applyFont="1" applyFill="1" applyBorder="1" applyAlignment="1">
      <alignment horizontal="center" vertical="center" wrapText="1"/>
    </xf>
    <xf numFmtId="0" fontId="32" fillId="14" borderId="38" xfId="0" applyFont="1" applyFill="1" applyBorder="1" applyAlignment="1">
      <alignment horizontal="center" vertical="center" wrapText="1"/>
    </xf>
    <xf numFmtId="3" fontId="2" fillId="0" borderId="17" xfId="0" applyNumberFormat="1" applyFont="1" applyBorder="1"/>
    <xf numFmtId="170" fontId="2" fillId="0" borderId="17" xfId="0" applyNumberFormat="1" applyFont="1" applyBorder="1"/>
    <xf numFmtId="170" fontId="2" fillId="0" borderId="1" xfId="0" applyNumberFormat="1" applyFont="1" applyBorder="1"/>
    <xf numFmtId="0" fontId="8" fillId="0" borderId="0" xfId="0" applyFont="1"/>
    <xf numFmtId="3" fontId="2" fillId="6" borderId="1" xfId="0" applyNumberFormat="1" applyFont="1" applyFill="1" applyBorder="1"/>
    <xf numFmtId="170" fontId="2" fillId="6" borderId="1" xfId="0" applyNumberFormat="1" applyFont="1" applyFill="1" applyBorder="1"/>
    <xf numFmtId="0" fontId="32" fillId="6" borderId="37" xfId="0" applyFont="1" applyFill="1" applyBorder="1" applyAlignment="1">
      <alignment horizontal="center" vertical="center" wrapText="1"/>
    </xf>
    <xf numFmtId="0" fontId="2" fillId="6" borderId="1" xfId="0" applyFont="1" applyFill="1" applyBorder="1"/>
    <xf numFmtId="0" fontId="33" fillId="14" borderId="37" xfId="0" applyFont="1" applyFill="1" applyBorder="1" applyAlignment="1">
      <alignment horizontal="center" vertical="center" wrapText="1"/>
    </xf>
    <xf numFmtId="170" fontId="2" fillId="0" borderId="0" xfId="0" applyNumberFormat="1" applyFont="1"/>
    <xf numFmtId="0" fontId="6" fillId="2" borderId="1" xfId="0" applyFont="1" applyFill="1" applyBorder="1" applyAlignment="1">
      <alignment horizontal="center"/>
    </xf>
    <xf numFmtId="0" fontId="6" fillId="5" borderId="1" xfId="0" applyFont="1" applyFill="1" applyBorder="1" applyAlignment="1">
      <alignment horizontal="center"/>
    </xf>
    <xf numFmtId="0" fontId="2" fillId="4" borderId="1" xfId="0" applyFont="1" applyFill="1" applyBorder="1"/>
    <xf numFmtId="171" fontId="2" fillId="4" borderId="1" xfId="0" applyNumberFormat="1" applyFont="1" applyFill="1" applyBorder="1" applyAlignment="1">
      <alignment horizontal="right"/>
    </xf>
    <xf numFmtId="171" fontId="2" fillId="4" borderId="1" xfId="0" applyNumberFormat="1" applyFont="1" applyFill="1" applyBorder="1"/>
    <xf numFmtId="10" fontId="2" fillId="4" borderId="1" xfId="0" applyNumberFormat="1" applyFont="1" applyFill="1" applyBorder="1"/>
    <xf numFmtId="10" fontId="2" fillId="4" borderId="8" xfId="0" applyNumberFormat="1" applyFont="1" applyFill="1" applyBorder="1"/>
    <xf numFmtId="171" fontId="2" fillId="4" borderId="8" xfId="0" applyNumberFormat="1" applyFont="1" applyFill="1" applyBorder="1"/>
    <xf numFmtId="3" fontId="2" fillId="0" borderId="0" xfId="0" applyNumberFormat="1" applyFont="1" applyAlignment="1">
      <alignment horizontal="right"/>
    </xf>
    <xf numFmtId="3" fontId="2" fillId="2" borderId="1" xfId="0" applyNumberFormat="1" applyFont="1" applyFill="1" applyBorder="1"/>
    <xf numFmtId="3" fontId="2" fillId="15" borderId="8" xfId="0" applyNumberFormat="1" applyFont="1" applyFill="1" applyBorder="1"/>
    <xf numFmtId="171" fontId="6" fillId="9" borderId="1" xfId="0" applyNumberFormat="1" applyFont="1" applyFill="1" applyBorder="1" applyAlignment="1">
      <alignment horizontal="right"/>
    </xf>
    <xf numFmtId="171" fontId="6" fillId="0" borderId="1" xfId="0" applyNumberFormat="1" applyFont="1" applyBorder="1" applyAlignment="1">
      <alignment horizontal="right"/>
    </xf>
    <xf numFmtId="170" fontId="6" fillId="2" borderId="1" xfId="0" applyNumberFormat="1" applyFont="1" applyFill="1" applyBorder="1" applyAlignment="1">
      <alignment horizontal="center"/>
    </xf>
    <xf numFmtId="172" fontId="2" fillId="0" borderId="1" xfId="0" applyNumberFormat="1" applyFont="1" applyBorder="1"/>
    <xf numFmtId="172" fontId="6" fillId="2" borderId="1" xfId="0" applyNumberFormat="1" applyFont="1" applyFill="1" applyBorder="1" applyAlignment="1">
      <alignment horizontal="center"/>
    </xf>
    <xf numFmtId="3" fontId="2" fillId="0" borderId="0" xfId="0" applyNumberFormat="1" applyFont="1" applyAlignment="1">
      <alignment horizontal="center" vertical="center" wrapText="1"/>
    </xf>
    <xf numFmtId="0" fontId="2" fillId="0" borderId="0" xfId="0" applyFont="1" applyAlignment="1">
      <alignment horizontal="center" vertical="center" wrapText="1"/>
    </xf>
    <xf numFmtId="3" fontId="2" fillId="0" borderId="1" xfId="0" applyNumberFormat="1" applyFont="1" applyBorder="1" applyAlignment="1">
      <alignment horizontal="left"/>
    </xf>
    <xf numFmtId="0" fontId="2" fillId="0" borderId="1" xfId="0" applyFont="1" applyBorder="1" applyAlignment="1">
      <alignment horizontal="left"/>
    </xf>
    <xf numFmtId="0" fontId="6" fillId="2" borderId="1" xfId="0" applyFont="1" applyFill="1" applyBorder="1" applyAlignment="1">
      <alignment horizontal="center" vertical="center" wrapText="1"/>
    </xf>
    <xf numFmtId="0" fontId="2" fillId="0" borderId="1" xfId="0" applyFont="1" applyBorder="1" applyAlignment="1">
      <alignment horizontal="center"/>
    </xf>
    <xf numFmtId="0" fontId="6" fillId="2" borderId="1" xfId="0" applyFont="1" applyFill="1" applyBorder="1" applyAlignment="1">
      <alignment horizontal="center" vertical="center"/>
    </xf>
    <xf numFmtId="3" fontId="2" fillId="2" borderId="8" xfId="0" applyNumberFormat="1" applyFont="1" applyFill="1" applyBorder="1"/>
    <xf numFmtId="3" fontId="28" fillId="4" borderId="8" xfId="0" applyNumberFormat="1" applyFont="1" applyFill="1" applyBorder="1" applyAlignment="1">
      <alignment vertical="center"/>
    </xf>
    <xf numFmtId="3" fontId="10" fillId="2" borderId="1" xfId="0" applyNumberFormat="1" applyFont="1" applyFill="1" applyBorder="1" applyAlignment="1">
      <alignment horizontal="center" vertical="center"/>
    </xf>
    <xf numFmtId="170" fontId="7" fillId="4" borderId="1" xfId="0" applyNumberFormat="1" applyFont="1" applyFill="1" applyBorder="1" applyAlignment="1">
      <alignment horizontal="right" vertical="center" wrapText="1"/>
    </xf>
    <xf numFmtId="0" fontId="8" fillId="4" borderId="1" xfId="0" applyFont="1" applyFill="1" applyBorder="1" applyAlignment="1">
      <alignment horizontal="center" vertical="center" wrapText="1"/>
    </xf>
    <xf numFmtId="1" fontId="10" fillId="4" borderId="1" xfId="0" applyNumberFormat="1" applyFont="1" applyFill="1" applyBorder="1" applyAlignment="1">
      <alignment horizontal="center" vertical="center"/>
    </xf>
    <xf numFmtId="3" fontId="10" fillId="4" borderId="1" xfId="0" applyNumberFormat="1" applyFont="1" applyFill="1" applyBorder="1" applyAlignment="1">
      <alignment horizontal="center" vertical="center"/>
    </xf>
    <xf numFmtId="3" fontId="8" fillId="4" borderId="1" xfId="0" applyNumberFormat="1" applyFont="1" applyFill="1" applyBorder="1" applyAlignment="1">
      <alignment horizontal="center" vertical="center" wrapText="1"/>
    </xf>
    <xf numFmtId="3" fontId="7" fillId="4" borderId="1" xfId="0" applyNumberFormat="1" applyFont="1" applyFill="1" applyBorder="1" applyAlignment="1">
      <alignment horizontal="center" vertical="center" wrapText="1"/>
    </xf>
    <xf numFmtId="3" fontId="20" fillId="4" borderId="1" xfId="0" applyNumberFormat="1" applyFont="1" applyFill="1" applyBorder="1" applyAlignment="1">
      <alignment horizontal="left" vertical="center" wrapText="1"/>
    </xf>
    <xf numFmtId="3" fontId="8" fillId="4" borderId="1" xfId="0" applyNumberFormat="1" applyFont="1" applyFill="1" applyBorder="1" applyAlignment="1">
      <alignment horizontal="center" vertical="center"/>
    </xf>
    <xf numFmtId="3" fontId="2" fillId="4" borderId="1" xfId="0" applyNumberFormat="1" applyFont="1" applyFill="1" applyBorder="1"/>
    <xf numFmtId="3" fontId="34" fillId="8" borderId="8" xfId="0" applyNumberFormat="1" applyFont="1" applyFill="1" applyBorder="1"/>
    <xf numFmtId="3" fontId="5" fillId="0" borderId="0" xfId="0" applyNumberFormat="1" applyFont="1" applyAlignment="1">
      <alignment horizontal="center" vertical="center"/>
    </xf>
    <xf numFmtId="1" fontId="10" fillId="0" borderId="0" xfId="0" applyNumberFormat="1" applyFont="1" applyAlignment="1">
      <alignment horizontal="center" vertical="center"/>
    </xf>
    <xf numFmtId="3" fontId="10" fillId="0" borderId="0" xfId="0" applyNumberFormat="1" applyFont="1" applyAlignment="1">
      <alignment horizontal="center" vertical="center"/>
    </xf>
    <xf numFmtId="3" fontId="7" fillId="0" borderId="0" xfId="0" applyNumberFormat="1" applyFont="1" applyAlignment="1">
      <alignment horizontal="right" vertical="center" wrapText="1"/>
    </xf>
    <xf numFmtId="3" fontId="8" fillId="0" borderId="0" xfId="0" applyNumberFormat="1" applyFont="1" applyAlignment="1">
      <alignment horizontal="left" vertical="center"/>
    </xf>
    <xf numFmtId="3" fontId="9" fillId="0" borderId="0" xfId="0" applyNumberFormat="1" applyFont="1" applyAlignment="1">
      <alignment horizontal="left" vertical="center" wrapText="1"/>
    </xf>
    <xf numFmtId="164" fontId="8" fillId="0" borderId="0" xfId="0" applyNumberFormat="1" applyFont="1" applyAlignment="1">
      <alignment vertical="center" wrapText="1"/>
    </xf>
    <xf numFmtId="3" fontId="8" fillId="0" borderId="0" xfId="0" applyNumberFormat="1" applyFont="1" applyAlignment="1">
      <alignment horizontal="left" vertical="center" wrapText="1"/>
    </xf>
    <xf numFmtId="3" fontId="8" fillId="0" borderId="0" xfId="0" applyNumberFormat="1" applyFont="1" applyAlignment="1">
      <alignment horizontal="center" vertical="center" wrapText="1"/>
    </xf>
    <xf numFmtId="0" fontId="8" fillId="0" borderId="0" xfId="0" applyFont="1" applyAlignment="1">
      <alignment horizontal="center" vertical="center" wrapText="1"/>
    </xf>
    <xf numFmtId="3" fontId="7" fillId="0" borderId="0" xfId="0" applyNumberFormat="1" applyFont="1" applyAlignment="1">
      <alignment horizontal="center" vertical="center" wrapText="1"/>
    </xf>
    <xf numFmtId="3" fontId="7" fillId="0" borderId="0" xfId="0" applyNumberFormat="1" applyFont="1" applyAlignment="1">
      <alignment horizontal="left" vertical="center" wrapText="1"/>
    </xf>
    <xf numFmtId="166" fontId="7" fillId="0" borderId="0" xfId="0" applyNumberFormat="1" applyFont="1" applyAlignment="1">
      <alignment horizontal="center" vertical="center" wrapText="1"/>
    </xf>
    <xf numFmtId="167" fontId="8" fillId="0" borderId="0" xfId="0" applyNumberFormat="1" applyFont="1" applyAlignment="1">
      <alignment horizontal="center" vertical="center"/>
    </xf>
    <xf numFmtId="3" fontId="8" fillId="0" borderId="0" xfId="0" applyNumberFormat="1" applyFont="1" applyAlignment="1">
      <alignment horizontal="center" vertical="center"/>
    </xf>
    <xf numFmtId="3" fontId="6" fillId="0" borderId="0" xfId="0" applyNumberFormat="1" applyFont="1"/>
    <xf numFmtId="3" fontId="13" fillId="0" borderId="0" xfId="0" applyNumberFormat="1" applyFont="1"/>
    <xf numFmtId="10" fontId="13" fillId="0" borderId="0" xfId="0" applyNumberFormat="1" applyFont="1"/>
    <xf numFmtId="0" fontId="13" fillId="0" borderId="0" xfId="0" applyFont="1"/>
    <xf numFmtId="0" fontId="11" fillId="0" borderId="0" xfId="0" applyFont="1"/>
    <xf numFmtId="0" fontId="12" fillId="0" borderId="0" xfId="0" applyFont="1"/>
    <xf numFmtId="3" fontId="6" fillId="0" borderId="1" xfId="0" applyNumberFormat="1" applyFont="1" applyBorder="1" applyAlignment="1">
      <alignment horizontal="center"/>
    </xf>
    <xf numFmtId="173" fontId="2" fillId="0" borderId="1" xfId="0" applyNumberFormat="1" applyFont="1" applyBorder="1"/>
    <xf numFmtId="3" fontId="12" fillId="0" borderId="0" xfId="0" applyNumberFormat="1" applyFont="1"/>
    <xf numFmtId="0" fontId="6" fillId="0" borderId="1" xfId="0" applyFont="1" applyBorder="1"/>
    <xf numFmtId="173" fontId="6" fillId="0" borderId="1" xfId="0" applyNumberFormat="1" applyFont="1" applyBorder="1"/>
    <xf numFmtId="173" fontId="2" fillId="0" borderId="0" xfId="0" applyNumberFormat="1" applyFont="1"/>
    <xf numFmtId="3" fontId="6" fillId="16" borderId="39" xfId="0" applyNumberFormat="1" applyFont="1" applyFill="1" applyBorder="1"/>
    <xf numFmtId="0" fontId="35" fillId="16" borderId="40" xfId="0" applyFont="1" applyFill="1" applyBorder="1"/>
    <xf numFmtId="3" fontId="36" fillId="0" borderId="1" xfId="0" applyNumberFormat="1" applyFont="1" applyBorder="1"/>
    <xf numFmtId="0" fontId="37" fillId="0" borderId="1" xfId="0" applyFont="1" applyBorder="1"/>
    <xf numFmtId="3" fontId="11" fillId="0" borderId="0" xfId="0" applyNumberFormat="1" applyFont="1"/>
    <xf numFmtId="0" fontId="7" fillId="0" borderId="0" xfId="0" applyFont="1" applyAlignment="1">
      <alignment horizontal="right" vertical="center" wrapText="1"/>
    </xf>
    <xf numFmtId="0" fontId="0" fillId="0" borderId="20" xfId="0" pivotButton="1" applyBorder="1"/>
    <xf numFmtId="0" fontId="0" fillId="0" borderId="21" xfId="0" applyBorder="1"/>
    <xf numFmtId="3" fontId="0" fillId="0" borderId="20" xfId="0" applyNumberFormat="1" applyBorder="1"/>
    <xf numFmtId="3" fontId="0" fillId="0" borderId="22" xfId="0" applyNumberFormat="1" applyBorder="1"/>
    <xf numFmtId="3" fontId="0" fillId="0" borderId="24" xfId="0" applyNumberFormat="1" applyBorder="1"/>
    <xf numFmtId="3" fontId="2" fillId="4" borderId="9" xfId="0" applyNumberFormat="1" applyFont="1" applyFill="1" applyBorder="1" applyAlignment="1">
      <alignment horizontal="center"/>
    </xf>
    <xf numFmtId="0" fontId="15" fillId="0" borderId="10" xfId="0" applyFont="1" applyBorder="1"/>
    <xf numFmtId="0" fontId="15" fillId="0" borderId="11" xfId="0" applyFont="1" applyBorder="1"/>
    <xf numFmtId="164" fontId="17" fillId="3" borderId="6" xfId="0" applyNumberFormat="1" applyFont="1" applyFill="1" applyBorder="1" applyAlignment="1">
      <alignment horizontal="center"/>
    </xf>
    <xf numFmtId="0" fontId="15" fillId="0" borderId="12" xfId="0" applyFont="1" applyBorder="1"/>
    <xf numFmtId="0" fontId="15" fillId="0" borderId="7" xfId="0" applyFont="1" applyBorder="1"/>
    <xf numFmtId="0" fontId="6" fillId="4" borderId="18" xfId="0" applyFont="1" applyFill="1" applyBorder="1" applyAlignment="1">
      <alignment horizontal="center" wrapText="1"/>
    </xf>
    <xf numFmtId="0" fontId="15" fillId="0" borderId="19" xfId="0" applyFont="1" applyBorder="1"/>
    <xf numFmtId="0" fontId="2" fillId="0" borderId="27" xfId="0" applyFont="1" applyBorder="1" applyAlignment="1">
      <alignment horizontal="center"/>
    </xf>
    <xf numFmtId="0" fontId="15" fillId="0" borderId="13" xfId="0" applyFont="1" applyBorder="1"/>
    <xf numFmtId="0" fontId="11" fillId="4" borderId="18" xfId="0" applyFont="1" applyFill="1" applyBorder="1" applyAlignment="1">
      <alignment horizontal="center"/>
    </xf>
    <xf numFmtId="0" fontId="15" fillId="0" borderId="30" xfId="0" applyFont="1" applyBorder="1"/>
    <xf numFmtId="0" fontId="0" fillId="0" borderId="21" xfId="0" applyNumberFormat="1" applyBorder="1"/>
    <xf numFmtId="0" fontId="0" fillId="0" borderId="23" xfId="0" applyNumberFormat="1" applyBorder="1"/>
    <xf numFmtId="0" fontId="0" fillId="0" borderId="25"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amuel Arturo H" refreshedDate="46304.337887152775" refreshedVersion="8" recordCount="170" xr:uid="{00000000-000A-0000-FFFF-FFFF00000000}">
  <cacheSource type="worksheet">
    <worksheetSource ref="W4:X174" sheet="PLANTA SJD"/>
  </cacheSource>
  <cacheFields count="2">
    <cacheField name="ESTADO DEL CARGO" numFmtId="3">
      <sharedItems count="3">
        <s v="OCUPADO"/>
        <s v="VACANTE TEMPORAL"/>
        <s v="VACANTE DEFINITIVA"/>
      </sharedItems>
    </cacheField>
    <cacheField name="NIVEL" numFmtId="3">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amuel Arturo H" refreshedDate="46304.337887731483" refreshedVersion="8" recordCount="170" xr:uid="{00000000-000A-0000-FFFF-FFFF01000000}">
  <cacheSource type="worksheet">
    <worksheetSource ref="J4:K174" sheet="PLANTA SJD"/>
  </cacheSource>
  <cacheFields count="2">
    <cacheField name="SEXO" numFmtId="3">
      <sharedItems count="3">
        <s v="HOMBRE"/>
        <s v="MUJER"/>
        <s v=""/>
      </sharedItems>
    </cacheField>
    <cacheField name="EDAD" numFmtId="3">
      <sharedItems containsMixedTypes="1" containsNumber="1" containsInteger="1" minValue="21" maxValue="12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amuel Arturo H" refreshedDate="46304.337887847221" refreshedVersion="8" recordCount="170" xr:uid="{00000000-000A-0000-FFFF-FFFF02000000}">
  <cacheSource type="worksheet">
    <worksheetSource ref="E4:H174" sheet="PLANTA SJD"/>
  </cacheSource>
  <cacheFields count="4">
    <cacheField name="APELLIDOS Y NOMBRES" numFmtId="3">
      <sharedItems/>
    </cacheField>
    <cacheField name="TIPO DE VINCULACIÓN A LA ENTIDAD" numFmtId="3">
      <sharedItems containsBlank="1" count="6">
        <s v="LIBRE NOMBRAMIENTO Y REMOCIÓN"/>
        <s v="CARRERA ADMINISTRATIVA"/>
        <s v="PERÍODO DE PRUEBA"/>
        <s v="PROVISIONALIDAD"/>
        <m/>
        <s v="PERÍODO FIJO"/>
      </sharedItems>
    </cacheField>
    <cacheField name="TIPO DE VINCULACIÓN_x000a_AL CARGO/ SIDEAP" numFmtId="3">
      <sharedItems/>
    </cacheField>
    <cacheField name="FECHA INGRESO_x000a_A LA ENTIDAD" numFmtId="164">
      <sharedItems containsDate="1" containsMixedTypes="1" minDate="2016-08-03T00:00:00" maxDate="2026-10-06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amuel Arturo H" refreshedDate="46304.337888078706" refreshedVersion="8" recordCount="170" xr:uid="{00000000-000A-0000-FFFF-FFFF03000000}">
  <cacheSource type="worksheet">
    <worksheetSource ref="E4:K174" sheet="PLANTA SJD"/>
  </cacheSource>
  <cacheFields count="7">
    <cacheField name="APELLIDOS Y NOMBRES" numFmtId="3">
      <sharedItems/>
    </cacheField>
    <cacheField name="TIPO DE VINCULACIÓN A LA ENTIDAD" numFmtId="3">
      <sharedItems containsBlank="1"/>
    </cacheField>
    <cacheField name="TIPO DE VINCULACIÓN_x000a_AL CARGO/ SIDEAP" numFmtId="3">
      <sharedItems/>
    </cacheField>
    <cacheField name="FECHA INGRESO_x000a_A LA ENTIDAD" numFmtId="164">
      <sharedItems containsDate="1" containsMixedTypes="1" minDate="2016-08-03T00:00:00" maxDate="2026-10-06T00:00:00"/>
    </cacheField>
    <cacheField name="FECHA INGRESO_x000a_AL DISTRITO" numFmtId="164">
      <sharedItems containsDate="1" containsMixedTypes="1" minDate="1899-12-30T00:00:00" maxDate="2026-09-24T00:00:00"/>
    </cacheField>
    <cacheField name="SEXO" numFmtId="3">
      <sharedItems count="3">
        <s v="HOMBRE"/>
        <s v="MUJER"/>
        <s v=""/>
      </sharedItems>
    </cacheField>
    <cacheField name="EDAD" numFmtId="3">
      <sharedItems containsMixedTypes="1" containsNumber="1" containsInteger="1" minValue="21" maxValue="12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
  <r>
    <x v="0"/>
    <s v="ASESOR"/>
  </r>
  <r>
    <x v="0"/>
    <s v="DIRECTIVO"/>
  </r>
  <r>
    <x v="0"/>
    <s v="ASESOR"/>
  </r>
  <r>
    <x v="0"/>
    <s v="ASESOR"/>
  </r>
  <r>
    <x v="0"/>
    <s v="ASESOR"/>
  </r>
  <r>
    <x v="0"/>
    <s v="ASESOR"/>
  </r>
  <r>
    <x v="0"/>
    <s v="ASESOR"/>
  </r>
  <r>
    <x v="0"/>
    <s v="ASISTENCIAL"/>
  </r>
  <r>
    <x v="0"/>
    <s v="ASISTENCIAL"/>
  </r>
  <r>
    <x v="0"/>
    <s v="ASISTENCIAL"/>
  </r>
  <r>
    <x v="0"/>
    <s v="ASISTENCIAL"/>
  </r>
  <r>
    <x v="0"/>
    <s v="ASISTENCIAL"/>
  </r>
  <r>
    <x v="0"/>
    <s v="ASISTENCIAL"/>
  </r>
  <r>
    <x v="0"/>
    <s v="ASISTENCIAL"/>
  </r>
  <r>
    <x v="0"/>
    <s v="ASISTENCIAL"/>
  </r>
  <r>
    <x v="0"/>
    <s v="ASISTENCIAL"/>
  </r>
  <r>
    <x v="0"/>
    <s v="ASISTENCIAL"/>
  </r>
  <r>
    <x v="0"/>
    <s v="ASISTENCIAL"/>
  </r>
  <r>
    <x v="0"/>
    <s v="ASISTENCIAL"/>
  </r>
  <r>
    <x v="0"/>
    <s v="ASISTENCIAL"/>
  </r>
  <r>
    <x v="0"/>
    <s v="ASISTENCIAL"/>
  </r>
  <r>
    <x v="0"/>
    <s v="ASISTENCIAL"/>
  </r>
  <r>
    <x v="0"/>
    <s v="ASISTENCIAL"/>
  </r>
  <r>
    <x v="0"/>
    <s v="ASISTENCIAL"/>
  </r>
  <r>
    <x v="1"/>
    <s v="ASISTENCIAL"/>
  </r>
  <r>
    <x v="1"/>
    <s v="ASISTENCIAL"/>
  </r>
  <r>
    <x v="0"/>
    <s v="ASISTENCIAL"/>
  </r>
  <r>
    <x v="1"/>
    <s v="ASISTENCIAL"/>
  </r>
  <r>
    <x v="0"/>
    <s v="ASISTENCIAL"/>
  </r>
  <r>
    <x v="0"/>
    <s v="ASISTENCIAL"/>
  </r>
  <r>
    <x v="0"/>
    <s v="ASISTENCIAL"/>
  </r>
  <r>
    <x v="0"/>
    <s v="ASISTENCIAL"/>
  </r>
  <r>
    <x v="0"/>
    <s v="ASISTENCIAL"/>
  </r>
  <r>
    <x v="0"/>
    <s v="ASISTENCIAL"/>
  </r>
  <r>
    <x v="0"/>
    <s v="ASISTENCIAL"/>
  </r>
  <r>
    <x v="1"/>
    <s v="ASISTENCIAL"/>
  </r>
  <r>
    <x v="0"/>
    <s v="ASISTENCIAL"/>
  </r>
  <r>
    <x v="0"/>
    <s v="ASISTENCIAL"/>
  </r>
  <r>
    <x v="0"/>
    <s v="ASISTENCIAL"/>
  </r>
  <r>
    <x v="0"/>
    <s v="ASISTENCIAL"/>
  </r>
  <r>
    <x v="0"/>
    <s v="ASISTENCIAL"/>
  </r>
  <r>
    <x v="0"/>
    <s v="ASISTENCIAL"/>
  </r>
  <r>
    <x v="0"/>
    <s v="DIRECTIVO"/>
  </r>
  <r>
    <x v="0"/>
    <s v="DIRECTIVO"/>
  </r>
  <r>
    <x v="0"/>
    <s v="DIRECTIVO"/>
  </r>
  <r>
    <x v="0"/>
    <s v="DIRECTIVO"/>
  </r>
  <r>
    <x v="0"/>
    <s v="DIRECTIVO"/>
  </r>
  <r>
    <x v="0"/>
    <s v="DIRECTIVO"/>
  </r>
  <r>
    <x v="0"/>
    <s v="DIRECTIVO"/>
  </r>
  <r>
    <x v="0"/>
    <s v="DIRECTIVO"/>
  </r>
  <r>
    <x v="0"/>
    <s v="DIRECTIVO"/>
  </r>
  <r>
    <x v="0"/>
    <s v="PROFESIONAL"/>
  </r>
  <r>
    <x v="0"/>
    <s v="PROFESIONAL"/>
  </r>
  <r>
    <x v="0"/>
    <s v="PROFESIONAL"/>
  </r>
  <r>
    <x v="0"/>
    <s v="PROFESIONAL"/>
  </r>
  <r>
    <x v="0"/>
    <s v="PROFESIONAL"/>
  </r>
  <r>
    <x v="0"/>
    <s v="PROFESIONAL"/>
  </r>
  <r>
    <x v="2"/>
    <s v="PROFESIONAL"/>
  </r>
  <r>
    <x v="0"/>
    <s v="PROFESIONAL"/>
  </r>
  <r>
    <x v="2"/>
    <s v="PROFESIONAL"/>
  </r>
  <r>
    <x v="0"/>
    <s v="PROFESIONAL"/>
  </r>
  <r>
    <x v="0"/>
    <s v="PROFESIONAL"/>
  </r>
  <r>
    <x v="2"/>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2"/>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2"/>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1"/>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0"/>
    <s v="PROFESIONAL"/>
  </r>
  <r>
    <x v="1"/>
    <s v="PROFESIONAL"/>
  </r>
  <r>
    <x v="0"/>
    <s v="PROFESIONAL"/>
  </r>
  <r>
    <x v="1"/>
    <s v="PROFESIONAL"/>
  </r>
  <r>
    <x v="0"/>
    <s v="PROFESIONAL"/>
  </r>
  <r>
    <x v="0"/>
    <s v="PROFESIONAL"/>
  </r>
  <r>
    <x v="0"/>
    <s v="PROFESIONAL"/>
  </r>
  <r>
    <x v="0"/>
    <s v="PROFESIONAL"/>
  </r>
  <r>
    <x v="0"/>
    <s v="PROFESIONAL"/>
  </r>
  <r>
    <x v="0"/>
    <s v="PROFESIONAL"/>
  </r>
  <r>
    <x v="1"/>
    <s v="PROFESIONAL"/>
  </r>
  <r>
    <x v="0"/>
    <s v="PROFESIONAL"/>
  </r>
  <r>
    <x v="0"/>
    <s v="PROFESIONAL"/>
  </r>
  <r>
    <x v="0"/>
    <s v="PROFESIONAL"/>
  </r>
  <r>
    <x v="0"/>
    <s v="PROFESIONAL"/>
  </r>
  <r>
    <x v="0"/>
    <s v="PROFESIONAL"/>
  </r>
  <r>
    <x v="0"/>
    <s v="TÉCNICO OPERATIVO"/>
  </r>
  <r>
    <x v="0"/>
    <s v="TÉCNICO OPERATIVO"/>
  </r>
  <r>
    <x v="0"/>
    <s v="TÉCNICO OPERATIVO"/>
  </r>
  <r>
    <x v="0"/>
    <s v="TÉCNICO OPERATIVO"/>
  </r>
  <r>
    <x v="0"/>
    <s v="TÉCNICO OPERATIVO"/>
  </r>
  <r>
    <x v="0"/>
    <s v="TÉCNICO OPERATIVO"/>
  </r>
  <r>
    <x v="0"/>
    <s v="TÉCNICO OPERATIVO"/>
  </r>
  <r>
    <x v="0"/>
    <s v="TÉCNICO OPERATIVO"/>
  </r>
  <r>
    <x v="0"/>
    <s v="TÉCNICO OPERATIVO"/>
  </r>
  <r>
    <x v="0"/>
    <s v="TÉCNICO OPERATIVO"/>
  </r>
  <r>
    <x v="0"/>
    <s v="TÉCNICO OPERATIVO"/>
  </r>
  <r>
    <x v="0"/>
    <s v="TÉCNICO OPERATIVO"/>
  </r>
  <r>
    <x v="0"/>
    <s v="TÉCNICO OPERATIVO"/>
  </r>
  <r>
    <x v="0"/>
    <s v="TÉCNICO OPERATIVO"/>
  </r>
  <r>
    <x v="0"/>
    <s v="TÉCNICO OPERATIVO"/>
  </r>
  <r>
    <x v="0"/>
    <s v="TÉCNICO OPERATIVO"/>
  </r>
  <r>
    <x v="0"/>
    <s v="TÉCNICO OPERATIVO"/>
  </r>
  <r>
    <x v="0"/>
    <s v="TÉCNICO OPERATIVO"/>
  </r>
  <r>
    <x v="0"/>
    <s v="TÉCNICO OPERATIVO"/>
  </r>
  <r>
    <x v="0"/>
    <s v="TÉCNICO OPERATIV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
  <r>
    <x v="0"/>
    <n v="43"/>
  </r>
  <r>
    <x v="0"/>
    <n v="48"/>
  </r>
  <r>
    <x v="1"/>
    <n v="46"/>
  </r>
  <r>
    <x v="1"/>
    <n v="30"/>
  </r>
  <r>
    <x v="1"/>
    <n v="37"/>
  </r>
  <r>
    <x v="1"/>
    <n v="44"/>
  </r>
  <r>
    <x v="1"/>
    <n v="31"/>
  </r>
  <r>
    <x v="1"/>
    <n v="47"/>
  </r>
  <r>
    <x v="1"/>
    <n v="53"/>
  </r>
  <r>
    <x v="1"/>
    <n v="38"/>
  </r>
  <r>
    <x v="1"/>
    <n v="46"/>
  </r>
  <r>
    <x v="1"/>
    <n v="60"/>
  </r>
  <r>
    <x v="1"/>
    <n v="52"/>
  </r>
  <r>
    <x v="1"/>
    <n v="61"/>
  </r>
  <r>
    <x v="1"/>
    <n v="46"/>
  </r>
  <r>
    <x v="0"/>
    <n v="55"/>
  </r>
  <r>
    <x v="1"/>
    <n v="39"/>
  </r>
  <r>
    <x v="0"/>
    <n v="42"/>
  </r>
  <r>
    <x v="1"/>
    <n v="21"/>
  </r>
  <r>
    <x v="1"/>
    <n v="37"/>
  </r>
  <r>
    <x v="1"/>
    <n v="52"/>
  </r>
  <r>
    <x v="0"/>
    <n v="40"/>
  </r>
  <r>
    <x v="1"/>
    <n v="24"/>
  </r>
  <r>
    <x v="0"/>
    <n v="61"/>
  </r>
  <r>
    <x v="2"/>
    <s v=""/>
  </r>
  <r>
    <x v="2"/>
    <s v=""/>
  </r>
  <r>
    <x v="0"/>
    <n v="63"/>
  </r>
  <r>
    <x v="2"/>
    <s v=""/>
  </r>
  <r>
    <x v="0"/>
    <n v="59"/>
  </r>
  <r>
    <x v="0"/>
    <n v="49"/>
  </r>
  <r>
    <x v="0"/>
    <n v="43"/>
  </r>
  <r>
    <x v="0"/>
    <n v="57"/>
  </r>
  <r>
    <x v="1"/>
    <n v="41"/>
  </r>
  <r>
    <x v="0"/>
    <n v="38"/>
  </r>
  <r>
    <x v="1"/>
    <n v="36"/>
  </r>
  <r>
    <x v="2"/>
    <s v=""/>
  </r>
  <r>
    <x v="0"/>
    <n v="35"/>
  </r>
  <r>
    <x v="1"/>
    <n v="36"/>
  </r>
  <r>
    <x v="1"/>
    <n v="43"/>
  </r>
  <r>
    <x v="1"/>
    <n v="37"/>
  </r>
  <r>
    <x v="1"/>
    <n v="67"/>
  </r>
  <r>
    <x v="1"/>
    <n v="53"/>
  </r>
  <r>
    <x v="0"/>
    <n v="41"/>
  </r>
  <r>
    <x v="0"/>
    <n v="43"/>
  </r>
  <r>
    <x v="1"/>
    <n v="38"/>
  </r>
  <r>
    <x v="1"/>
    <n v="41"/>
  </r>
  <r>
    <x v="0"/>
    <n v="38"/>
  </r>
  <r>
    <x v="0"/>
    <n v="28"/>
  </r>
  <r>
    <x v="1"/>
    <n v="42"/>
  </r>
  <r>
    <x v="0"/>
    <n v="43"/>
  </r>
  <r>
    <x v="1"/>
    <n v="41"/>
  </r>
  <r>
    <x v="0"/>
    <n v="54"/>
  </r>
  <r>
    <x v="1"/>
    <n v="49"/>
  </r>
  <r>
    <x v="1"/>
    <n v="48"/>
  </r>
  <r>
    <x v="0"/>
    <n v="43"/>
  </r>
  <r>
    <x v="1"/>
    <n v="54"/>
  </r>
  <r>
    <x v="0"/>
    <n v="42"/>
  </r>
  <r>
    <x v="2"/>
    <s v=""/>
  </r>
  <r>
    <x v="0"/>
    <n v="58"/>
  </r>
  <r>
    <x v="2"/>
    <s v=""/>
  </r>
  <r>
    <x v="0"/>
    <n v="55"/>
  </r>
  <r>
    <x v="0"/>
    <n v="51"/>
  </r>
  <r>
    <x v="2"/>
    <s v=""/>
  </r>
  <r>
    <x v="0"/>
    <n v="50"/>
  </r>
  <r>
    <x v="1"/>
    <n v="50"/>
  </r>
  <r>
    <x v="1"/>
    <n v="49"/>
  </r>
  <r>
    <x v="1"/>
    <n v="50"/>
  </r>
  <r>
    <x v="1"/>
    <n v="53"/>
  </r>
  <r>
    <x v="1"/>
    <n v="55"/>
  </r>
  <r>
    <x v="1"/>
    <n v="50"/>
  </r>
  <r>
    <x v="1"/>
    <n v="46"/>
  </r>
  <r>
    <x v="0"/>
    <n v="69"/>
  </r>
  <r>
    <x v="1"/>
    <n v="57"/>
  </r>
  <r>
    <x v="1"/>
    <n v="49"/>
  </r>
  <r>
    <x v="0"/>
    <n v="65"/>
  </r>
  <r>
    <x v="0"/>
    <n v="53"/>
  </r>
  <r>
    <x v="1"/>
    <n v="41"/>
  </r>
  <r>
    <x v="0"/>
    <n v="46"/>
  </r>
  <r>
    <x v="0"/>
    <n v="48"/>
  </r>
  <r>
    <x v="0"/>
    <n v="62"/>
  </r>
  <r>
    <x v="1"/>
    <n v="62"/>
  </r>
  <r>
    <x v="2"/>
    <s v=""/>
  </r>
  <r>
    <x v="1"/>
    <n v="47"/>
  </r>
  <r>
    <x v="1"/>
    <n v="42"/>
  </r>
  <r>
    <x v="0"/>
    <n v="35"/>
  </r>
  <r>
    <x v="1"/>
    <n v="47"/>
  </r>
  <r>
    <x v="0"/>
    <n v="62"/>
  </r>
  <r>
    <x v="1"/>
    <n v="36"/>
  </r>
  <r>
    <x v="1"/>
    <n v="49"/>
  </r>
  <r>
    <x v="1"/>
    <n v="51"/>
  </r>
  <r>
    <x v="1"/>
    <n v="64"/>
  </r>
  <r>
    <x v="0"/>
    <n v="47"/>
  </r>
  <r>
    <x v="1"/>
    <n v="48"/>
  </r>
  <r>
    <x v="0"/>
    <n v="59"/>
  </r>
  <r>
    <x v="1"/>
    <n v="42"/>
  </r>
  <r>
    <x v="1"/>
    <n v="53"/>
  </r>
  <r>
    <x v="2"/>
    <s v=""/>
  </r>
  <r>
    <x v="0"/>
    <n v="67"/>
  </r>
  <r>
    <x v="0"/>
    <n v="43"/>
  </r>
  <r>
    <x v="1"/>
    <n v="41"/>
  </r>
  <r>
    <x v="1"/>
    <n v="48"/>
  </r>
  <r>
    <x v="1"/>
    <n v="50"/>
  </r>
  <r>
    <x v="1"/>
    <n v="32"/>
  </r>
  <r>
    <x v="1"/>
    <n v="44"/>
  </r>
  <r>
    <x v="1"/>
    <n v="44"/>
  </r>
  <r>
    <x v="1"/>
    <n v="54"/>
  </r>
  <r>
    <x v="0"/>
    <n v="48"/>
  </r>
  <r>
    <x v="1"/>
    <n v="52"/>
  </r>
  <r>
    <x v="0"/>
    <n v="46"/>
  </r>
  <r>
    <x v="0"/>
    <n v="34"/>
  </r>
  <r>
    <x v="1"/>
    <n v="41"/>
  </r>
  <r>
    <x v="1"/>
    <n v="29"/>
  </r>
  <r>
    <x v="1"/>
    <n v="36"/>
  </r>
  <r>
    <x v="1"/>
    <n v="36"/>
  </r>
  <r>
    <x v="1"/>
    <n v="68"/>
  </r>
  <r>
    <x v="2"/>
    <s v=""/>
  </r>
  <r>
    <x v="1"/>
    <n v="46"/>
  </r>
  <r>
    <x v="0"/>
    <n v="61"/>
  </r>
  <r>
    <x v="0"/>
    <n v="58"/>
  </r>
  <r>
    <x v="1"/>
    <n v="41"/>
  </r>
  <r>
    <x v="0"/>
    <n v="30"/>
  </r>
  <r>
    <x v="0"/>
    <n v="44"/>
  </r>
  <r>
    <x v="1"/>
    <n v="36"/>
  </r>
  <r>
    <x v="0"/>
    <n v="54"/>
  </r>
  <r>
    <x v="0"/>
    <n v="54"/>
  </r>
  <r>
    <x v="0"/>
    <n v="42"/>
  </r>
  <r>
    <x v="1"/>
    <n v="52"/>
  </r>
  <r>
    <x v="0"/>
    <n v="42"/>
  </r>
  <r>
    <x v="1"/>
    <n v="30"/>
  </r>
  <r>
    <x v="0"/>
    <n v="36"/>
  </r>
  <r>
    <x v="0"/>
    <n v="45"/>
  </r>
  <r>
    <x v="1"/>
    <n v="37"/>
  </r>
  <r>
    <x v="1"/>
    <n v="48"/>
  </r>
  <r>
    <x v="0"/>
    <n v="60"/>
  </r>
  <r>
    <x v="1"/>
    <n v="50"/>
  </r>
  <r>
    <x v="2"/>
    <s v=""/>
  </r>
  <r>
    <x v="1"/>
    <n v="53"/>
  </r>
  <r>
    <x v="2"/>
    <s v=""/>
  </r>
  <r>
    <x v="1"/>
    <n v="35"/>
  </r>
  <r>
    <x v="2"/>
    <n v="126"/>
  </r>
  <r>
    <x v="1"/>
    <n v="38"/>
  </r>
  <r>
    <x v="0"/>
    <n v="36"/>
  </r>
  <r>
    <x v="1"/>
    <n v="58"/>
  </r>
  <r>
    <x v="0"/>
    <n v="48"/>
  </r>
  <r>
    <x v="2"/>
    <s v=""/>
  </r>
  <r>
    <x v="1"/>
    <n v="44"/>
  </r>
  <r>
    <x v="0"/>
    <n v="30"/>
  </r>
  <r>
    <x v="0"/>
    <n v="62"/>
  </r>
  <r>
    <x v="0"/>
    <n v="27"/>
  </r>
  <r>
    <x v="1"/>
    <n v="51"/>
  </r>
  <r>
    <x v="0"/>
    <n v="37"/>
  </r>
  <r>
    <x v="0"/>
    <n v="37"/>
  </r>
  <r>
    <x v="0"/>
    <n v="56"/>
  </r>
  <r>
    <x v="1"/>
    <n v="50"/>
  </r>
  <r>
    <x v="1"/>
    <n v="57"/>
  </r>
  <r>
    <x v="1"/>
    <n v="33"/>
  </r>
  <r>
    <x v="0"/>
    <n v="59"/>
  </r>
  <r>
    <x v="1"/>
    <n v="49"/>
  </r>
  <r>
    <x v="1"/>
    <n v="41"/>
  </r>
  <r>
    <x v="1"/>
    <n v="36"/>
  </r>
  <r>
    <x v="1"/>
    <n v="63"/>
  </r>
  <r>
    <x v="0"/>
    <n v="28"/>
  </r>
  <r>
    <x v="0"/>
    <n v="25"/>
  </r>
  <r>
    <x v="0"/>
    <n v="33"/>
  </r>
  <r>
    <x v="1"/>
    <n v="25"/>
  </r>
  <r>
    <x v="1"/>
    <n v="26"/>
  </r>
  <r>
    <x v="1"/>
    <n v="22"/>
  </r>
  <r>
    <x v="0"/>
    <n v="38"/>
  </r>
  <r>
    <x v="0"/>
    <n v="30"/>
  </r>
  <r>
    <x v="1"/>
    <n v="3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
  <r>
    <s v="GERMAN ALBERTO PULIDO PULIDO"/>
    <x v="0"/>
    <s v="NOMBRAMIENTO ORDINARIO"/>
    <d v="2021-04-08T00:00:00"/>
  </r>
  <r>
    <s v="OSCAR JAVIER SUAREZ RAMOS"/>
    <x v="0"/>
    <s v="NOMBRAMIENTO ORDINARIO"/>
    <d v="2025-09-23T00:00:00"/>
  </r>
  <r>
    <s v="ALMA ROSA RAMOS MARIA"/>
    <x v="1"/>
    <s v="EN ENCARGO"/>
    <d v="2022-02-11T00:00:00"/>
  </r>
  <r>
    <s v="MARIA PAULA ALBORNOZ CARDENAS"/>
    <x v="0"/>
    <s v="NOMBRAMIENTO ORDINARIO"/>
    <d v="2025-08-11T00:00:00"/>
  </r>
  <r>
    <s v="MARIA TATIANA MEJIA ROJAS"/>
    <x v="0"/>
    <s v="NOMBRAMIENTO ORDINARIO"/>
    <d v="2024-03-20T00:00:00"/>
  </r>
  <r>
    <s v="CARLOS ANDRES BERNAL CASAS"/>
    <x v="0"/>
    <s v="EN ENCARGO"/>
    <d v="2024-06-20T00:00:00"/>
  </r>
  <r>
    <s v="LAURA JULIANA ARIZA HERRERA"/>
    <x v="0"/>
    <s v="NOMBRAMIENTO ORDINARIO"/>
    <d v="2025-04-10T00:00:00"/>
  </r>
  <r>
    <s v="MILDRED PAOLA ARDILA VERGARA"/>
    <x v="2"/>
    <s v="EN PERIODO DE PRUEBA"/>
    <d v="2016-08-03T00:00:00"/>
  </r>
  <r>
    <s v="KATHERYN YOLANDA RODGERS QUIROGA"/>
    <x v="1"/>
    <s v="CARRERA ADMINISTRATIVA"/>
    <d v="2016-08-03T00:00:00"/>
  </r>
  <r>
    <s v="OLGA LILIANA LONDOÃ‘O GARCIA"/>
    <x v="1"/>
    <s v="EN ENCARGO"/>
    <d v="2020-11-12T00:00:00"/>
  </r>
  <r>
    <s v="ADRIANA PATRICIA RAMIREZ BAUTISTA"/>
    <x v="1"/>
    <s v="EN ENCARGO"/>
    <d v="2020-11-09T00:00:00"/>
  </r>
  <r>
    <s v="CARMEN ALICIA FORERO FORERO"/>
    <x v="1"/>
    <s v="EN ENCARGO"/>
    <d v="2016-08-03T00:00:00"/>
  </r>
  <r>
    <s v="BETTY ESPERANZA MONTAÃ‘A MORA"/>
    <x v="1"/>
    <s v="CARRERA ADMINISTRATIVA"/>
    <d v="2016-08-03T00:00:00"/>
  </r>
  <r>
    <s v="CLAUDIA BEATRIZ CASTILLA OLAYA"/>
    <x v="1"/>
    <s v="EN ENCARGO"/>
    <d v="2023-09-07T00:00:00"/>
  </r>
  <r>
    <s v="ALBA KARINA ESTEVEZ AMAYA"/>
    <x v="1"/>
    <s v="CARRERA ADMINISTRATIVA"/>
    <d v="2026-09-01T00:00:00"/>
  </r>
  <r>
    <s v="ALEX CORTES SALGADO"/>
    <x v="1"/>
    <s v="CARRERA ADMINISTRATIVA"/>
    <d v="2016-08-03T00:00:00"/>
  </r>
  <r>
    <s v="MARLY YULY ROJAS LAIDEO"/>
    <x v="2"/>
    <s v="EN PERIODO DE PRUEBA"/>
    <d v="2026-02-23T00:00:00"/>
  </r>
  <r>
    <s v="JEFFER FRANK VELANDIA LOPEZ"/>
    <x v="1"/>
    <s v="EN ENCARGO"/>
    <d v="2023-05-02T00:00:00"/>
  </r>
  <r>
    <s v="ANGELA LISETH MUÃ‘OZ BEDOYA"/>
    <x v="3"/>
    <s v="EN PROVISIONALIDAD"/>
    <d v="2026-09-08T00:00:00"/>
  </r>
  <r>
    <s v="LIZETH MAYERLY VILLARRAGA ROJAS"/>
    <x v="1"/>
    <s v="EN ENCARGO"/>
    <d v="2022-01-05T00:00:00"/>
  </r>
  <r>
    <s v="DIANA LICET SANCHEZ CASTIBLANCO"/>
    <x v="3"/>
    <s v="EN PROVISIONALIDAD"/>
    <d v="2025-07-10T00:00:00"/>
  </r>
  <r>
    <s v="MIGUEL ANGEL VARGAS CORDERO"/>
    <x v="1"/>
    <s v="CARRERA ADMINISTRATIVA"/>
    <d v="2022-06-08T00:00:00"/>
  </r>
  <r>
    <s v="MARIA GABRIELA TREJO CHAVES"/>
    <x v="3"/>
    <s v="EN PROVISIONALIDAD"/>
    <d v="2026-08-03T00:00:00"/>
  </r>
  <r>
    <s v="PABLO  DANIEL PULIDO SALAMANCA"/>
    <x v="1"/>
    <s v="CARRERA ADMINISTRATIVA"/>
    <d v="2016-08-03T00:00:00"/>
  </r>
  <r>
    <s v="VACANTE TEMPORAL"/>
    <x v="4"/>
    <s v="VACANTE TEMPORAL"/>
    <s v=" "/>
  </r>
  <r>
    <s v="VACANTE TEMPORAL"/>
    <x v="4"/>
    <s v="VACANTE TEMPORAL"/>
    <s v=" "/>
  </r>
  <r>
    <s v="OSCAR  ERNESTO LOPEZ ACUÃ‘A"/>
    <x v="1"/>
    <s v="CARRERA ADMINISTRATIVA"/>
    <d v="2016-08-03T00:00:00"/>
  </r>
  <r>
    <s v="VACANTE TEMPORAL"/>
    <x v="4"/>
    <s v="VACANTE TEMPORAL"/>
    <s v=" "/>
  </r>
  <r>
    <s v="LUIS DAUVINY DUARTE ROA"/>
    <x v="2"/>
    <s v="EN PERIODO DE PRUEBA"/>
    <d v="2026-03-06T00:00:00"/>
  </r>
  <r>
    <s v="JAUMI MANFRED MARROQUIN "/>
    <x v="1"/>
    <s v="CARRERA ADMINISTRATIVA"/>
    <d v="2020-12-01T00:00:00"/>
  </r>
  <r>
    <s v="EDUARDO ALEJANDRO URREGO BECERRA"/>
    <x v="1"/>
    <s v="CARRERA ADMINISTRATIVA"/>
    <d v="2020-11-10T00:00:00"/>
  </r>
  <r>
    <s v="EDGAR ANDRES GARCIA GARAVITO"/>
    <x v="1"/>
    <s v="CARRERA ADMINISTRATIVA"/>
    <d v="2016-08-03T00:00:00"/>
  </r>
  <r>
    <s v="ERIKA MARCELA MEDINA SANTANA"/>
    <x v="2"/>
    <s v="EN PERIODO DE PRUEBA"/>
    <d v="2026-03-02T00:00:00"/>
  </r>
  <r>
    <s v="FREDY ESTEBAN JAIMES CASTILLO"/>
    <x v="3"/>
    <s v="EN PROVISIONALIDAD"/>
    <d v="2025-11-07T00:00:00"/>
  </r>
  <r>
    <s v="ANYELA PAOLA PULIDO GUTIERREZ"/>
    <x v="3"/>
    <s v="EN PROVISIONALIDAD"/>
    <d v="2023-12-27T00:00:00"/>
  </r>
  <r>
    <s v="VACANTE TEMPORAL"/>
    <x v="4"/>
    <s v="VACANTE TEMPORAL"/>
    <s v=" "/>
  </r>
  <r>
    <s v="JESSE JOSE VILLEGAS CABRERA"/>
    <x v="3"/>
    <s v="EN PROVISIONALIDAD"/>
    <d v="2026-09-08T00:00:00"/>
  </r>
  <r>
    <s v="MARIA ALEJANDRA BASTIDAS PADILLA"/>
    <x v="3"/>
    <s v="EN PROVISIONALIDAD"/>
    <d v="2026-09-10T00:00:00"/>
  </r>
  <r>
    <s v="ZULY NATALIA NANDAR CASTAÃ‘EDA"/>
    <x v="3"/>
    <s v="EN PROVISIONALIDAD"/>
    <d v="2022-08-01T00:00:00"/>
  </r>
  <r>
    <s v="DURLEY SOTELO HOYOS"/>
    <x v="3"/>
    <s v="EN PROVISIONALIDAD"/>
    <d v="2021-11-03T00:00:00"/>
  </r>
  <r>
    <s v="GABRIELINA VELASQUEZ CABRERA"/>
    <x v="1"/>
    <s v="CARRERA ADMINISTRATIVA"/>
    <d v="2016-08-03T00:00:00"/>
  </r>
  <r>
    <s v="MARTHA CLAUDIA ALDANA AVELINO"/>
    <x v="3"/>
    <s v="EN PROVISIONALIDAD"/>
    <d v="2026-09-10T00:00:00"/>
  </r>
  <r>
    <s v="MAURICIO ALEJANDRO MONCAYO VALENCIA"/>
    <x v="0"/>
    <s v="NOMBRAMIENTO ORDINARIO"/>
    <d v="2024-02-15T00:00:00"/>
  </r>
  <r>
    <s v="CAMILO ALFONSO GUARIN PRIETO"/>
    <x v="0"/>
    <s v="EN ENCARGO"/>
    <d v="2025-11-07T00:00:00"/>
  </r>
  <r>
    <s v="MARIA FERNANDA QUIJANO VASQUEZ"/>
    <x v="0"/>
    <s v="NOMBRAMIENTO ORDINARIO"/>
    <d v="2024-05-09T00:00:00"/>
  </r>
  <r>
    <s v="MARINA LUZ ORTEGA MONTERO"/>
    <x v="0"/>
    <s v="NOMBRAMIENTO ORDINARIO"/>
    <d v="2025-02-26T00:00:00"/>
  </r>
  <r>
    <s v="ANDRES MAURICIO ORTIZ MAYA"/>
    <x v="0"/>
    <s v="NOMBRAMIENTO ORDINARIO"/>
    <d v="2024-08-12T00:00:00"/>
  </r>
  <r>
    <s v="ANDRES FELIPE PUENTES DIAZ"/>
    <x v="0"/>
    <s v="NOMBRAMIENTO ORDINARIO"/>
    <d v="2024-03-13T00:00:00"/>
  </r>
  <r>
    <s v="MARIA FERNANDA FUENTES TUTA"/>
    <x v="0"/>
    <s v="EN ENCARGO"/>
    <d v="2026-08-03T00:00:00"/>
  </r>
  <r>
    <s v="CAMILO ALFONSO GUARIN PRIETO"/>
    <x v="0"/>
    <s v="EN ENCARGO"/>
    <d v="2025-11-07T00:00:00"/>
  </r>
  <r>
    <s v="LEIDY YULIETH PEREA RAMIREZ"/>
    <x v="5"/>
    <s v="PERÍODO FIJO"/>
    <d v="2026-01-09T00:00:00"/>
  </r>
  <r>
    <s v="NELSON JULIAN SALAZAR URRUTIA"/>
    <x v="1"/>
    <s v="EN ENCARGO"/>
    <d v="2016-08-03T00:00:00"/>
  </r>
  <r>
    <s v="ADRIANA PATRICIA GUZMAN CONTRERAS"/>
    <x v="1"/>
    <s v="CARRERA ADMINISTRATIVA"/>
    <d v="2020-11-11T00:00:00"/>
  </r>
  <r>
    <s v="DEYSI YANIRA MORENO GUERRERO"/>
    <x v="1"/>
    <s v="CARRERA ADMINISTRATIVA"/>
    <d v="2016-08-03T00:00:00"/>
  </r>
  <r>
    <s v="GERMAN ALBERTO PULIDO PULIDO"/>
    <x v="1"/>
    <s v="CARRERA ADMINISTRATIVA"/>
    <d v="2021-04-08T00:00:00"/>
  </r>
  <r>
    <s v="ESTHER PINILLA SERRANO"/>
    <x v="1"/>
    <s v="CARRERA ADMINISTRATIVA"/>
    <d v="2021-02-02T00:00:00"/>
  </r>
  <r>
    <s v="RUBEN DARIO GALLEGO GONZALEZ"/>
    <x v="1"/>
    <s v="CARRERA ADMINISTRATIVA"/>
    <d v="2017-11-10T00:00:00"/>
  </r>
  <r>
    <s v="VACANTE DEFINITIVA"/>
    <x v="4"/>
    <s v="VACANTE DEFINITIVA"/>
    <s v=" "/>
  </r>
  <r>
    <s v="LUIS ALFONSO CASTIBLANCO URQUIJO"/>
    <x v="2"/>
    <s v="EN ENCARGO"/>
    <d v="2016-08-03T00:00:00"/>
  </r>
  <r>
    <s v="VACANTE DEFINITIVA"/>
    <x v="4"/>
    <s v="VACANTE DEFINITIVA"/>
    <s v=" "/>
  </r>
  <r>
    <s v="PEDRO ALFONSO MEJIA SIERRA"/>
    <x v="1"/>
    <s v="CARRERA ADMINISTRATIVA"/>
    <d v="2021-07-01T00:00:00"/>
  </r>
  <r>
    <s v="ALVARO ARDILA MORA"/>
    <x v="1"/>
    <s v="CARRERA ADMINISTRATIVA"/>
    <d v="2020-11-13T00:00:00"/>
  </r>
  <r>
    <s v="VACANTE DEFINITIVA"/>
    <x v="4"/>
    <s v="VACANTE DEFINITIVA"/>
    <s v=" "/>
  </r>
  <r>
    <s v="ALVARO CAMILO BERNATE NAVARRO"/>
    <x v="1"/>
    <s v="CARRERA ADMINISTRATIVA"/>
    <d v="2016-08-03T00:00:00"/>
  </r>
  <r>
    <s v="MARTHA YANETH ORTIZ LEON"/>
    <x v="1"/>
    <s v="CARRERA ADMINISTRATIVA"/>
    <d v="2020-11-17T00:00:00"/>
  </r>
  <r>
    <s v="MAGDA EDITH GUERRERO BONILLA"/>
    <x v="1"/>
    <s v="CARRERA ADMINISTRATIVA"/>
    <d v="2021-03-12T00:00:00"/>
  </r>
  <r>
    <s v="ELVIRA LILIANA HERNANDEZ LIBREROS"/>
    <x v="1"/>
    <s v="CARRERA ADMINISTRATIVA"/>
    <d v="2016-08-03T00:00:00"/>
  </r>
  <r>
    <s v="MARIA CAMILA COTAMO JAIMES"/>
    <x v="1"/>
    <s v="CARRERA ADMINISTRATIVA"/>
    <d v="2023-07-04T00:00:00"/>
  </r>
  <r>
    <s v="LINA MARCELA MELO RODRIGUEZ"/>
    <x v="1"/>
    <s v="CARRERA ADMINISTRATIVA"/>
    <d v="2022-08-01T00:00:00"/>
  </r>
  <r>
    <s v="ZULMA ROJAS SUAREZ"/>
    <x v="1"/>
    <s v="CARRERA ADMINISTRATIVA"/>
    <d v="2016-08-03T00:00:00"/>
  </r>
  <r>
    <s v="ALMA ROSA RAMOS MARIA"/>
    <x v="1"/>
    <s v="EN ENCARGO"/>
    <d v="2022-02-11T00:00:00"/>
  </r>
  <r>
    <s v="JORGE ELIECER HERNANDEZ ALBARRACIN"/>
    <x v="1"/>
    <s v="CARRERA ADMINISTRATIVA"/>
    <d v="2016-08-03T00:00:00"/>
  </r>
  <r>
    <s v="MARTHA LILIANA BARRERA DIAZ"/>
    <x v="2"/>
    <s v="EN PERIODO DE PRUEBA"/>
    <d v="2016-08-03T00:00:00"/>
  </r>
  <r>
    <s v="YUDY ZULEYMA RODRIGUEZ BLANCO"/>
    <x v="1"/>
    <s v="CARRERA ADMINISTRATIVA"/>
    <d v="2022-03-29T00:00:00"/>
  </r>
  <r>
    <s v="OCTAVIO QUINTERO LARA"/>
    <x v="1"/>
    <s v="CARRERA ADMINISTRATIVA"/>
    <d v="2021-07-23T00:00:00"/>
  </r>
  <r>
    <s v="FERNANDO PACHON PIÃ‘EROS"/>
    <x v="1"/>
    <s v="EN ENCARGO"/>
    <d v="2016-08-03T00:00:00"/>
  </r>
  <r>
    <s v="ANGELA MARCELA RODRIGUEZ DIAZ"/>
    <x v="2"/>
    <s v="EN PERIODO DE PRUEBA"/>
    <d v="2026-03-18T00:00:00"/>
  </r>
  <r>
    <s v="CAMILO ANDRES RODRIGUEZ RODRIGUEZ"/>
    <x v="1"/>
    <s v="CARRERA ADMINISTRATIVA"/>
    <d v="2017-03-23T00:00:00"/>
  </r>
  <r>
    <s v="IAM ALEXANDER OJEDA CARDENAS"/>
    <x v="1"/>
    <s v="EN ENCARGO"/>
    <d v="2020-11-17T00:00:00"/>
  </r>
  <r>
    <s v="EDGAR ENRIQUE OVALLE CUERVO"/>
    <x v="1"/>
    <s v="CARRERA ADMINISTRATIVA"/>
    <d v="2016-08-03T00:00:00"/>
  </r>
  <r>
    <s v="GLORIA ESTHER SALCEDO TAMAYO"/>
    <x v="1"/>
    <s v="CARRERA ADMINISTRATIVA"/>
    <d v="2016-08-03T00:00:00"/>
  </r>
  <r>
    <s v="VACANTE DEFINITIVA"/>
    <x v="4"/>
    <s v="VACANTE DEFINITIVA"/>
    <s v=" "/>
  </r>
  <r>
    <s v="LUZ ANDREA CUBILLOS GUALDRON"/>
    <x v="2"/>
    <s v="EN PERIODO DE PRUEBA"/>
    <d v="2026-03-16T00:00:00"/>
  </r>
  <r>
    <s v="JOHANA PATRICIA GAMEZ GOMEZ"/>
    <x v="1"/>
    <s v="EN ENCARGO"/>
    <d v="2017-11-10T00:00:00"/>
  </r>
  <r>
    <s v="DIEGO ALEJANDRO SOLANO FERNANDEZ"/>
    <x v="1"/>
    <s v="EN ENCARGO"/>
    <d v="2022-10-05T00:00:00"/>
  </r>
  <r>
    <s v="CAROLINA LOZANO ARDILA"/>
    <x v="1"/>
    <s v="CARRERA ADMINISTRATIVA"/>
    <d v="2020-12-03T00:00:00"/>
  </r>
  <r>
    <s v="JOSE ORLANDO ALVARADO HERREÃ‘O"/>
    <x v="1"/>
    <s v="CARRERA ADMINISTRATIVA"/>
    <d v="2020-11-30T00:00:00"/>
  </r>
  <r>
    <s v="SONIA TERESA ROA SILVA"/>
    <x v="1"/>
    <s v="EN ENCARGO"/>
    <d v="2020-12-30T00:00:00"/>
  </r>
  <r>
    <s v="CHEILA ALEXANDRA ALVARADO ROJAS"/>
    <x v="1"/>
    <s v="EN ENCARGO"/>
    <d v="2021-02-01T00:00:00"/>
  </r>
  <r>
    <s v="ALEXANDRA AVILA MARIN"/>
    <x v="1"/>
    <s v="EN ENCARGO"/>
    <d v="2021-07-19T00:00:00"/>
  </r>
  <r>
    <s v="DORA BELEN GUTIERREZ HERNANDEZ"/>
    <x v="1"/>
    <s v="CARRERA ADMINISTRATIVA"/>
    <d v="2016-08-03T00:00:00"/>
  </r>
  <r>
    <s v="SAMUEL ARTURO HERNANDEZ MURCIA"/>
    <x v="1"/>
    <s v="CARRERA ADMINISTRATIVA"/>
    <d v="2022-04-01T00:00:00"/>
  </r>
  <r>
    <s v="YOMAIRA AMPARO ALARCON ACERO"/>
    <x v="1"/>
    <s v="CARRERA ADMINISTRATIVA"/>
    <d v="2021-01-04T00:00:00"/>
  </r>
  <r>
    <s v="HENRY ALBERTO GONZALEZ MOLINA"/>
    <x v="1"/>
    <s v="EN ENCARGO"/>
    <d v="2016-08-03T00:00:00"/>
  </r>
  <r>
    <s v="MARIA XIMENA CUBIDES AMAYA"/>
    <x v="1"/>
    <s v="CARRERA ADMINISTRATIVA"/>
    <d v="2021-05-10T00:00:00"/>
  </r>
  <r>
    <s v="LUZ DARY MERCHAN LARA"/>
    <x v="1"/>
    <s v="CARRERA ADMINISTRATIVA"/>
    <d v="2020-11-09T00:00:00"/>
  </r>
  <r>
    <s v="VACANTE DEFINITIVA"/>
    <x v="4"/>
    <s v="VACANTE DEFINITIVA"/>
    <s v=" "/>
  </r>
  <r>
    <s v="CARLOS ANDRES NIÃ‘O SOCHA"/>
    <x v="1"/>
    <s v="EN ENCARGO"/>
    <d v="2021-02-22T00:00:00"/>
  </r>
  <r>
    <s v="EURANIO JOSE MANOTAS MALDONADO"/>
    <x v="1"/>
    <s v="EN ENCARGO"/>
    <d v="2023-05-02T00:00:00"/>
  </r>
  <r>
    <s v="LEIDY JOHANNA HERRERA MENDEZ"/>
    <x v="2"/>
    <s v="EN PERIODO DE PRUEBA"/>
    <d v="2026-08-19T00:00:00"/>
  </r>
  <r>
    <s v="ANDREA DEL PILAR CARDENAS SARMIENTO"/>
    <x v="2"/>
    <s v="EN PERIODO DE PRUEBA"/>
    <d v="2026-03-02T00:00:00"/>
  </r>
  <r>
    <s v="ANGELICA DIAZ RINCON"/>
    <x v="1"/>
    <s v="CARRERA ADMINISTRATIVA"/>
    <d v="2021-04-12T00:00:00"/>
  </r>
  <r>
    <s v="LEIDY VANESSA NIETO ROJAS"/>
    <x v="2"/>
    <s v="EN PERIODO DE PRUEBA"/>
    <d v="2026-07-21T00:00:00"/>
  </r>
  <r>
    <s v="LUZ ESTELLA MORENO PEREZ"/>
    <x v="1"/>
    <s v="CARRERA ADMINISTRATIVA"/>
    <d v="2021-02-15T00:00:00"/>
  </r>
  <r>
    <s v="MARIA TERESA VALDERRAMA PEREIRA"/>
    <x v="1"/>
    <s v="EN ENCARGO"/>
    <d v="2022-03-11T00:00:00"/>
  </r>
  <r>
    <s v="BRICEIDA ALVARADO ROJAS"/>
    <x v="1"/>
    <s v="CARRERA ADMINISTRATIVA"/>
    <d v="2020-12-02T00:00:00"/>
  </r>
  <r>
    <s v="GIOVANNY ALEXANDER CORTES PACHON"/>
    <x v="2"/>
    <s v="EN PERIODO DE PRUEBA"/>
    <d v="2026-03-05T00:00:00"/>
  </r>
  <r>
    <s v="LUZ DARY CORREDOR MORENO"/>
    <x v="1"/>
    <s v="CARRERA ADMINISTRATIVA"/>
    <d v="2024-02-01T00:00:00"/>
  </r>
  <r>
    <s v="HUGO HERNANDO AGUIRRE CORRALES"/>
    <x v="1"/>
    <s v="CARRERA ADMINISTRATIVA"/>
    <d v="2021-01-19T00:00:00"/>
  </r>
  <r>
    <s v="JUAN CARLOS MARTINEZ BERNAL"/>
    <x v="1"/>
    <s v="EN ENCARGO"/>
    <d v="2020-11-12T00:00:00"/>
  </r>
  <r>
    <s v="LUISA FERNANDA GARCIA AVILA"/>
    <x v="1"/>
    <s v="CARRERA ADMINISTRATIVA"/>
    <d v="2024-01-16T00:00:00"/>
  </r>
  <r>
    <s v="LEIDY JOHANNA ALONSO GUTIERREZ"/>
    <x v="1"/>
    <s v="EN ENCARGO"/>
    <d v="2020-11-09T00:00:00"/>
  </r>
  <r>
    <s v="SANDRA LISETTE NOVOA DUEÃ‘AS"/>
    <x v="1"/>
    <s v="CARRERA ADMINISTRATIVA"/>
    <d v="2020-12-28T00:00:00"/>
  </r>
  <r>
    <s v="KATHERINE PAOLA ARAGON CASTIBLANCO"/>
    <x v="1"/>
    <s v="EN ENCARGO"/>
    <d v="2021-07-06T00:00:00"/>
  </r>
  <r>
    <s v="NELCY TORRES MARTINEZ"/>
    <x v="1"/>
    <s v="CARRERA ADMINISTRATIVA"/>
    <d v="2021-02-01T00:00:00"/>
  </r>
  <r>
    <s v="VACANTE TEMPORAL"/>
    <x v="4"/>
    <s v="VACANTE TEMPORAL"/>
    <s v=" "/>
  </r>
  <r>
    <s v="CLAUDIA MARCELA CAMARGO CASTRO"/>
    <x v="1"/>
    <s v="EN ENCARGO"/>
    <d v="2020-11-04T00:00:00"/>
  </r>
  <r>
    <s v="CARLOS JULIO RAMIREZ MUÃ‘OZ"/>
    <x v="1"/>
    <s v="CARRERA ADMINISTRATIVA"/>
    <d v="2021-07-23T00:00:00"/>
  </r>
  <r>
    <s v="DUVAN SANDOVAL RODRIGUEZ"/>
    <x v="1"/>
    <s v="CARRERA ADMINISTRATIVA"/>
    <d v="2016-08-03T00:00:00"/>
  </r>
  <r>
    <s v="DIANA MARIA MORENO VARGAS"/>
    <x v="1"/>
    <s v="CARRERA ADMINISTRATIVA"/>
    <d v="2022-03-23T00:00:00"/>
  </r>
  <r>
    <s v="CRISTHIAM DAVID JIMENEZ VASQUEZ"/>
    <x v="1"/>
    <s v="EN ENCARGO"/>
    <d v="2021-04-13T00:00:00"/>
  </r>
  <r>
    <s v="HUGO ALFONSO CABARCAS AYOLA"/>
    <x v="2"/>
    <s v="EN PERIODO DE PRUEBA"/>
    <d v="2026-03-10T00:00:00"/>
  </r>
  <r>
    <s v="MONICA JULIANA SANMIGUEL ROJAS"/>
    <x v="1"/>
    <s v="EN ENCARGO"/>
    <d v="2021-09-24T00:00:00"/>
  </r>
  <r>
    <s v="MIGUEL PINTO SEGURA"/>
    <x v="1"/>
    <s v="CARRERA ADMINISTRATIVA"/>
    <d v="2020-11-04T00:00:00"/>
  </r>
  <r>
    <s v="FERNAN ENRIQUE PEREZ FORTICH"/>
    <x v="1"/>
    <s v="CARRERA ADMINISTRATIVA"/>
    <d v="2020-11-03T00:00:00"/>
  </r>
  <r>
    <s v="IVAN DAVID RAMIREZ VALENCIA"/>
    <x v="1"/>
    <s v="CARRERA ADMINISTRATIVA"/>
    <d v="2020-12-01T00:00:00"/>
  </r>
  <r>
    <s v="SANDRA NICOLASA ORGANISTA BUILES"/>
    <x v="1"/>
    <s v="CARRERA ADMINISTRATIVA"/>
    <d v="2020-11-10T00:00:00"/>
  </r>
  <r>
    <s v="ANDRES FABIAN NOSSA GUZMAN"/>
    <x v="2"/>
    <s v="EN PERIODO DE PRUEBA"/>
    <d v="2026-06-17T00:00:00"/>
  </r>
  <r>
    <s v="DANIELA RODRIGUEZ NARVAEZ"/>
    <x v="1"/>
    <s v="EN ENCARGO"/>
    <d v="2020-11-19T00:00:00"/>
  </r>
  <r>
    <s v="HELVER MANUEL MORA MONTOYA"/>
    <x v="1"/>
    <s v="EN ENCARGO"/>
    <d v="2017-04-03T00:00:00"/>
  </r>
  <r>
    <s v="JUAN CAMILO RUIZ ZAMUDIO"/>
    <x v="1"/>
    <s v="CARRERA ADMINISTRATIVA"/>
    <d v="2020-11-11T00:00:00"/>
  </r>
  <r>
    <s v="ELIANA STEPHANIE ASTAIZA CHAVES"/>
    <x v="2"/>
    <s v="EN PERIODO DE PRUEBA"/>
    <d v="2026-03-02T00:00:00"/>
  </r>
  <r>
    <s v="MAGDA PATRICIA PUENTES PARDO"/>
    <x v="2"/>
    <s v="EN PERIODO DE PRUEBA"/>
    <d v="2026-07-01T00:00:00"/>
  </r>
  <r>
    <s v="VICTOR HERNANDO MURILLO HURTADO"/>
    <x v="1"/>
    <s v="EN ENCARGO"/>
    <d v="2016-08-03T00:00:00"/>
  </r>
  <r>
    <s v="MARY DAYANA SANCHEZ ROJAS"/>
    <x v="1"/>
    <s v="EN ENCARGO"/>
    <d v="2020-11-12T00:00:00"/>
  </r>
  <r>
    <s v="VACANTE TEMPORAL"/>
    <x v="4"/>
    <s v="VACANTE TEMPORAL"/>
    <s v=" "/>
  </r>
  <r>
    <s v="GLORIA INES MARTINEZ ORTIZ"/>
    <x v="1"/>
    <s v="EN ENCARGO"/>
    <d v="2021-07-12T00:00:00"/>
  </r>
  <r>
    <s v="VACANTE TEMPORAL"/>
    <x v="4"/>
    <s v="VACANTE TEMPORAL"/>
    <s v=" "/>
  </r>
  <r>
    <s v="ALEJANDRA NATALY CASALLAS MARTINEZ"/>
    <x v="1"/>
    <s v="EN ENCARGO"/>
    <d v="2020-11-12T00:00:00"/>
  </r>
  <r>
    <s v="ARMANDO JAVIER CALVO ALONSO"/>
    <x v="3"/>
    <s v="EN PROVISIONALIDAD"/>
    <d v="2026-10-05T00:00:00"/>
  </r>
  <r>
    <s v="JEIMMY JOHANNA PAEZ GIL"/>
    <x v="3"/>
    <s v="EN PROVISIONALIDAD"/>
    <d v="2024-05-14T00:00:00"/>
  </r>
  <r>
    <s v="LUIS CARLOS GAONA FARIAS"/>
    <x v="1"/>
    <s v="EN ENCARGO"/>
    <d v="2020-11-10T00:00:00"/>
  </r>
  <r>
    <s v="ROSA ISABEL SIERRA LABORDE"/>
    <x v="1"/>
    <s v="EN ENCARGO"/>
    <d v="2021-11-25T00:00:00"/>
  </r>
  <r>
    <s v="JHON ALEXANDER TIBADUIZA CASTAÃ‘EDA"/>
    <x v="3"/>
    <s v="EN PROVISIONALIDAD"/>
    <d v="2025-11-07T00:00:00"/>
  </r>
  <r>
    <s v="VACANTE TEMPORAL"/>
    <x v="4"/>
    <s v="VACANTE TEMPORAL"/>
    <s v=" "/>
  </r>
  <r>
    <s v="CAROLINA ANAYA SARMIENTO"/>
    <x v="1"/>
    <s v="EN ENCARGO"/>
    <d v="2020-11-03T00:00:00"/>
  </r>
  <r>
    <s v="DAVID ALEJANDRO MORA BERMUDEZ"/>
    <x v="1"/>
    <s v="CARRERA ADMINISTRATIVA"/>
    <d v="2020-11-18T00:00:00"/>
  </r>
  <r>
    <s v="JOSE JAVIER PINTO CASTAÃ‘EDA"/>
    <x v="3"/>
    <s v="EN PROVISIONALIDAD"/>
    <d v="2025-10-24T00:00:00"/>
  </r>
  <r>
    <s v="NICOLAS SANTIAGO SOTO ALBA"/>
    <x v="3"/>
    <s v="EN PROVISIONALIDAD"/>
    <d v="2025-05-22T00:00:00"/>
  </r>
  <r>
    <s v="DALIDA VILLANUEVA SANCHEZ"/>
    <x v="1"/>
    <s v="CARRERA ADMINISTRATIVA"/>
    <d v="2020-11-03T00:00:00"/>
  </r>
  <r>
    <s v="DANIEL FERNANDO BUITRAGO DIAZ"/>
    <x v="1"/>
    <s v="EN ENCARGO"/>
    <d v="2020-11-11T00:00:00"/>
  </r>
  <r>
    <s v="RODRIGO DIDIER MUÃ‘OZ CONTRERAS"/>
    <x v="2"/>
    <s v="EN PERIODO DE PRUEBA"/>
    <d v="2026-04-22T00:00:00"/>
  </r>
  <r>
    <s v="WILLIAM FONSECA APERADOR"/>
    <x v="1"/>
    <s v="CARRERA ADMINISTRATIVA"/>
    <d v="2021-02-01T00:00:00"/>
  </r>
  <r>
    <s v="MARTHA RUBIELA CRUZ PARDO"/>
    <x v="1"/>
    <s v="CARRERA ADMINISTRATIVA"/>
    <d v="2021-01-04T00:00:00"/>
  </r>
  <r>
    <s v="AZULA URIBE CABALLERO"/>
    <x v="2"/>
    <s v="EN ENCARGO"/>
    <d v="2021-10-13T00:00:00"/>
  </r>
  <r>
    <s v="JENNIFER LIZBETH GOMEZ AREVALO"/>
    <x v="1"/>
    <s v="EN ENCARGO"/>
    <d v="2021-10-20T00:00:00"/>
  </r>
  <r>
    <s v="WALTER OSPINA ZAPATA"/>
    <x v="1"/>
    <s v="EN ENCARGO"/>
    <d v="2016-08-03T00:00:00"/>
  </r>
  <r>
    <s v="ANA JULIETH GIL HERRERA"/>
    <x v="1"/>
    <s v="EN ENCARGO"/>
    <d v="2020-11-03T00:00:00"/>
  </r>
  <r>
    <s v="MARIA VICTORIA TORRES BECERRA"/>
    <x v="1"/>
    <s v="CARRERA ADMINISTRATIVA"/>
    <d v="2021-07-01T00:00:00"/>
  </r>
  <r>
    <s v="WENDY PAOLA LEON CITA"/>
    <x v="1"/>
    <s v="CARRERA ADMINISTRATIVA"/>
    <d v="2020-11-10T00:00:00"/>
  </r>
  <r>
    <s v="ACENETH TORRES ROJAS"/>
    <x v="1"/>
    <s v="EN ENCARGO"/>
    <d v="2016-08-03T00:00:00"/>
  </r>
  <r>
    <s v="JUAN DIEGO ACOSTA TORRES"/>
    <x v="3"/>
    <s v="EN PROVISIONALIDAD"/>
    <d v="2025-08-04T00:00:00"/>
  </r>
  <r>
    <s v="JEFFERSON JOSE OSUNA BERRIO"/>
    <x v="3"/>
    <s v="EN PROVISIONALIDAD"/>
    <d v="2025-09-01T00:00:00"/>
  </r>
  <r>
    <s v="ESTEBAN RAMIREZ CARDENAS"/>
    <x v="3"/>
    <s v="EN PROVISIONALIDAD"/>
    <d v="2024-07-16T00:00:00"/>
  </r>
  <r>
    <s v="DIANA YURANY MARTINEZ MARTINEZ"/>
    <x v="3"/>
    <s v="EN PROVISIONALIDAD"/>
    <d v="2024-06-19T00:00:00"/>
  </r>
  <r>
    <s v="MARIA PAULA ROCHA VEGA"/>
    <x v="3"/>
    <s v="EN PROVISIONALIDAD"/>
    <d v="2026-09-23T00:00:00"/>
  </r>
  <r>
    <s v="JUAN ANDRES GUERRERO RAMOS"/>
    <x v="3"/>
    <s v="EN PROVISIONALIDAD"/>
    <d v="2026-09-10T00:00:00"/>
  </r>
  <r>
    <s v="JOAN SEBASTIAN FLECHAS ALONSO"/>
    <x v="1"/>
    <s v="CARRERA ADMINISTRATIVA"/>
    <d v="2020-11-09T00:00:00"/>
  </r>
  <r>
    <s v="ALVARO FELIPE ALEJO CASTIBLANCO"/>
    <x v="3"/>
    <s v="EN PROVISIONALIDAD"/>
    <d v="2022-09-16T00:00:00"/>
  </r>
  <r>
    <s v="DORA RAQUEL BARRERA PALACIO"/>
    <x v="3"/>
    <s v="EN PROVISIONALIDAD"/>
    <d v="2025-07-10T00:0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
  <r>
    <s v="GERMAN ALBERTO PULIDO PULIDO"/>
    <s v="LIBRE NOMBRAMIENTO Y REMOCIÓN"/>
    <s v="NOMBRAMIENTO ORDINARIO"/>
    <d v="2021-04-08T00:00:00"/>
    <d v="2011-02-24T00:00:00"/>
    <x v="0"/>
    <n v="43"/>
  </r>
  <r>
    <s v="OSCAR JAVIER SUAREZ RAMOS"/>
    <s v="LIBRE NOMBRAMIENTO Y REMOCIÓN"/>
    <s v="NOMBRAMIENTO ORDINARIO"/>
    <d v="2025-09-23T00:00:00"/>
    <d v="2025-09-23T00:00:00"/>
    <x v="0"/>
    <n v="48"/>
  </r>
  <r>
    <s v="ALMA ROSA RAMOS MARIA"/>
    <s v="CARRERA ADMINISTRATIVA"/>
    <s v="EN ENCARGO"/>
    <d v="2022-02-11T00:00:00"/>
    <d v="2022-02-11T00:00:00"/>
    <x v="1"/>
    <n v="46"/>
  </r>
  <r>
    <s v="MARIA PAULA ALBORNOZ CARDENAS"/>
    <s v="LIBRE NOMBRAMIENTO Y REMOCIÓN"/>
    <s v="NOMBRAMIENTO ORDINARIO"/>
    <d v="2025-08-11T00:00:00"/>
    <d v="2025-08-11T00:00:00"/>
    <x v="1"/>
    <n v="30"/>
  </r>
  <r>
    <s v="MARIA TATIANA MEJIA ROJAS"/>
    <s v="LIBRE NOMBRAMIENTO Y REMOCIÓN"/>
    <s v="NOMBRAMIENTO ORDINARIO"/>
    <d v="2024-03-20T00:00:00"/>
    <d v="2024-03-20T00:00:00"/>
    <x v="1"/>
    <n v="37"/>
  </r>
  <r>
    <s v="CARLOS ANDRES BERNAL CASAS"/>
    <s v="LIBRE NOMBRAMIENTO Y REMOCIÓN"/>
    <s v="EN ENCARGO"/>
    <d v="2024-06-20T00:00:00"/>
    <d v="2024-06-20T00:00:00"/>
    <x v="1"/>
    <n v="44"/>
  </r>
  <r>
    <s v="LAURA JULIANA ARIZA HERRERA"/>
    <s v="LIBRE NOMBRAMIENTO Y REMOCIÓN"/>
    <s v="NOMBRAMIENTO ORDINARIO"/>
    <d v="2025-04-10T00:00:00"/>
    <d v="2025-04-10T00:00:00"/>
    <x v="1"/>
    <n v="31"/>
  </r>
  <r>
    <s v="MILDRED PAOLA ARDILA VERGARA"/>
    <s v="PERÍODO DE PRUEBA"/>
    <s v="EN PERIODO DE PRUEBA"/>
    <d v="2016-08-03T00:00:00"/>
    <d v="2005-04-04T00:00:00"/>
    <x v="1"/>
    <n v="47"/>
  </r>
  <r>
    <s v="KATHERYN YOLANDA RODGERS QUIROGA"/>
    <s v="CARRERA ADMINISTRATIVA"/>
    <s v="CARRERA ADMINISTRATIVA"/>
    <d v="2016-08-03T00:00:00"/>
    <d v="2005-04-01T00:00:00"/>
    <x v="1"/>
    <n v="53"/>
  </r>
  <r>
    <s v="OLGA LILIANA LONDOÃ‘O GARCIA"/>
    <s v="CARRERA ADMINISTRATIVA"/>
    <s v="EN ENCARGO"/>
    <d v="2020-11-12T00:00:00"/>
    <d v="2020-11-12T00:00:00"/>
    <x v="1"/>
    <n v="38"/>
  </r>
  <r>
    <s v="ADRIANA PATRICIA RAMIREZ BAUTISTA"/>
    <s v="CARRERA ADMINISTRATIVA"/>
    <s v="EN ENCARGO"/>
    <d v="2020-11-09T00:00:00"/>
    <d v="2020-11-09T00:00:00"/>
    <x v="1"/>
    <n v="46"/>
  </r>
  <r>
    <s v="CARMEN ALICIA FORERO FORERO"/>
    <s v="CARRERA ADMINISTRATIVA"/>
    <s v="EN ENCARGO"/>
    <d v="2016-08-03T00:00:00"/>
    <d v="1992-03-23T00:00:00"/>
    <x v="1"/>
    <n v="60"/>
  </r>
  <r>
    <s v="BETTY ESPERANZA MONTAÃ‘A MORA"/>
    <s v="CARRERA ADMINISTRATIVA"/>
    <s v="CARRERA ADMINISTRATIVA"/>
    <d v="2016-08-03T00:00:00"/>
    <d v="1996-12-04T00:00:00"/>
    <x v="1"/>
    <n v="52"/>
  </r>
  <r>
    <s v="CLAUDIA BEATRIZ CASTILLA OLAYA"/>
    <s v="CARRERA ADMINISTRATIVA"/>
    <s v="EN ENCARGO"/>
    <d v="2023-09-07T00:00:00"/>
    <d v="2023-09-07T00:00:00"/>
    <x v="1"/>
    <n v="61"/>
  </r>
  <r>
    <s v="ALBA KARINA ESTEVEZ AMAYA"/>
    <s v="CARRERA ADMINISTRATIVA"/>
    <s v="CARRERA ADMINISTRATIVA"/>
    <d v="2026-09-01T00:00:00"/>
    <d v="2026-09-01T00:00:00"/>
    <x v="1"/>
    <n v="46"/>
  </r>
  <r>
    <s v="ALEX CORTES SALGADO"/>
    <s v="CARRERA ADMINISTRATIVA"/>
    <s v="CARRERA ADMINISTRATIVA"/>
    <d v="2016-08-03T00:00:00"/>
    <d v="1995-01-12T00:00:00"/>
    <x v="0"/>
    <n v="55"/>
  </r>
  <r>
    <s v="MARLY YULY ROJAS LAIDEO"/>
    <s v="PERÍODO DE PRUEBA"/>
    <s v="EN PERIODO DE PRUEBA"/>
    <d v="2026-02-23T00:00:00"/>
    <d v="2021-03-30T00:00:00"/>
    <x v="1"/>
    <n v="39"/>
  </r>
  <r>
    <s v="JEFFER FRANK VELANDIA LOPEZ"/>
    <s v="CARRERA ADMINISTRATIVA"/>
    <s v="EN ENCARGO"/>
    <d v="2023-05-02T00:00:00"/>
    <d v="2023-05-02T00:00:00"/>
    <x v="0"/>
    <n v="42"/>
  </r>
  <r>
    <s v="ANGELA LISETH MUÃ‘OZ BEDOYA"/>
    <s v="PROVISIONALIDAD"/>
    <s v="EN PROVISIONALIDAD"/>
    <d v="2026-09-08T00:00:00"/>
    <d v="2026-09-08T00:00:00"/>
    <x v="1"/>
    <n v="21"/>
  </r>
  <r>
    <s v="LIZETH MAYERLY VILLARRAGA ROJAS"/>
    <s v="CARRERA ADMINISTRATIVA"/>
    <s v="EN ENCARGO"/>
    <d v="2022-01-05T00:00:00"/>
    <d v="2022-01-05T00:00:00"/>
    <x v="1"/>
    <n v="37"/>
  </r>
  <r>
    <s v="DIANA LICET SANCHEZ CASTIBLANCO"/>
    <s v="PROVISIONALIDAD"/>
    <s v="EN PROVISIONALIDAD"/>
    <d v="2025-07-10T00:00:00"/>
    <d v="2025-07-10T00:00:00"/>
    <x v="1"/>
    <n v="52"/>
  </r>
  <r>
    <s v="MIGUEL ANGEL VARGAS CORDERO"/>
    <s v="CARRERA ADMINISTRATIVA"/>
    <s v="CARRERA ADMINISTRATIVA"/>
    <d v="2022-06-08T00:00:00"/>
    <d v="2022-06-08T00:00:00"/>
    <x v="0"/>
    <n v="40"/>
  </r>
  <r>
    <s v="MARIA GABRIELA TREJO CHAVES"/>
    <s v="PROVISIONALIDAD"/>
    <s v="EN PROVISIONALIDAD"/>
    <d v="2026-08-03T00:00:00"/>
    <d v="2026-08-03T00:00:00"/>
    <x v="1"/>
    <n v="24"/>
  </r>
  <r>
    <s v="PABLO  DANIEL PULIDO SALAMANCA"/>
    <s v="CARRERA ADMINISTRATIVA"/>
    <s v="CARRERA ADMINISTRATIVA"/>
    <d v="2016-08-03T00:00:00"/>
    <d v="1998-05-11T00:00:00"/>
    <x v="0"/>
    <n v="61"/>
  </r>
  <r>
    <s v="VACANTE TEMPORAL"/>
    <m/>
    <s v="VACANTE TEMPORAL"/>
    <s v=" "/>
    <s v=""/>
    <x v="2"/>
    <s v=""/>
  </r>
  <r>
    <s v="VACANTE TEMPORAL"/>
    <m/>
    <s v="VACANTE TEMPORAL"/>
    <s v=" "/>
    <s v=""/>
    <x v="2"/>
    <s v=""/>
  </r>
  <r>
    <s v="OSCAR  ERNESTO LOPEZ ACUÃ‘A"/>
    <s v="CARRERA ADMINISTRATIVA"/>
    <s v="CARRERA ADMINISTRATIVA"/>
    <d v="2016-08-03T00:00:00"/>
    <d v="1998-04-21T00:00:00"/>
    <x v="0"/>
    <n v="63"/>
  </r>
  <r>
    <s v="VACANTE TEMPORAL"/>
    <m/>
    <s v="VACANTE TEMPORAL"/>
    <s v=" "/>
    <s v=""/>
    <x v="2"/>
    <s v=""/>
  </r>
  <r>
    <s v="LUIS DAUVINY DUARTE ROA"/>
    <s v="PERÍODO DE PRUEBA"/>
    <s v="EN PERIODO DE PRUEBA"/>
    <d v="2026-03-06T00:00:00"/>
    <d v="2026-03-06T00:00:00"/>
    <x v="0"/>
    <n v="59"/>
  </r>
  <r>
    <s v="JAUMI MANFRED MARROQUIN "/>
    <s v="CARRERA ADMINISTRATIVA"/>
    <s v="CARRERA ADMINISTRATIVA"/>
    <d v="2020-12-01T00:00:00"/>
    <d v="2020-12-01T00:00:00"/>
    <x v="0"/>
    <n v="49"/>
  </r>
  <r>
    <s v="EDUARDO ALEJANDRO URREGO BECERRA"/>
    <s v="CARRERA ADMINISTRATIVA"/>
    <s v="CARRERA ADMINISTRATIVA"/>
    <d v="2020-11-10T00:00:00"/>
    <d v="2020-11-10T00:00:00"/>
    <x v="0"/>
    <n v="43"/>
  </r>
  <r>
    <s v="EDGAR ANDRES GARCIA GARAVITO"/>
    <s v="CARRERA ADMINISTRATIVA"/>
    <s v="CARRERA ADMINISTRATIVA"/>
    <d v="2016-08-03T00:00:00"/>
    <d v="1997-04-08T00:00:00"/>
    <x v="0"/>
    <n v="57"/>
  </r>
  <r>
    <s v="ERIKA MARCELA MEDINA SANTANA"/>
    <s v="PERÍODO DE PRUEBA"/>
    <s v="EN PERIODO DE PRUEBA"/>
    <d v="2026-03-02T00:00:00"/>
    <d v="2026-03-02T00:00:00"/>
    <x v="1"/>
    <n v="41"/>
  </r>
  <r>
    <s v="FREDY ESTEBAN JAIMES CASTILLO"/>
    <s v="PROVISIONALIDAD"/>
    <s v="EN PROVISIONALIDAD"/>
    <d v="2025-11-07T00:00:00"/>
    <d v="2025-11-07T00:00:00"/>
    <x v="0"/>
    <n v="38"/>
  </r>
  <r>
    <s v="ANYELA PAOLA PULIDO GUTIERREZ"/>
    <s v="PROVISIONALIDAD"/>
    <s v="EN PROVISIONALIDAD"/>
    <d v="2023-12-27T00:00:00"/>
    <d v="2023-12-27T00:00:00"/>
    <x v="1"/>
    <n v="36"/>
  </r>
  <r>
    <s v="VACANTE TEMPORAL"/>
    <m/>
    <s v="VACANTE TEMPORAL"/>
    <s v=" "/>
    <s v=""/>
    <x v="2"/>
    <s v=""/>
  </r>
  <r>
    <s v="JESSE JOSE VILLEGAS CABRERA"/>
    <s v="PROVISIONALIDAD"/>
    <s v="EN PROVISIONALIDAD"/>
    <d v="2026-09-08T00:00:00"/>
    <d v="2026-09-08T00:00:00"/>
    <x v="0"/>
    <n v="35"/>
  </r>
  <r>
    <s v="MARIA ALEJANDRA BASTIDAS PADILLA"/>
    <s v="PROVISIONALIDAD"/>
    <s v="EN PROVISIONALIDAD"/>
    <d v="2026-09-10T00:00:00"/>
    <d v="2026-09-10T00:00:00"/>
    <x v="1"/>
    <n v="36"/>
  </r>
  <r>
    <s v="ZULY NATALIA NANDAR CASTAÃ‘EDA"/>
    <s v="PROVISIONALIDAD"/>
    <s v="EN PROVISIONALIDAD"/>
    <d v="2022-08-01T00:00:00"/>
    <d v="2022-08-01T00:00:00"/>
    <x v="1"/>
    <n v="43"/>
  </r>
  <r>
    <s v="DURLEY SOTELO HOYOS"/>
    <s v="PROVISIONALIDAD"/>
    <s v="EN PROVISIONALIDAD"/>
    <d v="2021-11-03T00:00:00"/>
    <d v="2021-11-03T00:00:00"/>
    <x v="1"/>
    <n v="37"/>
  </r>
  <r>
    <s v="GABRIELINA VELASQUEZ CABRERA"/>
    <s v="CARRERA ADMINISTRATIVA"/>
    <s v="CARRERA ADMINISTRATIVA"/>
    <d v="2016-08-03T00:00:00"/>
    <d v="1995-02-01T00:00:00"/>
    <x v="1"/>
    <n v="67"/>
  </r>
  <r>
    <s v="MARTHA CLAUDIA ALDANA AVELINO"/>
    <s v="PROVISIONALIDAD"/>
    <s v="EN PROVISIONALIDAD"/>
    <d v="2026-09-10T00:00:00"/>
    <d v="2026-09-10T00:00:00"/>
    <x v="1"/>
    <n v="53"/>
  </r>
  <r>
    <s v="MAURICIO ALEJANDRO MONCAYO VALENCIA"/>
    <s v="LIBRE NOMBRAMIENTO Y REMOCIÓN"/>
    <s v="NOMBRAMIENTO ORDINARIO"/>
    <d v="2024-02-15T00:00:00"/>
    <d v="2024-02-15T00:00:00"/>
    <x v="0"/>
    <n v="41"/>
  </r>
  <r>
    <s v="CAMILO ALFONSO GUARIN PRIETO"/>
    <s v="LIBRE NOMBRAMIENTO Y REMOCIÓN"/>
    <s v="EN ENCARGO"/>
    <d v="2025-11-07T00:00:00"/>
    <d v="2025-11-07T00:00:00"/>
    <x v="0"/>
    <n v="43"/>
  </r>
  <r>
    <s v="MARIA FERNANDA QUIJANO VASQUEZ"/>
    <s v="LIBRE NOMBRAMIENTO Y REMOCIÓN"/>
    <s v="NOMBRAMIENTO ORDINARIO"/>
    <d v="2024-05-09T00:00:00"/>
    <d v="2024-05-09T00:00:00"/>
    <x v="1"/>
    <n v="38"/>
  </r>
  <r>
    <s v="MARINA LUZ ORTEGA MONTERO"/>
    <s v="LIBRE NOMBRAMIENTO Y REMOCIÓN"/>
    <s v="NOMBRAMIENTO ORDINARIO"/>
    <d v="2025-02-26T00:00:00"/>
    <d v="2025-02-26T00:00:00"/>
    <x v="1"/>
    <n v="41"/>
  </r>
  <r>
    <s v="ANDRES MAURICIO ORTIZ MAYA"/>
    <s v="LIBRE NOMBRAMIENTO Y REMOCIÓN"/>
    <s v="NOMBRAMIENTO ORDINARIO"/>
    <d v="2024-08-12T00:00:00"/>
    <d v="2024-08-12T00:00:00"/>
    <x v="0"/>
    <n v="38"/>
  </r>
  <r>
    <s v="ANDRES FELIPE PUENTES DIAZ"/>
    <s v="LIBRE NOMBRAMIENTO Y REMOCIÓN"/>
    <s v="NOMBRAMIENTO ORDINARIO"/>
    <d v="2024-03-13T00:00:00"/>
    <d v="2024-03-13T00:00:00"/>
    <x v="0"/>
    <n v="28"/>
  </r>
  <r>
    <s v="MARIA FERNANDA FUENTES TUTA"/>
    <s v="LIBRE NOMBRAMIENTO Y REMOCIÓN"/>
    <s v="EN ENCARGO"/>
    <d v="2026-08-03T00:00:00"/>
    <d v="2026-08-03T00:00:00"/>
    <x v="1"/>
    <n v="42"/>
  </r>
  <r>
    <s v="CAMILO ALFONSO GUARIN PRIETO"/>
    <s v="LIBRE NOMBRAMIENTO Y REMOCIÓN"/>
    <s v="EN ENCARGO"/>
    <d v="2025-11-07T00:00:00"/>
    <d v="2025-11-07T00:00:00"/>
    <x v="0"/>
    <n v="43"/>
  </r>
  <r>
    <s v="LEIDY YULIETH PEREA RAMIREZ"/>
    <s v="PERÍODO FIJO"/>
    <s v="PERÍODO FIJO"/>
    <d v="2026-01-09T00:00:00"/>
    <d v="2026-01-09T00:00:00"/>
    <x v="1"/>
    <n v="41"/>
  </r>
  <r>
    <s v="NELSON JULIAN SALAZAR URRUTIA"/>
    <s v="CARRERA ADMINISTRATIVA"/>
    <s v="EN ENCARGO"/>
    <d v="2016-08-03T00:00:00"/>
    <d v="1999-04-21T00:00:00"/>
    <x v="0"/>
    <n v="54"/>
  </r>
  <r>
    <s v="ADRIANA PATRICIA GUZMAN CONTRERAS"/>
    <s v="CARRERA ADMINISTRATIVA"/>
    <s v="CARRERA ADMINISTRATIVA"/>
    <d v="2020-11-11T00:00:00"/>
    <d v="2007-04-18T00:00:00"/>
    <x v="1"/>
    <n v="49"/>
  </r>
  <r>
    <s v="DEYSI YANIRA MORENO GUERRERO"/>
    <s v="CARRERA ADMINISTRATIVA"/>
    <s v="CARRERA ADMINISTRATIVA"/>
    <d v="2016-08-03T00:00:00"/>
    <d v="2004-04-16T00:00:00"/>
    <x v="1"/>
    <n v="48"/>
  </r>
  <r>
    <s v="GERMAN ALBERTO PULIDO PULIDO"/>
    <s v="CARRERA ADMINISTRATIVA"/>
    <s v="CARRERA ADMINISTRATIVA"/>
    <d v="2021-04-08T00:00:00"/>
    <d v="2011-02-24T00:00:00"/>
    <x v="0"/>
    <n v="43"/>
  </r>
  <r>
    <s v="ESTHER PINILLA SERRANO"/>
    <s v="CARRERA ADMINISTRATIVA"/>
    <s v="CARRERA ADMINISTRATIVA"/>
    <d v="2021-02-02T00:00:00"/>
    <d v="2021-02-02T00:00:00"/>
    <x v="1"/>
    <n v="54"/>
  </r>
  <r>
    <s v="RUBEN DARIO GALLEGO GONZALEZ"/>
    <s v="CARRERA ADMINISTRATIVA"/>
    <s v="CARRERA ADMINISTRATIVA"/>
    <d v="2017-11-10T00:00:00"/>
    <d v="2017-11-10T00:00:00"/>
    <x v="0"/>
    <n v="42"/>
  </r>
  <r>
    <s v="VACANTE DEFINITIVA"/>
    <m/>
    <s v="VACANTE DEFINITIVA"/>
    <s v=" "/>
    <s v=""/>
    <x v="2"/>
    <s v=""/>
  </r>
  <r>
    <s v="LUIS ALFONSO CASTIBLANCO URQUIJO"/>
    <s v="PERÍODO DE PRUEBA"/>
    <s v="EN ENCARGO"/>
    <d v="2016-08-03T00:00:00"/>
    <d v="2005-04-01T00:00:00"/>
    <x v="0"/>
    <n v="58"/>
  </r>
  <r>
    <s v="VACANTE DEFINITIVA"/>
    <m/>
    <s v="VACANTE DEFINITIVA"/>
    <s v=" "/>
    <s v=""/>
    <x v="2"/>
    <s v=""/>
  </r>
  <r>
    <s v="PEDRO ALFONSO MEJIA SIERRA"/>
    <s v="CARRERA ADMINISTRATIVA"/>
    <s v="CARRERA ADMINISTRATIVA"/>
    <d v="2021-07-01T00:00:00"/>
    <d v="1990-10-12T00:00:00"/>
    <x v="0"/>
    <n v="55"/>
  </r>
  <r>
    <s v="ALVARO ARDILA MORA"/>
    <s v="CARRERA ADMINISTRATIVA"/>
    <s v="CARRERA ADMINISTRATIVA"/>
    <d v="2020-11-13T00:00:00"/>
    <d v="2020-11-13T00:00:00"/>
    <x v="0"/>
    <n v="51"/>
  </r>
  <r>
    <s v="VACANTE DEFINITIVA"/>
    <m/>
    <s v="VACANTE DEFINITIVA"/>
    <s v=" "/>
    <s v=""/>
    <x v="2"/>
    <s v=""/>
  </r>
  <r>
    <s v="ALVARO CAMILO BERNATE NAVARRO"/>
    <s v="CARRERA ADMINISTRATIVA"/>
    <s v="CARRERA ADMINISTRATIVA"/>
    <d v="2016-08-03T00:00:00"/>
    <d v="2004-11-03T00:00:00"/>
    <x v="0"/>
    <n v="50"/>
  </r>
  <r>
    <s v="MARTHA YANETH ORTIZ LEON"/>
    <s v="CARRERA ADMINISTRATIVA"/>
    <s v="CARRERA ADMINISTRATIVA"/>
    <d v="2020-11-17T00:00:00"/>
    <d v="2020-11-17T00:00:00"/>
    <x v="1"/>
    <n v="50"/>
  </r>
  <r>
    <s v="MAGDA EDITH GUERRERO BONILLA"/>
    <s v="CARRERA ADMINISTRATIVA"/>
    <s v="CARRERA ADMINISTRATIVA"/>
    <d v="2021-03-12T00:00:00"/>
    <d v="2021-03-12T00:00:00"/>
    <x v="1"/>
    <n v="49"/>
  </r>
  <r>
    <s v="ELVIRA LILIANA HERNANDEZ LIBREROS"/>
    <s v="CARRERA ADMINISTRATIVA"/>
    <s v="CARRERA ADMINISTRATIVA"/>
    <d v="2016-08-03T00:00:00"/>
    <d v="2004-01-08T00:00:00"/>
    <x v="1"/>
    <n v="50"/>
  </r>
  <r>
    <s v="MARIA CAMILA COTAMO JAIMES"/>
    <s v="CARRERA ADMINISTRATIVA"/>
    <s v="CARRERA ADMINISTRATIVA"/>
    <d v="2023-07-04T00:00:00"/>
    <d v="2023-07-04T00:00:00"/>
    <x v="1"/>
    <n v="53"/>
  </r>
  <r>
    <s v="LINA MARCELA MELO RODRIGUEZ"/>
    <s v="CARRERA ADMINISTRATIVA"/>
    <s v="CARRERA ADMINISTRATIVA"/>
    <d v="2022-08-01T00:00:00"/>
    <d v="2021-11-06T00:00:00"/>
    <x v="1"/>
    <n v="55"/>
  </r>
  <r>
    <s v="ZULMA ROJAS SUAREZ"/>
    <s v="CARRERA ADMINISTRATIVA"/>
    <s v="CARRERA ADMINISTRATIVA"/>
    <d v="2016-08-03T00:00:00"/>
    <d v="2004-12-22T00:00:00"/>
    <x v="1"/>
    <n v="50"/>
  </r>
  <r>
    <s v="ALMA ROSA RAMOS MARIA"/>
    <s v="CARRERA ADMINISTRATIVA"/>
    <s v="EN ENCARGO"/>
    <d v="2022-02-11T00:00:00"/>
    <d v="2022-02-11T00:00:00"/>
    <x v="1"/>
    <n v="46"/>
  </r>
  <r>
    <s v="JORGE ELIECER HERNANDEZ ALBARRACIN"/>
    <s v="CARRERA ADMINISTRATIVA"/>
    <s v="CARRERA ADMINISTRATIVA"/>
    <d v="2016-08-03T00:00:00"/>
    <d v="1994-12-28T00:00:00"/>
    <x v="0"/>
    <n v="69"/>
  </r>
  <r>
    <s v="MARTHA LILIANA BARRERA DIAZ"/>
    <s v="PERÍODO DE PRUEBA"/>
    <s v="EN PERIODO DE PRUEBA"/>
    <d v="2016-08-03T00:00:00"/>
    <d v="1997-03-10T00:00:00"/>
    <x v="1"/>
    <n v="57"/>
  </r>
  <r>
    <s v="YUDY ZULEYMA RODRIGUEZ BLANCO"/>
    <s v="CARRERA ADMINISTRATIVA"/>
    <s v="CARRERA ADMINISTRATIVA"/>
    <d v="2022-03-29T00:00:00"/>
    <d v="2007-06-26T00:00:00"/>
    <x v="1"/>
    <n v="49"/>
  </r>
  <r>
    <s v="OCTAVIO QUINTERO LARA"/>
    <s v="CARRERA ADMINISTRATIVA"/>
    <s v="CARRERA ADMINISTRATIVA"/>
    <d v="2021-07-23T00:00:00"/>
    <d v="2021-07-23T00:00:00"/>
    <x v="0"/>
    <n v="65"/>
  </r>
  <r>
    <s v="FERNANDO PACHON PIÃ‘EROS"/>
    <s v="CARRERA ADMINISTRATIVA"/>
    <s v="EN ENCARGO"/>
    <d v="2016-08-03T00:00:00"/>
    <d v="2010-03-30T00:00:00"/>
    <x v="0"/>
    <n v="53"/>
  </r>
  <r>
    <s v="ANGELA MARCELA RODRIGUEZ DIAZ"/>
    <s v="PERÍODO DE PRUEBA"/>
    <s v="EN PERIODO DE PRUEBA"/>
    <d v="2026-03-18T00:00:00"/>
    <d v="2026-03-18T00:00:00"/>
    <x v="1"/>
    <n v="41"/>
  </r>
  <r>
    <s v="CAMILO ANDRES RODRIGUEZ RODRIGUEZ"/>
    <s v="CARRERA ADMINISTRATIVA"/>
    <s v="CARRERA ADMINISTRATIVA"/>
    <d v="2017-03-23T00:00:00"/>
    <d v="2017-03-23T00:00:00"/>
    <x v="0"/>
    <n v="46"/>
  </r>
  <r>
    <s v="IAM ALEXANDER OJEDA CARDENAS"/>
    <s v="CARRERA ADMINISTRATIVA"/>
    <s v="EN ENCARGO"/>
    <d v="2020-11-17T00:00:00"/>
    <d v="2020-11-17T00:00:00"/>
    <x v="0"/>
    <n v="48"/>
  </r>
  <r>
    <s v="EDGAR ENRIQUE OVALLE CUERVO"/>
    <s v="CARRERA ADMINISTRATIVA"/>
    <s v="CARRERA ADMINISTRATIVA"/>
    <d v="2016-08-03T00:00:00"/>
    <d v="1997-12-22T00:00:00"/>
    <x v="0"/>
    <n v="62"/>
  </r>
  <r>
    <s v="GLORIA ESTHER SALCEDO TAMAYO"/>
    <s v="CARRERA ADMINISTRATIVA"/>
    <s v="CARRERA ADMINISTRATIVA"/>
    <d v="2016-08-03T00:00:00"/>
    <d v="1993-10-15T00:00:00"/>
    <x v="1"/>
    <n v="62"/>
  </r>
  <r>
    <s v="VACANTE DEFINITIVA"/>
    <m/>
    <s v="VACANTE DEFINITIVA"/>
    <s v=" "/>
    <s v=""/>
    <x v="2"/>
    <s v=""/>
  </r>
  <r>
    <s v="LUZ ANDREA CUBILLOS GUALDRON"/>
    <s v="PERÍODO DE PRUEBA"/>
    <s v="EN PERIODO DE PRUEBA"/>
    <d v="2026-03-16T00:00:00"/>
    <d v="2026-03-16T00:00:00"/>
    <x v="1"/>
    <n v="47"/>
  </r>
  <r>
    <s v="JOHANA PATRICIA GAMEZ GOMEZ"/>
    <s v="CARRERA ADMINISTRATIVA"/>
    <s v="EN ENCARGO"/>
    <d v="2017-11-10T00:00:00"/>
    <d v="2017-11-10T00:00:00"/>
    <x v="1"/>
    <n v="42"/>
  </r>
  <r>
    <s v="DIEGO ALEJANDRO SOLANO FERNANDEZ"/>
    <s v="CARRERA ADMINISTRATIVA"/>
    <s v="EN ENCARGO"/>
    <d v="2022-10-05T00:00:00"/>
    <d v="2022-10-05T00:00:00"/>
    <x v="0"/>
    <n v="35"/>
  </r>
  <r>
    <s v="CAROLINA LOZANO ARDILA"/>
    <s v="CARRERA ADMINISTRATIVA"/>
    <s v="CARRERA ADMINISTRATIVA"/>
    <d v="2020-12-03T00:00:00"/>
    <d v="2020-12-03T00:00:00"/>
    <x v="1"/>
    <n v="47"/>
  </r>
  <r>
    <s v="JOSE ORLANDO ALVARADO HERREÃ‘O"/>
    <s v="CARRERA ADMINISTRATIVA"/>
    <s v="CARRERA ADMINISTRATIVA"/>
    <d v="2020-11-30T00:00:00"/>
    <d v="2020-11-30T00:00:00"/>
    <x v="0"/>
    <n v="62"/>
  </r>
  <r>
    <s v="SONIA TERESA ROA SILVA"/>
    <s v="CARRERA ADMINISTRATIVA"/>
    <s v="EN ENCARGO"/>
    <d v="2020-12-30T00:00:00"/>
    <d v="2020-12-30T00:00:00"/>
    <x v="1"/>
    <n v="36"/>
  </r>
  <r>
    <s v="CHEILA ALEXANDRA ALVARADO ROJAS"/>
    <s v="CARRERA ADMINISTRATIVA"/>
    <s v="EN ENCARGO"/>
    <d v="2021-02-01T00:00:00"/>
    <d v="2021-02-01T00:00:00"/>
    <x v="1"/>
    <n v="49"/>
  </r>
  <r>
    <s v="ALEXANDRA AVILA MARIN"/>
    <s v="CARRERA ADMINISTRATIVA"/>
    <s v="EN ENCARGO"/>
    <d v="2021-07-19T00:00:00"/>
    <d v="2021-07-19T00:00:00"/>
    <x v="1"/>
    <n v="51"/>
  </r>
  <r>
    <s v="DORA BELEN GUTIERREZ HERNANDEZ"/>
    <s v="CARRERA ADMINISTRATIVA"/>
    <s v="CARRERA ADMINISTRATIVA"/>
    <d v="2016-08-03T00:00:00"/>
    <d v="1995-06-20T00:00:00"/>
    <x v="1"/>
    <n v="64"/>
  </r>
  <r>
    <s v="SAMUEL ARTURO HERNANDEZ MURCIA"/>
    <s v="CARRERA ADMINISTRATIVA"/>
    <s v="CARRERA ADMINISTRATIVA"/>
    <d v="2022-04-01T00:00:00"/>
    <d v="2022-04-01T00:00:00"/>
    <x v="0"/>
    <n v="47"/>
  </r>
  <r>
    <s v="YOMAIRA AMPARO ALARCON ACERO"/>
    <s v="CARRERA ADMINISTRATIVA"/>
    <s v="CARRERA ADMINISTRATIVA"/>
    <d v="2021-01-04T00:00:00"/>
    <d v="2018-11-01T00:00:00"/>
    <x v="1"/>
    <n v="48"/>
  </r>
  <r>
    <s v="HENRY ALBERTO GONZALEZ MOLINA"/>
    <s v="CARRERA ADMINISTRATIVA"/>
    <s v="EN ENCARGO"/>
    <d v="2016-08-03T00:00:00"/>
    <d v="1995-12-29T00:00:00"/>
    <x v="0"/>
    <n v="59"/>
  </r>
  <r>
    <s v="MARIA XIMENA CUBIDES AMAYA"/>
    <s v="CARRERA ADMINISTRATIVA"/>
    <s v="CARRERA ADMINISTRATIVA"/>
    <d v="2021-05-10T00:00:00"/>
    <d v="2021-05-10T00:00:00"/>
    <x v="1"/>
    <n v="42"/>
  </r>
  <r>
    <s v="LUZ DARY MERCHAN LARA"/>
    <s v="CARRERA ADMINISTRATIVA"/>
    <s v="CARRERA ADMINISTRATIVA"/>
    <d v="2020-11-09T00:00:00"/>
    <d v="2020-11-09T00:00:00"/>
    <x v="1"/>
    <n v="53"/>
  </r>
  <r>
    <s v="VACANTE DEFINITIVA"/>
    <m/>
    <s v="VACANTE DEFINITIVA"/>
    <s v=" "/>
    <s v=""/>
    <x v="2"/>
    <s v=""/>
  </r>
  <r>
    <s v="CARLOS ANDRES NIÃ‘O SOCHA"/>
    <s v="CARRERA ADMINISTRATIVA"/>
    <s v="EN ENCARGO"/>
    <d v="2021-02-22T00:00:00"/>
    <d v="2021-02-22T00:00:00"/>
    <x v="0"/>
    <n v="67"/>
  </r>
  <r>
    <s v="EURANIO JOSE MANOTAS MALDONADO"/>
    <s v="CARRERA ADMINISTRATIVA"/>
    <s v="EN ENCARGO"/>
    <d v="2023-05-02T00:00:00"/>
    <d v="2023-05-02T00:00:00"/>
    <x v="0"/>
    <n v="43"/>
  </r>
  <r>
    <s v="LEIDY JOHANNA HERRERA MENDEZ"/>
    <s v="PERÍODO DE PRUEBA"/>
    <s v="EN PERIODO DE PRUEBA"/>
    <d v="2026-08-19T00:00:00"/>
    <d v="2025-06-11T00:00:00"/>
    <x v="1"/>
    <n v="41"/>
  </r>
  <r>
    <s v="ANDREA DEL PILAR CARDENAS SARMIENTO"/>
    <s v="PERÍODO DE PRUEBA"/>
    <s v="EN PERIODO DE PRUEBA"/>
    <d v="2026-03-02T00:00:00"/>
    <d v="2020-11-10T00:00:00"/>
    <x v="1"/>
    <n v="48"/>
  </r>
  <r>
    <s v="ANGELICA DIAZ RINCON"/>
    <s v="CARRERA ADMINISTRATIVA"/>
    <s v="CARRERA ADMINISTRATIVA"/>
    <d v="2021-04-12T00:00:00"/>
    <d v="2021-04-12T00:00:00"/>
    <x v="1"/>
    <n v="50"/>
  </r>
  <r>
    <s v="LEIDY VANESSA NIETO ROJAS"/>
    <s v="PERÍODO DE PRUEBA"/>
    <s v="EN PERIODO DE PRUEBA"/>
    <d v="2026-07-21T00:00:00"/>
    <d v="2026-07-21T00:00:00"/>
    <x v="1"/>
    <n v="32"/>
  </r>
  <r>
    <s v="LUZ ESTELLA MORENO PEREZ"/>
    <s v="CARRERA ADMINISTRATIVA"/>
    <s v="CARRERA ADMINISTRATIVA"/>
    <d v="2021-02-15T00:00:00"/>
    <d v="2015-12-01T00:00:00"/>
    <x v="1"/>
    <n v="44"/>
  </r>
  <r>
    <s v="MARIA TERESA VALDERRAMA PEREIRA"/>
    <s v="CARRERA ADMINISTRATIVA"/>
    <s v="EN ENCARGO"/>
    <d v="2022-03-11T00:00:00"/>
    <d v="2022-03-11T00:00:00"/>
    <x v="1"/>
    <n v="44"/>
  </r>
  <r>
    <s v="BRICEIDA ALVARADO ROJAS"/>
    <s v="CARRERA ADMINISTRATIVA"/>
    <s v="CARRERA ADMINISTRATIVA"/>
    <d v="2020-12-02T00:00:00"/>
    <d v="2020-12-02T00:00:00"/>
    <x v="1"/>
    <n v="54"/>
  </r>
  <r>
    <s v="GIOVANNY ALEXANDER CORTES PACHON"/>
    <s v="PERÍODO DE PRUEBA"/>
    <s v="EN PERIODO DE PRUEBA"/>
    <d v="2026-03-05T00:00:00"/>
    <d v="2009-10-20T00:00:00"/>
    <x v="0"/>
    <n v="48"/>
  </r>
  <r>
    <s v="LUZ DARY CORREDOR MORENO"/>
    <s v="CARRERA ADMINISTRATIVA"/>
    <s v="CARRERA ADMINISTRATIVA"/>
    <d v="2024-02-01T00:00:00"/>
    <d v="2013-01-28T00:00:00"/>
    <x v="1"/>
    <n v="52"/>
  </r>
  <r>
    <s v="HUGO HERNANDO AGUIRRE CORRALES"/>
    <s v="CARRERA ADMINISTRATIVA"/>
    <s v="CARRERA ADMINISTRATIVA"/>
    <d v="2021-01-19T00:00:00"/>
    <d v="2021-01-19T00:00:00"/>
    <x v="0"/>
    <n v="46"/>
  </r>
  <r>
    <s v="JUAN CARLOS MARTINEZ BERNAL"/>
    <s v="CARRERA ADMINISTRATIVA"/>
    <s v="EN ENCARGO"/>
    <d v="2020-11-12T00:00:00"/>
    <d v="2020-11-12T00:00:00"/>
    <x v="0"/>
    <n v="34"/>
  </r>
  <r>
    <s v="LUISA FERNANDA GARCIA AVILA"/>
    <s v="CARRERA ADMINISTRATIVA"/>
    <s v="CARRERA ADMINISTRATIVA"/>
    <d v="2024-01-16T00:00:00"/>
    <d v="2024-01-16T00:00:00"/>
    <x v="1"/>
    <n v="41"/>
  </r>
  <r>
    <s v="LEIDY JOHANNA ALONSO GUTIERREZ"/>
    <s v="CARRERA ADMINISTRATIVA"/>
    <s v="EN ENCARGO"/>
    <d v="2020-11-09T00:00:00"/>
    <d v="2020-11-09T00:00:00"/>
    <x v="1"/>
    <n v="29"/>
  </r>
  <r>
    <s v="SANDRA LISETTE NOVOA DUEÃ‘AS"/>
    <s v="CARRERA ADMINISTRATIVA"/>
    <s v="CARRERA ADMINISTRATIVA"/>
    <d v="2020-12-28T00:00:00"/>
    <d v="2019-10-01T00:00:00"/>
    <x v="1"/>
    <n v="36"/>
  </r>
  <r>
    <s v="KATHERINE PAOLA ARAGON CASTIBLANCO"/>
    <s v="CARRERA ADMINISTRATIVA"/>
    <s v="EN ENCARGO"/>
    <d v="2021-07-06T00:00:00"/>
    <d v="2021-07-06T00:00:00"/>
    <x v="1"/>
    <n v="36"/>
  </r>
  <r>
    <s v="NELCY TORRES MARTINEZ"/>
    <s v="CARRERA ADMINISTRATIVA"/>
    <s v="CARRERA ADMINISTRATIVA"/>
    <d v="2021-02-01T00:00:00"/>
    <d v="2021-02-01T00:00:00"/>
    <x v="1"/>
    <n v="68"/>
  </r>
  <r>
    <s v="VACANTE TEMPORAL"/>
    <m/>
    <s v="VACANTE TEMPORAL"/>
    <s v=" "/>
    <s v=""/>
    <x v="2"/>
    <s v=""/>
  </r>
  <r>
    <s v="CLAUDIA MARCELA CAMARGO CASTRO"/>
    <s v="CARRERA ADMINISTRATIVA"/>
    <s v="EN ENCARGO"/>
    <d v="2020-11-04T00:00:00"/>
    <d v="2020-11-04T00:00:00"/>
    <x v="1"/>
    <n v="46"/>
  </r>
  <r>
    <s v="CARLOS JULIO RAMIREZ MUÃ‘OZ"/>
    <s v="CARRERA ADMINISTRATIVA"/>
    <s v="CARRERA ADMINISTRATIVA"/>
    <d v="2021-07-23T00:00:00"/>
    <d v="2021-07-23T00:00:00"/>
    <x v="0"/>
    <n v="61"/>
  </r>
  <r>
    <s v="DUVAN SANDOVAL RODRIGUEZ"/>
    <s v="CARRERA ADMINISTRATIVA"/>
    <s v="CARRERA ADMINISTRATIVA"/>
    <d v="2016-08-03T00:00:00"/>
    <d v="2010-03-30T00:00:00"/>
    <x v="0"/>
    <n v="58"/>
  </r>
  <r>
    <s v="DIANA MARIA MORENO VARGAS"/>
    <s v="CARRERA ADMINISTRATIVA"/>
    <s v="CARRERA ADMINISTRATIVA"/>
    <d v="2022-03-23T00:00:00"/>
    <d v="2022-03-23T00:00:00"/>
    <x v="1"/>
    <n v="41"/>
  </r>
  <r>
    <s v="CRISTHIAM DAVID JIMENEZ VASQUEZ"/>
    <s v="CARRERA ADMINISTRATIVA"/>
    <s v="EN ENCARGO"/>
    <d v="2021-04-13T00:00:00"/>
    <d v="2021-04-13T00:00:00"/>
    <x v="0"/>
    <n v="30"/>
  </r>
  <r>
    <s v="HUGO ALFONSO CABARCAS AYOLA"/>
    <s v="PERÍODO DE PRUEBA"/>
    <s v="EN PERIODO DE PRUEBA"/>
    <d v="2026-03-10T00:00:00"/>
    <d v="2026-03-10T00:00:00"/>
    <x v="0"/>
    <n v="44"/>
  </r>
  <r>
    <s v="MONICA JULIANA SANMIGUEL ROJAS"/>
    <s v="CARRERA ADMINISTRATIVA"/>
    <s v="EN ENCARGO"/>
    <d v="2021-09-24T00:00:00"/>
    <d v="2021-09-24T00:00:00"/>
    <x v="1"/>
    <n v="36"/>
  </r>
  <r>
    <s v="MIGUEL PINTO SEGURA"/>
    <s v="CARRERA ADMINISTRATIVA"/>
    <s v="CARRERA ADMINISTRATIVA"/>
    <d v="2020-11-04T00:00:00"/>
    <d v="2020-11-04T00:00:00"/>
    <x v="0"/>
    <n v="54"/>
  </r>
  <r>
    <s v="FERNAN ENRIQUE PEREZ FORTICH"/>
    <s v="CARRERA ADMINISTRATIVA"/>
    <s v="CARRERA ADMINISTRATIVA"/>
    <d v="2020-11-03T00:00:00"/>
    <d v="2020-11-03T00:00:00"/>
    <x v="0"/>
    <n v="54"/>
  </r>
  <r>
    <s v="IVAN DAVID RAMIREZ VALENCIA"/>
    <s v="CARRERA ADMINISTRATIVA"/>
    <s v="CARRERA ADMINISTRATIVA"/>
    <d v="2020-12-01T00:00:00"/>
    <d v="2020-12-01T00:00:00"/>
    <x v="0"/>
    <n v="42"/>
  </r>
  <r>
    <s v="SANDRA NICOLASA ORGANISTA BUILES"/>
    <s v="CARRERA ADMINISTRATIVA"/>
    <s v="CARRERA ADMINISTRATIVA"/>
    <d v="2020-11-10T00:00:00"/>
    <d v="2020-11-10T00:00:00"/>
    <x v="1"/>
    <n v="52"/>
  </r>
  <r>
    <s v="ANDRES FABIAN NOSSA GUZMAN"/>
    <s v="PERÍODO DE PRUEBA"/>
    <s v="EN PERIODO DE PRUEBA"/>
    <d v="2026-06-17T00:00:00"/>
    <d v="2026-06-17T00:00:00"/>
    <x v="0"/>
    <n v="42"/>
  </r>
  <r>
    <s v="DANIELA RODRIGUEZ NARVAEZ"/>
    <s v="CARRERA ADMINISTRATIVA"/>
    <s v="EN ENCARGO"/>
    <d v="2020-11-19T00:00:00"/>
    <d v="2020-11-19T00:00:00"/>
    <x v="1"/>
    <n v="30"/>
  </r>
  <r>
    <s v="HELVER MANUEL MORA MONTOYA"/>
    <s v="CARRERA ADMINISTRATIVA"/>
    <s v="EN ENCARGO"/>
    <d v="2017-04-03T00:00:00"/>
    <d v="2017-04-03T00:00:00"/>
    <x v="0"/>
    <n v="36"/>
  </r>
  <r>
    <s v="JUAN CAMILO RUIZ ZAMUDIO"/>
    <s v="CARRERA ADMINISTRATIVA"/>
    <s v="CARRERA ADMINISTRATIVA"/>
    <d v="2020-11-11T00:00:00"/>
    <d v="2020-01-13T00:00:00"/>
    <x v="0"/>
    <n v="45"/>
  </r>
  <r>
    <s v="ELIANA STEPHANIE ASTAIZA CHAVES"/>
    <s v="PERÍODO DE PRUEBA"/>
    <s v="EN PERIODO DE PRUEBA"/>
    <d v="2026-03-02T00:00:00"/>
    <d v="2026-03-02T00:00:00"/>
    <x v="1"/>
    <n v="37"/>
  </r>
  <r>
    <s v="MAGDA PATRICIA PUENTES PARDO"/>
    <s v="PERÍODO DE PRUEBA"/>
    <s v="EN PERIODO DE PRUEBA"/>
    <d v="2026-07-01T00:00:00"/>
    <d v="2026-07-01T00:00:00"/>
    <x v="1"/>
    <n v="48"/>
  </r>
  <r>
    <s v="VICTOR HERNANDO MURILLO HURTADO"/>
    <s v="CARRERA ADMINISTRATIVA"/>
    <s v="EN ENCARGO"/>
    <d v="2016-08-03T00:00:00"/>
    <d v="1995-03-27T00:00:00"/>
    <x v="0"/>
    <n v="60"/>
  </r>
  <r>
    <s v="MARY DAYANA SANCHEZ ROJAS"/>
    <s v="CARRERA ADMINISTRATIVA"/>
    <s v="EN ENCARGO"/>
    <d v="2020-11-12T00:00:00"/>
    <d v="2020-11-12T00:00:00"/>
    <x v="1"/>
    <n v="50"/>
  </r>
  <r>
    <s v="VACANTE TEMPORAL"/>
    <m/>
    <s v="VACANTE TEMPORAL"/>
    <s v=" "/>
    <s v=""/>
    <x v="2"/>
    <s v=""/>
  </r>
  <r>
    <s v="GLORIA INES MARTINEZ ORTIZ"/>
    <s v="CARRERA ADMINISTRATIVA"/>
    <s v="EN ENCARGO"/>
    <d v="2021-07-12T00:00:00"/>
    <d v="2021-07-12T00:00:00"/>
    <x v="1"/>
    <n v="53"/>
  </r>
  <r>
    <s v="VACANTE TEMPORAL"/>
    <m/>
    <s v="VACANTE TEMPORAL"/>
    <s v=" "/>
    <s v=""/>
    <x v="2"/>
    <s v=""/>
  </r>
  <r>
    <s v="ALEJANDRA NATALY CASALLAS MARTINEZ"/>
    <s v="CARRERA ADMINISTRATIVA"/>
    <s v="EN ENCARGO"/>
    <d v="2020-11-12T00:00:00"/>
    <d v="2020-11-12T00:00:00"/>
    <x v="1"/>
    <n v="35"/>
  </r>
  <r>
    <s v="ARMANDO JAVIER CALVO ALONSO"/>
    <s v="PROVISIONALIDAD"/>
    <s v="EN PROVISIONALIDAD"/>
    <d v="2026-10-05T00:00:00"/>
    <d v="1899-12-30T00:00:00"/>
    <x v="2"/>
    <n v="126"/>
  </r>
  <r>
    <s v="JEIMMY JOHANNA PAEZ GIL"/>
    <s v="PROVISIONALIDAD"/>
    <s v="EN PROVISIONALIDAD"/>
    <d v="2024-05-14T00:00:00"/>
    <d v="2024-05-14T00:00:00"/>
    <x v="1"/>
    <n v="38"/>
  </r>
  <r>
    <s v="LUIS CARLOS GAONA FARIAS"/>
    <s v="CARRERA ADMINISTRATIVA"/>
    <s v="EN ENCARGO"/>
    <d v="2020-11-10T00:00:00"/>
    <d v="2020-11-10T00:00:00"/>
    <x v="0"/>
    <n v="36"/>
  </r>
  <r>
    <s v="ROSA ISABEL SIERRA LABORDE"/>
    <s v="CARRERA ADMINISTRATIVA"/>
    <s v="EN ENCARGO"/>
    <d v="2021-11-25T00:00:00"/>
    <d v="2021-11-25T00:00:00"/>
    <x v="1"/>
    <n v="58"/>
  </r>
  <r>
    <s v="JHON ALEXANDER TIBADUIZA CASTAÃ‘EDA"/>
    <s v="PROVISIONALIDAD"/>
    <s v="EN PROVISIONALIDAD"/>
    <d v="2025-11-07T00:00:00"/>
    <d v="2025-11-07T00:00:00"/>
    <x v="0"/>
    <n v="48"/>
  </r>
  <r>
    <s v="VACANTE TEMPORAL"/>
    <m/>
    <s v="VACANTE TEMPORAL"/>
    <s v=" "/>
    <s v=""/>
    <x v="2"/>
    <s v=""/>
  </r>
  <r>
    <s v="CAROLINA ANAYA SARMIENTO"/>
    <s v="CARRERA ADMINISTRATIVA"/>
    <s v="EN ENCARGO"/>
    <d v="2020-11-03T00:00:00"/>
    <d v="2020-11-03T00:00:00"/>
    <x v="1"/>
    <n v="44"/>
  </r>
  <r>
    <s v="DAVID ALEJANDRO MORA BERMUDEZ"/>
    <s v="CARRERA ADMINISTRATIVA"/>
    <s v="CARRERA ADMINISTRATIVA"/>
    <d v="2020-11-18T00:00:00"/>
    <d v="2020-11-18T00:00:00"/>
    <x v="0"/>
    <n v="30"/>
  </r>
  <r>
    <s v="JOSE JAVIER PINTO CASTAÃ‘EDA"/>
    <s v="PROVISIONALIDAD"/>
    <s v="EN PROVISIONALIDAD"/>
    <d v="2025-10-24T00:00:00"/>
    <d v="2025-10-24T00:00:00"/>
    <x v="0"/>
    <n v="62"/>
  </r>
  <r>
    <s v="NICOLAS SANTIAGO SOTO ALBA"/>
    <s v="PROVISIONALIDAD"/>
    <s v="EN PROVISIONALIDAD"/>
    <d v="2025-05-22T00:00:00"/>
    <d v="2025-05-22T00:00:00"/>
    <x v="0"/>
    <n v="27"/>
  </r>
  <r>
    <s v="DALIDA VILLANUEVA SANCHEZ"/>
    <s v="CARRERA ADMINISTRATIVA"/>
    <s v="CARRERA ADMINISTRATIVA"/>
    <d v="2020-11-03T00:00:00"/>
    <d v="2020-11-03T00:00:00"/>
    <x v="1"/>
    <n v="51"/>
  </r>
  <r>
    <s v="DANIEL FERNANDO BUITRAGO DIAZ"/>
    <s v="CARRERA ADMINISTRATIVA"/>
    <s v="EN ENCARGO"/>
    <d v="2020-11-11T00:00:00"/>
    <d v="2020-11-11T00:00:00"/>
    <x v="0"/>
    <n v="37"/>
  </r>
  <r>
    <s v="RODRIGO DIDIER MUÃ‘OZ CONTRERAS"/>
    <s v="PERÍODO DE PRUEBA"/>
    <s v="EN PERIODO DE PRUEBA"/>
    <d v="2026-04-22T00:00:00"/>
    <d v="2026-04-22T00:00:00"/>
    <x v="0"/>
    <n v="37"/>
  </r>
  <r>
    <s v="WILLIAM FONSECA APERADOR"/>
    <s v="CARRERA ADMINISTRATIVA"/>
    <s v="CARRERA ADMINISTRATIVA"/>
    <d v="2021-02-01T00:00:00"/>
    <d v="2017-11-10T00:00:00"/>
    <x v="0"/>
    <n v="56"/>
  </r>
  <r>
    <s v="MARTHA RUBIELA CRUZ PARDO"/>
    <s v="CARRERA ADMINISTRATIVA"/>
    <s v="CARRERA ADMINISTRATIVA"/>
    <d v="2021-01-04T00:00:00"/>
    <d v="2021-01-04T00:00:00"/>
    <x v="1"/>
    <n v="50"/>
  </r>
  <r>
    <s v="AZULA URIBE CABALLERO"/>
    <s v="PERÍODO DE PRUEBA"/>
    <s v="EN ENCARGO"/>
    <d v="2021-10-13T00:00:00"/>
    <d v="2021-10-13T00:00:00"/>
    <x v="1"/>
    <n v="57"/>
  </r>
  <r>
    <s v="JENNIFER LIZBETH GOMEZ AREVALO"/>
    <s v="CARRERA ADMINISTRATIVA"/>
    <s v="EN ENCARGO"/>
    <d v="2021-10-20T00:00:00"/>
    <d v="2021-10-20T00:00:00"/>
    <x v="1"/>
    <n v="33"/>
  </r>
  <r>
    <s v="WALTER OSPINA ZAPATA"/>
    <s v="CARRERA ADMINISTRATIVA"/>
    <s v="EN ENCARGO"/>
    <d v="2016-08-03T00:00:00"/>
    <d v="2005-04-01T00:00:00"/>
    <x v="0"/>
    <n v="59"/>
  </r>
  <r>
    <s v="ANA JULIETH GIL HERRERA"/>
    <s v="CARRERA ADMINISTRATIVA"/>
    <s v="EN ENCARGO"/>
    <d v="2020-11-03T00:00:00"/>
    <d v="2020-11-03T00:00:00"/>
    <x v="1"/>
    <n v="49"/>
  </r>
  <r>
    <s v="MARIA VICTORIA TORRES BECERRA"/>
    <s v="CARRERA ADMINISTRATIVA"/>
    <s v="CARRERA ADMINISTRATIVA"/>
    <d v="2021-07-01T00:00:00"/>
    <d v="2018-10-01T00:00:00"/>
    <x v="1"/>
    <n v="41"/>
  </r>
  <r>
    <s v="WENDY PAOLA LEON CITA"/>
    <s v="CARRERA ADMINISTRATIVA"/>
    <s v="CARRERA ADMINISTRATIVA"/>
    <d v="2020-11-10T00:00:00"/>
    <d v="2020-11-10T00:00:00"/>
    <x v="1"/>
    <n v="36"/>
  </r>
  <r>
    <s v="ACENETH TORRES ROJAS"/>
    <s v="CARRERA ADMINISTRATIVA"/>
    <s v="EN ENCARGO"/>
    <d v="2016-08-03T00:00:00"/>
    <d v="2011-05-09T00:00:00"/>
    <x v="1"/>
    <n v="63"/>
  </r>
  <r>
    <s v="JUAN DIEGO ACOSTA TORRES"/>
    <s v="PROVISIONALIDAD"/>
    <s v="EN PROVISIONALIDAD"/>
    <d v="2025-08-04T00:00:00"/>
    <d v="2025-08-04T00:00:00"/>
    <x v="0"/>
    <n v="28"/>
  </r>
  <r>
    <s v="JEFFERSON JOSE OSUNA BERRIO"/>
    <s v="PROVISIONALIDAD"/>
    <s v="EN PROVISIONALIDAD"/>
    <d v="2025-09-01T00:00:00"/>
    <d v="2025-09-01T00:00:00"/>
    <x v="0"/>
    <n v="25"/>
  </r>
  <r>
    <s v="ESTEBAN RAMIREZ CARDENAS"/>
    <s v="PROVISIONALIDAD"/>
    <s v="EN PROVISIONALIDAD"/>
    <d v="2024-07-16T00:00:00"/>
    <d v="2024-07-16T00:00:00"/>
    <x v="0"/>
    <n v="33"/>
  </r>
  <r>
    <s v="DIANA YURANY MARTINEZ MARTINEZ"/>
    <s v="PROVISIONALIDAD"/>
    <s v="EN PROVISIONALIDAD"/>
    <d v="2024-06-19T00:00:00"/>
    <d v="2024-06-19T00:00:00"/>
    <x v="1"/>
    <n v="25"/>
  </r>
  <r>
    <s v="MARIA PAULA ROCHA VEGA"/>
    <s v="PROVISIONALIDAD"/>
    <s v="EN PROVISIONALIDAD"/>
    <d v="2026-09-23T00:00:00"/>
    <d v="2026-09-23T00:00:00"/>
    <x v="1"/>
    <n v="26"/>
  </r>
  <r>
    <s v="JUAN ANDRES GUERRERO RAMOS"/>
    <s v="PROVISIONALIDAD"/>
    <s v="EN PROVISIONALIDAD"/>
    <d v="2026-09-10T00:00:00"/>
    <d v="2026-09-10T00:00:00"/>
    <x v="1"/>
    <n v="22"/>
  </r>
  <r>
    <s v="JOAN SEBASTIAN FLECHAS ALONSO"/>
    <s v="CARRERA ADMINISTRATIVA"/>
    <s v="CARRERA ADMINISTRATIVA"/>
    <d v="2020-11-09T00:00:00"/>
    <d v="2020-11-09T00:00:00"/>
    <x v="0"/>
    <n v="38"/>
  </r>
  <r>
    <s v="ALVARO FELIPE ALEJO CASTIBLANCO"/>
    <s v="PROVISIONALIDAD"/>
    <s v="EN PROVISIONALIDAD"/>
    <d v="2022-09-16T00:00:00"/>
    <d v="2022-09-16T00:00:00"/>
    <x v="0"/>
    <n v="30"/>
  </r>
  <r>
    <s v="DORA RAQUEL BARRERA PALACIO"/>
    <s v="PROVISIONALIDAD"/>
    <s v="EN PROVISIONALIDAD"/>
    <d v="2025-07-10T00:00:00"/>
    <d v="2025-07-10T00:00:00"/>
    <x v="1"/>
    <n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ESTADO FUNCIONAL DE LA PLANTA 2" cacheId="11" applyNumberFormats="0" applyBorderFormats="0" applyFontFormats="0" applyPatternFormats="0" applyAlignmentFormats="0" applyWidthHeightFormats="0" dataCaption="" updatedVersion="8" compact="0" compactData="0">
  <location ref="D18:E21" firstHeaderRow="1" firstDataRow="1" firstDataCol="1"/>
  <pivotFields count="2">
    <pivotField name="SEXO" axis="axisRow" compact="0" numFmtId="3" outline="0" multipleItemSelectionAllowed="1" showAll="0" sortType="ascending">
      <items count="4">
        <item h="1" x="2"/>
        <item x="0"/>
        <item x="1"/>
        <item t="default"/>
      </items>
    </pivotField>
    <pivotField name="EDAD" dataField="1" compact="0" outline="0" multipleItemSelectionAllowed="1" showAll="0"/>
  </pivotFields>
  <rowFields count="1">
    <field x="0"/>
  </rowFields>
  <rowItems count="3">
    <i>
      <x v="1"/>
    </i>
    <i>
      <x v="2"/>
    </i>
    <i t="grand">
      <x/>
    </i>
  </rowItems>
  <colItems count="1">
    <i/>
  </colItems>
  <dataFields count="1">
    <dataField name="CANTIDAD" fld="1"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ESTADO FUNCIONAL DE LA PLANTA 3" cacheId="15" applyNumberFormats="0" applyBorderFormats="0" applyFontFormats="0" applyPatternFormats="0" applyAlignmentFormats="0" applyWidthHeightFormats="0" dataCaption="" updatedVersion="8" compact="0" compactData="0">
  <location ref="D24:E31" firstHeaderRow="1" firstDataRow="1" firstDataCol="1"/>
  <pivotFields count="4">
    <pivotField name="APELLIDOS Y NOMBRES" dataField="1" compact="0" numFmtId="3" outline="0" multipleItemSelectionAllowed="1" showAll="0"/>
    <pivotField name="TIPO DE VINCULACIÓN A LA ENTIDAD" axis="axisRow" compact="0" numFmtId="3" outline="0" multipleItemSelectionAllowed="1" showAll="0" sortType="ascending">
      <items count="7">
        <item x="1"/>
        <item x="0"/>
        <item x="2"/>
        <item x="5"/>
        <item x="3"/>
        <item x="4"/>
        <item t="default"/>
      </items>
    </pivotField>
    <pivotField name="TIPO DE VINCULACIÓN_x000a_AL CARGO/ SIDEAP" compact="0" numFmtId="3" outline="0" multipleItemSelectionAllowed="1" showAll="0"/>
    <pivotField name="FECHA INGRESO_x000a_A LA ENTIDAD" compact="0" outline="0" multipleItemSelectionAllowed="1" showAll="0"/>
  </pivotFields>
  <rowFields count="1">
    <field x="1"/>
  </rowFields>
  <rowItems count="7">
    <i>
      <x/>
    </i>
    <i>
      <x v="1"/>
    </i>
    <i>
      <x v="2"/>
    </i>
    <i>
      <x v="3"/>
    </i>
    <i>
      <x v="4"/>
    </i>
    <i>
      <x v="5"/>
    </i>
    <i t="grand">
      <x/>
    </i>
  </rowItems>
  <colItems count="1">
    <i/>
  </colItems>
  <dataFields count="1">
    <dataField name="CANTIDAD"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ESTADO FUNCIONAL DE LA PLANTA" cacheId="7" applyNumberFormats="0" applyBorderFormats="0" applyFontFormats="0" applyPatternFormats="0" applyAlignmentFormats="0" applyWidthHeightFormats="0" dataCaption="" updatedVersion="8" compact="0" compactData="0">
  <location ref="D5:E9" firstHeaderRow="1" firstDataRow="1" firstDataCol="1"/>
  <pivotFields count="2">
    <pivotField name="ESTADO DEL CARGO" axis="axisRow" compact="0" numFmtId="3" outline="0" multipleItemSelectionAllowed="1" showAll="0" sortType="ascending">
      <items count="4">
        <item x="0"/>
        <item x="2"/>
        <item x="1"/>
        <item t="default"/>
      </items>
    </pivotField>
    <pivotField name="NIVEL" dataField="1" compact="0" numFmtId="3" outline="0" multipleItemSelectionAllowed="1" showAll="0"/>
  </pivotFields>
  <rowFields count="1">
    <field x="0"/>
  </rowFields>
  <rowItems count="4">
    <i>
      <x/>
    </i>
    <i>
      <x v="1"/>
    </i>
    <i>
      <x v="2"/>
    </i>
    <i t="grand">
      <x/>
    </i>
  </rowItems>
  <colItems count="1">
    <i/>
  </colItems>
  <dataFields count="1">
    <dataField name="CANTIDAD" fld="1"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A00-000003000000}" name="datos" cacheId="19" applyNumberFormats="0" applyBorderFormats="0" applyFontFormats="0" applyPatternFormats="0" applyAlignmentFormats="0" applyWidthHeightFormats="0" dataCaption="" updatedVersion="8" compact="0" compactData="0">
  <location ref="H5:I9" firstHeaderRow="1" firstDataRow="1" firstDataCol="1"/>
  <pivotFields count="7">
    <pivotField name="APELLIDOS Y NOMBRES" compact="0" numFmtId="3" outline="0" multipleItemSelectionAllowed="1" showAll="0"/>
    <pivotField name="TIPO DE VINCULACIÓN A LA ENTIDAD" compact="0" numFmtId="3" outline="0" multipleItemSelectionAllowed="1" showAll="0"/>
    <pivotField name="TIPO DE VINCULACIÓN_x000a_AL CARGO/ SIDEAP" compact="0" numFmtId="3" outline="0" multipleItemSelectionAllowed="1" showAll="0"/>
    <pivotField name="FECHA INGRESO_x000a_A LA ENTIDAD" compact="0" outline="0" multipleItemSelectionAllowed="1" showAll="0"/>
    <pivotField name="FECHA INGRESO_x000a_AL DISTRITO" compact="0" outline="0" multipleItemSelectionAllowed="1" showAll="0"/>
    <pivotField name="SEXO" axis="axisRow" compact="0" numFmtId="3" outline="0" multipleItemSelectionAllowed="1" showAll="0" sortType="ascending">
      <items count="4">
        <item x="2"/>
        <item x="0"/>
        <item x="1"/>
        <item t="default"/>
      </items>
    </pivotField>
    <pivotField name="EDAD" dataField="1" compact="0" outline="0" multipleItemSelectionAllowed="1" showAll="0"/>
  </pivotFields>
  <rowFields count="1">
    <field x="5"/>
  </rowFields>
  <rowItems count="4">
    <i>
      <x/>
    </i>
    <i>
      <x v="1"/>
    </i>
    <i>
      <x v="2"/>
    </i>
    <i t="grand">
      <x/>
    </i>
  </rowItems>
  <colItems count="1">
    <i/>
  </colItems>
  <dataFields count="1">
    <dataField name="Cuenta de EDAD" fld="6"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5B3D7"/>
  </sheetPr>
  <dimension ref="A1:O1000"/>
  <sheetViews>
    <sheetView workbookViewId="0">
      <selection activeCell="F21" sqref="F21"/>
    </sheetView>
  </sheetViews>
  <sheetFormatPr baseColWidth="10" defaultColWidth="14.42578125" defaultRowHeight="15" customHeight="1"/>
  <cols>
    <col min="1" max="1" width="12.7109375" customWidth="1"/>
    <col min="2" max="2" width="39.85546875" customWidth="1"/>
    <col min="3" max="3" width="31.42578125" customWidth="1"/>
    <col min="4" max="4" width="12.7109375" customWidth="1"/>
    <col min="5" max="5" width="38" customWidth="1"/>
    <col min="6" max="6" width="20.42578125" customWidth="1"/>
    <col min="7" max="7" width="29.7109375" customWidth="1"/>
    <col min="8" max="8" width="8.85546875" customWidth="1"/>
    <col min="9" max="9" width="8.42578125" customWidth="1"/>
    <col min="10" max="10" width="6.5703125" customWidth="1"/>
    <col min="11" max="11" width="42" customWidth="1"/>
    <col min="12" max="12" width="255.7109375" customWidth="1"/>
    <col min="13" max="13" width="12.28515625" customWidth="1"/>
    <col min="14" max="14" width="255.7109375" customWidth="1"/>
    <col min="15" max="15" width="28.42578125" customWidth="1"/>
  </cols>
  <sheetData>
    <row r="1" spans="1:15" ht="12.75" customHeight="1">
      <c r="A1" s="1" t="s">
        <v>0</v>
      </c>
      <c r="B1" s="1" t="s">
        <v>1</v>
      </c>
      <c r="C1" s="3" t="s">
        <v>2</v>
      </c>
      <c r="D1" s="5" t="s">
        <v>0</v>
      </c>
      <c r="E1" s="6" t="s">
        <v>11</v>
      </c>
      <c r="F1" s="1" t="s">
        <v>6</v>
      </c>
      <c r="G1" s="1" t="s">
        <v>7</v>
      </c>
      <c r="H1" s="9" t="s">
        <v>8</v>
      </c>
      <c r="I1" s="11" t="s">
        <v>9</v>
      </c>
      <c r="J1" s="1" t="s">
        <v>13</v>
      </c>
      <c r="K1" s="1" t="s">
        <v>14</v>
      </c>
      <c r="L1" s="1" t="s">
        <v>15</v>
      </c>
      <c r="M1" s="1" t="s">
        <v>16</v>
      </c>
      <c r="N1" s="1" t="s">
        <v>17</v>
      </c>
      <c r="O1" s="1" t="s">
        <v>18</v>
      </c>
    </row>
    <row r="2" spans="1:15" ht="12.75" customHeight="1">
      <c r="A2" s="14">
        <v>33368317</v>
      </c>
      <c r="B2" s="18" t="s">
        <v>21</v>
      </c>
      <c r="C2" s="20" t="s">
        <v>24</v>
      </c>
      <c r="D2" s="21" t="s">
        <v>25</v>
      </c>
      <c r="E2" s="18" t="s">
        <v>20</v>
      </c>
      <c r="F2" s="23" t="s">
        <v>27</v>
      </c>
      <c r="G2" s="24" t="s">
        <v>29</v>
      </c>
      <c r="H2" s="25">
        <v>440</v>
      </c>
      <c r="I2" s="27">
        <v>9</v>
      </c>
      <c r="J2" s="28" t="s">
        <v>31</v>
      </c>
      <c r="K2" s="24" t="s">
        <v>33</v>
      </c>
      <c r="L2" s="24" t="s">
        <v>34</v>
      </c>
      <c r="M2" s="24" t="s">
        <v>35</v>
      </c>
      <c r="N2" s="24" t="s">
        <v>36</v>
      </c>
      <c r="O2" s="24" t="s">
        <v>37</v>
      </c>
    </row>
    <row r="3" spans="1:15" ht="12.75" customHeight="1">
      <c r="A3" s="14">
        <v>52699744</v>
      </c>
      <c r="B3" s="18" t="s">
        <v>38</v>
      </c>
      <c r="C3" s="20" t="s">
        <v>39</v>
      </c>
      <c r="D3" s="21">
        <v>52699744</v>
      </c>
      <c r="E3" s="18" t="s">
        <v>38</v>
      </c>
      <c r="F3" s="23" t="s">
        <v>22</v>
      </c>
      <c r="G3" s="24" t="s">
        <v>23</v>
      </c>
      <c r="H3" s="25">
        <v>9</v>
      </c>
      <c r="I3" s="27">
        <v>7</v>
      </c>
      <c r="J3" s="28" t="s">
        <v>40</v>
      </c>
      <c r="K3" s="24" t="s">
        <v>33</v>
      </c>
      <c r="L3" s="24" t="s">
        <v>41</v>
      </c>
      <c r="M3" s="24" t="s">
        <v>44</v>
      </c>
      <c r="N3" s="24" t="s">
        <v>45</v>
      </c>
      <c r="O3" s="24" t="s">
        <v>46</v>
      </c>
    </row>
    <row r="4" spans="1:15" ht="12.75" customHeight="1">
      <c r="A4" s="14">
        <v>52363895</v>
      </c>
      <c r="B4" s="18" t="s">
        <v>47</v>
      </c>
      <c r="C4" s="20" t="s">
        <v>49</v>
      </c>
      <c r="D4" s="21">
        <v>52363895</v>
      </c>
      <c r="E4" s="18" t="s">
        <v>47</v>
      </c>
      <c r="F4" s="23" t="s">
        <v>50</v>
      </c>
      <c r="G4" s="24" t="s">
        <v>51</v>
      </c>
      <c r="H4" s="25">
        <v>222</v>
      </c>
      <c r="I4" s="27">
        <v>27</v>
      </c>
      <c r="J4" s="28" t="s">
        <v>52</v>
      </c>
      <c r="K4" s="24" t="s">
        <v>33</v>
      </c>
      <c r="L4" s="24" t="s">
        <v>54</v>
      </c>
      <c r="M4" s="24" t="s">
        <v>55</v>
      </c>
      <c r="N4" s="24" t="s">
        <v>56</v>
      </c>
      <c r="O4" s="24" t="s">
        <v>57</v>
      </c>
    </row>
    <row r="5" spans="1:15" ht="12.75" customHeight="1">
      <c r="A5" s="14">
        <v>64586540</v>
      </c>
      <c r="B5" s="18" t="s">
        <v>58</v>
      </c>
      <c r="C5" s="20" t="s">
        <v>49</v>
      </c>
      <c r="D5" s="21">
        <v>64586540</v>
      </c>
      <c r="E5" s="18" t="s">
        <v>58</v>
      </c>
      <c r="F5" s="23" t="s">
        <v>50</v>
      </c>
      <c r="G5" s="24" t="s">
        <v>51</v>
      </c>
      <c r="H5" s="25">
        <v>222</v>
      </c>
      <c r="I5" s="27">
        <v>27</v>
      </c>
      <c r="J5" s="28" t="s">
        <v>52</v>
      </c>
      <c r="K5" s="24" t="s">
        <v>33</v>
      </c>
      <c r="L5" s="24" t="s">
        <v>59</v>
      </c>
      <c r="M5" s="24" t="s">
        <v>60</v>
      </c>
      <c r="N5" s="24" t="s">
        <v>56</v>
      </c>
      <c r="O5" s="24" t="s">
        <v>57</v>
      </c>
    </row>
    <row r="6" spans="1:15" ht="12.75" customHeight="1">
      <c r="A6" s="14">
        <v>73155098</v>
      </c>
      <c r="B6" s="18" t="s">
        <v>61</v>
      </c>
      <c r="C6" s="20" t="s">
        <v>49</v>
      </c>
      <c r="D6" s="21">
        <v>53015269</v>
      </c>
      <c r="E6" s="18" t="s">
        <v>62</v>
      </c>
      <c r="F6" s="23" t="s">
        <v>50</v>
      </c>
      <c r="G6" s="24" t="s">
        <v>51</v>
      </c>
      <c r="H6" s="25">
        <v>222</v>
      </c>
      <c r="I6" s="27">
        <v>22</v>
      </c>
      <c r="J6" s="28" t="s">
        <v>63</v>
      </c>
      <c r="K6" s="24" t="s">
        <v>33</v>
      </c>
      <c r="L6" s="24" t="s">
        <v>64</v>
      </c>
      <c r="M6" s="24" t="s">
        <v>65</v>
      </c>
      <c r="N6" s="24" t="s">
        <v>66</v>
      </c>
      <c r="O6" s="24" t="s">
        <v>67</v>
      </c>
    </row>
    <row r="7" spans="1:15" ht="12.75" customHeight="1">
      <c r="A7" s="14"/>
      <c r="B7" s="18" t="s">
        <v>69</v>
      </c>
      <c r="C7" s="20"/>
      <c r="D7" s="21">
        <v>53001416</v>
      </c>
      <c r="E7" s="18" t="s">
        <v>71</v>
      </c>
      <c r="F7" s="23" t="s">
        <v>50</v>
      </c>
      <c r="G7" s="24" t="s">
        <v>72</v>
      </c>
      <c r="H7" s="25">
        <v>219</v>
      </c>
      <c r="I7" s="27">
        <v>18</v>
      </c>
      <c r="J7" s="28" t="s">
        <v>73</v>
      </c>
      <c r="K7" s="24" t="s">
        <v>33</v>
      </c>
      <c r="L7" s="24" t="s">
        <v>77</v>
      </c>
      <c r="M7" s="24" t="s">
        <v>78</v>
      </c>
      <c r="N7" s="24" t="s">
        <v>80</v>
      </c>
      <c r="O7" s="24" t="s">
        <v>81</v>
      </c>
    </row>
    <row r="8" spans="1:15" ht="12.75" customHeight="1">
      <c r="A8" s="14"/>
      <c r="B8" s="18" t="s">
        <v>20</v>
      </c>
      <c r="C8" s="20"/>
      <c r="D8" s="21" t="s">
        <v>25</v>
      </c>
      <c r="E8" s="18" t="s">
        <v>20</v>
      </c>
      <c r="F8" s="23" t="s">
        <v>50</v>
      </c>
      <c r="G8" s="24" t="s">
        <v>72</v>
      </c>
      <c r="H8" s="25">
        <v>219</v>
      </c>
      <c r="I8" s="27">
        <v>18</v>
      </c>
      <c r="J8" s="28" t="s">
        <v>73</v>
      </c>
      <c r="K8" s="24" t="s">
        <v>33</v>
      </c>
      <c r="L8" s="24" t="s">
        <v>77</v>
      </c>
      <c r="M8" s="24" t="s">
        <v>78</v>
      </c>
      <c r="N8" s="24" t="s">
        <v>80</v>
      </c>
      <c r="O8" s="24" t="s">
        <v>81</v>
      </c>
    </row>
    <row r="9" spans="1:15" ht="12.75" customHeight="1">
      <c r="A9" s="14">
        <v>37625914</v>
      </c>
      <c r="B9" s="18" t="s">
        <v>85</v>
      </c>
      <c r="C9" s="20" t="s">
        <v>49</v>
      </c>
      <c r="D9" s="21">
        <v>52486713</v>
      </c>
      <c r="E9" s="18" t="s">
        <v>86</v>
      </c>
      <c r="F9" s="23" t="s">
        <v>50</v>
      </c>
      <c r="G9" s="24" t="s">
        <v>72</v>
      </c>
      <c r="H9" s="25">
        <v>219</v>
      </c>
      <c r="I9" s="27">
        <v>13</v>
      </c>
      <c r="J9" s="28" t="s">
        <v>88</v>
      </c>
      <c r="K9" s="24" t="s">
        <v>33</v>
      </c>
      <c r="L9" s="24" t="s">
        <v>90</v>
      </c>
      <c r="M9" s="24" t="s">
        <v>91</v>
      </c>
      <c r="N9" s="24" t="s">
        <v>92</v>
      </c>
      <c r="O9" s="24" t="s">
        <v>93</v>
      </c>
    </row>
    <row r="10" spans="1:15" ht="12.75" customHeight="1">
      <c r="A10" s="14"/>
      <c r="B10" s="18" t="s">
        <v>69</v>
      </c>
      <c r="C10" s="20"/>
      <c r="D10" s="21">
        <v>86058268</v>
      </c>
      <c r="E10" s="18" t="s">
        <v>96</v>
      </c>
      <c r="F10" s="23" t="s">
        <v>50</v>
      </c>
      <c r="G10" s="24" t="s">
        <v>72</v>
      </c>
      <c r="H10" s="25">
        <v>219</v>
      </c>
      <c r="I10" s="27">
        <v>13</v>
      </c>
      <c r="J10" s="28" t="s">
        <v>88</v>
      </c>
      <c r="K10" s="24" t="s">
        <v>33</v>
      </c>
      <c r="L10" s="24" t="s">
        <v>97</v>
      </c>
      <c r="M10" s="24" t="s">
        <v>99</v>
      </c>
      <c r="N10" s="24" t="s">
        <v>100</v>
      </c>
      <c r="O10" s="24" t="s">
        <v>101</v>
      </c>
    </row>
    <row r="11" spans="1:15" ht="12.75" customHeight="1">
      <c r="A11" s="14">
        <v>22446641</v>
      </c>
      <c r="B11" s="18" t="s">
        <v>102</v>
      </c>
      <c r="C11" s="20" t="s">
        <v>49</v>
      </c>
      <c r="D11" s="21">
        <v>1013608357</v>
      </c>
      <c r="E11" s="18" t="s">
        <v>103</v>
      </c>
      <c r="F11" s="23" t="s">
        <v>50</v>
      </c>
      <c r="G11" s="24" t="s">
        <v>72</v>
      </c>
      <c r="H11" s="25">
        <v>219</v>
      </c>
      <c r="I11" s="27">
        <v>3</v>
      </c>
      <c r="J11" s="28" t="s">
        <v>104</v>
      </c>
      <c r="K11" s="24" t="s">
        <v>33</v>
      </c>
      <c r="L11" s="24" t="s">
        <v>105</v>
      </c>
      <c r="M11" s="24" t="s">
        <v>106</v>
      </c>
      <c r="N11" s="24" t="s">
        <v>92</v>
      </c>
      <c r="O11" s="24" t="s">
        <v>108</v>
      </c>
    </row>
    <row r="12" spans="1:15" ht="12.75" customHeight="1">
      <c r="A12" s="14">
        <v>79894605</v>
      </c>
      <c r="B12" s="18" t="s">
        <v>109</v>
      </c>
      <c r="C12" s="20" t="s">
        <v>24</v>
      </c>
      <c r="D12" s="21">
        <v>1032489040</v>
      </c>
      <c r="E12" s="18" t="s">
        <v>110</v>
      </c>
      <c r="F12" s="23" t="s">
        <v>50</v>
      </c>
      <c r="G12" s="24" t="s">
        <v>72</v>
      </c>
      <c r="H12" s="25">
        <v>219</v>
      </c>
      <c r="I12" s="27">
        <v>1</v>
      </c>
      <c r="J12" s="28" t="s">
        <v>111</v>
      </c>
      <c r="K12" s="24" t="s">
        <v>33</v>
      </c>
      <c r="L12" s="41" t="s">
        <v>112</v>
      </c>
      <c r="M12" s="41" t="s">
        <v>114</v>
      </c>
      <c r="N12" s="41" t="s">
        <v>92</v>
      </c>
      <c r="O12" s="41" t="s">
        <v>116</v>
      </c>
    </row>
    <row r="13" spans="1:15" ht="12.75" customHeight="1">
      <c r="A13" s="14">
        <v>30333406</v>
      </c>
      <c r="B13" s="18" t="s">
        <v>117</v>
      </c>
      <c r="C13" s="20" t="s">
        <v>49</v>
      </c>
      <c r="D13" s="21">
        <v>30333406</v>
      </c>
      <c r="E13" s="18" t="s">
        <v>117</v>
      </c>
      <c r="F13" s="23" t="s">
        <v>50</v>
      </c>
      <c r="G13" s="24" t="s">
        <v>72</v>
      </c>
      <c r="H13" s="25">
        <v>219</v>
      </c>
      <c r="I13" s="27">
        <v>1</v>
      </c>
      <c r="J13" s="28" t="s">
        <v>111</v>
      </c>
      <c r="K13" s="24" t="s">
        <v>33</v>
      </c>
      <c r="L13" s="24" t="s">
        <v>120</v>
      </c>
      <c r="M13" s="24" t="s">
        <v>121</v>
      </c>
      <c r="N13" s="24" t="s">
        <v>122</v>
      </c>
      <c r="O13" s="24" t="s">
        <v>116</v>
      </c>
    </row>
    <row r="14" spans="1:15" ht="12.75" customHeight="1">
      <c r="A14" s="14">
        <v>1018499480</v>
      </c>
      <c r="B14" s="18" t="s">
        <v>123</v>
      </c>
      <c r="C14" s="20" t="s">
        <v>24</v>
      </c>
      <c r="D14" s="21">
        <v>22446641</v>
      </c>
      <c r="E14" s="18" t="s">
        <v>102</v>
      </c>
      <c r="F14" s="23" t="s">
        <v>124</v>
      </c>
      <c r="G14" s="24" t="s">
        <v>124</v>
      </c>
      <c r="H14" s="25">
        <v>314</v>
      </c>
      <c r="I14" s="27">
        <v>15</v>
      </c>
      <c r="J14" s="28" t="s">
        <v>125</v>
      </c>
      <c r="K14" s="24" t="s">
        <v>33</v>
      </c>
      <c r="L14" s="24" t="s">
        <v>126</v>
      </c>
      <c r="M14" s="24" t="s">
        <v>127</v>
      </c>
      <c r="N14" s="24" t="s">
        <v>128</v>
      </c>
      <c r="O14" s="24" t="s">
        <v>130</v>
      </c>
    </row>
    <row r="15" spans="1:15" ht="12.75" customHeight="1">
      <c r="A15" s="14">
        <v>1010176886</v>
      </c>
      <c r="B15" s="18" t="s">
        <v>131</v>
      </c>
      <c r="C15" s="20" t="s">
        <v>49</v>
      </c>
      <c r="D15" s="21">
        <v>1010176886</v>
      </c>
      <c r="E15" s="18" t="s">
        <v>131</v>
      </c>
      <c r="F15" s="23" t="s">
        <v>124</v>
      </c>
      <c r="G15" s="24" t="s">
        <v>124</v>
      </c>
      <c r="H15" s="25">
        <v>314</v>
      </c>
      <c r="I15" s="27">
        <v>15</v>
      </c>
      <c r="J15" s="28" t="s">
        <v>125</v>
      </c>
      <c r="K15" s="24" t="s">
        <v>33</v>
      </c>
      <c r="L15" s="24" t="s">
        <v>126</v>
      </c>
      <c r="M15" s="24" t="s">
        <v>127</v>
      </c>
      <c r="N15" s="24" t="s">
        <v>128</v>
      </c>
      <c r="O15" s="24" t="s">
        <v>130</v>
      </c>
    </row>
    <row r="16" spans="1:15">
      <c r="A16" s="46"/>
    </row>
    <row r="17" spans="1:1">
      <c r="A17" s="46"/>
    </row>
    <row r="18" spans="1:1">
      <c r="A18" s="46"/>
    </row>
    <row r="19" spans="1:1">
      <c r="A19" s="46"/>
    </row>
    <row r="20" spans="1:1">
      <c r="A20" s="46"/>
    </row>
    <row r="21" spans="1:1" ht="15.75" customHeight="1">
      <c r="A21" s="46"/>
    </row>
    <row r="22" spans="1:1" ht="15.75" customHeight="1">
      <c r="A22" s="46"/>
    </row>
    <row r="23" spans="1:1" ht="15.75" customHeight="1">
      <c r="A23" s="46"/>
    </row>
    <row r="24" spans="1:1" ht="15.75" customHeight="1">
      <c r="A24" s="46"/>
    </row>
    <row r="25" spans="1:1" ht="15.75" customHeight="1">
      <c r="A25" s="46"/>
    </row>
    <row r="26" spans="1:1" ht="15.75" customHeight="1">
      <c r="A26" s="46"/>
    </row>
    <row r="27" spans="1:1" ht="15.75" customHeight="1">
      <c r="A27" s="46"/>
    </row>
    <row r="28" spans="1:1" ht="15.75" customHeight="1">
      <c r="A28" s="46"/>
    </row>
    <row r="29" spans="1:1" ht="15.75" customHeight="1">
      <c r="A29" s="46"/>
    </row>
    <row r="30" spans="1:1" ht="15.75" customHeight="1">
      <c r="A30" s="46"/>
    </row>
    <row r="31" spans="1:1" ht="15.75" customHeight="1">
      <c r="A31" s="46"/>
    </row>
    <row r="32" spans="1:1" ht="15.75" customHeight="1">
      <c r="A32" s="46"/>
    </row>
    <row r="33" spans="1:1" ht="15.75" customHeight="1">
      <c r="A33" s="46"/>
    </row>
    <row r="34" spans="1:1" ht="15.75" customHeight="1">
      <c r="A34" s="46"/>
    </row>
    <row r="35" spans="1:1" ht="15.75" customHeight="1">
      <c r="A35" s="46"/>
    </row>
    <row r="36" spans="1:1" ht="15.75" customHeight="1">
      <c r="A36" s="46"/>
    </row>
    <row r="37" spans="1:1" ht="15.75" customHeight="1">
      <c r="A37" s="46"/>
    </row>
    <row r="38" spans="1:1" ht="15.75" customHeight="1">
      <c r="A38" s="46"/>
    </row>
    <row r="39" spans="1:1" ht="15.75" customHeight="1">
      <c r="A39" s="46"/>
    </row>
    <row r="40" spans="1:1" ht="15.75" customHeight="1">
      <c r="A40" s="46"/>
    </row>
    <row r="41" spans="1:1" ht="15.75" customHeight="1">
      <c r="A41" s="46"/>
    </row>
    <row r="42" spans="1:1" ht="15.75" customHeight="1">
      <c r="A42" s="46"/>
    </row>
    <row r="43" spans="1:1" ht="15.75" customHeight="1">
      <c r="A43" s="46"/>
    </row>
    <row r="44" spans="1:1" ht="15.75" customHeight="1">
      <c r="A44" s="46"/>
    </row>
    <row r="45" spans="1:1" ht="15.75" customHeight="1">
      <c r="A45" s="46"/>
    </row>
    <row r="46" spans="1:1" ht="15.75" customHeight="1">
      <c r="A46" s="46"/>
    </row>
    <row r="47" spans="1:1" ht="15.75" customHeight="1">
      <c r="A47" s="46"/>
    </row>
    <row r="48" spans="1:1" ht="15.75" customHeight="1">
      <c r="A48" s="46"/>
    </row>
    <row r="49" spans="1:1" ht="15.75" customHeight="1">
      <c r="A49" s="46"/>
    </row>
    <row r="50" spans="1:1" ht="15.75" customHeight="1">
      <c r="A50" s="46"/>
    </row>
    <row r="51" spans="1:1" ht="15.75" customHeight="1">
      <c r="A51" s="46"/>
    </row>
    <row r="52" spans="1:1" ht="15.75" customHeight="1">
      <c r="A52" s="46"/>
    </row>
    <row r="53" spans="1:1" ht="15.75" customHeight="1">
      <c r="A53" s="46"/>
    </row>
    <row r="54" spans="1:1" ht="15.75" customHeight="1">
      <c r="A54" s="46"/>
    </row>
    <row r="55" spans="1:1" ht="15.75" customHeight="1">
      <c r="A55" s="46"/>
    </row>
    <row r="56" spans="1:1" ht="15.75" customHeight="1">
      <c r="A56" s="46"/>
    </row>
    <row r="57" spans="1:1" ht="15.75" customHeight="1">
      <c r="A57" s="46"/>
    </row>
    <row r="58" spans="1:1" ht="15.75" customHeight="1">
      <c r="A58" s="46"/>
    </row>
    <row r="59" spans="1:1" ht="15.75" customHeight="1">
      <c r="A59" s="46"/>
    </row>
    <row r="60" spans="1:1" ht="15.75" customHeight="1">
      <c r="A60" s="46"/>
    </row>
    <row r="61" spans="1:1" ht="15.75" customHeight="1">
      <c r="A61" s="46"/>
    </row>
    <row r="62" spans="1:1" ht="15.75" customHeight="1">
      <c r="A62" s="46"/>
    </row>
    <row r="63" spans="1:1" ht="15.75" customHeight="1">
      <c r="A63" s="46"/>
    </row>
    <row r="64" spans="1:1" ht="15.75" customHeight="1">
      <c r="A64" s="46"/>
    </row>
    <row r="65" spans="1:1" ht="15.75" customHeight="1">
      <c r="A65" s="46"/>
    </row>
    <row r="66" spans="1:1" ht="15.75" customHeight="1">
      <c r="A66" s="46"/>
    </row>
    <row r="67" spans="1:1" ht="15.75" customHeight="1">
      <c r="A67" s="46"/>
    </row>
    <row r="68" spans="1:1" ht="15.75" customHeight="1">
      <c r="A68" s="46"/>
    </row>
    <row r="69" spans="1:1" ht="15.75" customHeight="1">
      <c r="A69" s="46"/>
    </row>
    <row r="70" spans="1:1" ht="15.75" customHeight="1">
      <c r="A70" s="46"/>
    </row>
    <row r="71" spans="1:1" ht="15.75" customHeight="1">
      <c r="A71" s="46"/>
    </row>
    <row r="72" spans="1:1" ht="15.75" customHeight="1">
      <c r="A72" s="46"/>
    </row>
    <row r="73" spans="1:1" ht="15.75" customHeight="1">
      <c r="A73" s="46"/>
    </row>
    <row r="74" spans="1:1" ht="15.75" customHeight="1">
      <c r="A74" s="46"/>
    </row>
    <row r="75" spans="1:1" ht="15.75" customHeight="1">
      <c r="A75" s="46"/>
    </row>
    <row r="76" spans="1:1" ht="15.75" customHeight="1">
      <c r="A76" s="46"/>
    </row>
    <row r="77" spans="1:1" ht="15.75" customHeight="1">
      <c r="A77" s="46"/>
    </row>
    <row r="78" spans="1:1" ht="15.75" customHeight="1">
      <c r="A78" s="46"/>
    </row>
    <row r="79" spans="1:1" ht="15.75" customHeight="1">
      <c r="A79" s="46"/>
    </row>
    <row r="80" spans="1:1" ht="15.75" customHeight="1">
      <c r="A80" s="46"/>
    </row>
    <row r="81" spans="1:1" ht="15.75" customHeight="1">
      <c r="A81" s="46"/>
    </row>
    <row r="82" spans="1:1" ht="15.75" customHeight="1">
      <c r="A82" s="46"/>
    </row>
    <row r="83" spans="1:1" ht="15.75" customHeight="1">
      <c r="A83" s="46"/>
    </row>
    <row r="84" spans="1:1" ht="15.75" customHeight="1">
      <c r="A84" s="46"/>
    </row>
    <row r="85" spans="1:1" ht="15.75" customHeight="1">
      <c r="A85" s="46"/>
    </row>
    <row r="86" spans="1:1" ht="15.75" customHeight="1">
      <c r="A86" s="46"/>
    </row>
    <row r="87" spans="1:1" ht="15.75" customHeight="1">
      <c r="A87" s="46"/>
    </row>
    <row r="88" spans="1:1" ht="15.75" customHeight="1">
      <c r="A88" s="46"/>
    </row>
    <row r="89" spans="1:1" ht="15.75" customHeight="1">
      <c r="A89" s="46"/>
    </row>
    <row r="90" spans="1:1" ht="15.75" customHeight="1">
      <c r="A90" s="46"/>
    </row>
    <row r="91" spans="1:1" ht="15.75" customHeight="1">
      <c r="A91" s="46"/>
    </row>
    <row r="92" spans="1:1" ht="15.75" customHeight="1">
      <c r="A92" s="46"/>
    </row>
    <row r="93" spans="1:1" ht="15.75" customHeight="1">
      <c r="A93" s="46"/>
    </row>
    <row r="94" spans="1:1" ht="15.75" customHeight="1">
      <c r="A94" s="46"/>
    </row>
    <row r="95" spans="1:1" ht="15.75" customHeight="1">
      <c r="A95" s="46"/>
    </row>
    <row r="96" spans="1:1" ht="15.75" customHeight="1">
      <c r="A96" s="46"/>
    </row>
    <row r="97" spans="1:1" ht="15.75" customHeight="1">
      <c r="A97" s="46"/>
    </row>
    <row r="98" spans="1:1" ht="15.75" customHeight="1">
      <c r="A98" s="46"/>
    </row>
    <row r="99" spans="1:1" ht="15.75" customHeight="1">
      <c r="A99" s="46"/>
    </row>
    <row r="100" spans="1:1" ht="15.75" customHeight="1">
      <c r="A100" s="46"/>
    </row>
    <row r="101" spans="1:1" ht="15.75" customHeight="1">
      <c r="A101" s="46"/>
    </row>
    <row r="102" spans="1:1" ht="15.75" customHeight="1">
      <c r="A102" s="46"/>
    </row>
    <row r="103" spans="1:1" ht="15.75" customHeight="1">
      <c r="A103" s="46"/>
    </row>
    <row r="104" spans="1:1" ht="15.75" customHeight="1">
      <c r="A104" s="46"/>
    </row>
    <row r="105" spans="1:1" ht="15.75" customHeight="1">
      <c r="A105" s="46"/>
    </row>
    <row r="106" spans="1:1" ht="15.75" customHeight="1">
      <c r="A106" s="46"/>
    </row>
    <row r="107" spans="1:1" ht="15.75" customHeight="1">
      <c r="A107" s="46"/>
    </row>
    <row r="108" spans="1:1" ht="15.75" customHeight="1">
      <c r="A108" s="46"/>
    </row>
    <row r="109" spans="1:1" ht="15.75" customHeight="1">
      <c r="A109" s="46"/>
    </row>
    <row r="110" spans="1:1" ht="15.75" customHeight="1">
      <c r="A110" s="46"/>
    </row>
    <row r="111" spans="1:1" ht="15.75" customHeight="1">
      <c r="A111" s="46"/>
    </row>
    <row r="112" spans="1:1" ht="15.75" customHeight="1">
      <c r="A112" s="46"/>
    </row>
    <row r="113" spans="1:1" ht="15.75" customHeight="1">
      <c r="A113" s="46"/>
    </row>
    <row r="114" spans="1:1" ht="15.75" customHeight="1">
      <c r="A114" s="46"/>
    </row>
    <row r="115" spans="1:1" ht="15.75" customHeight="1">
      <c r="A115" s="46"/>
    </row>
    <row r="116" spans="1:1" ht="15.75" customHeight="1">
      <c r="A116" s="46"/>
    </row>
    <row r="117" spans="1:1" ht="15.75" customHeight="1">
      <c r="A117" s="46"/>
    </row>
    <row r="118" spans="1:1" ht="15.75" customHeight="1">
      <c r="A118" s="46"/>
    </row>
    <row r="119" spans="1:1" ht="15.75" customHeight="1">
      <c r="A119" s="46"/>
    </row>
    <row r="120" spans="1:1" ht="15.75" customHeight="1">
      <c r="A120" s="46"/>
    </row>
    <row r="121" spans="1:1" ht="15.75" customHeight="1">
      <c r="A121" s="46"/>
    </row>
    <row r="122" spans="1:1" ht="15.75" customHeight="1">
      <c r="A122" s="46"/>
    </row>
    <row r="123" spans="1:1" ht="15.75" customHeight="1">
      <c r="A123" s="46"/>
    </row>
    <row r="124" spans="1:1" ht="15.75" customHeight="1">
      <c r="A124" s="46"/>
    </row>
    <row r="125" spans="1:1" ht="15.75" customHeight="1">
      <c r="A125" s="46"/>
    </row>
    <row r="126" spans="1:1" ht="15.75" customHeight="1">
      <c r="A126" s="46"/>
    </row>
    <row r="127" spans="1:1" ht="15.75" customHeight="1">
      <c r="A127" s="46"/>
    </row>
    <row r="128" spans="1:1" ht="15.75" customHeight="1">
      <c r="A128" s="46"/>
    </row>
    <row r="129" spans="1:1" ht="15.75" customHeight="1">
      <c r="A129" s="46"/>
    </row>
    <row r="130" spans="1:1" ht="15.75" customHeight="1">
      <c r="A130" s="46"/>
    </row>
    <row r="131" spans="1:1" ht="15.75" customHeight="1">
      <c r="A131" s="46"/>
    </row>
    <row r="132" spans="1:1" ht="15.75" customHeight="1">
      <c r="A132" s="46"/>
    </row>
    <row r="133" spans="1:1" ht="15.75" customHeight="1">
      <c r="A133" s="46"/>
    </row>
    <row r="134" spans="1:1" ht="15.75" customHeight="1">
      <c r="A134" s="46"/>
    </row>
    <row r="135" spans="1:1" ht="15.75" customHeight="1">
      <c r="A135" s="46"/>
    </row>
    <row r="136" spans="1:1" ht="15.75" customHeight="1">
      <c r="A136" s="46"/>
    </row>
    <row r="137" spans="1:1" ht="15.75" customHeight="1">
      <c r="A137" s="46"/>
    </row>
    <row r="138" spans="1:1" ht="15.75" customHeight="1">
      <c r="A138" s="46"/>
    </row>
    <row r="139" spans="1:1" ht="15.75" customHeight="1">
      <c r="A139" s="46"/>
    </row>
    <row r="140" spans="1:1" ht="15.75" customHeight="1">
      <c r="A140" s="46"/>
    </row>
    <row r="141" spans="1:1" ht="15.75" customHeight="1">
      <c r="A141" s="46"/>
    </row>
    <row r="142" spans="1:1" ht="15.75" customHeight="1">
      <c r="A142" s="46"/>
    </row>
    <row r="143" spans="1:1" ht="15.75" customHeight="1">
      <c r="A143" s="46"/>
    </row>
    <row r="144" spans="1:1" ht="15.75" customHeight="1">
      <c r="A144" s="46"/>
    </row>
    <row r="145" spans="1:1" ht="15.75" customHeight="1">
      <c r="A145" s="46"/>
    </row>
    <row r="146" spans="1:1" ht="15.75" customHeight="1">
      <c r="A146" s="46"/>
    </row>
    <row r="147" spans="1:1" ht="15.75" customHeight="1">
      <c r="A147" s="46"/>
    </row>
    <row r="148" spans="1:1" ht="15.75" customHeight="1">
      <c r="A148" s="46"/>
    </row>
    <row r="149" spans="1:1" ht="15.75" customHeight="1">
      <c r="A149" s="46"/>
    </row>
    <row r="150" spans="1:1" ht="15.75" customHeight="1">
      <c r="A150" s="46"/>
    </row>
    <row r="151" spans="1:1" ht="15.75" customHeight="1">
      <c r="A151" s="46"/>
    </row>
    <row r="152" spans="1:1" ht="15.75" customHeight="1">
      <c r="A152" s="46"/>
    </row>
    <row r="153" spans="1:1" ht="15.75" customHeight="1">
      <c r="A153" s="46"/>
    </row>
    <row r="154" spans="1:1" ht="15.75" customHeight="1">
      <c r="A154" s="46"/>
    </row>
    <row r="155" spans="1:1" ht="15.75" customHeight="1">
      <c r="A155" s="46"/>
    </row>
    <row r="156" spans="1:1" ht="15.75" customHeight="1">
      <c r="A156" s="46"/>
    </row>
    <row r="157" spans="1:1" ht="15.75" customHeight="1">
      <c r="A157" s="46"/>
    </row>
    <row r="158" spans="1:1" ht="15.75" customHeight="1">
      <c r="A158" s="46"/>
    </row>
    <row r="159" spans="1:1" ht="15.75" customHeight="1">
      <c r="A159" s="46"/>
    </row>
    <row r="160" spans="1:1" ht="15.75" customHeight="1">
      <c r="A160" s="46"/>
    </row>
    <row r="161" spans="1:1" ht="15.75" customHeight="1">
      <c r="A161" s="46"/>
    </row>
    <row r="162" spans="1:1" ht="15.75" customHeight="1">
      <c r="A162" s="46"/>
    </row>
    <row r="163" spans="1:1" ht="15.75" customHeight="1">
      <c r="A163" s="46"/>
    </row>
    <row r="164" spans="1:1" ht="15.75" customHeight="1">
      <c r="A164" s="46"/>
    </row>
    <row r="165" spans="1:1" ht="15.75" customHeight="1">
      <c r="A165" s="46"/>
    </row>
    <row r="166" spans="1:1" ht="15.75" customHeight="1">
      <c r="A166" s="46"/>
    </row>
    <row r="167" spans="1:1" ht="15.75" customHeight="1">
      <c r="A167" s="46"/>
    </row>
    <row r="168" spans="1:1" ht="15.75" customHeight="1">
      <c r="A168" s="46"/>
    </row>
    <row r="169" spans="1:1" ht="15.75" customHeight="1">
      <c r="A169" s="46"/>
    </row>
    <row r="170" spans="1:1" ht="15.75" customHeight="1">
      <c r="A170" s="46"/>
    </row>
    <row r="171" spans="1:1" ht="15.75" customHeight="1">
      <c r="A171" s="46"/>
    </row>
    <row r="172" spans="1:1" ht="15.75" customHeight="1">
      <c r="A172" s="46"/>
    </row>
    <row r="173" spans="1:1" ht="15.75" customHeight="1">
      <c r="A173" s="46"/>
    </row>
    <row r="174" spans="1:1" ht="15.75" customHeight="1">
      <c r="A174" s="46"/>
    </row>
    <row r="175" spans="1:1" ht="15.75" customHeight="1">
      <c r="A175" s="46"/>
    </row>
    <row r="176" spans="1:1" ht="15.75" customHeight="1">
      <c r="A176" s="46"/>
    </row>
    <row r="177" spans="1:1" ht="15.75" customHeight="1">
      <c r="A177" s="46"/>
    </row>
    <row r="178" spans="1:1" ht="15.75" customHeight="1">
      <c r="A178" s="46"/>
    </row>
    <row r="179" spans="1:1" ht="15.75" customHeight="1">
      <c r="A179" s="46"/>
    </row>
    <row r="180" spans="1:1" ht="15.75" customHeight="1">
      <c r="A180" s="46"/>
    </row>
    <row r="181" spans="1:1" ht="15.75" customHeight="1">
      <c r="A181" s="46"/>
    </row>
    <row r="182" spans="1:1" ht="15.75" customHeight="1">
      <c r="A182" s="46"/>
    </row>
    <row r="183" spans="1:1" ht="15.75" customHeight="1">
      <c r="A183" s="46"/>
    </row>
    <row r="184" spans="1:1" ht="15.75" customHeight="1">
      <c r="A184" s="46"/>
    </row>
    <row r="185" spans="1:1" ht="15.75" customHeight="1">
      <c r="A185" s="46"/>
    </row>
    <row r="186" spans="1:1" ht="15.75" customHeight="1">
      <c r="A186" s="46"/>
    </row>
    <row r="187" spans="1:1" ht="15.75" customHeight="1">
      <c r="A187" s="46"/>
    </row>
    <row r="188" spans="1:1" ht="15.75" customHeight="1">
      <c r="A188" s="46"/>
    </row>
    <row r="189" spans="1:1" ht="15.75" customHeight="1">
      <c r="A189" s="46"/>
    </row>
    <row r="190" spans="1:1" ht="15.75" customHeight="1">
      <c r="A190" s="46"/>
    </row>
    <row r="191" spans="1:1" ht="15.75" customHeight="1">
      <c r="A191" s="46"/>
    </row>
    <row r="192" spans="1:1" ht="15.75" customHeight="1">
      <c r="A192" s="46"/>
    </row>
    <row r="193" spans="1:1" ht="15.75" customHeight="1">
      <c r="A193" s="46"/>
    </row>
    <row r="194" spans="1:1" ht="15.75" customHeight="1">
      <c r="A194" s="46"/>
    </row>
    <row r="195" spans="1:1" ht="15.75" customHeight="1">
      <c r="A195" s="46"/>
    </row>
    <row r="196" spans="1:1" ht="15.75" customHeight="1">
      <c r="A196" s="46"/>
    </row>
    <row r="197" spans="1:1" ht="15.75" customHeight="1">
      <c r="A197" s="46"/>
    </row>
    <row r="198" spans="1:1" ht="15.75" customHeight="1">
      <c r="A198" s="46"/>
    </row>
    <row r="199" spans="1:1" ht="15.75" customHeight="1">
      <c r="A199" s="46"/>
    </row>
    <row r="200" spans="1:1" ht="15.75" customHeight="1">
      <c r="A200" s="46"/>
    </row>
    <row r="201" spans="1:1" ht="15.75" customHeight="1">
      <c r="A201" s="46"/>
    </row>
    <row r="202" spans="1:1" ht="15.75" customHeight="1">
      <c r="A202" s="46"/>
    </row>
    <row r="203" spans="1:1" ht="15.75" customHeight="1">
      <c r="A203" s="46"/>
    </row>
    <row r="204" spans="1:1" ht="15.75" customHeight="1">
      <c r="A204" s="46"/>
    </row>
    <row r="205" spans="1:1" ht="15.75" customHeight="1">
      <c r="A205" s="46"/>
    </row>
    <row r="206" spans="1:1" ht="15.75" customHeight="1">
      <c r="A206" s="46"/>
    </row>
    <row r="207" spans="1:1" ht="15.75" customHeight="1">
      <c r="A207" s="46"/>
    </row>
    <row r="208" spans="1:1" ht="15.75" customHeight="1">
      <c r="A208" s="46"/>
    </row>
    <row r="209" spans="1:1" ht="15.75" customHeight="1">
      <c r="A209" s="46"/>
    </row>
    <row r="210" spans="1:1" ht="15.75" customHeight="1">
      <c r="A210" s="46"/>
    </row>
    <row r="211" spans="1:1" ht="15.75" customHeight="1">
      <c r="A211" s="46"/>
    </row>
    <row r="212" spans="1:1" ht="15.75" customHeight="1">
      <c r="A212" s="46"/>
    </row>
    <row r="213" spans="1:1" ht="15.75" customHeight="1">
      <c r="A213" s="46"/>
    </row>
    <row r="214" spans="1:1" ht="15.75" customHeight="1">
      <c r="A214" s="46"/>
    </row>
    <row r="215" spans="1:1" ht="15.75" customHeight="1">
      <c r="A215" s="46"/>
    </row>
    <row r="216" spans="1:1" ht="15.75" customHeight="1">
      <c r="A216" s="46"/>
    </row>
    <row r="217" spans="1:1" ht="15.75" customHeight="1">
      <c r="A217" s="46"/>
    </row>
    <row r="218" spans="1:1" ht="15.75" customHeight="1">
      <c r="A218" s="46"/>
    </row>
    <row r="219" spans="1:1" ht="15.75" customHeight="1">
      <c r="A219" s="46"/>
    </row>
    <row r="220" spans="1:1" ht="15.75" customHeight="1">
      <c r="A220" s="46"/>
    </row>
    <row r="221" spans="1:1" ht="15.75" customHeight="1"/>
    <row r="222" spans="1:1" ht="15.75" customHeight="1"/>
    <row r="223" spans="1:1" ht="15.75" customHeight="1"/>
    <row r="224" spans="1:1"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00"/>
  <sheetViews>
    <sheetView workbookViewId="0"/>
  </sheetViews>
  <sheetFormatPr baseColWidth="10" defaultColWidth="14.42578125" defaultRowHeight="15" customHeight="1"/>
  <cols>
    <col min="1" max="1" width="4" customWidth="1"/>
    <col min="2" max="2" width="12.7109375" customWidth="1"/>
    <col min="3" max="3" width="42.140625" customWidth="1"/>
    <col min="4" max="4" width="3.5703125" customWidth="1"/>
    <col min="5" max="5" width="14.5703125" customWidth="1"/>
    <col min="6" max="6" width="29.7109375" customWidth="1"/>
    <col min="7" max="7" width="8.42578125" customWidth="1"/>
    <col min="8" max="9" width="7.7109375" customWidth="1"/>
    <col min="10" max="10" width="87.140625" customWidth="1"/>
    <col min="11" max="11" width="26" hidden="1" customWidth="1"/>
    <col min="12" max="14" width="11.85546875" customWidth="1"/>
    <col min="15" max="29" width="10.7109375" customWidth="1"/>
  </cols>
  <sheetData>
    <row r="1" spans="1:35" ht="12.75" customHeight="1">
      <c r="A1" s="2"/>
      <c r="B1" s="4" t="s">
        <v>3</v>
      </c>
      <c r="C1" s="4" t="s">
        <v>4</v>
      </c>
      <c r="D1" s="4" t="s">
        <v>5</v>
      </c>
      <c r="E1" s="4" t="s">
        <v>6</v>
      </c>
      <c r="F1" s="4" t="s">
        <v>7</v>
      </c>
      <c r="G1" s="4" t="s">
        <v>8</v>
      </c>
      <c r="H1" s="4" t="s">
        <v>9</v>
      </c>
      <c r="I1" s="4"/>
      <c r="J1" s="4" t="s">
        <v>10</v>
      </c>
      <c r="K1" s="7" t="s">
        <v>12</v>
      </c>
      <c r="L1" s="8"/>
      <c r="M1" s="8"/>
      <c r="N1" s="10"/>
      <c r="O1" s="2"/>
    </row>
    <row r="2" spans="1:35" ht="12.75" customHeight="1">
      <c r="A2" s="12">
        <v>1</v>
      </c>
      <c r="B2" s="13"/>
      <c r="C2" s="15" t="s">
        <v>20</v>
      </c>
      <c r="D2" s="15">
        <v>1</v>
      </c>
      <c r="E2" s="13" t="s">
        <v>22</v>
      </c>
      <c r="F2" s="17" t="s">
        <v>23</v>
      </c>
      <c r="G2" s="13">
        <v>9</v>
      </c>
      <c r="H2" s="19">
        <v>7</v>
      </c>
      <c r="I2" s="19" t="str">
        <f t="shared" ref="I2:I171" si="0">G2&amp;"-"&amp;H2</f>
        <v>9-7</v>
      </c>
      <c r="J2" s="17" t="s">
        <v>30</v>
      </c>
      <c r="K2" s="26"/>
      <c r="L2" s="8" t="b">
        <f t="shared" ref="L2:L171" si="1">C2=P2</f>
        <v>0</v>
      </c>
      <c r="M2" s="8" t="b">
        <f t="shared" ref="M2:M171" si="2">J2=AH2</f>
        <v>1</v>
      </c>
      <c r="N2" s="29"/>
      <c r="O2" s="30">
        <v>39546837</v>
      </c>
      <c r="P2" s="18" t="s">
        <v>42</v>
      </c>
      <c r="Q2" s="31" t="s">
        <v>39</v>
      </c>
      <c r="R2" s="31" t="s">
        <v>43</v>
      </c>
      <c r="S2" s="33">
        <v>42621</v>
      </c>
      <c r="T2" s="33">
        <v>42622</v>
      </c>
      <c r="U2" s="31" t="s">
        <v>48</v>
      </c>
      <c r="V2" s="21">
        <v>53</v>
      </c>
      <c r="W2" s="21" t="s">
        <v>25</v>
      </c>
      <c r="X2" s="18" t="s">
        <v>20</v>
      </c>
      <c r="Y2" s="21"/>
      <c r="Z2" s="21"/>
      <c r="AA2" s="21"/>
      <c r="AB2" s="18" t="s">
        <v>53</v>
      </c>
      <c r="AC2" s="23" t="s">
        <v>22</v>
      </c>
      <c r="AD2" s="24" t="s">
        <v>23</v>
      </c>
      <c r="AE2" s="34">
        <v>9</v>
      </c>
      <c r="AF2" s="35">
        <v>7</v>
      </c>
      <c r="AG2" s="28" t="str">
        <f t="shared" ref="AG2:AG136" si="3">AE2&amp;"-"&amp;AF2</f>
        <v>9-7</v>
      </c>
      <c r="AH2" s="24" t="s">
        <v>30</v>
      </c>
      <c r="AI2" s="2" t="b">
        <f t="shared" ref="AI2:AI171" si="4">AG2=I2</f>
        <v>1</v>
      </c>
    </row>
    <row r="3" spans="1:35" ht="12.75" customHeight="1">
      <c r="A3" s="12">
        <v>2</v>
      </c>
      <c r="B3" s="28"/>
      <c r="C3" s="15" t="s">
        <v>20</v>
      </c>
      <c r="D3" s="15">
        <v>1</v>
      </c>
      <c r="E3" s="19" t="s">
        <v>22</v>
      </c>
      <c r="F3" s="17" t="s">
        <v>23</v>
      </c>
      <c r="G3" s="13">
        <v>9</v>
      </c>
      <c r="H3" s="19">
        <v>7</v>
      </c>
      <c r="I3" s="19" t="str">
        <f t="shared" si="0"/>
        <v>9-7</v>
      </c>
      <c r="J3" s="17" t="s">
        <v>68</v>
      </c>
      <c r="K3" s="26" t="s">
        <v>70</v>
      </c>
      <c r="L3" s="8" t="b">
        <f t="shared" si="1"/>
        <v>0</v>
      </c>
      <c r="M3" s="8" t="b">
        <f t="shared" si="2"/>
        <v>1</v>
      </c>
      <c r="N3" s="29"/>
      <c r="O3" s="36">
        <v>52394165</v>
      </c>
      <c r="P3" s="18" t="s">
        <v>74</v>
      </c>
      <c r="Q3" s="31" t="s">
        <v>39</v>
      </c>
      <c r="R3" s="31" t="s">
        <v>76</v>
      </c>
      <c r="S3" s="33">
        <v>42585</v>
      </c>
      <c r="T3" s="33">
        <v>42404</v>
      </c>
      <c r="U3" s="31" t="s">
        <v>48</v>
      </c>
      <c r="V3" s="21">
        <v>43</v>
      </c>
      <c r="W3" s="21" t="s">
        <v>79</v>
      </c>
      <c r="X3" s="18" t="s">
        <v>20</v>
      </c>
      <c r="Y3" s="21" t="s">
        <v>82</v>
      </c>
      <c r="Z3" s="21">
        <v>1</v>
      </c>
      <c r="AA3" s="21"/>
      <c r="AB3" s="18" t="s">
        <v>53</v>
      </c>
      <c r="AC3" s="28" t="s">
        <v>22</v>
      </c>
      <c r="AD3" s="24" t="s">
        <v>23</v>
      </c>
      <c r="AE3" s="34">
        <v>9</v>
      </c>
      <c r="AF3" s="35">
        <v>7</v>
      </c>
      <c r="AG3" s="28" t="str">
        <f t="shared" si="3"/>
        <v>9-7</v>
      </c>
      <c r="AH3" s="24" t="s">
        <v>68</v>
      </c>
      <c r="AI3" s="2" t="b">
        <f t="shared" si="4"/>
        <v>1</v>
      </c>
    </row>
    <row r="4" spans="1:35" ht="12.75" customHeight="1">
      <c r="A4" s="12">
        <v>3</v>
      </c>
      <c r="B4" s="13">
        <v>28915546</v>
      </c>
      <c r="C4" s="15" t="s">
        <v>89</v>
      </c>
      <c r="D4" s="15">
        <v>1</v>
      </c>
      <c r="E4" s="13" t="s">
        <v>22</v>
      </c>
      <c r="F4" s="17" t="s">
        <v>23</v>
      </c>
      <c r="G4" s="13">
        <v>9</v>
      </c>
      <c r="H4" s="19">
        <v>7</v>
      </c>
      <c r="I4" s="19" t="str">
        <f t="shared" si="0"/>
        <v>9-7</v>
      </c>
      <c r="J4" s="17" t="s">
        <v>95</v>
      </c>
      <c r="K4" s="37" t="s">
        <v>70</v>
      </c>
      <c r="L4" s="8" t="b">
        <f t="shared" si="1"/>
        <v>1</v>
      </c>
      <c r="M4" s="8" t="b">
        <f t="shared" si="2"/>
        <v>1</v>
      </c>
      <c r="N4" s="29"/>
      <c r="O4" s="30">
        <v>28915546</v>
      </c>
      <c r="P4" s="18" t="s">
        <v>89</v>
      </c>
      <c r="Q4" s="31" t="s">
        <v>39</v>
      </c>
      <c r="R4" s="31" t="s">
        <v>43</v>
      </c>
      <c r="S4" s="33">
        <v>42585</v>
      </c>
      <c r="T4" s="33">
        <v>42493</v>
      </c>
      <c r="U4" s="31" t="s">
        <v>48</v>
      </c>
      <c r="V4" s="21">
        <v>52</v>
      </c>
      <c r="W4" s="21" t="s">
        <v>25</v>
      </c>
      <c r="X4" s="31"/>
      <c r="Y4" s="21"/>
      <c r="Z4" s="21"/>
      <c r="AA4" s="21"/>
      <c r="AB4" s="18" t="s">
        <v>53</v>
      </c>
      <c r="AC4" s="23" t="s">
        <v>22</v>
      </c>
      <c r="AD4" s="24" t="s">
        <v>23</v>
      </c>
      <c r="AE4" s="34">
        <v>9</v>
      </c>
      <c r="AF4" s="35">
        <v>7</v>
      </c>
      <c r="AG4" s="28" t="str">
        <f t="shared" si="3"/>
        <v>9-7</v>
      </c>
      <c r="AH4" s="24" t="s">
        <v>95</v>
      </c>
      <c r="AI4" s="2" t="b">
        <f t="shared" si="4"/>
        <v>1</v>
      </c>
    </row>
    <row r="5" spans="1:35" ht="12.75" customHeight="1">
      <c r="A5" s="12">
        <v>4</v>
      </c>
      <c r="B5" s="13"/>
      <c r="C5" s="15" t="s">
        <v>20</v>
      </c>
      <c r="D5" s="15">
        <v>1</v>
      </c>
      <c r="E5" s="13" t="s">
        <v>22</v>
      </c>
      <c r="F5" s="17" t="s">
        <v>23</v>
      </c>
      <c r="G5" s="13">
        <v>9</v>
      </c>
      <c r="H5" s="19">
        <v>7</v>
      </c>
      <c r="I5" s="19" t="str">
        <f t="shared" si="0"/>
        <v>9-7</v>
      </c>
      <c r="J5" s="17" t="s">
        <v>113</v>
      </c>
      <c r="K5" s="37"/>
      <c r="L5" s="8" t="b">
        <f t="shared" si="1"/>
        <v>0</v>
      </c>
      <c r="M5" s="8" t="b">
        <f t="shared" si="2"/>
        <v>1</v>
      </c>
      <c r="N5" s="29"/>
      <c r="O5" s="30">
        <v>51743499</v>
      </c>
      <c r="P5" s="18" t="s">
        <v>118</v>
      </c>
      <c r="Q5" s="31" t="s">
        <v>39</v>
      </c>
      <c r="R5" s="31" t="s">
        <v>43</v>
      </c>
      <c r="S5" s="33">
        <v>42607</v>
      </c>
      <c r="T5" s="33">
        <v>42461</v>
      </c>
      <c r="U5" s="31" t="s">
        <v>48</v>
      </c>
      <c r="V5" s="21">
        <v>58</v>
      </c>
      <c r="W5" s="21" t="s">
        <v>25</v>
      </c>
      <c r="X5" s="18"/>
      <c r="Y5" s="21"/>
      <c r="Z5" s="21"/>
      <c r="AA5" s="21"/>
      <c r="AB5" s="18" t="s">
        <v>53</v>
      </c>
      <c r="AC5" s="23" t="s">
        <v>22</v>
      </c>
      <c r="AD5" s="24" t="s">
        <v>23</v>
      </c>
      <c r="AE5" s="34">
        <v>9</v>
      </c>
      <c r="AF5" s="35">
        <v>7</v>
      </c>
      <c r="AG5" s="28" t="str">
        <f t="shared" si="3"/>
        <v>9-7</v>
      </c>
      <c r="AH5" s="24" t="s">
        <v>113</v>
      </c>
      <c r="AI5" s="2" t="b">
        <f t="shared" si="4"/>
        <v>1</v>
      </c>
    </row>
    <row r="6" spans="1:35" ht="12.75" customHeight="1">
      <c r="A6" s="12">
        <v>5</v>
      </c>
      <c r="B6" s="13">
        <v>35521959</v>
      </c>
      <c r="C6" s="15" t="s">
        <v>129</v>
      </c>
      <c r="D6" s="15">
        <v>1</v>
      </c>
      <c r="E6" s="13" t="s">
        <v>22</v>
      </c>
      <c r="F6" s="17" t="s">
        <v>23</v>
      </c>
      <c r="G6" s="13">
        <v>9</v>
      </c>
      <c r="H6" s="19">
        <v>7</v>
      </c>
      <c r="I6" s="19" t="str">
        <f t="shared" si="0"/>
        <v>9-7</v>
      </c>
      <c r="J6" s="17" t="s">
        <v>132</v>
      </c>
      <c r="K6" s="37" t="s">
        <v>70</v>
      </c>
      <c r="L6" s="8" t="b">
        <f t="shared" si="1"/>
        <v>1</v>
      </c>
      <c r="M6" s="8" t="b">
        <f t="shared" si="2"/>
        <v>1</v>
      </c>
      <c r="N6" s="29"/>
      <c r="O6" s="30">
        <v>35521959</v>
      </c>
      <c r="P6" s="18" t="s">
        <v>129</v>
      </c>
      <c r="Q6" s="31" t="s">
        <v>39</v>
      </c>
      <c r="R6" s="31" t="s">
        <v>43</v>
      </c>
      <c r="S6" s="33">
        <v>42585</v>
      </c>
      <c r="T6" s="33">
        <v>42461</v>
      </c>
      <c r="U6" s="31" t="s">
        <v>48</v>
      </c>
      <c r="V6" s="21">
        <v>53</v>
      </c>
      <c r="W6" s="21" t="s">
        <v>25</v>
      </c>
      <c r="X6" s="31"/>
      <c r="Y6" s="21"/>
      <c r="Z6" s="21"/>
      <c r="AA6" s="21"/>
      <c r="AB6" s="18" t="s">
        <v>53</v>
      </c>
      <c r="AC6" s="23" t="s">
        <v>22</v>
      </c>
      <c r="AD6" s="24" t="s">
        <v>23</v>
      </c>
      <c r="AE6" s="34">
        <v>9</v>
      </c>
      <c r="AF6" s="35">
        <v>7</v>
      </c>
      <c r="AG6" s="28" t="str">
        <f t="shared" si="3"/>
        <v>9-7</v>
      </c>
      <c r="AH6" s="24" t="s">
        <v>132</v>
      </c>
      <c r="AI6" s="2" t="b">
        <f t="shared" si="4"/>
        <v>1</v>
      </c>
    </row>
    <row r="7" spans="1:35" ht="12.75" customHeight="1">
      <c r="A7" s="12">
        <v>6</v>
      </c>
      <c r="B7" s="13">
        <v>39742375</v>
      </c>
      <c r="C7" s="15" t="s">
        <v>134</v>
      </c>
      <c r="D7" s="15">
        <v>1</v>
      </c>
      <c r="E7" s="13" t="s">
        <v>22</v>
      </c>
      <c r="F7" s="17" t="s">
        <v>23</v>
      </c>
      <c r="G7" s="13">
        <v>9</v>
      </c>
      <c r="H7" s="19">
        <v>7</v>
      </c>
      <c r="I7" s="19" t="str">
        <f t="shared" si="0"/>
        <v>9-7</v>
      </c>
      <c r="J7" s="17" t="s">
        <v>135</v>
      </c>
      <c r="K7" s="37" t="s">
        <v>70</v>
      </c>
      <c r="L7" s="8" t="b">
        <f t="shared" si="1"/>
        <v>1</v>
      </c>
      <c r="M7" s="8" t="b">
        <f t="shared" si="2"/>
        <v>1</v>
      </c>
      <c r="N7" s="29"/>
      <c r="O7" s="30">
        <v>39742375</v>
      </c>
      <c r="P7" s="18" t="s">
        <v>134</v>
      </c>
      <c r="Q7" s="31" t="s">
        <v>39</v>
      </c>
      <c r="R7" s="31" t="s">
        <v>43</v>
      </c>
      <c r="S7" s="33">
        <v>42585</v>
      </c>
      <c r="T7" s="33">
        <v>42523</v>
      </c>
      <c r="U7" s="31" t="s">
        <v>48</v>
      </c>
      <c r="V7" s="21">
        <v>45</v>
      </c>
      <c r="W7" s="21" t="s">
        <v>25</v>
      </c>
      <c r="X7" s="31"/>
      <c r="Y7" s="21"/>
      <c r="Z7" s="21"/>
      <c r="AA7" s="21"/>
      <c r="AB7" s="18" t="s">
        <v>53</v>
      </c>
      <c r="AC7" s="23" t="s">
        <v>22</v>
      </c>
      <c r="AD7" s="24" t="s">
        <v>23</v>
      </c>
      <c r="AE7" s="34">
        <v>9</v>
      </c>
      <c r="AF7" s="35">
        <v>7</v>
      </c>
      <c r="AG7" s="28" t="str">
        <f t="shared" si="3"/>
        <v>9-7</v>
      </c>
      <c r="AH7" s="24" t="s">
        <v>135</v>
      </c>
      <c r="AI7" s="2" t="b">
        <f t="shared" si="4"/>
        <v>1</v>
      </c>
    </row>
    <row r="8" spans="1:35" ht="12.75" customHeight="1">
      <c r="A8" s="12">
        <v>7</v>
      </c>
      <c r="B8" s="13"/>
      <c r="C8" s="15" t="s">
        <v>20</v>
      </c>
      <c r="D8" s="15">
        <v>1</v>
      </c>
      <c r="E8" s="13" t="s">
        <v>22</v>
      </c>
      <c r="F8" s="17" t="s">
        <v>28</v>
      </c>
      <c r="G8" s="13">
        <v>6</v>
      </c>
      <c r="H8" s="19">
        <v>6</v>
      </c>
      <c r="I8" s="19" t="str">
        <f t="shared" si="0"/>
        <v>6-6</v>
      </c>
      <c r="J8" s="17" t="s">
        <v>138</v>
      </c>
      <c r="K8" s="26"/>
      <c r="L8" s="8" t="b">
        <f t="shared" si="1"/>
        <v>1</v>
      </c>
      <c r="M8" s="8" t="b">
        <f t="shared" si="2"/>
        <v>1</v>
      </c>
      <c r="N8" s="29"/>
      <c r="O8" s="30"/>
      <c r="P8" s="18" t="s">
        <v>20</v>
      </c>
      <c r="Q8" s="31"/>
      <c r="R8" s="31" t="s">
        <v>20</v>
      </c>
      <c r="S8" s="33" t="s">
        <v>25</v>
      </c>
      <c r="T8" s="33" t="s">
        <v>25</v>
      </c>
      <c r="U8" s="31" t="s">
        <v>25</v>
      </c>
      <c r="V8" s="21" t="s">
        <v>25</v>
      </c>
      <c r="W8" s="21" t="s">
        <v>25</v>
      </c>
      <c r="X8" s="18" t="s">
        <v>20</v>
      </c>
      <c r="Y8" s="21"/>
      <c r="Z8" s="21"/>
      <c r="AA8" s="21"/>
      <c r="AB8" s="18" t="s">
        <v>20</v>
      </c>
      <c r="AC8" s="23" t="s">
        <v>22</v>
      </c>
      <c r="AD8" s="24" t="s">
        <v>28</v>
      </c>
      <c r="AE8" s="34">
        <v>6</v>
      </c>
      <c r="AF8" s="35">
        <v>6</v>
      </c>
      <c r="AG8" s="28" t="str">
        <f t="shared" si="3"/>
        <v>6-6</v>
      </c>
      <c r="AH8" s="24" t="s">
        <v>138</v>
      </c>
      <c r="AI8" s="2" t="b">
        <f t="shared" si="4"/>
        <v>1</v>
      </c>
    </row>
    <row r="9" spans="1:35" ht="12.75" customHeight="1">
      <c r="A9" s="12">
        <v>8</v>
      </c>
      <c r="B9" s="13">
        <v>51740995</v>
      </c>
      <c r="C9" s="15" t="s">
        <v>139</v>
      </c>
      <c r="D9" s="15">
        <v>1</v>
      </c>
      <c r="E9" s="13" t="s">
        <v>22</v>
      </c>
      <c r="F9" s="17" t="s">
        <v>140</v>
      </c>
      <c r="G9" s="13">
        <v>20</v>
      </c>
      <c r="H9" s="19">
        <v>9</v>
      </c>
      <c r="I9" s="19" t="str">
        <f t="shared" si="0"/>
        <v>20-9</v>
      </c>
      <c r="J9" s="17" t="s">
        <v>115</v>
      </c>
      <c r="K9" s="37" t="s">
        <v>70</v>
      </c>
      <c r="L9" s="8" t="b">
        <f t="shared" si="1"/>
        <v>1</v>
      </c>
      <c r="M9" s="8" t="b">
        <f t="shared" si="2"/>
        <v>1</v>
      </c>
      <c r="N9" s="29"/>
      <c r="O9" s="30">
        <v>51740995</v>
      </c>
      <c r="P9" s="18" t="s">
        <v>139</v>
      </c>
      <c r="Q9" s="31" t="s">
        <v>39</v>
      </c>
      <c r="R9" s="31" t="s">
        <v>43</v>
      </c>
      <c r="S9" s="33">
        <v>42585</v>
      </c>
      <c r="T9" s="33">
        <v>42394</v>
      </c>
      <c r="U9" s="31" t="s">
        <v>48</v>
      </c>
      <c r="V9" s="21">
        <v>57</v>
      </c>
      <c r="W9" s="21" t="s">
        <v>25</v>
      </c>
      <c r="X9" s="31"/>
      <c r="Y9" s="21"/>
      <c r="Z9" s="21"/>
      <c r="AA9" s="21"/>
      <c r="AB9" s="18" t="s">
        <v>53</v>
      </c>
      <c r="AC9" s="23" t="s">
        <v>22</v>
      </c>
      <c r="AD9" s="24" t="s">
        <v>140</v>
      </c>
      <c r="AE9" s="34">
        <v>20</v>
      </c>
      <c r="AF9" s="35">
        <v>9</v>
      </c>
      <c r="AG9" s="28" t="str">
        <f t="shared" si="3"/>
        <v>20-9</v>
      </c>
      <c r="AH9" s="24" t="s">
        <v>115</v>
      </c>
      <c r="AI9" s="2" t="b">
        <f t="shared" si="4"/>
        <v>1</v>
      </c>
    </row>
    <row r="10" spans="1:35" ht="12.75" customHeight="1">
      <c r="A10" s="12">
        <v>9</v>
      </c>
      <c r="B10" s="13">
        <v>79543049</v>
      </c>
      <c r="C10" s="15" t="s">
        <v>141</v>
      </c>
      <c r="D10" s="15">
        <v>1</v>
      </c>
      <c r="E10" s="13" t="s">
        <v>22</v>
      </c>
      <c r="F10" s="17" t="s">
        <v>142</v>
      </c>
      <c r="G10" s="13">
        <v>45</v>
      </c>
      <c r="H10" s="19">
        <v>8</v>
      </c>
      <c r="I10" s="19" t="str">
        <f t="shared" si="0"/>
        <v>45-8</v>
      </c>
      <c r="J10" s="17" t="s">
        <v>143</v>
      </c>
      <c r="K10" s="37" t="s">
        <v>70</v>
      </c>
      <c r="L10" s="8" t="b">
        <f t="shared" si="1"/>
        <v>1</v>
      </c>
      <c r="M10" s="8" t="b">
        <f t="shared" si="2"/>
        <v>1</v>
      </c>
      <c r="N10" s="29"/>
      <c r="O10" s="30">
        <v>79543049</v>
      </c>
      <c r="P10" s="18" t="s">
        <v>141</v>
      </c>
      <c r="Q10" s="31" t="s">
        <v>39</v>
      </c>
      <c r="R10" s="31" t="s">
        <v>43</v>
      </c>
      <c r="S10" s="33">
        <v>42585</v>
      </c>
      <c r="T10" s="33">
        <v>42403</v>
      </c>
      <c r="U10" s="31" t="s">
        <v>84</v>
      </c>
      <c r="V10" s="21">
        <v>51</v>
      </c>
      <c r="W10" s="21" t="s">
        <v>25</v>
      </c>
      <c r="X10" s="31"/>
      <c r="Y10" s="21"/>
      <c r="Z10" s="21"/>
      <c r="AA10" s="21"/>
      <c r="AB10" s="18" t="s">
        <v>53</v>
      </c>
      <c r="AC10" s="23" t="s">
        <v>22</v>
      </c>
      <c r="AD10" s="24" t="s">
        <v>142</v>
      </c>
      <c r="AE10" s="34">
        <v>45</v>
      </c>
      <c r="AF10" s="35">
        <v>8</v>
      </c>
      <c r="AG10" s="28" t="str">
        <f t="shared" si="3"/>
        <v>45-8</v>
      </c>
      <c r="AH10" s="24" t="s">
        <v>143</v>
      </c>
      <c r="AI10" s="2" t="b">
        <f t="shared" si="4"/>
        <v>1</v>
      </c>
    </row>
    <row r="11" spans="1:35" ht="12.75" customHeight="1">
      <c r="A11" s="12">
        <v>10</v>
      </c>
      <c r="B11" s="28">
        <v>1085262099</v>
      </c>
      <c r="C11" s="22" t="s">
        <v>94</v>
      </c>
      <c r="D11" s="22">
        <v>2</v>
      </c>
      <c r="E11" s="13" t="s">
        <v>26</v>
      </c>
      <c r="F11" s="17" t="s">
        <v>26</v>
      </c>
      <c r="G11" s="13">
        <v>105</v>
      </c>
      <c r="H11" s="19">
        <v>5</v>
      </c>
      <c r="I11" s="19" t="str">
        <f t="shared" si="0"/>
        <v>105-5</v>
      </c>
      <c r="J11" s="17" t="s">
        <v>115</v>
      </c>
      <c r="K11" s="37" t="s">
        <v>70</v>
      </c>
      <c r="L11" s="8" t="b">
        <f t="shared" si="1"/>
        <v>0</v>
      </c>
      <c r="M11" s="8" t="b">
        <f t="shared" si="2"/>
        <v>1</v>
      </c>
      <c r="N11" s="29"/>
      <c r="O11" s="36">
        <v>79317479</v>
      </c>
      <c r="P11" s="40" t="s">
        <v>107</v>
      </c>
      <c r="Q11" s="31" t="s">
        <v>39</v>
      </c>
      <c r="R11" s="31" t="s">
        <v>43</v>
      </c>
      <c r="S11" s="33">
        <v>42632</v>
      </c>
      <c r="T11" s="33">
        <v>42632</v>
      </c>
      <c r="U11" s="31" t="s">
        <v>84</v>
      </c>
      <c r="V11" s="21">
        <v>60</v>
      </c>
      <c r="W11" s="21" t="s">
        <v>25</v>
      </c>
      <c r="X11" s="31" t="s">
        <v>20</v>
      </c>
      <c r="Y11" s="21"/>
      <c r="Z11" s="21"/>
      <c r="AA11" s="21"/>
      <c r="AB11" s="18" t="s">
        <v>53</v>
      </c>
      <c r="AC11" s="23" t="s">
        <v>26</v>
      </c>
      <c r="AD11" s="24" t="s">
        <v>26</v>
      </c>
      <c r="AE11" s="34">
        <v>105</v>
      </c>
      <c r="AF11" s="35">
        <v>5</v>
      </c>
      <c r="AG11" s="28" t="str">
        <f t="shared" si="3"/>
        <v>105-5</v>
      </c>
      <c r="AH11" s="24" t="s">
        <v>115</v>
      </c>
      <c r="AI11" s="2" t="b">
        <f t="shared" si="4"/>
        <v>1</v>
      </c>
    </row>
    <row r="12" spans="1:35" ht="12.75" customHeight="1">
      <c r="A12" s="12">
        <v>11</v>
      </c>
      <c r="B12" s="28">
        <v>80040965</v>
      </c>
      <c r="C12" s="22" t="s">
        <v>119</v>
      </c>
      <c r="D12" s="22">
        <v>2</v>
      </c>
      <c r="E12" s="13" t="s">
        <v>26</v>
      </c>
      <c r="F12" s="17" t="s">
        <v>26</v>
      </c>
      <c r="G12" s="13">
        <v>105</v>
      </c>
      <c r="H12" s="19">
        <v>5</v>
      </c>
      <c r="I12" s="19" t="str">
        <f t="shared" si="0"/>
        <v>105-5</v>
      </c>
      <c r="J12" s="17" t="s">
        <v>115</v>
      </c>
      <c r="K12" s="37" t="s">
        <v>70</v>
      </c>
      <c r="L12" s="8" t="b">
        <f t="shared" si="1"/>
        <v>1</v>
      </c>
      <c r="M12" s="8" t="b">
        <f t="shared" si="2"/>
        <v>1</v>
      </c>
      <c r="N12" s="29"/>
      <c r="O12" s="30">
        <v>80040965</v>
      </c>
      <c r="P12" s="31" t="s">
        <v>119</v>
      </c>
      <c r="Q12" s="31" t="s">
        <v>39</v>
      </c>
      <c r="R12" s="31" t="s">
        <v>43</v>
      </c>
      <c r="S12" s="33">
        <v>42585</v>
      </c>
      <c r="T12" s="33">
        <v>42401</v>
      </c>
      <c r="U12" s="31" t="s">
        <v>84</v>
      </c>
      <c r="V12" s="21">
        <v>39</v>
      </c>
      <c r="W12" s="21" t="s">
        <v>25</v>
      </c>
      <c r="X12" s="31"/>
      <c r="Y12" s="21"/>
      <c r="Z12" s="21"/>
      <c r="AA12" s="21"/>
      <c r="AB12" s="18" t="s">
        <v>53</v>
      </c>
      <c r="AC12" s="23" t="s">
        <v>26</v>
      </c>
      <c r="AD12" s="24" t="s">
        <v>26</v>
      </c>
      <c r="AE12" s="34">
        <v>105</v>
      </c>
      <c r="AF12" s="35">
        <v>5</v>
      </c>
      <c r="AG12" s="28" t="str">
        <f t="shared" si="3"/>
        <v>105-5</v>
      </c>
      <c r="AH12" s="24" t="s">
        <v>115</v>
      </c>
      <c r="AI12" s="2" t="b">
        <f t="shared" si="4"/>
        <v>1</v>
      </c>
    </row>
    <row r="13" spans="1:35" ht="12.75" customHeight="1">
      <c r="A13" s="12">
        <v>12</v>
      </c>
      <c r="B13" s="28">
        <v>72291125</v>
      </c>
      <c r="C13" s="22" t="s">
        <v>133</v>
      </c>
      <c r="D13" s="22">
        <v>2</v>
      </c>
      <c r="E13" s="13" t="s">
        <v>26</v>
      </c>
      <c r="F13" s="17" t="s">
        <v>26</v>
      </c>
      <c r="G13" s="13">
        <v>105</v>
      </c>
      <c r="H13" s="19">
        <v>5</v>
      </c>
      <c r="I13" s="19" t="str">
        <f t="shared" si="0"/>
        <v>105-5</v>
      </c>
      <c r="J13" s="17" t="s">
        <v>115</v>
      </c>
      <c r="K13" s="37" t="s">
        <v>70</v>
      </c>
      <c r="L13" s="8" t="b">
        <f t="shared" si="1"/>
        <v>1</v>
      </c>
      <c r="M13" s="8" t="b">
        <f t="shared" si="2"/>
        <v>1</v>
      </c>
      <c r="N13" s="29"/>
      <c r="O13" s="36">
        <v>72291125</v>
      </c>
      <c r="P13" s="40" t="s">
        <v>133</v>
      </c>
      <c r="Q13" s="31" t="s">
        <v>39</v>
      </c>
      <c r="R13" s="31" t="s">
        <v>43</v>
      </c>
      <c r="S13" s="33">
        <v>42585</v>
      </c>
      <c r="T13" s="33">
        <v>42468</v>
      </c>
      <c r="U13" s="31" t="s">
        <v>84</v>
      </c>
      <c r="V13" s="21">
        <v>38</v>
      </c>
      <c r="W13" s="21" t="s">
        <v>25</v>
      </c>
      <c r="X13" s="31"/>
      <c r="Y13" s="21"/>
      <c r="Z13" s="21"/>
      <c r="AA13" s="21"/>
      <c r="AB13" s="18" t="s">
        <v>53</v>
      </c>
      <c r="AC13" s="23" t="s">
        <v>26</v>
      </c>
      <c r="AD13" s="24" t="s">
        <v>26</v>
      </c>
      <c r="AE13" s="34">
        <v>105</v>
      </c>
      <c r="AF13" s="35">
        <v>5</v>
      </c>
      <c r="AG13" s="28" t="str">
        <f t="shared" si="3"/>
        <v>105-5</v>
      </c>
      <c r="AH13" s="24" t="s">
        <v>115</v>
      </c>
      <c r="AI13" s="2" t="b">
        <f t="shared" si="4"/>
        <v>1</v>
      </c>
    </row>
    <row r="14" spans="1:35" ht="12.75" customHeight="1">
      <c r="A14" s="12">
        <v>13</v>
      </c>
      <c r="B14" s="28">
        <v>52233911</v>
      </c>
      <c r="C14" s="22" t="s">
        <v>136</v>
      </c>
      <c r="D14" s="22">
        <v>2</v>
      </c>
      <c r="E14" s="13" t="s">
        <v>26</v>
      </c>
      <c r="F14" s="17" t="s">
        <v>26</v>
      </c>
      <c r="G14" s="13">
        <v>105</v>
      </c>
      <c r="H14" s="19">
        <v>5</v>
      </c>
      <c r="I14" s="19" t="str">
        <f t="shared" si="0"/>
        <v>105-5</v>
      </c>
      <c r="J14" s="17" t="s">
        <v>115</v>
      </c>
      <c r="K14" s="37" t="s">
        <v>70</v>
      </c>
      <c r="L14" s="8" t="b">
        <f t="shared" si="1"/>
        <v>1</v>
      </c>
      <c r="M14" s="8" t="b">
        <f t="shared" si="2"/>
        <v>1</v>
      </c>
      <c r="N14" s="29"/>
      <c r="O14" s="36">
        <v>52233911</v>
      </c>
      <c r="P14" s="40" t="s">
        <v>136</v>
      </c>
      <c r="Q14" s="31" t="s">
        <v>39</v>
      </c>
      <c r="R14" s="31" t="s">
        <v>43</v>
      </c>
      <c r="S14" s="33">
        <v>42585</v>
      </c>
      <c r="T14" s="33">
        <v>35900</v>
      </c>
      <c r="U14" s="31" t="s">
        <v>48</v>
      </c>
      <c r="V14" s="21">
        <v>44</v>
      </c>
      <c r="W14" s="21" t="s">
        <v>25</v>
      </c>
      <c r="X14" s="31"/>
      <c r="Y14" s="21"/>
      <c r="Z14" s="21"/>
      <c r="AA14" s="21"/>
      <c r="AB14" s="18" t="s">
        <v>53</v>
      </c>
      <c r="AC14" s="23" t="s">
        <v>26</v>
      </c>
      <c r="AD14" s="24" t="s">
        <v>26</v>
      </c>
      <c r="AE14" s="34">
        <v>105</v>
      </c>
      <c r="AF14" s="35">
        <v>5</v>
      </c>
      <c r="AG14" s="28" t="str">
        <f t="shared" si="3"/>
        <v>105-5</v>
      </c>
      <c r="AH14" s="24" t="s">
        <v>115</v>
      </c>
      <c r="AI14" s="2" t="b">
        <f t="shared" si="4"/>
        <v>1</v>
      </c>
    </row>
    <row r="15" spans="1:35" ht="12.75" customHeight="1">
      <c r="A15" s="12">
        <v>14</v>
      </c>
      <c r="B15" s="28">
        <v>52394165</v>
      </c>
      <c r="C15" s="22" t="s">
        <v>74</v>
      </c>
      <c r="D15" s="22">
        <v>2</v>
      </c>
      <c r="E15" s="13" t="s">
        <v>26</v>
      </c>
      <c r="F15" s="17" t="s">
        <v>26</v>
      </c>
      <c r="G15" s="13">
        <v>105</v>
      </c>
      <c r="H15" s="19">
        <v>5</v>
      </c>
      <c r="I15" s="19" t="str">
        <f t="shared" si="0"/>
        <v>105-5</v>
      </c>
      <c r="J15" s="17" t="s">
        <v>115</v>
      </c>
      <c r="K15" s="37" t="s">
        <v>70</v>
      </c>
      <c r="L15" s="8" t="b">
        <f t="shared" si="1"/>
        <v>0</v>
      </c>
      <c r="M15" s="8" t="b">
        <f t="shared" si="2"/>
        <v>1</v>
      </c>
      <c r="N15" s="29"/>
      <c r="O15" s="36"/>
      <c r="P15" s="40" t="s">
        <v>69</v>
      </c>
      <c r="Q15" s="31"/>
      <c r="R15" s="31" t="s">
        <v>69</v>
      </c>
      <c r="S15" s="33" t="s">
        <v>25</v>
      </c>
      <c r="T15" s="33" t="s">
        <v>25</v>
      </c>
      <c r="U15" s="31" t="s">
        <v>25</v>
      </c>
      <c r="V15" s="21" t="s">
        <v>25</v>
      </c>
      <c r="W15" s="21" t="s">
        <v>25</v>
      </c>
      <c r="X15" s="31" t="s">
        <v>74</v>
      </c>
      <c r="Y15" s="21" t="s">
        <v>82</v>
      </c>
      <c r="Z15" s="21" t="s">
        <v>144</v>
      </c>
      <c r="AA15" s="21"/>
      <c r="AB15" s="18" t="s">
        <v>53</v>
      </c>
      <c r="AC15" s="23" t="s">
        <v>26</v>
      </c>
      <c r="AD15" s="24" t="s">
        <v>26</v>
      </c>
      <c r="AE15" s="34">
        <v>105</v>
      </c>
      <c r="AF15" s="35">
        <v>5</v>
      </c>
      <c r="AG15" s="28" t="str">
        <f t="shared" si="3"/>
        <v>105-5</v>
      </c>
      <c r="AH15" s="24" t="s">
        <v>115</v>
      </c>
      <c r="AI15" s="2" t="b">
        <f t="shared" si="4"/>
        <v>1</v>
      </c>
    </row>
    <row r="16" spans="1:35" ht="12.75" customHeight="1">
      <c r="A16" s="12">
        <v>15</v>
      </c>
      <c r="B16" s="13"/>
      <c r="C16" s="15" t="s">
        <v>20</v>
      </c>
      <c r="D16" s="22">
        <v>2</v>
      </c>
      <c r="E16" s="13" t="s">
        <v>26</v>
      </c>
      <c r="F16" s="17" t="s">
        <v>28</v>
      </c>
      <c r="G16" s="13">
        <v>115</v>
      </c>
      <c r="H16" s="19">
        <v>6</v>
      </c>
      <c r="I16" s="19" t="str">
        <f t="shared" si="0"/>
        <v>115-6</v>
      </c>
      <c r="J16" s="17" t="s">
        <v>32</v>
      </c>
      <c r="K16" s="26"/>
      <c r="L16" s="8" t="b">
        <f t="shared" si="1"/>
        <v>1</v>
      </c>
      <c r="M16" s="8" t="b">
        <f t="shared" si="2"/>
        <v>1</v>
      </c>
      <c r="N16" s="29"/>
      <c r="O16" s="30"/>
      <c r="P16" s="18" t="s">
        <v>20</v>
      </c>
      <c r="Q16" s="31"/>
      <c r="R16" s="31" t="s">
        <v>20</v>
      </c>
      <c r="S16" s="33" t="s">
        <v>25</v>
      </c>
      <c r="T16" s="33" t="s">
        <v>25</v>
      </c>
      <c r="U16" s="31" t="s">
        <v>25</v>
      </c>
      <c r="V16" s="21" t="s">
        <v>25</v>
      </c>
      <c r="W16" s="21" t="s">
        <v>25</v>
      </c>
      <c r="X16" s="18" t="s">
        <v>20</v>
      </c>
      <c r="Y16" s="21"/>
      <c r="Z16" s="21"/>
      <c r="AA16" s="21"/>
      <c r="AB16" s="18" t="s">
        <v>20</v>
      </c>
      <c r="AC16" s="23" t="s">
        <v>26</v>
      </c>
      <c r="AD16" s="24" t="s">
        <v>28</v>
      </c>
      <c r="AE16" s="34">
        <v>115</v>
      </c>
      <c r="AF16" s="35">
        <v>6</v>
      </c>
      <c r="AG16" s="28" t="str">
        <f t="shared" si="3"/>
        <v>115-6</v>
      </c>
      <c r="AH16" s="24" t="s">
        <v>32</v>
      </c>
      <c r="AI16" s="2" t="b">
        <f t="shared" si="4"/>
        <v>1</v>
      </c>
    </row>
    <row r="17" spans="1:35" ht="12.75" customHeight="1">
      <c r="A17" s="12">
        <v>16</v>
      </c>
      <c r="B17" s="13"/>
      <c r="C17" s="15" t="s">
        <v>20</v>
      </c>
      <c r="D17" s="22">
        <v>2</v>
      </c>
      <c r="E17" s="13" t="s">
        <v>26</v>
      </c>
      <c r="F17" s="17" t="s">
        <v>28</v>
      </c>
      <c r="G17" s="13">
        <v>115</v>
      </c>
      <c r="H17" s="19">
        <v>6</v>
      </c>
      <c r="I17" s="19" t="str">
        <f t="shared" si="0"/>
        <v>115-6</v>
      </c>
      <c r="J17" s="17" t="s">
        <v>87</v>
      </c>
      <c r="K17" s="26"/>
      <c r="L17" s="8" t="b">
        <f t="shared" si="1"/>
        <v>0</v>
      </c>
      <c r="M17" s="8" t="b">
        <f t="shared" si="2"/>
        <v>1</v>
      </c>
      <c r="N17" s="29"/>
      <c r="O17" s="30">
        <v>19498970</v>
      </c>
      <c r="P17" s="18" t="s">
        <v>83</v>
      </c>
      <c r="Q17" s="31" t="s">
        <v>39</v>
      </c>
      <c r="R17" s="31" t="s">
        <v>43</v>
      </c>
      <c r="S17" s="33">
        <v>42622</v>
      </c>
      <c r="T17" s="33">
        <v>42622</v>
      </c>
      <c r="U17" s="31" t="s">
        <v>84</v>
      </c>
      <c r="V17" s="21">
        <v>59</v>
      </c>
      <c r="W17" s="21" t="s">
        <v>25</v>
      </c>
      <c r="X17" s="18" t="s">
        <v>20</v>
      </c>
      <c r="Y17" s="21"/>
      <c r="Z17" s="21"/>
      <c r="AA17" s="21"/>
      <c r="AB17" s="18" t="s">
        <v>53</v>
      </c>
      <c r="AC17" s="23" t="s">
        <v>26</v>
      </c>
      <c r="AD17" s="24" t="s">
        <v>28</v>
      </c>
      <c r="AE17" s="34">
        <v>115</v>
      </c>
      <c r="AF17" s="35">
        <v>6</v>
      </c>
      <c r="AG17" s="28" t="str">
        <f t="shared" si="3"/>
        <v>115-6</v>
      </c>
      <c r="AH17" s="24" t="s">
        <v>87</v>
      </c>
      <c r="AI17" s="2" t="b">
        <f t="shared" si="4"/>
        <v>1</v>
      </c>
    </row>
    <row r="18" spans="1:35" ht="12.75" customHeight="1">
      <c r="A18" s="12">
        <v>17</v>
      </c>
      <c r="B18" s="28">
        <v>79299847</v>
      </c>
      <c r="C18" s="15" t="s">
        <v>183</v>
      </c>
      <c r="D18" s="15">
        <v>3</v>
      </c>
      <c r="E18" s="13" t="s">
        <v>50</v>
      </c>
      <c r="F18" s="17" t="s">
        <v>51</v>
      </c>
      <c r="G18" s="13">
        <v>222</v>
      </c>
      <c r="H18" s="19">
        <v>27</v>
      </c>
      <c r="I18" s="19" t="str">
        <f t="shared" si="0"/>
        <v>222-27</v>
      </c>
      <c r="J18" s="17" t="s">
        <v>30</v>
      </c>
      <c r="K18" s="82" t="s">
        <v>49</v>
      </c>
      <c r="L18" s="8" t="b">
        <f t="shared" si="1"/>
        <v>1</v>
      </c>
      <c r="M18" s="8" t="b">
        <f t="shared" si="2"/>
        <v>1</v>
      </c>
      <c r="N18" s="29"/>
      <c r="O18" s="36">
        <v>79299847</v>
      </c>
      <c r="P18" s="18" t="s">
        <v>183</v>
      </c>
      <c r="Q18" s="31" t="s">
        <v>49</v>
      </c>
      <c r="R18" s="31" t="s">
        <v>49</v>
      </c>
      <c r="S18" s="33">
        <v>42585</v>
      </c>
      <c r="T18" s="33">
        <v>33724</v>
      </c>
      <c r="U18" s="31" t="s">
        <v>84</v>
      </c>
      <c r="V18" s="21">
        <v>60</v>
      </c>
      <c r="W18" s="21" t="s">
        <v>25</v>
      </c>
      <c r="X18" s="31"/>
      <c r="Y18" s="21"/>
      <c r="Z18" s="21"/>
      <c r="AA18" s="21"/>
      <c r="AB18" s="18" t="s">
        <v>53</v>
      </c>
      <c r="AC18" s="23" t="s">
        <v>50</v>
      </c>
      <c r="AD18" s="24" t="s">
        <v>51</v>
      </c>
      <c r="AE18" s="34">
        <v>222</v>
      </c>
      <c r="AF18" s="35">
        <v>27</v>
      </c>
      <c r="AG18" s="28" t="str">
        <f t="shared" si="3"/>
        <v>222-27</v>
      </c>
      <c r="AH18" s="24" t="s">
        <v>30</v>
      </c>
      <c r="AI18" s="2" t="b">
        <f t="shared" si="4"/>
        <v>1</v>
      </c>
    </row>
    <row r="19" spans="1:35" ht="12.75" customHeight="1">
      <c r="A19" s="12">
        <v>18</v>
      </c>
      <c r="B19" s="28"/>
      <c r="C19" s="15" t="s">
        <v>20</v>
      </c>
      <c r="D19" s="15">
        <v>3</v>
      </c>
      <c r="E19" s="13" t="s">
        <v>50</v>
      </c>
      <c r="F19" s="17" t="s">
        <v>51</v>
      </c>
      <c r="G19" s="13">
        <v>222</v>
      </c>
      <c r="H19" s="19">
        <v>27</v>
      </c>
      <c r="I19" s="19" t="str">
        <f t="shared" si="0"/>
        <v>222-27</v>
      </c>
      <c r="J19" s="17" t="s">
        <v>30</v>
      </c>
      <c r="K19" s="26"/>
      <c r="L19" s="8" t="b">
        <f t="shared" si="1"/>
        <v>1</v>
      </c>
      <c r="M19" s="8" t="b">
        <f t="shared" si="2"/>
        <v>1</v>
      </c>
      <c r="N19" s="29"/>
      <c r="O19" s="36"/>
      <c r="P19" s="18" t="s">
        <v>20</v>
      </c>
      <c r="Q19" s="31"/>
      <c r="R19" s="31" t="s">
        <v>20</v>
      </c>
      <c r="S19" s="33" t="s">
        <v>25</v>
      </c>
      <c r="T19" s="33" t="s">
        <v>25</v>
      </c>
      <c r="U19" s="31" t="s">
        <v>25</v>
      </c>
      <c r="V19" s="21" t="s">
        <v>25</v>
      </c>
      <c r="W19" s="21" t="s">
        <v>25</v>
      </c>
      <c r="X19" s="18" t="s">
        <v>20</v>
      </c>
      <c r="Y19" s="21"/>
      <c r="Z19" s="21"/>
      <c r="AA19" s="21"/>
      <c r="AB19" s="18" t="s">
        <v>20</v>
      </c>
      <c r="AC19" s="23" t="s">
        <v>50</v>
      </c>
      <c r="AD19" s="24" t="s">
        <v>51</v>
      </c>
      <c r="AE19" s="34">
        <v>222</v>
      </c>
      <c r="AF19" s="35">
        <v>27</v>
      </c>
      <c r="AG19" s="28" t="str">
        <f t="shared" si="3"/>
        <v>222-27</v>
      </c>
      <c r="AH19" s="24" t="s">
        <v>30</v>
      </c>
      <c r="AI19" s="2" t="b">
        <f t="shared" si="4"/>
        <v>1</v>
      </c>
    </row>
    <row r="20" spans="1:35" ht="12.75" customHeight="1">
      <c r="A20" s="12">
        <v>19</v>
      </c>
      <c r="B20" s="28">
        <v>52236487</v>
      </c>
      <c r="C20" s="15" t="s">
        <v>191</v>
      </c>
      <c r="D20" s="15">
        <v>3</v>
      </c>
      <c r="E20" s="13" t="s">
        <v>50</v>
      </c>
      <c r="F20" s="17" t="s">
        <v>51</v>
      </c>
      <c r="G20" s="13">
        <v>222</v>
      </c>
      <c r="H20" s="19">
        <v>27</v>
      </c>
      <c r="I20" s="19" t="str">
        <f t="shared" si="0"/>
        <v>222-27</v>
      </c>
      <c r="J20" s="17" t="s">
        <v>68</v>
      </c>
      <c r="K20" s="82" t="s">
        <v>49</v>
      </c>
      <c r="L20" s="8" t="b">
        <f t="shared" si="1"/>
        <v>1</v>
      </c>
      <c r="M20" s="8" t="b">
        <f t="shared" si="2"/>
        <v>1</v>
      </c>
      <c r="N20" s="29"/>
      <c r="O20" s="36">
        <v>52236487</v>
      </c>
      <c r="P20" s="18" t="s">
        <v>191</v>
      </c>
      <c r="Q20" s="31" t="s">
        <v>49</v>
      </c>
      <c r="R20" s="31" t="s">
        <v>49</v>
      </c>
      <c r="S20" s="33">
        <v>42585</v>
      </c>
      <c r="T20" s="33">
        <v>38093</v>
      </c>
      <c r="U20" s="31" t="s">
        <v>48</v>
      </c>
      <c r="V20" s="21">
        <v>44</v>
      </c>
      <c r="W20" s="21" t="s">
        <v>25</v>
      </c>
      <c r="X20" s="31"/>
      <c r="Y20" s="21"/>
      <c r="Z20" s="21"/>
      <c r="AA20" s="21"/>
      <c r="AB20" s="18" t="s">
        <v>53</v>
      </c>
      <c r="AC20" s="23" t="s">
        <v>50</v>
      </c>
      <c r="AD20" s="24" t="s">
        <v>51</v>
      </c>
      <c r="AE20" s="34">
        <v>222</v>
      </c>
      <c r="AF20" s="35">
        <v>27</v>
      </c>
      <c r="AG20" s="28" t="str">
        <f t="shared" si="3"/>
        <v>222-27</v>
      </c>
      <c r="AH20" s="24" t="s">
        <v>68</v>
      </c>
      <c r="AI20" s="2" t="b">
        <f t="shared" si="4"/>
        <v>1</v>
      </c>
    </row>
    <row r="21" spans="1:35" ht="12.75" customHeight="1">
      <c r="A21" s="12">
        <v>20</v>
      </c>
      <c r="B21" s="28"/>
      <c r="C21" s="15" t="s">
        <v>20</v>
      </c>
      <c r="D21" s="15">
        <v>3</v>
      </c>
      <c r="E21" s="13" t="s">
        <v>50</v>
      </c>
      <c r="F21" s="17" t="s">
        <v>51</v>
      </c>
      <c r="G21" s="13">
        <v>222</v>
      </c>
      <c r="H21" s="19">
        <v>27</v>
      </c>
      <c r="I21" s="19" t="str">
        <f t="shared" si="0"/>
        <v>222-27</v>
      </c>
      <c r="J21" s="17" t="s">
        <v>143</v>
      </c>
      <c r="K21" s="26"/>
      <c r="L21" s="8" t="b">
        <f t="shared" si="1"/>
        <v>1</v>
      </c>
      <c r="M21" s="8" t="b">
        <f t="shared" si="2"/>
        <v>1</v>
      </c>
      <c r="N21" s="29"/>
      <c r="O21" s="36"/>
      <c r="P21" s="18" t="s">
        <v>20</v>
      </c>
      <c r="Q21" s="31"/>
      <c r="R21" s="31" t="s">
        <v>20</v>
      </c>
      <c r="S21" s="33" t="s">
        <v>25</v>
      </c>
      <c r="T21" s="33" t="s">
        <v>25</v>
      </c>
      <c r="U21" s="31" t="s">
        <v>25</v>
      </c>
      <c r="V21" s="21" t="s">
        <v>25</v>
      </c>
      <c r="W21" s="21" t="s">
        <v>25</v>
      </c>
      <c r="X21" s="18" t="s">
        <v>20</v>
      </c>
      <c r="Y21" s="21"/>
      <c r="Z21" s="21"/>
      <c r="AA21" s="21"/>
      <c r="AB21" s="18" t="s">
        <v>20</v>
      </c>
      <c r="AC21" s="23" t="s">
        <v>50</v>
      </c>
      <c r="AD21" s="24" t="s">
        <v>51</v>
      </c>
      <c r="AE21" s="34">
        <v>222</v>
      </c>
      <c r="AF21" s="35">
        <v>27</v>
      </c>
      <c r="AG21" s="28" t="str">
        <f t="shared" si="3"/>
        <v>222-27</v>
      </c>
      <c r="AH21" s="24" t="s">
        <v>143</v>
      </c>
      <c r="AI21" s="2" t="b">
        <f t="shared" si="4"/>
        <v>1</v>
      </c>
    </row>
    <row r="22" spans="1:35" ht="12.75" customHeight="1">
      <c r="A22" s="12">
        <v>21</v>
      </c>
      <c r="B22" s="28"/>
      <c r="C22" s="15" t="s">
        <v>20</v>
      </c>
      <c r="D22" s="15">
        <v>3</v>
      </c>
      <c r="E22" s="13" t="s">
        <v>50</v>
      </c>
      <c r="F22" s="17" t="s">
        <v>51</v>
      </c>
      <c r="G22" s="13">
        <v>222</v>
      </c>
      <c r="H22" s="19">
        <v>27</v>
      </c>
      <c r="I22" s="19" t="str">
        <f t="shared" si="0"/>
        <v>222-27</v>
      </c>
      <c r="J22" s="17" t="s">
        <v>143</v>
      </c>
      <c r="K22" s="26"/>
      <c r="L22" s="8" t="b">
        <f t="shared" si="1"/>
        <v>1</v>
      </c>
      <c r="M22" s="8" t="b">
        <f t="shared" si="2"/>
        <v>1</v>
      </c>
      <c r="N22" s="29"/>
      <c r="O22" s="36"/>
      <c r="P22" s="18" t="s">
        <v>20</v>
      </c>
      <c r="Q22" s="31"/>
      <c r="R22" s="31" t="s">
        <v>20</v>
      </c>
      <c r="S22" s="33" t="s">
        <v>25</v>
      </c>
      <c r="T22" s="33" t="s">
        <v>25</v>
      </c>
      <c r="U22" s="31" t="s">
        <v>25</v>
      </c>
      <c r="V22" s="21" t="s">
        <v>25</v>
      </c>
      <c r="W22" s="21" t="s">
        <v>25</v>
      </c>
      <c r="X22" s="18" t="s">
        <v>20</v>
      </c>
      <c r="Y22" s="21"/>
      <c r="Z22" s="21"/>
      <c r="AA22" s="21"/>
      <c r="AB22" s="18" t="s">
        <v>20</v>
      </c>
      <c r="AC22" s="23" t="s">
        <v>50</v>
      </c>
      <c r="AD22" s="24" t="s">
        <v>51</v>
      </c>
      <c r="AE22" s="34">
        <v>222</v>
      </c>
      <c r="AF22" s="35">
        <v>27</v>
      </c>
      <c r="AG22" s="28" t="str">
        <f t="shared" si="3"/>
        <v>222-27</v>
      </c>
      <c r="AH22" s="24" t="s">
        <v>143</v>
      </c>
      <c r="AI22" s="2" t="b">
        <f t="shared" si="4"/>
        <v>1</v>
      </c>
    </row>
    <row r="23" spans="1:35" ht="12.75" customHeight="1">
      <c r="A23" s="12">
        <v>22</v>
      </c>
      <c r="B23" s="28"/>
      <c r="C23" s="15" t="s">
        <v>20</v>
      </c>
      <c r="D23" s="15">
        <v>3</v>
      </c>
      <c r="E23" s="13" t="s">
        <v>50</v>
      </c>
      <c r="F23" s="17" t="s">
        <v>51</v>
      </c>
      <c r="G23" s="13">
        <v>222</v>
      </c>
      <c r="H23" s="19">
        <v>27</v>
      </c>
      <c r="I23" s="19" t="str">
        <f t="shared" si="0"/>
        <v>222-27</v>
      </c>
      <c r="J23" s="17" t="s">
        <v>143</v>
      </c>
      <c r="K23" s="26"/>
      <c r="L23" s="8" t="b">
        <f t="shared" si="1"/>
        <v>1</v>
      </c>
      <c r="M23" s="8" t="b">
        <f t="shared" si="2"/>
        <v>1</v>
      </c>
      <c r="N23" s="29"/>
      <c r="O23" s="36"/>
      <c r="P23" s="18" t="s">
        <v>20</v>
      </c>
      <c r="Q23" s="31"/>
      <c r="R23" s="31" t="s">
        <v>20</v>
      </c>
      <c r="S23" s="33" t="s">
        <v>25</v>
      </c>
      <c r="T23" s="33" t="s">
        <v>25</v>
      </c>
      <c r="U23" s="31" t="s">
        <v>25</v>
      </c>
      <c r="V23" s="21" t="s">
        <v>25</v>
      </c>
      <c r="W23" s="21" t="s">
        <v>25</v>
      </c>
      <c r="X23" s="18" t="s">
        <v>20</v>
      </c>
      <c r="Y23" s="21"/>
      <c r="Z23" s="21"/>
      <c r="AA23" s="21"/>
      <c r="AB23" s="18" t="s">
        <v>20</v>
      </c>
      <c r="AC23" s="23" t="s">
        <v>50</v>
      </c>
      <c r="AD23" s="24" t="s">
        <v>51</v>
      </c>
      <c r="AE23" s="34">
        <v>222</v>
      </c>
      <c r="AF23" s="35">
        <v>27</v>
      </c>
      <c r="AG23" s="28" t="str">
        <f t="shared" si="3"/>
        <v>222-27</v>
      </c>
      <c r="AH23" s="24" t="s">
        <v>143</v>
      </c>
      <c r="AI23" s="2" t="b">
        <f t="shared" si="4"/>
        <v>1</v>
      </c>
    </row>
    <row r="24" spans="1:35" ht="12.75" customHeight="1">
      <c r="A24" s="12">
        <v>23</v>
      </c>
      <c r="B24" s="28">
        <v>51798311</v>
      </c>
      <c r="C24" s="15" t="s">
        <v>197</v>
      </c>
      <c r="D24" s="15">
        <v>3</v>
      </c>
      <c r="E24" s="13" t="s">
        <v>50</v>
      </c>
      <c r="F24" s="17" t="s">
        <v>51</v>
      </c>
      <c r="G24" s="13">
        <v>222</v>
      </c>
      <c r="H24" s="19">
        <v>27</v>
      </c>
      <c r="I24" s="19" t="str">
        <f t="shared" si="0"/>
        <v>222-27</v>
      </c>
      <c r="J24" s="17" t="s">
        <v>95</v>
      </c>
      <c r="K24" s="82" t="s">
        <v>49</v>
      </c>
      <c r="L24" s="8" t="b">
        <f t="shared" si="1"/>
        <v>1</v>
      </c>
      <c r="M24" s="8" t="b">
        <f t="shared" si="2"/>
        <v>1</v>
      </c>
      <c r="N24" s="29"/>
      <c r="O24" s="36">
        <v>51798311</v>
      </c>
      <c r="P24" s="18" t="s">
        <v>197</v>
      </c>
      <c r="Q24" s="31" t="s">
        <v>49</v>
      </c>
      <c r="R24" s="31" t="s">
        <v>49</v>
      </c>
      <c r="S24" s="33">
        <v>42585</v>
      </c>
      <c r="T24" s="33">
        <v>34457</v>
      </c>
      <c r="U24" s="31" t="s">
        <v>48</v>
      </c>
      <c r="V24" s="21">
        <v>57</v>
      </c>
      <c r="W24" s="21" t="s">
        <v>25</v>
      </c>
      <c r="X24" s="31"/>
      <c r="Y24" s="21"/>
      <c r="Z24" s="21"/>
      <c r="AA24" s="21"/>
      <c r="AB24" s="18" t="s">
        <v>53</v>
      </c>
      <c r="AC24" s="23" t="s">
        <v>50</v>
      </c>
      <c r="AD24" s="24" t="s">
        <v>51</v>
      </c>
      <c r="AE24" s="34">
        <v>222</v>
      </c>
      <c r="AF24" s="35">
        <v>27</v>
      </c>
      <c r="AG24" s="28" t="str">
        <f t="shared" si="3"/>
        <v>222-27</v>
      </c>
      <c r="AH24" s="24" t="s">
        <v>95</v>
      </c>
      <c r="AI24" s="2" t="b">
        <f t="shared" si="4"/>
        <v>1</v>
      </c>
    </row>
    <row r="25" spans="1:35" ht="12.75" customHeight="1">
      <c r="A25" s="12">
        <v>24</v>
      </c>
      <c r="B25" s="28">
        <v>79153811</v>
      </c>
      <c r="C25" s="15" t="s">
        <v>199</v>
      </c>
      <c r="D25" s="15">
        <v>3</v>
      </c>
      <c r="E25" s="13" t="s">
        <v>50</v>
      </c>
      <c r="F25" s="17" t="s">
        <v>51</v>
      </c>
      <c r="G25" s="13">
        <v>222</v>
      </c>
      <c r="H25" s="19">
        <v>27</v>
      </c>
      <c r="I25" s="19" t="str">
        <f t="shared" si="0"/>
        <v>222-27</v>
      </c>
      <c r="J25" s="17" t="s">
        <v>95</v>
      </c>
      <c r="K25" s="82" t="s">
        <v>49</v>
      </c>
      <c r="L25" s="8" t="b">
        <f t="shared" si="1"/>
        <v>1</v>
      </c>
      <c r="M25" s="8" t="b">
        <f t="shared" si="2"/>
        <v>1</v>
      </c>
      <c r="N25" s="29"/>
      <c r="O25" s="36">
        <v>79153811</v>
      </c>
      <c r="P25" s="18" t="s">
        <v>199</v>
      </c>
      <c r="Q25" s="31" t="s">
        <v>49</v>
      </c>
      <c r="R25" s="31" t="s">
        <v>49</v>
      </c>
      <c r="S25" s="33">
        <v>42585</v>
      </c>
      <c r="T25" s="33">
        <v>34256</v>
      </c>
      <c r="U25" s="31" t="s">
        <v>84</v>
      </c>
      <c r="V25" s="21">
        <v>60</v>
      </c>
      <c r="W25" s="21" t="s">
        <v>25</v>
      </c>
      <c r="X25" s="31"/>
      <c r="Y25" s="21"/>
      <c r="Z25" s="21"/>
      <c r="AA25" s="21"/>
      <c r="AB25" s="18" t="s">
        <v>53</v>
      </c>
      <c r="AC25" s="23" t="s">
        <v>50</v>
      </c>
      <c r="AD25" s="24" t="s">
        <v>51</v>
      </c>
      <c r="AE25" s="34">
        <v>222</v>
      </c>
      <c r="AF25" s="35">
        <v>27</v>
      </c>
      <c r="AG25" s="28" t="str">
        <f t="shared" si="3"/>
        <v>222-27</v>
      </c>
      <c r="AH25" s="24" t="s">
        <v>95</v>
      </c>
      <c r="AI25" s="2" t="b">
        <f t="shared" si="4"/>
        <v>1</v>
      </c>
    </row>
    <row r="26" spans="1:35" ht="12.75" customHeight="1">
      <c r="A26" s="12">
        <v>25</v>
      </c>
      <c r="B26" s="28">
        <v>51569861</v>
      </c>
      <c r="C26" s="15" t="s">
        <v>201</v>
      </c>
      <c r="D26" s="15">
        <v>3</v>
      </c>
      <c r="E26" s="13" t="s">
        <v>50</v>
      </c>
      <c r="F26" s="17" t="s">
        <v>51</v>
      </c>
      <c r="G26" s="13">
        <v>222</v>
      </c>
      <c r="H26" s="19">
        <v>27</v>
      </c>
      <c r="I26" s="19" t="str">
        <f t="shared" si="0"/>
        <v>222-27</v>
      </c>
      <c r="J26" s="17" t="s">
        <v>95</v>
      </c>
      <c r="K26" s="82" t="s">
        <v>49</v>
      </c>
      <c r="L26" s="8" t="b">
        <f t="shared" si="1"/>
        <v>1</v>
      </c>
      <c r="M26" s="8" t="b">
        <f t="shared" si="2"/>
        <v>1</v>
      </c>
      <c r="N26" s="29"/>
      <c r="O26" s="36">
        <v>51569861</v>
      </c>
      <c r="P26" s="18" t="s">
        <v>201</v>
      </c>
      <c r="Q26" s="31" t="s">
        <v>49</v>
      </c>
      <c r="R26" s="31" t="s">
        <v>49</v>
      </c>
      <c r="S26" s="33">
        <v>42585</v>
      </c>
      <c r="T26" s="33">
        <v>34684</v>
      </c>
      <c r="U26" s="31" t="s">
        <v>48</v>
      </c>
      <c r="V26" s="21">
        <v>63</v>
      </c>
      <c r="W26" s="21" t="s">
        <v>25</v>
      </c>
      <c r="X26" s="31"/>
      <c r="Y26" s="21"/>
      <c r="Z26" s="21"/>
      <c r="AA26" s="21"/>
      <c r="AB26" s="18" t="s">
        <v>53</v>
      </c>
      <c r="AC26" s="23" t="s">
        <v>50</v>
      </c>
      <c r="AD26" s="24" t="s">
        <v>51</v>
      </c>
      <c r="AE26" s="34">
        <v>222</v>
      </c>
      <c r="AF26" s="35">
        <v>27</v>
      </c>
      <c r="AG26" s="28" t="str">
        <f t="shared" si="3"/>
        <v>222-27</v>
      </c>
      <c r="AH26" s="24" t="s">
        <v>95</v>
      </c>
      <c r="AI26" s="2" t="b">
        <f t="shared" si="4"/>
        <v>1</v>
      </c>
    </row>
    <row r="27" spans="1:35" ht="12.75" customHeight="1">
      <c r="A27" s="12">
        <v>26</v>
      </c>
      <c r="B27" s="13"/>
      <c r="C27" s="15" t="s">
        <v>20</v>
      </c>
      <c r="D27" s="15">
        <v>3</v>
      </c>
      <c r="E27" s="13" t="s">
        <v>50</v>
      </c>
      <c r="F27" s="17" t="s">
        <v>51</v>
      </c>
      <c r="G27" s="13">
        <v>222</v>
      </c>
      <c r="H27" s="19">
        <v>27</v>
      </c>
      <c r="I27" s="19" t="str">
        <f t="shared" si="0"/>
        <v>222-27</v>
      </c>
      <c r="J27" s="17" t="s">
        <v>95</v>
      </c>
      <c r="K27" s="26"/>
      <c r="L27" s="8" t="b">
        <f t="shared" si="1"/>
        <v>1</v>
      </c>
      <c r="M27" s="8" t="b">
        <f t="shared" si="2"/>
        <v>1</v>
      </c>
      <c r="N27" s="29"/>
      <c r="O27" s="30"/>
      <c r="P27" s="18" t="s">
        <v>20</v>
      </c>
      <c r="Q27" s="31"/>
      <c r="R27" s="31" t="s">
        <v>20</v>
      </c>
      <c r="S27" s="33" t="s">
        <v>25</v>
      </c>
      <c r="T27" s="33" t="s">
        <v>25</v>
      </c>
      <c r="U27" s="31" t="s">
        <v>25</v>
      </c>
      <c r="V27" s="21" t="s">
        <v>25</v>
      </c>
      <c r="W27" s="21" t="s">
        <v>25</v>
      </c>
      <c r="X27" s="18" t="s">
        <v>20</v>
      </c>
      <c r="Y27" s="21"/>
      <c r="Z27" s="21"/>
      <c r="AA27" s="21"/>
      <c r="AB27" s="18" t="s">
        <v>20</v>
      </c>
      <c r="AC27" s="23" t="s">
        <v>50</v>
      </c>
      <c r="AD27" s="24" t="s">
        <v>51</v>
      </c>
      <c r="AE27" s="34">
        <v>222</v>
      </c>
      <c r="AF27" s="35">
        <v>27</v>
      </c>
      <c r="AG27" s="28" t="str">
        <f t="shared" si="3"/>
        <v>222-27</v>
      </c>
      <c r="AH27" s="24" t="s">
        <v>95</v>
      </c>
      <c r="AI27" s="2" t="b">
        <f t="shared" si="4"/>
        <v>1</v>
      </c>
    </row>
    <row r="28" spans="1:35" ht="12.75" customHeight="1">
      <c r="A28" s="12">
        <v>27</v>
      </c>
      <c r="B28" s="13"/>
      <c r="C28" s="15" t="s">
        <v>20</v>
      </c>
      <c r="D28" s="15">
        <v>3</v>
      </c>
      <c r="E28" s="13" t="s">
        <v>50</v>
      </c>
      <c r="F28" s="17" t="s">
        <v>51</v>
      </c>
      <c r="G28" s="13">
        <v>222</v>
      </c>
      <c r="H28" s="19">
        <v>27</v>
      </c>
      <c r="I28" s="19" t="str">
        <f t="shared" si="0"/>
        <v>222-27</v>
      </c>
      <c r="J28" s="17" t="s">
        <v>95</v>
      </c>
      <c r="K28" s="26"/>
      <c r="L28" s="8" t="b">
        <f t="shared" si="1"/>
        <v>1</v>
      </c>
      <c r="M28" s="8" t="b">
        <f t="shared" si="2"/>
        <v>1</v>
      </c>
      <c r="N28" s="29"/>
      <c r="O28" s="30"/>
      <c r="P28" s="18" t="s">
        <v>20</v>
      </c>
      <c r="Q28" s="31"/>
      <c r="R28" s="31" t="s">
        <v>20</v>
      </c>
      <c r="S28" s="33" t="s">
        <v>25</v>
      </c>
      <c r="T28" s="33" t="s">
        <v>25</v>
      </c>
      <c r="U28" s="31" t="s">
        <v>25</v>
      </c>
      <c r="V28" s="21" t="s">
        <v>25</v>
      </c>
      <c r="W28" s="21" t="s">
        <v>25</v>
      </c>
      <c r="X28" s="18" t="s">
        <v>20</v>
      </c>
      <c r="Y28" s="21"/>
      <c r="Z28" s="21"/>
      <c r="AA28" s="21"/>
      <c r="AB28" s="18" t="s">
        <v>20</v>
      </c>
      <c r="AC28" s="23" t="s">
        <v>50</v>
      </c>
      <c r="AD28" s="24" t="s">
        <v>51</v>
      </c>
      <c r="AE28" s="34">
        <v>222</v>
      </c>
      <c r="AF28" s="35">
        <v>27</v>
      </c>
      <c r="AG28" s="28" t="str">
        <f t="shared" si="3"/>
        <v>222-27</v>
      </c>
      <c r="AH28" s="24" t="s">
        <v>95</v>
      </c>
      <c r="AI28" s="2" t="b">
        <f t="shared" si="4"/>
        <v>1</v>
      </c>
    </row>
    <row r="29" spans="1:35" ht="12.75" customHeight="1">
      <c r="A29" s="12">
        <v>28</v>
      </c>
      <c r="B29" s="28"/>
      <c r="C29" s="15" t="s">
        <v>20</v>
      </c>
      <c r="D29" s="15">
        <v>3</v>
      </c>
      <c r="E29" s="13" t="s">
        <v>50</v>
      </c>
      <c r="F29" s="17" t="s">
        <v>51</v>
      </c>
      <c r="G29" s="13">
        <v>222</v>
      </c>
      <c r="H29" s="19">
        <v>27</v>
      </c>
      <c r="I29" s="19" t="str">
        <f t="shared" si="0"/>
        <v>222-27</v>
      </c>
      <c r="J29" s="17" t="s">
        <v>95</v>
      </c>
      <c r="K29" s="26"/>
      <c r="L29" s="8" t="b">
        <f t="shared" si="1"/>
        <v>1</v>
      </c>
      <c r="M29" s="8" t="b">
        <f t="shared" si="2"/>
        <v>1</v>
      </c>
      <c r="N29" s="29"/>
      <c r="O29" s="36"/>
      <c r="P29" s="18" t="s">
        <v>20</v>
      </c>
      <c r="Q29" s="31"/>
      <c r="R29" s="31" t="s">
        <v>20</v>
      </c>
      <c r="S29" s="33" t="s">
        <v>25</v>
      </c>
      <c r="T29" s="33" t="s">
        <v>25</v>
      </c>
      <c r="U29" s="31" t="s">
        <v>25</v>
      </c>
      <c r="V29" s="21" t="s">
        <v>25</v>
      </c>
      <c r="W29" s="21" t="s">
        <v>25</v>
      </c>
      <c r="X29" s="18" t="s">
        <v>20</v>
      </c>
      <c r="Y29" s="21"/>
      <c r="Z29" s="21"/>
      <c r="AA29" s="21"/>
      <c r="AB29" s="18" t="s">
        <v>20</v>
      </c>
      <c r="AC29" s="23" t="s">
        <v>50</v>
      </c>
      <c r="AD29" s="24" t="s">
        <v>51</v>
      </c>
      <c r="AE29" s="34">
        <v>222</v>
      </c>
      <c r="AF29" s="35">
        <v>27</v>
      </c>
      <c r="AG29" s="28" t="str">
        <f t="shared" si="3"/>
        <v>222-27</v>
      </c>
      <c r="AH29" s="24" t="s">
        <v>95</v>
      </c>
      <c r="AI29" s="2" t="b">
        <f t="shared" si="4"/>
        <v>1</v>
      </c>
    </row>
    <row r="30" spans="1:35" ht="12.75" customHeight="1">
      <c r="A30" s="12">
        <v>29</v>
      </c>
      <c r="B30" s="28"/>
      <c r="C30" s="15" t="s">
        <v>20</v>
      </c>
      <c r="D30" s="15">
        <v>3</v>
      </c>
      <c r="E30" s="13" t="s">
        <v>50</v>
      </c>
      <c r="F30" s="17" t="s">
        <v>51</v>
      </c>
      <c r="G30" s="13">
        <v>222</v>
      </c>
      <c r="H30" s="19">
        <v>27</v>
      </c>
      <c r="I30" s="19" t="str">
        <f t="shared" si="0"/>
        <v>222-27</v>
      </c>
      <c r="J30" s="17" t="s">
        <v>95</v>
      </c>
      <c r="K30" s="26"/>
      <c r="L30" s="8" t="b">
        <f t="shared" si="1"/>
        <v>1</v>
      </c>
      <c r="M30" s="8" t="b">
        <f t="shared" si="2"/>
        <v>1</v>
      </c>
      <c r="N30" s="29"/>
      <c r="O30" s="36"/>
      <c r="P30" s="18" t="s">
        <v>20</v>
      </c>
      <c r="Q30" s="31"/>
      <c r="R30" s="31" t="s">
        <v>20</v>
      </c>
      <c r="S30" s="33" t="s">
        <v>25</v>
      </c>
      <c r="T30" s="33" t="s">
        <v>25</v>
      </c>
      <c r="U30" s="31" t="s">
        <v>25</v>
      </c>
      <c r="V30" s="21" t="s">
        <v>25</v>
      </c>
      <c r="W30" s="21" t="s">
        <v>25</v>
      </c>
      <c r="X30" s="18" t="s">
        <v>20</v>
      </c>
      <c r="Y30" s="21"/>
      <c r="Z30" s="21"/>
      <c r="AA30" s="21"/>
      <c r="AB30" s="18" t="s">
        <v>20</v>
      </c>
      <c r="AC30" s="23" t="s">
        <v>50</v>
      </c>
      <c r="AD30" s="24" t="s">
        <v>51</v>
      </c>
      <c r="AE30" s="34">
        <v>222</v>
      </c>
      <c r="AF30" s="35">
        <v>27</v>
      </c>
      <c r="AG30" s="28" t="str">
        <f t="shared" si="3"/>
        <v>222-27</v>
      </c>
      <c r="AH30" s="24" t="s">
        <v>95</v>
      </c>
      <c r="AI30" s="2" t="b">
        <f t="shared" si="4"/>
        <v>1</v>
      </c>
    </row>
    <row r="31" spans="1:35" ht="12.75" customHeight="1">
      <c r="A31" s="12">
        <v>30</v>
      </c>
      <c r="B31" s="28"/>
      <c r="C31" s="15" t="s">
        <v>20</v>
      </c>
      <c r="D31" s="15">
        <v>3</v>
      </c>
      <c r="E31" s="13" t="s">
        <v>50</v>
      </c>
      <c r="F31" s="17" t="s">
        <v>51</v>
      </c>
      <c r="G31" s="13">
        <v>222</v>
      </c>
      <c r="H31" s="19">
        <v>27</v>
      </c>
      <c r="I31" s="19" t="str">
        <f t="shared" si="0"/>
        <v>222-27</v>
      </c>
      <c r="J31" s="17" t="s">
        <v>95</v>
      </c>
      <c r="K31" s="26"/>
      <c r="L31" s="8" t="b">
        <f t="shared" si="1"/>
        <v>1</v>
      </c>
      <c r="M31" s="8" t="b">
        <f t="shared" si="2"/>
        <v>1</v>
      </c>
      <c r="N31" s="29"/>
      <c r="O31" s="36"/>
      <c r="P31" s="18" t="s">
        <v>20</v>
      </c>
      <c r="Q31" s="31"/>
      <c r="R31" s="31" t="s">
        <v>20</v>
      </c>
      <c r="S31" s="33" t="s">
        <v>25</v>
      </c>
      <c r="T31" s="33" t="s">
        <v>25</v>
      </c>
      <c r="U31" s="31" t="s">
        <v>25</v>
      </c>
      <c r="V31" s="21" t="s">
        <v>25</v>
      </c>
      <c r="W31" s="21" t="s">
        <v>25</v>
      </c>
      <c r="X31" s="18" t="s">
        <v>20</v>
      </c>
      <c r="Y31" s="21"/>
      <c r="Z31" s="21"/>
      <c r="AA31" s="21"/>
      <c r="AB31" s="18" t="s">
        <v>20</v>
      </c>
      <c r="AC31" s="23" t="s">
        <v>50</v>
      </c>
      <c r="AD31" s="24" t="s">
        <v>51</v>
      </c>
      <c r="AE31" s="34">
        <v>222</v>
      </c>
      <c r="AF31" s="35">
        <v>27</v>
      </c>
      <c r="AG31" s="28" t="str">
        <f t="shared" si="3"/>
        <v>222-27</v>
      </c>
      <c r="AH31" s="24" t="s">
        <v>95</v>
      </c>
      <c r="AI31" s="2" t="b">
        <f t="shared" si="4"/>
        <v>1</v>
      </c>
    </row>
    <row r="32" spans="1:35" ht="12.75" customHeight="1">
      <c r="A32" s="12">
        <v>31</v>
      </c>
      <c r="B32" s="28"/>
      <c r="C32" s="15" t="s">
        <v>20</v>
      </c>
      <c r="D32" s="15">
        <v>3</v>
      </c>
      <c r="E32" s="13" t="s">
        <v>50</v>
      </c>
      <c r="F32" s="17" t="s">
        <v>51</v>
      </c>
      <c r="G32" s="13">
        <v>222</v>
      </c>
      <c r="H32" s="19">
        <v>27</v>
      </c>
      <c r="I32" s="19" t="str">
        <f t="shared" si="0"/>
        <v>222-27</v>
      </c>
      <c r="J32" s="17" t="s">
        <v>95</v>
      </c>
      <c r="K32" s="26"/>
      <c r="L32" s="8" t="b">
        <f t="shared" si="1"/>
        <v>1</v>
      </c>
      <c r="M32" s="8" t="b">
        <f t="shared" si="2"/>
        <v>1</v>
      </c>
      <c r="N32" s="29"/>
      <c r="O32" s="36"/>
      <c r="P32" s="18" t="s">
        <v>20</v>
      </c>
      <c r="Q32" s="31"/>
      <c r="R32" s="31" t="s">
        <v>20</v>
      </c>
      <c r="S32" s="33" t="s">
        <v>25</v>
      </c>
      <c r="T32" s="33" t="s">
        <v>25</v>
      </c>
      <c r="U32" s="31" t="s">
        <v>25</v>
      </c>
      <c r="V32" s="21" t="s">
        <v>25</v>
      </c>
      <c r="W32" s="21" t="s">
        <v>25</v>
      </c>
      <c r="X32" s="18" t="s">
        <v>20</v>
      </c>
      <c r="Y32" s="21"/>
      <c r="Z32" s="21"/>
      <c r="AA32" s="21"/>
      <c r="AB32" s="18" t="s">
        <v>20</v>
      </c>
      <c r="AC32" s="23" t="s">
        <v>50</v>
      </c>
      <c r="AD32" s="24" t="s">
        <v>51</v>
      </c>
      <c r="AE32" s="34">
        <v>222</v>
      </c>
      <c r="AF32" s="35">
        <v>27</v>
      </c>
      <c r="AG32" s="28" t="str">
        <f t="shared" si="3"/>
        <v>222-27</v>
      </c>
      <c r="AH32" s="24" t="s">
        <v>95</v>
      </c>
      <c r="AI32" s="2" t="b">
        <f t="shared" si="4"/>
        <v>1</v>
      </c>
    </row>
    <row r="33" spans="1:35" ht="12.75" customHeight="1">
      <c r="A33" s="12">
        <v>32</v>
      </c>
      <c r="B33" s="21">
        <v>52363895</v>
      </c>
      <c r="C33" s="56" t="s">
        <v>219</v>
      </c>
      <c r="D33" s="15">
        <v>3</v>
      </c>
      <c r="E33" s="13" t="s">
        <v>50</v>
      </c>
      <c r="F33" s="17" t="s">
        <v>51</v>
      </c>
      <c r="G33" s="13">
        <v>222</v>
      </c>
      <c r="H33" s="19">
        <v>27</v>
      </c>
      <c r="I33" s="19" t="str">
        <f t="shared" si="0"/>
        <v>222-27</v>
      </c>
      <c r="J33" s="17" t="s">
        <v>113</v>
      </c>
      <c r="K33" s="82" t="s">
        <v>49</v>
      </c>
      <c r="L33" s="8" t="b">
        <f t="shared" si="1"/>
        <v>1</v>
      </c>
      <c r="M33" s="8" t="b">
        <f t="shared" si="2"/>
        <v>1</v>
      </c>
      <c r="N33" s="29"/>
      <c r="O33" s="99">
        <v>52363895</v>
      </c>
      <c r="P33" s="31" t="s">
        <v>219</v>
      </c>
      <c r="Q33" s="31" t="s">
        <v>49</v>
      </c>
      <c r="R33" s="31" t="s">
        <v>49</v>
      </c>
      <c r="S33" s="33">
        <v>42585</v>
      </c>
      <c r="T33" s="33">
        <v>37994</v>
      </c>
      <c r="U33" s="31" t="s">
        <v>48</v>
      </c>
      <c r="V33" s="21">
        <v>46</v>
      </c>
      <c r="W33" s="21" t="s">
        <v>25</v>
      </c>
      <c r="X33" s="31"/>
      <c r="Y33" s="21"/>
      <c r="Z33" s="21"/>
      <c r="AA33" s="21"/>
      <c r="AB33" s="18" t="s">
        <v>53</v>
      </c>
      <c r="AC33" s="23" t="s">
        <v>50</v>
      </c>
      <c r="AD33" s="24" t="s">
        <v>51</v>
      </c>
      <c r="AE33" s="34">
        <v>222</v>
      </c>
      <c r="AF33" s="35">
        <v>27</v>
      </c>
      <c r="AG33" s="28" t="str">
        <f t="shared" si="3"/>
        <v>222-27</v>
      </c>
      <c r="AH33" s="24" t="s">
        <v>113</v>
      </c>
      <c r="AI33" s="2" t="b">
        <f t="shared" si="4"/>
        <v>1</v>
      </c>
    </row>
    <row r="34" spans="1:35" ht="12.75" customHeight="1">
      <c r="A34" s="12">
        <v>33</v>
      </c>
      <c r="B34" s="28">
        <v>52009661</v>
      </c>
      <c r="C34" s="56" t="s">
        <v>224</v>
      </c>
      <c r="D34" s="15">
        <v>3</v>
      </c>
      <c r="E34" s="13" t="s">
        <v>50</v>
      </c>
      <c r="F34" s="17" t="s">
        <v>51</v>
      </c>
      <c r="G34" s="13">
        <v>222</v>
      </c>
      <c r="H34" s="19">
        <v>27</v>
      </c>
      <c r="I34" s="19" t="str">
        <f t="shared" si="0"/>
        <v>222-27</v>
      </c>
      <c r="J34" s="17" t="s">
        <v>113</v>
      </c>
      <c r="K34" s="82" t="s">
        <v>49</v>
      </c>
      <c r="L34" s="8" t="b">
        <f t="shared" si="1"/>
        <v>1</v>
      </c>
      <c r="M34" s="8" t="b">
        <f t="shared" si="2"/>
        <v>1</v>
      </c>
      <c r="N34" s="29"/>
      <c r="O34" s="36">
        <v>52009661</v>
      </c>
      <c r="P34" s="31" t="s">
        <v>224</v>
      </c>
      <c r="Q34" s="31" t="s">
        <v>49</v>
      </c>
      <c r="R34" s="31" t="s">
        <v>227</v>
      </c>
      <c r="S34" s="33">
        <v>42585</v>
      </c>
      <c r="T34" s="33">
        <v>35387</v>
      </c>
      <c r="U34" s="31" t="s">
        <v>48</v>
      </c>
      <c r="V34" s="21">
        <v>50</v>
      </c>
      <c r="W34" s="21" t="s">
        <v>228</v>
      </c>
      <c r="X34" s="31"/>
      <c r="Y34" s="21"/>
      <c r="Z34" s="21"/>
      <c r="AA34" s="21" t="s">
        <v>229</v>
      </c>
      <c r="AB34" s="18" t="s">
        <v>53</v>
      </c>
      <c r="AC34" s="23" t="s">
        <v>50</v>
      </c>
      <c r="AD34" s="24" t="s">
        <v>51</v>
      </c>
      <c r="AE34" s="34">
        <v>222</v>
      </c>
      <c r="AF34" s="35">
        <v>27</v>
      </c>
      <c r="AG34" s="28" t="str">
        <f t="shared" si="3"/>
        <v>222-27</v>
      </c>
      <c r="AH34" s="24" t="s">
        <v>113</v>
      </c>
      <c r="AI34" s="2" t="b">
        <f t="shared" si="4"/>
        <v>1</v>
      </c>
    </row>
    <row r="35" spans="1:35" ht="12.75" customHeight="1">
      <c r="A35" s="12">
        <v>34</v>
      </c>
      <c r="B35" s="28"/>
      <c r="C35" s="15" t="s">
        <v>20</v>
      </c>
      <c r="D35" s="15">
        <v>3</v>
      </c>
      <c r="E35" s="13" t="s">
        <v>50</v>
      </c>
      <c r="F35" s="17" t="s">
        <v>51</v>
      </c>
      <c r="G35" s="13">
        <v>222</v>
      </c>
      <c r="H35" s="19">
        <v>27</v>
      </c>
      <c r="I35" s="19" t="str">
        <f t="shared" si="0"/>
        <v>222-27</v>
      </c>
      <c r="J35" s="17" t="s">
        <v>113</v>
      </c>
      <c r="K35" s="26"/>
      <c r="L35" s="8" t="b">
        <f t="shared" si="1"/>
        <v>1</v>
      </c>
      <c r="M35" s="8" t="b">
        <f t="shared" si="2"/>
        <v>1</v>
      </c>
      <c r="N35" s="29"/>
      <c r="O35" s="36"/>
      <c r="P35" s="18" t="s">
        <v>20</v>
      </c>
      <c r="Q35" s="31"/>
      <c r="R35" s="31" t="s">
        <v>20</v>
      </c>
      <c r="S35" s="33" t="s">
        <v>25</v>
      </c>
      <c r="T35" s="33" t="s">
        <v>25</v>
      </c>
      <c r="U35" s="31" t="s">
        <v>25</v>
      </c>
      <c r="V35" s="21" t="s">
        <v>25</v>
      </c>
      <c r="W35" s="21" t="s">
        <v>25</v>
      </c>
      <c r="X35" s="18" t="s">
        <v>20</v>
      </c>
      <c r="Y35" s="21"/>
      <c r="Z35" s="21"/>
      <c r="AA35" s="21"/>
      <c r="AB35" s="18" t="s">
        <v>20</v>
      </c>
      <c r="AC35" s="23" t="s">
        <v>50</v>
      </c>
      <c r="AD35" s="24" t="s">
        <v>51</v>
      </c>
      <c r="AE35" s="34">
        <v>222</v>
      </c>
      <c r="AF35" s="35">
        <v>27</v>
      </c>
      <c r="AG35" s="28" t="str">
        <f t="shared" si="3"/>
        <v>222-27</v>
      </c>
      <c r="AH35" s="24" t="s">
        <v>113</v>
      </c>
      <c r="AI35" s="2" t="b">
        <f t="shared" si="4"/>
        <v>1</v>
      </c>
    </row>
    <row r="36" spans="1:35" ht="12.75" customHeight="1">
      <c r="A36" s="12">
        <v>35</v>
      </c>
      <c r="B36" s="28">
        <v>24179106</v>
      </c>
      <c r="C36" s="56" t="s">
        <v>232</v>
      </c>
      <c r="D36" s="15">
        <v>3</v>
      </c>
      <c r="E36" s="13" t="s">
        <v>50</v>
      </c>
      <c r="F36" s="17" t="s">
        <v>51</v>
      </c>
      <c r="G36" s="13">
        <v>222</v>
      </c>
      <c r="H36" s="19">
        <v>27</v>
      </c>
      <c r="I36" s="19" t="str">
        <f t="shared" si="0"/>
        <v>222-27</v>
      </c>
      <c r="J36" s="17" t="s">
        <v>132</v>
      </c>
      <c r="K36" s="82" t="s">
        <v>49</v>
      </c>
      <c r="L36" s="8" t="b">
        <f t="shared" si="1"/>
        <v>1</v>
      </c>
      <c r="M36" s="8" t="b">
        <f t="shared" si="2"/>
        <v>1</v>
      </c>
      <c r="N36" s="29"/>
      <c r="O36" s="36">
        <v>24179106</v>
      </c>
      <c r="P36" s="31" t="s">
        <v>232</v>
      </c>
      <c r="Q36" s="31" t="s">
        <v>49</v>
      </c>
      <c r="R36" s="31" t="s">
        <v>49</v>
      </c>
      <c r="S36" s="33">
        <v>42585</v>
      </c>
      <c r="T36" s="33">
        <v>38316</v>
      </c>
      <c r="U36" s="31" t="s">
        <v>48</v>
      </c>
      <c r="V36" s="21">
        <v>45</v>
      </c>
      <c r="W36" s="21" t="s">
        <v>25</v>
      </c>
      <c r="X36" s="31"/>
      <c r="Y36" s="21"/>
      <c r="Z36" s="21"/>
      <c r="AA36" s="21"/>
      <c r="AB36" s="18" t="s">
        <v>53</v>
      </c>
      <c r="AC36" s="23" t="s">
        <v>50</v>
      </c>
      <c r="AD36" s="24" t="s">
        <v>51</v>
      </c>
      <c r="AE36" s="34">
        <v>222</v>
      </c>
      <c r="AF36" s="35">
        <v>27</v>
      </c>
      <c r="AG36" s="28" t="str">
        <f t="shared" si="3"/>
        <v>222-27</v>
      </c>
      <c r="AH36" s="24" t="s">
        <v>132</v>
      </c>
      <c r="AI36" s="2" t="b">
        <f t="shared" si="4"/>
        <v>1</v>
      </c>
    </row>
    <row r="37" spans="1:35" ht="12.75" customHeight="1">
      <c r="A37" s="12">
        <v>36</v>
      </c>
      <c r="B37" s="28"/>
      <c r="C37" s="15" t="s">
        <v>20</v>
      </c>
      <c r="D37" s="15">
        <v>3</v>
      </c>
      <c r="E37" s="13" t="s">
        <v>50</v>
      </c>
      <c r="F37" s="17" t="s">
        <v>51</v>
      </c>
      <c r="G37" s="13">
        <v>222</v>
      </c>
      <c r="H37" s="19">
        <v>27</v>
      </c>
      <c r="I37" s="19" t="str">
        <f t="shared" si="0"/>
        <v>222-27</v>
      </c>
      <c r="J37" s="17" t="s">
        <v>132</v>
      </c>
      <c r="K37" s="26"/>
      <c r="L37" s="8" t="b">
        <f t="shared" si="1"/>
        <v>1</v>
      </c>
      <c r="M37" s="8" t="b">
        <f t="shared" si="2"/>
        <v>1</v>
      </c>
      <c r="N37" s="29"/>
      <c r="O37" s="36"/>
      <c r="P37" s="18" t="s">
        <v>20</v>
      </c>
      <c r="Q37" s="31"/>
      <c r="R37" s="31" t="s">
        <v>20</v>
      </c>
      <c r="S37" s="33" t="s">
        <v>25</v>
      </c>
      <c r="T37" s="33" t="s">
        <v>25</v>
      </c>
      <c r="U37" s="31" t="s">
        <v>25</v>
      </c>
      <c r="V37" s="21" t="s">
        <v>25</v>
      </c>
      <c r="W37" s="21" t="s">
        <v>25</v>
      </c>
      <c r="X37" s="18" t="s">
        <v>20</v>
      </c>
      <c r="Y37" s="21"/>
      <c r="Z37" s="21"/>
      <c r="AA37" s="21"/>
      <c r="AB37" s="18" t="s">
        <v>20</v>
      </c>
      <c r="AC37" s="23" t="s">
        <v>50</v>
      </c>
      <c r="AD37" s="24" t="s">
        <v>51</v>
      </c>
      <c r="AE37" s="34">
        <v>222</v>
      </c>
      <c r="AF37" s="35">
        <v>27</v>
      </c>
      <c r="AG37" s="28" t="str">
        <f t="shared" si="3"/>
        <v>222-27</v>
      </c>
      <c r="AH37" s="24" t="s">
        <v>132</v>
      </c>
      <c r="AI37" s="2" t="b">
        <f t="shared" si="4"/>
        <v>1</v>
      </c>
    </row>
    <row r="38" spans="1:35" ht="12.75" customHeight="1">
      <c r="A38" s="12">
        <v>37</v>
      </c>
      <c r="B38" s="28">
        <v>19347862</v>
      </c>
      <c r="C38" s="56" t="s">
        <v>236</v>
      </c>
      <c r="D38" s="15">
        <v>3</v>
      </c>
      <c r="E38" s="13" t="s">
        <v>50</v>
      </c>
      <c r="F38" s="17" t="s">
        <v>51</v>
      </c>
      <c r="G38" s="13">
        <v>222</v>
      </c>
      <c r="H38" s="19">
        <v>27</v>
      </c>
      <c r="I38" s="19" t="str">
        <f t="shared" si="0"/>
        <v>222-27</v>
      </c>
      <c r="J38" s="17" t="s">
        <v>135</v>
      </c>
      <c r="K38" s="82" t="s">
        <v>49</v>
      </c>
      <c r="L38" s="8" t="b">
        <f t="shared" si="1"/>
        <v>1</v>
      </c>
      <c r="M38" s="8" t="b">
        <f t="shared" si="2"/>
        <v>1</v>
      </c>
      <c r="N38" s="29"/>
      <c r="O38" s="36">
        <v>19347862</v>
      </c>
      <c r="P38" s="31" t="s">
        <v>236</v>
      </c>
      <c r="Q38" s="31" t="s">
        <v>49</v>
      </c>
      <c r="R38" s="31" t="s">
        <v>49</v>
      </c>
      <c r="S38" s="33">
        <v>42585</v>
      </c>
      <c r="T38" s="33">
        <v>34464</v>
      </c>
      <c r="U38" s="31" t="s">
        <v>84</v>
      </c>
      <c r="V38" s="21">
        <v>65</v>
      </c>
      <c r="W38" s="21" t="s">
        <v>25</v>
      </c>
      <c r="X38" s="31"/>
      <c r="Y38" s="21"/>
      <c r="Z38" s="21"/>
      <c r="AA38" s="21"/>
      <c r="AB38" s="18" t="s">
        <v>53</v>
      </c>
      <c r="AC38" s="23" t="s">
        <v>50</v>
      </c>
      <c r="AD38" s="24" t="s">
        <v>51</v>
      </c>
      <c r="AE38" s="34">
        <v>222</v>
      </c>
      <c r="AF38" s="35">
        <v>27</v>
      </c>
      <c r="AG38" s="28" t="str">
        <f t="shared" si="3"/>
        <v>222-27</v>
      </c>
      <c r="AH38" s="24" t="s">
        <v>135</v>
      </c>
      <c r="AI38" s="2" t="b">
        <f t="shared" si="4"/>
        <v>1</v>
      </c>
    </row>
    <row r="39" spans="1:35" ht="12.75" customHeight="1">
      <c r="A39" s="12">
        <v>38</v>
      </c>
      <c r="B39" s="28"/>
      <c r="C39" s="15" t="s">
        <v>20</v>
      </c>
      <c r="D39" s="15">
        <v>3</v>
      </c>
      <c r="E39" s="13" t="s">
        <v>50</v>
      </c>
      <c r="F39" s="17" t="s">
        <v>51</v>
      </c>
      <c r="G39" s="13">
        <v>222</v>
      </c>
      <c r="H39" s="19">
        <v>27</v>
      </c>
      <c r="I39" s="19" t="str">
        <f t="shared" si="0"/>
        <v>222-27</v>
      </c>
      <c r="J39" s="17" t="s">
        <v>135</v>
      </c>
      <c r="K39" s="26"/>
      <c r="L39" s="8" t="b">
        <f t="shared" si="1"/>
        <v>1</v>
      </c>
      <c r="M39" s="8" t="b">
        <f t="shared" si="2"/>
        <v>1</v>
      </c>
      <c r="N39" s="29"/>
      <c r="O39" s="36"/>
      <c r="P39" s="18" t="s">
        <v>20</v>
      </c>
      <c r="Q39" s="31"/>
      <c r="R39" s="31" t="s">
        <v>20</v>
      </c>
      <c r="S39" s="33" t="s">
        <v>25</v>
      </c>
      <c r="T39" s="33" t="s">
        <v>25</v>
      </c>
      <c r="U39" s="31" t="s">
        <v>25</v>
      </c>
      <c r="V39" s="21" t="s">
        <v>25</v>
      </c>
      <c r="W39" s="21" t="s">
        <v>25</v>
      </c>
      <c r="X39" s="18" t="s">
        <v>20</v>
      </c>
      <c r="Y39" s="21"/>
      <c r="Z39" s="21"/>
      <c r="AA39" s="21"/>
      <c r="AB39" s="18" t="s">
        <v>20</v>
      </c>
      <c r="AC39" s="23" t="s">
        <v>50</v>
      </c>
      <c r="AD39" s="24" t="s">
        <v>51</v>
      </c>
      <c r="AE39" s="34">
        <v>222</v>
      </c>
      <c r="AF39" s="35">
        <v>27</v>
      </c>
      <c r="AG39" s="28" t="str">
        <f t="shared" si="3"/>
        <v>222-27</v>
      </c>
      <c r="AH39" s="24" t="s">
        <v>135</v>
      </c>
      <c r="AI39" s="2" t="b">
        <f t="shared" si="4"/>
        <v>1</v>
      </c>
    </row>
    <row r="40" spans="1:35" ht="12.75" customHeight="1">
      <c r="A40" s="12">
        <v>39</v>
      </c>
      <c r="B40" s="28"/>
      <c r="C40" s="15" t="s">
        <v>20</v>
      </c>
      <c r="D40" s="15">
        <v>3</v>
      </c>
      <c r="E40" s="13" t="s">
        <v>50</v>
      </c>
      <c r="F40" s="17" t="s">
        <v>51</v>
      </c>
      <c r="G40" s="13">
        <v>222</v>
      </c>
      <c r="H40" s="19">
        <v>27</v>
      </c>
      <c r="I40" s="19" t="str">
        <f t="shared" si="0"/>
        <v>222-27</v>
      </c>
      <c r="J40" s="17" t="s">
        <v>135</v>
      </c>
      <c r="K40" s="26"/>
      <c r="L40" s="8" t="b">
        <f t="shared" si="1"/>
        <v>1</v>
      </c>
      <c r="M40" s="8" t="b">
        <f t="shared" si="2"/>
        <v>1</v>
      </c>
      <c r="N40" s="29"/>
      <c r="O40" s="36"/>
      <c r="P40" s="18" t="s">
        <v>20</v>
      </c>
      <c r="Q40" s="31"/>
      <c r="R40" s="31" t="s">
        <v>20</v>
      </c>
      <c r="S40" s="33" t="s">
        <v>25</v>
      </c>
      <c r="T40" s="33" t="s">
        <v>25</v>
      </c>
      <c r="U40" s="31" t="s">
        <v>25</v>
      </c>
      <c r="V40" s="21" t="s">
        <v>25</v>
      </c>
      <c r="W40" s="21" t="s">
        <v>25</v>
      </c>
      <c r="X40" s="18" t="s">
        <v>20</v>
      </c>
      <c r="Y40" s="21"/>
      <c r="Z40" s="21"/>
      <c r="AA40" s="21"/>
      <c r="AB40" s="18" t="s">
        <v>20</v>
      </c>
      <c r="AC40" s="23" t="s">
        <v>50</v>
      </c>
      <c r="AD40" s="24" t="s">
        <v>51</v>
      </c>
      <c r="AE40" s="34">
        <v>222</v>
      </c>
      <c r="AF40" s="35">
        <v>27</v>
      </c>
      <c r="AG40" s="28" t="str">
        <f t="shared" si="3"/>
        <v>222-27</v>
      </c>
      <c r="AH40" s="24" t="s">
        <v>135</v>
      </c>
      <c r="AI40" s="2" t="b">
        <f t="shared" si="4"/>
        <v>1</v>
      </c>
    </row>
    <row r="41" spans="1:35" ht="12.75" customHeight="1">
      <c r="A41" s="12">
        <v>40</v>
      </c>
      <c r="B41" s="28"/>
      <c r="C41" s="15" t="s">
        <v>20</v>
      </c>
      <c r="D41" s="15">
        <v>3</v>
      </c>
      <c r="E41" s="13" t="s">
        <v>50</v>
      </c>
      <c r="F41" s="17" t="s">
        <v>51</v>
      </c>
      <c r="G41" s="13">
        <v>222</v>
      </c>
      <c r="H41" s="19">
        <v>27</v>
      </c>
      <c r="I41" s="19" t="str">
        <f t="shared" si="0"/>
        <v>222-27</v>
      </c>
      <c r="J41" s="17" t="s">
        <v>135</v>
      </c>
      <c r="K41" s="26"/>
      <c r="L41" s="8" t="b">
        <f t="shared" si="1"/>
        <v>1</v>
      </c>
      <c r="M41" s="8" t="b">
        <f t="shared" si="2"/>
        <v>1</v>
      </c>
      <c r="N41" s="29"/>
      <c r="O41" s="36"/>
      <c r="P41" s="18" t="s">
        <v>20</v>
      </c>
      <c r="Q41" s="31"/>
      <c r="R41" s="31" t="s">
        <v>20</v>
      </c>
      <c r="S41" s="33" t="s">
        <v>25</v>
      </c>
      <c r="T41" s="33" t="s">
        <v>25</v>
      </c>
      <c r="U41" s="31" t="s">
        <v>25</v>
      </c>
      <c r="V41" s="21" t="s">
        <v>25</v>
      </c>
      <c r="W41" s="21" t="s">
        <v>25</v>
      </c>
      <c r="X41" s="18" t="s">
        <v>20</v>
      </c>
      <c r="Y41" s="21"/>
      <c r="Z41" s="21"/>
      <c r="AA41" s="21"/>
      <c r="AB41" s="18" t="s">
        <v>20</v>
      </c>
      <c r="AC41" s="23" t="s">
        <v>50</v>
      </c>
      <c r="AD41" s="24" t="s">
        <v>51</v>
      </c>
      <c r="AE41" s="34">
        <v>222</v>
      </c>
      <c r="AF41" s="35">
        <v>27</v>
      </c>
      <c r="AG41" s="28" t="str">
        <f t="shared" si="3"/>
        <v>222-27</v>
      </c>
      <c r="AH41" s="24" t="s">
        <v>135</v>
      </c>
      <c r="AI41" s="2" t="b">
        <f t="shared" si="4"/>
        <v>1</v>
      </c>
    </row>
    <row r="42" spans="1:35" ht="12.75" customHeight="1">
      <c r="A42" s="12">
        <v>41</v>
      </c>
      <c r="B42" s="23">
        <v>28891891</v>
      </c>
      <c r="C42" s="15" t="s">
        <v>250</v>
      </c>
      <c r="D42" s="15">
        <v>3</v>
      </c>
      <c r="E42" s="13" t="s">
        <v>50</v>
      </c>
      <c r="F42" s="17" t="s">
        <v>51</v>
      </c>
      <c r="G42" s="13">
        <v>222</v>
      </c>
      <c r="H42" s="19">
        <v>26</v>
      </c>
      <c r="I42" s="19" t="str">
        <f t="shared" si="0"/>
        <v>222-26</v>
      </c>
      <c r="J42" s="17" t="s">
        <v>95</v>
      </c>
      <c r="K42" s="82" t="s">
        <v>49</v>
      </c>
      <c r="L42" s="8" t="b">
        <f t="shared" si="1"/>
        <v>1</v>
      </c>
      <c r="M42" s="8" t="b">
        <f t="shared" si="2"/>
        <v>1</v>
      </c>
      <c r="N42" s="29"/>
      <c r="O42" s="30">
        <v>28891891</v>
      </c>
      <c r="P42" s="18" t="s">
        <v>250</v>
      </c>
      <c r="Q42" s="31" t="s">
        <v>49</v>
      </c>
      <c r="R42" s="31" t="s">
        <v>49</v>
      </c>
      <c r="S42" s="33">
        <v>42585</v>
      </c>
      <c r="T42" s="33">
        <v>33171</v>
      </c>
      <c r="U42" s="31" t="s">
        <v>48</v>
      </c>
      <c r="V42" s="21">
        <v>64</v>
      </c>
      <c r="W42" s="21" t="s">
        <v>25</v>
      </c>
      <c r="X42" s="31"/>
      <c r="Y42" s="21"/>
      <c r="Z42" s="21"/>
      <c r="AA42" s="21"/>
      <c r="AB42" s="18" t="s">
        <v>53</v>
      </c>
      <c r="AC42" s="23" t="s">
        <v>50</v>
      </c>
      <c r="AD42" s="24" t="s">
        <v>51</v>
      </c>
      <c r="AE42" s="34">
        <v>222</v>
      </c>
      <c r="AF42" s="35">
        <v>26</v>
      </c>
      <c r="AG42" s="28" t="str">
        <f t="shared" si="3"/>
        <v>222-26</v>
      </c>
      <c r="AH42" s="24" t="s">
        <v>95</v>
      </c>
      <c r="AI42" s="2" t="b">
        <f t="shared" si="4"/>
        <v>1</v>
      </c>
    </row>
    <row r="43" spans="1:35" ht="12.75" customHeight="1">
      <c r="A43" s="12">
        <v>42</v>
      </c>
      <c r="B43" s="28">
        <v>6761621</v>
      </c>
      <c r="C43" s="15" t="s">
        <v>252</v>
      </c>
      <c r="D43" s="15">
        <v>3</v>
      </c>
      <c r="E43" s="13" t="s">
        <v>50</v>
      </c>
      <c r="F43" s="17" t="s">
        <v>51</v>
      </c>
      <c r="G43" s="13">
        <v>222</v>
      </c>
      <c r="H43" s="19">
        <v>26</v>
      </c>
      <c r="I43" s="19" t="str">
        <f t="shared" si="0"/>
        <v>222-26</v>
      </c>
      <c r="J43" s="17" t="s">
        <v>135</v>
      </c>
      <c r="K43" s="82" t="s">
        <v>49</v>
      </c>
      <c r="L43" s="8" t="b">
        <f t="shared" si="1"/>
        <v>1</v>
      </c>
      <c r="M43" s="8" t="b">
        <f t="shared" si="2"/>
        <v>1</v>
      </c>
      <c r="N43" s="29"/>
      <c r="O43" s="36">
        <v>6761621</v>
      </c>
      <c r="P43" s="18" t="s">
        <v>252</v>
      </c>
      <c r="Q43" s="31" t="s">
        <v>49</v>
      </c>
      <c r="R43" s="31" t="s">
        <v>49</v>
      </c>
      <c r="S43" s="33">
        <v>42585</v>
      </c>
      <c r="T43" s="33">
        <v>33730</v>
      </c>
      <c r="U43" s="31" t="s">
        <v>84</v>
      </c>
      <c r="V43" s="21">
        <v>63</v>
      </c>
      <c r="W43" s="21" t="s">
        <v>25</v>
      </c>
      <c r="X43" s="31"/>
      <c r="Y43" s="21"/>
      <c r="Z43" s="21"/>
      <c r="AA43" s="21"/>
      <c r="AB43" s="18" t="s">
        <v>53</v>
      </c>
      <c r="AC43" s="23" t="s">
        <v>50</v>
      </c>
      <c r="AD43" s="24" t="s">
        <v>51</v>
      </c>
      <c r="AE43" s="34">
        <v>222</v>
      </c>
      <c r="AF43" s="35">
        <v>26</v>
      </c>
      <c r="AG43" s="28" t="str">
        <f t="shared" si="3"/>
        <v>222-26</v>
      </c>
      <c r="AH43" s="24" t="s">
        <v>135</v>
      </c>
      <c r="AI43" s="2" t="b">
        <f t="shared" si="4"/>
        <v>1</v>
      </c>
    </row>
    <row r="44" spans="1:35" ht="12.75" customHeight="1">
      <c r="A44" s="12">
        <v>43</v>
      </c>
      <c r="B44" s="28"/>
      <c r="C44" s="15" t="s">
        <v>20</v>
      </c>
      <c r="D44" s="15">
        <v>3</v>
      </c>
      <c r="E44" s="13" t="s">
        <v>50</v>
      </c>
      <c r="F44" s="17" t="s">
        <v>51</v>
      </c>
      <c r="G44" s="13">
        <v>222</v>
      </c>
      <c r="H44" s="19">
        <v>25</v>
      </c>
      <c r="I44" s="19" t="str">
        <f t="shared" si="0"/>
        <v>222-25</v>
      </c>
      <c r="J44" s="17" t="s">
        <v>135</v>
      </c>
      <c r="K44" s="26"/>
      <c r="L44" s="8" t="b">
        <f t="shared" si="1"/>
        <v>1</v>
      </c>
      <c r="M44" s="8" t="b">
        <f t="shared" si="2"/>
        <v>1</v>
      </c>
      <c r="N44" s="29"/>
      <c r="O44" s="36"/>
      <c r="P44" s="18" t="s">
        <v>20</v>
      </c>
      <c r="Q44" s="31"/>
      <c r="R44" s="31" t="s">
        <v>20</v>
      </c>
      <c r="S44" s="33" t="s">
        <v>25</v>
      </c>
      <c r="T44" s="33" t="s">
        <v>25</v>
      </c>
      <c r="U44" s="31" t="s">
        <v>25</v>
      </c>
      <c r="V44" s="21" t="s">
        <v>25</v>
      </c>
      <c r="W44" s="21" t="s">
        <v>25</v>
      </c>
      <c r="X44" s="18" t="s">
        <v>20</v>
      </c>
      <c r="Y44" s="21"/>
      <c r="Z44" s="21"/>
      <c r="AA44" s="21"/>
      <c r="AB44" s="18" t="s">
        <v>20</v>
      </c>
      <c r="AC44" s="23" t="s">
        <v>50</v>
      </c>
      <c r="AD44" s="24" t="s">
        <v>51</v>
      </c>
      <c r="AE44" s="34">
        <v>222</v>
      </c>
      <c r="AF44" s="35">
        <v>25</v>
      </c>
      <c r="AG44" s="28" t="str">
        <f t="shared" si="3"/>
        <v>222-25</v>
      </c>
      <c r="AH44" s="24" t="s">
        <v>135</v>
      </c>
      <c r="AI44" s="2" t="b">
        <f t="shared" si="4"/>
        <v>1</v>
      </c>
    </row>
    <row r="45" spans="1:35" ht="12.75" customHeight="1">
      <c r="A45" s="12">
        <v>44</v>
      </c>
      <c r="B45" s="13"/>
      <c r="C45" s="15" t="s">
        <v>20</v>
      </c>
      <c r="D45" s="15">
        <v>3</v>
      </c>
      <c r="E45" s="13" t="s">
        <v>50</v>
      </c>
      <c r="F45" s="17" t="s">
        <v>51</v>
      </c>
      <c r="G45" s="13">
        <v>222</v>
      </c>
      <c r="H45" s="19">
        <v>24</v>
      </c>
      <c r="I45" s="19" t="str">
        <f t="shared" si="0"/>
        <v>222-24</v>
      </c>
      <c r="J45" s="17" t="s">
        <v>87</v>
      </c>
      <c r="K45" s="26"/>
      <c r="L45" s="8" t="b">
        <f t="shared" si="1"/>
        <v>1</v>
      </c>
      <c r="M45" s="8" t="b">
        <f t="shared" si="2"/>
        <v>1</v>
      </c>
      <c r="N45" s="29"/>
      <c r="O45" s="30"/>
      <c r="P45" s="18" t="s">
        <v>20</v>
      </c>
      <c r="Q45" s="31"/>
      <c r="R45" s="31" t="s">
        <v>20</v>
      </c>
      <c r="S45" s="33" t="s">
        <v>25</v>
      </c>
      <c r="T45" s="33" t="s">
        <v>25</v>
      </c>
      <c r="U45" s="31" t="s">
        <v>25</v>
      </c>
      <c r="V45" s="21" t="s">
        <v>25</v>
      </c>
      <c r="W45" s="21" t="s">
        <v>25</v>
      </c>
      <c r="X45" s="18" t="s">
        <v>20</v>
      </c>
      <c r="Y45" s="21"/>
      <c r="Z45" s="21"/>
      <c r="AA45" s="21"/>
      <c r="AB45" s="18" t="s">
        <v>20</v>
      </c>
      <c r="AC45" s="23" t="s">
        <v>50</v>
      </c>
      <c r="AD45" s="24" t="s">
        <v>51</v>
      </c>
      <c r="AE45" s="34">
        <v>222</v>
      </c>
      <c r="AF45" s="35">
        <v>24</v>
      </c>
      <c r="AG45" s="28" t="str">
        <f t="shared" si="3"/>
        <v>222-24</v>
      </c>
      <c r="AH45" s="24" t="s">
        <v>87</v>
      </c>
      <c r="AI45" s="2" t="b">
        <f t="shared" si="4"/>
        <v>1</v>
      </c>
    </row>
    <row r="46" spans="1:35" ht="12.75" customHeight="1">
      <c r="A46" s="12">
        <v>45</v>
      </c>
      <c r="B46" s="28">
        <v>79349710</v>
      </c>
      <c r="C46" s="15" t="s">
        <v>259</v>
      </c>
      <c r="D46" s="15">
        <v>3</v>
      </c>
      <c r="E46" s="13" t="s">
        <v>50</v>
      </c>
      <c r="F46" s="17" t="s">
        <v>51</v>
      </c>
      <c r="G46" s="13">
        <v>222</v>
      </c>
      <c r="H46" s="19">
        <v>24</v>
      </c>
      <c r="I46" s="19" t="str">
        <f t="shared" si="0"/>
        <v>222-24</v>
      </c>
      <c r="J46" s="17" t="s">
        <v>87</v>
      </c>
      <c r="K46" s="104" t="s">
        <v>49</v>
      </c>
      <c r="L46" s="8" t="b">
        <f t="shared" si="1"/>
        <v>1</v>
      </c>
      <c r="M46" s="8" t="b">
        <f t="shared" si="2"/>
        <v>1</v>
      </c>
      <c r="N46" s="29"/>
      <c r="O46" s="36">
        <v>79349710</v>
      </c>
      <c r="P46" s="18" t="s">
        <v>259</v>
      </c>
      <c r="Q46" s="102" t="s">
        <v>49</v>
      </c>
      <c r="R46" s="31" t="s">
        <v>49</v>
      </c>
      <c r="S46" s="33">
        <v>42585</v>
      </c>
      <c r="T46" s="33">
        <v>35786</v>
      </c>
      <c r="U46" s="31" t="s">
        <v>84</v>
      </c>
      <c r="V46" s="21">
        <v>57</v>
      </c>
      <c r="W46" s="21" t="s">
        <v>25</v>
      </c>
      <c r="X46" s="31"/>
      <c r="Y46" s="21"/>
      <c r="Z46" s="21"/>
      <c r="AA46" s="21"/>
      <c r="AB46" s="18" t="s">
        <v>53</v>
      </c>
      <c r="AC46" s="23" t="s">
        <v>50</v>
      </c>
      <c r="AD46" s="24" t="s">
        <v>51</v>
      </c>
      <c r="AE46" s="34">
        <v>222</v>
      </c>
      <c r="AF46" s="35">
        <v>24</v>
      </c>
      <c r="AG46" s="28" t="str">
        <f t="shared" si="3"/>
        <v>222-24</v>
      </c>
      <c r="AH46" s="24" t="s">
        <v>87</v>
      </c>
      <c r="AI46" s="2" t="b">
        <f t="shared" si="4"/>
        <v>1</v>
      </c>
    </row>
    <row r="47" spans="1:35" ht="12.75" customHeight="1">
      <c r="A47" s="12">
        <v>46</v>
      </c>
      <c r="B47" s="28">
        <v>28963444</v>
      </c>
      <c r="C47" s="17" t="s">
        <v>264</v>
      </c>
      <c r="D47" s="15">
        <v>3</v>
      </c>
      <c r="E47" s="13" t="s">
        <v>50</v>
      </c>
      <c r="F47" s="17" t="s">
        <v>51</v>
      </c>
      <c r="G47" s="13">
        <v>222</v>
      </c>
      <c r="H47" s="19">
        <v>24</v>
      </c>
      <c r="I47" s="19" t="str">
        <f t="shared" si="0"/>
        <v>222-24</v>
      </c>
      <c r="J47" s="17" t="s">
        <v>30</v>
      </c>
      <c r="K47" s="82" t="s">
        <v>49</v>
      </c>
      <c r="L47" s="8" t="b">
        <f t="shared" si="1"/>
        <v>1</v>
      </c>
      <c r="M47" s="8" t="b">
        <f t="shared" si="2"/>
        <v>1</v>
      </c>
      <c r="N47" s="29"/>
      <c r="O47" s="36">
        <v>28963444</v>
      </c>
      <c r="P47" s="24" t="s">
        <v>264</v>
      </c>
      <c r="Q47" s="31" t="s">
        <v>49</v>
      </c>
      <c r="R47" s="31" t="s">
        <v>49</v>
      </c>
      <c r="S47" s="33">
        <v>42585</v>
      </c>
      <c r="T47" s="33">
        <v>34257</v>
      </c>
      <c r="U47" s="31" t="s">
        <v>48</v>
      </c>
      <c r="V47" s="21">
        <v>58</v>
      </c>
      <c r="W47" s="21" t="s">
        <v>25</v>
      </c>
      <c r="X47" s="31"/>
      <c r="Y47" s="21"/>
      <c r="Z47" s="21"/>
      <c r="AA47" s="21"/>
      <c r="AB47" s="18" t="s">
        <v>53</v>
      </c>
      <c r="AC47" s="23" t="s">
        <v>50</v>
      </c>
      <c r="AD47" s="24" t="s">
        <v>51</v>
      </c>
      <c r="AE47" s="34">
        <v>222</v>
      </c>
      <c r="AF47" s="35">
        <v>24</v>
      </c>
      <c r="AG47" s="28" t="str">
        <f t="shared" si="3"/>
        <v>222-24</v>
      </c>
      <c r="AH47" s="24" t="s">
        <v>30</v>
      </c>
      <c r="AI47" s="2" t="b">
        <f t="shared" si="4"/>
        <v>1</v>
      </c>
    </row>
    <row r="48" spans="1:35" ht="12.75" customHeight="1">
      <c r="A48" s="12">
        <v>47</v>
      </c>
      <c r="B48" s="28">
        <v>42497241</v>
      </c>
      <c r="C48" s="15" t="s">
        <v>266</v>
      </c>
      <c r="D48" s="15">
        <v>3</v>
      </c>
      <c r="E48" s="13" t="s">
        <v>50</v>
      </c>
      <c r="F48" s="17" t="s">
        <v>51</v>
      </c>
      <c r="G48" s="13">
        <v>222</v>
      </c>
      <c r="H48" s="19">
        <v>24</v>
      </c>
      <c r="I48" s="19" t="str">
        <f t="shared" si="0"/>
        <v>222-24</v>
      </c>
      <c r="J48" s="17" t="s">
        <v>113</v>
      </c>
      <c r="K48" s="82" t="s">
        <v>49</v>
      </c>
      <c r="L48" s="8" t="b">
        <f t="shared" si="1"/>
        <v>1</v>
      </c>
      <c r="M48" s="8" t="b">
        <f t="shared" si="2"/>
        <v>1</v>
      </c>
      <c r="N48" s="29"/>
      <c r="O48" s="36">
        <v>42497241</v>
      </c>
      <c r="P48" s="18" t="s">
        <v>266</v>
      </c>
      <c r="Q48" s="31" t="s">
        <v>49</v>
      </c>
      <c r="R48" s="31" t="s">
        <v>49</v>
      </c>
      <c r="S48" s="33">
        <v>42585</v>
      </c>
      <c r="T48" s="33">
        <v>34687</v>
      </c>
      <c r="U48" s="31" t="s">
        <v>48</v>
      </c>
      <c r="V48" s="21">
        <v>63</v>
      </c>
      <c r="W48" s="21" t="s">
        <v>25</v>
      </c>
      <c r="X48" s="31"/>
      <c r="Y48" s="21"/>
      <c r="Z48" s="21"/>
      <c r="AA48" s="21"/>
      <c r="AB48" s="18" t="s">
        <v>53</v>
      </c>
      <c r="AC48" s="23" t="s">
        <v>50</v>
      </c>
      <c r="AD48" s="24" t="s">
        <v>51</v>
      </c>
      <c r="AE48" s="34">
        <v>222</v>
      </c>
      <c r="AF48" s="35">
        <v>24</v>
      </c>
      <c r="AG48" s="28" t="str">
        <f t="shared" si="3"/>
        <v>222-24</v>
      </c>
      <c r="AH48" s="24" t="s">
        <v>113</v>
      </c>
      <c r="AI48" s="2" t="b">
        <f t="shared" si="4"/>
        <v>1</v>
      </c>
    </row>
    <row r="49" spans="1:35" ht="12.75" customHeight="1">
      <c r="A49" s="12">
        <v>48</v>
      </c>
      <c r="B49" s="13"/>
      <c r="C49" s="15" t="s">
        <v>20</v>
      </c>
      <c r="D49" s="15">
        <v>3</v>
      </c>
      <c r="E49" s="13" t="s">
        <v>50</v>
      </c>
      <c r="F49" s="17" t="s">
        <v>51</v>
      </c>
      <c r="G49" s="13">
        <v>222</v>
      </c>
      <c r="H49" s="19">
        <v>24</v>
      </c>
      <c r="I49" s="19" t="str">
        <f t="shared" si="0"/>
        <v>222-24</v>
      </c>
      <c r="J49" s="17" t="s">
        <v>113</v>
      </c>
      <c r="K49" s="26"/>
      <c r="L49" s="8" t="b">
        <f t="shared" si="1"/>
        <v>1</v>
      </c>
      <c r="M49" s="8" t="b">
        <f t="shared" si="2"/>
        <v>1</v>
      </c>
      <c r="N49" s="29"/>
      <c r="O49" s="30"/>
      <c r="P49" s="18" t="s">
        <v>20</v>
      </c>
      <c r="Q49" s="31"/>
      <c r="R49" s="31" t="s">
        <v>20</v>
      </c>
      <c r="S49" s="33" t="s">
        <v>25</v>
      </c>
      <c r="T49" s="33" t="s">
        <v>25</v>
      </c>
      <c r="U49" s="31" t="s">
        <v>25</v>
      </c>
      <c r="V49" s="21" t="s">
        <v>25</v>
      </c>
      <c r="W49" s="21" t="s">
        <v>25</v>
      </c>
      <c r="X49" s="18" t="s">
        <v>20</v>
      </c>
      <c r="Y49" s="21"/>
      <c r="Z49" s="21"/>
      <c r="AA49" s="21"/>
      <c r="AB49" s="18" t="s">
        <v>20</v>
      </c>
      <c r="AC49" s="23" t="s">
        <v>50</v>
      </c>
      <c r="AD49" s="24" t="s">
        <v>51</v>
      </c>
      <c r="AE49" s="34">
        <v>222</v>
      </c>
      <c r="AF49" s="35">
        <v>24</v>
      </c>
      <c r="AG49" s="28" t="str">
        <f t="shared" si="3"/>
        <v>222-24</v>
      </c>
      <c r="AH49" s="24" t="s">
        <v>113</v>
      </c>
      <c r="AI49" s="2" t="b">
        <f t="shared" si="4"/>
        <v>1</v>
      </c>
    </row>
    <row r="50" spans="1:35" ht="12.75" customHeight="1">
      <c r="A50" s="12">
        <v>49</v>
      </c>
      <c r="B50" s="28"/>
      <c r="C50" s="15" t="s">
        <v>20</v>
      </c>
      <c r="D50" s="15">
        <v>3</v>
      </c>
      <c r="E50" s="13" t="s">
        <v>50</v>
      </c>
      <c r="F50" s="17" t="s">
        <v>51</v>
      </c>
      <c r="G50" s="13">
        <v>222</v>
      </c>
      <c r="H50" s="19">
        <v>24</v>
      </c>
      <c r="I50" s="19" t="str">
        <f t="shared" si="0"/>
        <v>222-24</v>
      </c>
      <c r="J50" s="17" t="s">
        <v>113</v>
      </c>
      <c r="K50" s="26"/>
      <c r="L50" s="8" t="b">
        <f t="shared" si="1"/>
        <v>1</v>
      </c>
      <c r="M50" s="8" t="b">
        <f t="shared" si="2"/>
        <v>1</v>
      </c>
      <c r="N50" s="29"/>
      <c r="O50" s="36"/>
      <c r="P50" s="18" t="s">
        <v>20</v>
      </c>
      <c r="Q50" s="31"/>
      <c r="R50" s="31" t="s">
        <v>20</v>
      </c>
      <c r="S50" s="33" t="s">
        <v>25</v>
      </c>
      <c r="T50" s="33" t="s">
        <v>25</v>
      </c>
      <c r="U50" s="31" t="s">
        <v>25</v>
      </c>
      <c r="V50" s="21" t="s">
        <v>25</v>
      </c>
      <c r="W50" s="21" t="s">
        <v>25</v>
      </c>
      <c r="X50" s="18" t="s">
        <v>20</v>
      </c>
      <c r="Y50" s="21"/>
      <c r="Z50" s="21"/>
      <c r="AA50" s="21"/>
      <c r="AB50" s="18" t="s">
        <v>20</v>
      </c>
      <c r="AC50" s="23" t="s">
        <v>50</v>
      </c>
      <c r="AD50" s="24" t="s">
        <v>51</v>
      </c>
      <c r="AE50" s="34">
        <v>222</v>
      </c>
      <c r="AF50" s="35">
        <v>24</v>
      </c>
      <c r="AG50" s="28" t="str">
        <f t="shared" si="3"/>
        <v>222-24</v>
      </c>
      <c r="AH50" s="24" t="s">
        <v>113</v>
      </c>
      <c r="AI50" s="2" t="b">
        <f t="shared" si="4"/>
        <v>1</v>
      </c>
    </row>
    <row r="51" spans="1:35" ht="12.75" customHeight="1">
      <c r="A51" s="12">
        <v>50</v>
      </c>
      <c r="B51" s="28"/>
      <c r="C51" s="15" t="s">
        <v>20</v>
      </c>
      <c r="D51" s="15">
        <v>3</v>
      </c>
      <c r="E51" s="13" t="s">
        <v>50</v>
      </c>
      <c r="F51" s="17" t="s">
        <v>51</v>
      </c>
      <c r="G51" s="13">
        <v>222</v>
      </c>
      <c r="H51" s="19">
        <v>24</v>
      </c>
      <c r="I51" s="19" t="str">
        <f t="shared" si="0"/>
        <v>222-24</v>
      </c>
      <c r="J51" s="17" t="s">
        <v>113</v>
      </c>
      <c r="K51" s="26"/>
      <c r="L51" s="8" t="b">
        <f t="shared" si="1"/>
        <v>1</v>
      </c>
      <c r="M51" s="8" t="b">
        <f t="shared" si="2"/>
        <v>1</v>
      </c>
      <c r="N51" s="29"/>
      <c r="O51" s="36"/>
      <c r="P51" s="18" t="s">
        <v>20</v>
      </c>
      <c r="Q51" s="31"/>
      <c r="R51" s="31" t="s">
        <v>20</v>
      </c>
      <c r="S51" s="33" t="s">
        <v>25</v>
      </c>
      <c r="T51" s="33" t="s">
        <v>25</v>
      </c>
      <c r="U51" s="31" t="s">
        <v>25</v>
      </c>
      <c r="V51" s="21" t="s">
        <v>25</v>
      </c>
      <c r="W51" s="21" t="s">
        <v>25</v>
      </c>
      <c r="X51" s="18" t="s">
        <v>20</v>
      </c>
      <c r="Y51" s="21"/>
      <c r="Z51" s="21"/>
      <c r="AA51" s="21"/>
      <c r="AB51" s="18" t="s">
        <v>20</v>
      </c>
      <c r="AC51" s="23" t="s">
        <v>50</v>
      </c>
      <c r="AD51" s="24" t="s">
        <v>51</v>
      </c>
      <c r="AE51" s="34">
        <v>222</v>
      </c>
      <c r="AF51" s="35">
        <v>24</v>
      </c>
      <c r="AG51" s="28" t="str">
        <f t="shared" si="3"/>
        <v>222-24</v>
      </c>
      <c r="AH51" s="24" t="s">
        <v>113</v>
      </c>
      <c r="AI51" s="2" t="b">
        <f t="shared" si="4"/>
        <v>1</v>
      </c>
    </row>
    <row r="52" spans="1:35" ht="12.75" customHeight="1">
      <c r="A52" s="12">
        <v>51</v>
      </c>
      <c r="B52" s="13"/>
      <c r="C52" s="15" t="s">
        <v>20</v>
      </c>
      <c r="D52" s="15">
        <v>3</v>
      </c>
      <c r="E52" s="13" t="s">
        <v>50</v>
      </c>
      <c r="F52" s="17" t="s">
        <v>51</v>
      </c>
      <c r="G52" s="13">
        <v>222</v>
      </c>
      <c r="H52" s="19">
        <v>24</v>
      </c>
      <c r="I52" s="19" t="str">
        <f t="shared" si="0"/>
        <v>222-24</v>
      </c>
      <c r="J52" s="17" t="s">
        <v>135</v>
      </c>
      <c r="K52" s="26"/>
      <c r="L52" s="8" t="b">
        <f t="shared" si="1"/>
        <v>1</v>
      </c>
      <c r="M52" s="8" t="b">
        <f t="shared" si="2"/>
        <v>1</v>
      </c>
      <c r="N52" s="29"/>
      <c r="O52" s="30"/>
      <c r="P52" s="18" t="s">
        <v>20</v>
      </c>
      <c r="Q52" s="31"/>
      <c r="R52" s="31" t="s">
        <v>20</v>
      </c>
      <c r="S52" s="33" t="s">
        <v>25</v>
      </c>
      <c r="T52" s="33" t="s">
        <v>25</v>
      </c>
      <c r="U52" s="31" t="s">
        <v>25</v>
      </c>
      <c r="V52" s="21" t="s">
        <v>25</v>
      </c>
      <c r="W52" s="21" t="s">
        <v>25</v>
      </c>
      <c r="X52" s="18" t="s">
        <v>20</v>
      </c>
      <c r="Y52" s="21"/>
      <c r="Z52" s="21"/>
      <c r="AA52" s="21"/>
      <c r="AB52" s="18" t="s">
        <v>20</v>
      </c>
      <c r="AC52" s="23" t="s">
        <v>50</v>
      </c>
      <c r="AD52" s="24" t="s">
        <v>51</v>
      </c>
      <c r="AE52" s="34">
        <v>222</v>
      </c>
      <c r="AF52" s="35">
        <v>24</v>
      </c>
      <c r="AG52" s="28" t="str">
        <f t="shared" si="3"/>
        <v>222-24</v>
      </c>
      <c r="AH52" s="24" t="s">
        <v>135</v>
      </c>
      <c r="AI52" s="2" t="b">
        <f t="shared" si="4"/>
        <v>1</v>
      </c>
    </row>
    <row r="53" spans="1:35" ht="12.75" customHeight="1">
      <c r="A53" s="12">
        <v>52</v>
      </c>
      <c r="B53" s="28">
        <v>35312719</v>
      </c>
      <c r="C53" s="56" t="s">
        <v>278</v>
      </c>
      <c r="D53" s="15">
        <v>3</v>
      </c>
      <c r="E53" s="13" t="s">
        <v>50</v>
      </c>
      <c r="F53" s="17" t="s">
        <v>51</v>
      </c>
      <c r="G53" s="13">
        <v>222</v>
      </c>
      <c r="H53" s="19">
        <v>24</v>
      </c>
      <c r="I53" s="19" t="str">
        <f t="shared" si="0"/>
        <v>222-24</v>
      </c>
      <c r="J53" s="17" t="s">
        <v>135</v>
      </c>
      <c r="K53" s="82" t="s">
        <v>49</v>
      </c>
      <c r="L53" s="8" t="b">
        <f t="shared" si="1"/>
        <v>1</v>
      </c>
      <c r="M53" s="8" t="b">
        <f t="shared" si="2"/>
        <v>1</v>
      </c>
      <c r="N53" s="29"/>
      <c r="O53" s="36">
        <v>35312719</v>
      </c>
      <c r="P53" s="31" t="s">
        <v>278</v>
      </c>
      <c r="Q53" s="31" t="s">
        <v>49</v>
      </c>
      <c r="R53" s="31" t="s">
        <v>49</v>
      </c>
      <c r="S53" s="33">
        <v>42585</v>
      </c>
      <c r="T53" s="33">
        <v>34250</v>
      </c>
      <c r="U53" s="31" t="s">
        <v>48</v>
      </c>
      <c r="V53" s="21">
        <v>65</v>
      </c>
      <c r="W53" s="21" t="s">
        <v>25</v>
      </c>
      <c r="X53" s="31"/>
      <c r="Y53" s="21"/>
      <c r="Z53" s="21"/>
      <c r="AA53" s="21"/>
      <c r="AB53" s="18" t="s">
        <v>53</v>
      </c>
      <c r="AC53" s="23" t="s">
        <v>50</v>
      </c>
      <c r="AD53" s="24" t="s">
        <v>51</v>
      </c>
      <c r="AE53" s="34">
        <v>222</v>
      </c>
      <c r="AF53" s="35">
        <v>24</v>
      </c>
      <c r="AG53" s="28" t="str">
        <f t="shared" si="3"/>
        <v>222-24</v>
      </c>
      <c r="AH53" s="24" t="s">
        <v>135</v>
      </c>
      <c r="AI53" s="2" t="b">
        <f t="shared" si="4"/>
        <v>1</v>
      </c>
    </row>
    <row r="54" spans="1:35" ht="12.75" customHeight="1">
      <c r="A54" s="12">
        <v>53</v>
      </c>
      <c r="B54" s="28"/>
      <c r="C54" s="15" t="s">
        <v>20</v>
      </c>
      <c r="D54" s="15">
        <v>3</v>
      </c>
      <c r="E54" s="13" t="s">
        <v>50</v>
      </c>
      <c r="F54" s="17" t="s">
        <v>51</v>
      </c>
      <c r="G54" s="13">
        <v>222</v>
      </c>
      <c r="H54" s="19">
        <v>22</v>
      </c>
      <c r="I54" s="19" t="str">
        <f t="shared" si="0"/>
        <v>222-22</v>
      </c>
      <c r="J54" s="17" t="s">
        <v>132</v>
      </c>
      <c r="K54" s="26"/>
      <c r="L54" s="8" t="b">
        <f t="shared" si="1"/>
        <v>1</v>
      </c>
      <c r="M54" s="8" t="b">
        <f t="shared" si="2"/>
        <v>1</v>
      </c>
      <c r="N54" s="29"/>
      <c r="O54" s="36"/>
      <c r="P54" s="18" t="s">
        <v>20</v>
      </c>
      <c r="Q54" s="31"/>
      <c r="R54" s="31" t="s">
        <v>20</v>
      </c>
      <c r="S54" s="33" t="s">
        <v>25</v>
      </c>
      <c r="T54" s="33" t="s">
        <v>25</v>
      </c>
      <c r="U54" s="31" t="s">
        <v>25</v>
      </c>
      <c r="V54" s="21" t="s">
        <v>25</v>
      </c>
      <c r="W54" s="21" t="s">
        <v>25</v>
      </c>
      <c r="X54" s="18" t="s">
        <v>20</v>
      </c>
      <c r="Y54" s="21"/>
      <c r="Z54" s="21"/>
      <c r="AA54" s="21"/>
      <c r="AB54" s="18" t="s">
        <v>20</v>
      </c>
      <c r="AC54" s="23" t="s">
        <v>50</v>
      </c>
      <c r="AD54" s="24" t="s">
        <v>51</v>
      </c>
      <c r="AE54" s="34">
        <v>222</v>
      </c>
      <c r="AF54" s="35">
        <v>22</v>
      </c>
      <c r="AG54" s="28" t="str">
        <f t="shared" si="3"/>
        <v>222-22</v>
      </c>
      <c r="AH54" s="24" t="s">
        <v>132</v>
      </c>
      <c r="AI54" s="2" t="b">
        <f t="shared" si="4"/>
        <v>1</v>
      </c>
    </row>
    <row r="55" spans="1:35" ht="12.75" customHeight="1">
      <c r="A55" s="12">
        <v>54</v>
      </c>
      <c r="B55" s="28">
        <v>79569642</v>
      </c>
      <c r="C55" s="15" t="s">
        <v>280</v>
      </c>
      <c r="D55" s="15">
        <v>3</v>
      </c>
      <c r="E55" s="13" t="s">
        <v>50</v>
      </c>
      <c r="F55" s="17" t="s">
        <v>51</v>
      </c>
      <c r="G55" s="13">
        <v>222</v>
      </c>
      <c r="H55" s="19">
        <v>21</v>
      </c>
      <c r="I55" s="19" t="str">
        <f t="shared" si="0"/>
        <v>222-21</v>
      </c>
      <c r="J55" s="17" t="s">
        <v>32</v>
      </c>
      <c r="K55" s="104" t="s">
        <v>49</v>
      </c>
      <c r="L55" s="8" t="b">
        <f t="shared" si="1"/>
        <v>1</v>
      </c>
      <c r="M55" s="8" t="b">
        <f t="shared" si="2"/>
        <v>1</v>
      </c>
      <c r="N55" s="29"/>
      <c r="O55" s="36">
        <v>79569642</v>
      </c>
      <c r="P55" s="18" t="s">
        <v>280</v>
      </c>
      <c r="Q55" s="102" t="s">
        <v>49</v>
      </c>
      <c r="R55" s="31" t="s">
        <v>49</v>
      </c>
      <c r="S55" s="33">
        <v>42585</v>
      </c>
      <c r="T55" s="33">
        <v>36271</v>
      </c>
      <c r="U55" s="31" t="s">
        <v>84</v>
      </c>
      <c r="V55" s="21">
        <v>50</v>
      </c>
      <c r="W55" s="21" t="s">
        <v>25</v>
      </c>
      <c r="X55" s="31"/>
      <c r="Y55" s="21"/>
      <c r="Z55" s="21"/>
      <c r="AA55" s="21"/>
      <c r="AB55" s="18" t="s">
        <v>53</v>
      </c>
      <c r="AC55" s="23" t="s">
        <v>50</v>
      </c>
      <c r="AD55" s="24" t="s">
        <v>51</v>
      </c>
      <c r="AE55" s="34">
        <v>222</v>
      </c>
      <c r="AF55" s="35">
        <v>21</v>
      </c>
      <c r="AG55" s="28" t="str">
        <f t="shared" si="3"/>
        <v>222-21</v>
      </c>
      <c r="AH55" s="24" t="s">
        <v>32</v>
      </c>
      <c r="AI55" s="2" t="b">
        <f t="shared" si="4"/>
        <v>1</v>
      </c>
    </row>
    <row r="56" spans="1:35" ht="12.75" customHeight="1">
      <c r="A56" s="12">
        <v>55</v>
      </c>
      <c r="B56" s="28">
        <v>51748267</v>
      </c>
      <c r="C56" s="15" t="s">
        <v>281</v>
      </c>
      <c r="D56" s="15">
        <v>3</v>
      </c>
      <c r="E56" s="13" t="s">
        <v>50</v>
      </c>
      <c r="F56" s="17" t="s">
        <v>51</v>
      </c>
      <c r="G56" s="13">
        <v>222</v>
      </c>
      <c r="H56" s="19">
        <v>21</v>
      </c>
      <c r="I56" s="19" t="str">
        <f t="shared" si="0"/>
        <v>222-21</v>
      </c>
      <c r="J56" s="17" t="s">
        <v>30</v>
      </c>
      <c r="K56" s="37" t="s">
        <v>188</v>
      </c>
      <c r="L56" s="8" t="b">
        <f t="shared" si="1"/>
        <v>1</v>
      </c>
      <c r="M56" s="8" t="b">
        <f t="shared" si="2"/>
        <v>1</v>
      </c>
      <c r="N56" s="29"/>
      <c r="O56" s="36">
        <v>51748267</v>
      </c>
      <c r="P56" s="18" t="s">
        <v>281</v>
      </c>
      <c r="Q56" s="31" t="s">
        <v>24</v>
      </c>
      <c r="R56" s="31" t="s">
        <v>192</v>
      </c>
      <c r="S56" s="33">
        <v>42585</v>
      </c>
      <c r="T56" s="33">
        <v>40426</v>
      </c>
      <c r="U56" s="31" t="s">
        <v>48</v>
      </c>
      <c r="V56" s="21">
        <v>59</v>
      </c>
      <c r="W56" s="21" t="s">
        <v>25</v>
      </c>
      <c r="X56" s="31" t="s">
        <v>20</v>
      </c>
      <c r="Y56" s="21"/>
      <c r="Z56" s="21"/>
      <c r="AA56" s="21"/>
      <c r="AB56" s="18" t="s">
        <v>53</v>
      </c>
      <c r="AC56" s="23" t="s">
        <v>50</v>
      </c>
      <c r="AD56" s="24" t="s">
        <v>51</v>
      </c>
      <c r="AE56" s="34">
        <v>222</v>
      </c>
      <c r="AF56" s="35">
        <v>21</v>
      </c>
      <c r="AG56" s="28" t="str">
        <f t="shared" si="3"/>
        <v>222-21</v>
      </c>
      <c r="AH56" s="24" t="s">
        <v>30</v>
      </c>
      <c r="AI56" s="2" t="b">
        <f t="shared" si="4"/>
        <v>1</v>
      </c>
    </row>
    <row r="57" spans="1:35" ht="12.75" customHeight="1">
      <c r="A57" s="12">
        <v>56</v>
      </c>
      <c r="B57" s="28">
        <v>51649014</v>
      </c>
      <c r="C57" s="56" t="s">
        <v>283</v>
      </c>
      <c r="D57" s="15">
        <v>3</v>
      </c>
      <c r="E57" s="13" t="s">
        <v>50</v>
      </c>
      <c r="F57" s="17" t="s">
        <v>51</v>
      </c>
      <c r="G57" s="13">
        <v>222</v>
      </c>
      <c r="H57" s="19">
        <v>21</v>
      </c>
      <c r="I57" s="19" t="str">
        <f t="shared" si="0"/>
        <v>222-21</v>
      </c>
      <c r="J57" s="17" t="s">
        <v>30</v>
      </c>
      <c r="K57" s="82" t="s">
        <v>49</v>
      </c>
      <c r="L57" s="8" t="b">
        <f t="shared" si="1"/>
        <v>1</v>
      </c>
      <c r="M57" s="8" t="b">
        <f t="shared" si="2"/>
        <v>1</v>
      </c>
      <c r="N57" s="29"/>
      <c r="O57" s="36">
        <v>51649014</v>
      </c>
      <c r="P57" s="31" t="s">
        <v>283</v>
      </c>
      <c r="Q57" s="31" t="s">
        <v>49</v>
      </c>
      <c r="R57" s="31" t="s">
        <v>49</v>
      </c>
      <c r="S57" s="33">
        <v>42585</v>
      </c>
      <c r="T57" s="33">
        <v>34870</v>
      </c>
      <c r="U57" s="31" t="s">
        <v>48</v>
      </c>
      <c r="V57" s="21">
        <v>60</v>
      </c>
      <c r="W57" s="21" t="s">
        <v>25</v>
      </c>
      <c r="X57" s="31"/>
      <c r="Y57" s="21"/>
      <c r="Z57" s="21"/>
      <c r="AA57" s="21"/>
      <c r="AB57" s="18" t="s">
        <v>53</v>
      </c>
      <c r="AC57" s="23" t="s">
        <v>50</v>
      </c>
      <c r="AD57" s="24" t="s">
        <v>51</v>
      </c>
      <c r="AE57" s="34">
        <v>222</v>
      </c>
      <c r="AF57" s="35">
        <v>21</v>
      </c>
      <c r="AG57" s="28" t="str">
        <f t="shared" si="3"/>
        <v>222-21</v>
      </c>
      <c r="AH57" s="24" t="s">
        <v>30</v>
      </c>
      <c r="AI57" s="2" t="b">
        <f t="shared" si="4"/>
        <v>1</v>
      </c>
    </row>
    <row r="58" spans="1:35" ht="12.75" customHeight="1">
      <c r="A58" s="12">
        <v>57</v>
      </c>
      <c r="B58" s="28">
        <v>52352995</v>
      </c>
      <c r="C58" s="15" t="s">
        <v>284</v>
      </c>
      <c r="D58" s="15">
        <v>3</v>
      </c>
      <c r="E58" s="13" t="s">
        <v>50</v>
      </c>
      <c r="F58" s="17" t="s">
        <v>51</v>
      </c>
      <c r="G58" s="13">
        <v>222</v>
      </c>
      <c r="H58" s="19">
        <v>21</v>
      </c>
      <c r="I58" s="19" t="str">
        <f t="shared" si="0"/>
        <v>222-21</v>
      </c>
      <c r="J58" s="17" t="s">
        <v>30</v>
      </c>
      <c r="K58" s="37" t="s">
        <v>188</v>
      </c>
      <c r="L58" s="8" t="b">
        <f t="shared" si="1"/>
        <v>1</v>
      </c>
      <c r="M58" s="8" t="b">
        <f t="shared" si="2"/>
        <v>1</v>
      </c>
      <c r="N58" s="29"/>
      <c r="O58" s="36">
        <v>52352995</v>
      </c>
      <c r="P58" s="18" t="s">
        <v>284</v>
      </c>
      <c r="Q58" s="31" t="s">
        <v>24</v>
      </c>
      <c r="R58" s="31" t="s">
        <v>192</v>
      </c>
      <c r="S58" s="33">
        <v>42585</v>
      </c>
      <c r="T58" s="33">
        <v>42051</v>
      </c>
      <c r="U58" s="31" t="s">
        <v>48</v>
      </c>
      <c r="V58" s="21">
        <v>43</v>
      </c>
      <c r="W58" s="21" t="s">
        <v>25</v>
      </c>
      <c r="X58" s="31" t="s">
        <v>20</v>
      </c>
      <c r="Y58" s="21"/>
      <c r="Z58" s="21"/>
      <c r="AA58" s="21"/>
      <c r="AB58" s="18" t="s">
        <v>53</v>
      </c>
      <c r="AC58" s="23" t="s">
        <v>50</v>
      </c>
      <c r="AD58" s="24" t="s">
        <v>51</v>
      </c>
      <c r="AE58" s="34">
        <v>222</v>
      </c>
      <c r="AF58" s="35">
        <v>21</v>
      </c>
      <c r="AG58" s="28" t="str">
        <f t="shared" si="3"/>
        <v>222-21</v>
      </c>
      <c r="AH58" s="24" t="s">
        <v>30</v>
      </c>
      <c r="AI58" s="2" t="b">
        <f t="shared" si="4"/>
        <v>1</v>
      </c>
    </row>
    <row r="59" spans="1:35" ht="12.75" customHeight="1">
      <c r="A59" s="12">
        <v>58</v>
      </c>
      <c r="B59" s="28"/>
      <c r="C59" s="15" t="s">
        <v>20</v>
      </c>
      <c r="D59" s="15">
        <v>3</v>
      </c>
      <c r="E59" s="13" t="s">
        <v>50</v>
      </c>
      <c r="F59" s="17" t="s">
        <v>51</v>
      </c>
      <c r="G59" s="13">
        <v>222</v>
      </c>
      <c r="H59" s="19">
        <v>21</v>
      </c>
      <c r="I59" s="19" t="str">
        <f t="shared" si="0"/>
        <v>222-21</v>
      </c>
      <c r="J59" s="17" t="s">
        <v>30</v>
      </c>
      <c r="K59" s="26"/>
      <c r="L59" s="8" t="b">
        <f t="shared" si="1"/>
        <v>1</v>
      </c>
      <c r="M59" s="8" t="b">
        <f t="shared" si="2"/>
        <v>1</v>
      </c>
      <c r="N59" s="29"/>
      <c r="O59" s="36"/>
      <c r="P59" s="18" t="s">
        <v>20</v>
      </c>
      <c r="Q59" s="31"/>
      <c r="R59" s="31" t="s">
        <v>20</v>
      </c>
      <c r="S59" s="33" t="s">
        <v>25</v>
      </c>
      <c r="T59" s="33" t="s">
        <v>25</v>
      </c>
      <c r="U59" s="31" t="s">
        <v>25</v>
      </c>
      <c r="V59" s="21" t="s">
        <v>25</v>
      </c>
      <c r="W59" s="21" t="s">
        <v>25</v>
      </c>
      <c r="X59" s="18" t="s">
        <v>20</v>
      </c>
      <c r="Y59" s="21"/>
      <c r="Z59" s="21"/>
      <c r="AA59" s="21"/>
      <c r="AB59" s="18" t="s">
        <v>20</v>
      </c>
      <c r="AC59" s="23" t="s">
        <v>50</v>
      </c>
      <c r="AD59" s="24" t="s">
        <v>51</v>
      </c>
      <c r="AE59" s="34">
        <v>222</v>
      </c>
      <c r="AF59" s="35">
        <v>21</v>
      </c>
      <c r="AG59" s="28" t="str">
        <f t="shared" si="3"/>
        <v>222-21</v>
      </c>
      <c r="AH59" s="24" t="s">
        <v>30</v>
      </c>
      <c r="AI59" s="2" t="b">
        <f t="shared" si="4"/>
        <v>1</v>
      </c>
    </row>
    <row r="60" spans="1:35" ht="12.75" customHeight="1">
      <c r="A60" s="12">
        <v>59</v>
      </c>
      <c r="B60" s="23">
        <v>3085860</v>
      </c>
      <c r="C60" s="15" t="s">
        <v>285</v>
      </c>
      <c r="D60" s="15">
        <v>3</v>
      </c>
      <c r="E60" s="13" t="s">
        <v>50</v>
      </c>
      <c r="F60" s="17" t="s">
        <v>51</v>
      </c>
      <c r="G60" s="13">
        <v>222</v>
      </c>
      <c r="H60" s="19">
        <v>21</v>
      </c>
      <c r="I60" s="19" t="str">
        <f t="shared" si="0"/>
        <v>222-21</v>
      </c>
      <c r="J60" s="17" t="s">
        <v>95</v>
      </c>
      <c r="K60" s="82" t="s">
        <v>49</v>
      </c>
      <c r="L60" s="8" t="b">
        <f t="shared" si="1"/>
        <v>1</v>
      </c>
      <c r="M60" s="8" t="b">
        <f t="shared" si="2"/>
        <v>1</v>
      </c>
      <c r="N60" s="29"/>
      <c r="O60" s="30">
        <v>3085860</v>
      </c>
      <c r="P60" s="18" t="s">
        <v>285</v>
      </c>
      <c r="Q60" s="31" t="s">
        <v>49</v>
      </c>
      <c r="R60" s="31" t="s">
        <v>49</v>
      </c>
      <c r="S60" s="33">
        <v>42585</v>
      </c>
      <c r="T60" s="33">
        <v>38443</v>
      </c>
      <c r="U60" s="31" t="s">
        <v>84</v>
      </c>
      <c r="V60" s="21">
        <v>54</v>
      </c>
      <c r="W60" s="21" t="s">
        <v>25</v>
      </c>
      <c r="X60" s="31"/>
      <c r="Y60" s="21"/>
      <c r="Z60" s="21"/>
      <c r="AA60" s="21"/>
      <c r="AB60" s="18" t="s">
        <v>53</v>
      </c>
      <c r="AC60" s="23" t="s">
        <v>50</v>
      </c>
      <c r="AD60" s="24" t="s">
        <v>51</v>
      </c>
      <c r="AE60" s="34">
        <v>222</v>
      </c>
      <c r="AF60" s="35">
        <v>21</v>
      </c>
      <c r="AG60" s="28" t="str">
        <f t="shared" si="3"/>
        <v>222-21</v>
      </c>
      <c r="AH60" s="24" t="s">
        <v>95</v>
      </c>
      <c r="AI60" s="2" t="b">
        <f t="shared" si="4"/>
        <v>1</v>
      </c>
    </row>
    <row r="61" spans="1:35" ht="12.75" customHeight="1">
      <c r="A61" s="12">
        <v>60</v>
      </c>
      <c r="B61" s="28"/>
      <c r="C61" s="15" t="s">
        <v>20</v>
      </c>
      <c r="D61" s="15">
        <v>3</v>
      </c>
      <c r="E61" s="13" t="s">
        <v>50</v>
      </c>
      <c r="F61" s="17" t="s">
        <v>51</v>
      </c>
      <c r="G61" s="13">
        <v>222</v>
      </c>
      <c r="H61" s="19">
        <v>21</v>
      </c>
      <c r="I61" s="19" t="str">
        <f t="shared" si="0"/>
        <v>222-21</v>
      </c>
      <c r="J61" s="17" t="s">
        <v>113</v>
      </c>
      <c r="K61" s="26"/>
      <c r="L61" s="8" t="b">
        <f t="shared" si="1"/>
        <v>1</v>
      </c>
      <c r="M61" s="8" t="b">
        <f t="shared" si="2"/>
        <v>1</v>
      </c>
      <c r="N61" s="29"/>
      <c r="O61" s="36"/>
      <c r="P61" s="18" t="s">
        <v>20</v>
      </c>
      <c r="Q61" s="31"/>
      <c r="R61" s="31" t="s">
        <v>20</v>
      </c>
      <c r="S61" s="33" t="s">
        <v>25</v>
      </c>
      <c r="T61" s="33" t="s">
        <v>25</v>
      </c>
      <c r="U61" s="31" t="s">
        <v>25</v>
      </c>
      <c r="V61" s="21" t="s">
        <v>25</v>
      </c>
      <c r="W61" s="21" t="s">
        <v>25</v>
      </c>
      <c r="X61" s="18" t="s">
        <v>20</v>
      </c>
      <c r="Y61" s="21"/>
      <c r="Z61" s="21"/>
      <c r="AA61" s="21"/>
      <c r="AB61" s="18" t="s">
        <v>20</v>
      </c>
      <c r="AC61" s="23" t="s">
        <v>50</v>
      </c>
      <c r="AD61" s="24" t="s">
        <v>51</v>
      </c>
      <c r="AE61" s="34">
        <v>222</v>
      </c>
      <c r="AF61" s="35">
        <v>21</v>
      </c>
      <c r="AG61" s="28" t="str">
        <f t="shared" si="3"/>
        <v>222-21</v>
      </c>
      <c r="AH61" s="24" t="s">
        <v>113</v>
      </c>
      <c r="AI61" s="2" t="b">
        <f t="shared" si="4"/>
        <v>1</v>
      </c>
    </row>
    <row r="62" spans="1:35" ht="12.75" customHeight="1">
      <c r="A62" s="12">
        <v>61</v>
      </c>
      <c r="B62" s="28"/>
      <c r="C62" s="15" t="s">
        <v>20</v>
      </c>
      <c r="D62" s="15">
        <v>3</v>
      </c>
      <c r="E62" s="13" t="s">
        <v>50</v>
      </c>
      <c r="F62" s="17" t="s">
        <v>51</v>
      </c>
      <c r="G62" s="13">
        <v>222</v>
      </c>
      <c r="H62" s="19">
        <v>21</v>
      </c>
      <c r="I62" s="19" t="str">
        <f t="shared" si="0"/>
        <v>222-21</v>
      </c>
      <c r="J62" s="17" t="s">
        <v>135</v>
      </c>
      <c r="K62" s="26"/>
      <c r="L62" s="8" t="b">
        <f t="shared" si="1"/>
        <v>1</v>
      </c>
      <c r="M62" s="8" t="b">
        <f t="shared" si="2"/>
        <v>1</v>
      </c>
      <c r="N62" s="29"/>
      <c r="O62" s="36"/>
      <c r="P62" s="18" t="s">
        <v>20</v>
      </c>
      <c r="Q62" s="31"/>
      <c r="R62" s="31" t="s">
        <v>20</v>
      </c>
      <c r="S62" s="33" t="s">
        <v>25</v>
      </c>
      <c r="T62" s="33" t="s">
        <v>25</v>
      </c>
      <c r="U62" s="31" t="s">
        <v>25</v>
      </c>
      <c r="V62" s="21" t="s">
        <v>25</v>
      </c>
      <c r="W62" s="21" t="s">
        <v>25</v>
      </c>
      <c r="X62" s="18" t="s">
        <v>20</v>
      </c>
      <c r="Y62" s="21"/>
      <c r="Z62" s="21"/>
      <c r="AA62" s="21"/>
      <c r="AB62" s="18" t="s">
        <v>20</v>
      </c>
      <c r="AC62" s="23" t="s">
        <v>50</v>
      </c>
      <c r="AD62" s="24" t="s">
        <v>51</v>
      </c>
      <c r="AE62" s="34">
        <v>222</v>
      </c>
      <c r="AF62" s="35">
        <v>21</v>
      </c>
      <c r="AG62" s="28" t="str">
        <f t="shared" si="3"/>
        <v>222-21</v>
      </c>
      <c r="AH62" s="24" t="s">
        <v>135</v>
      </c>
      <c r="AI62" s="2" t="b">
        <f t="shared" si="4"/>
        <v>1</v>
      </c>
    </row>
    <row r="63" spans="1:35" ht="12.75" customHeight="1">
      <c r="A63" s="12">
        <v>62</v>
      </c>
      <c r="B63" s="28"/>
      <c r="C63" s="15" t="s">
        <v>20</v>
      </c>
      <c r="D63" s="15">
        <v>3</v>
      </c>
      <c r="E63" s="13" t="s">
        <v>50</v>
      </c>
      <c r="F63" s="17" t="s">
        <v>51</v>
      </c>
      <c r="G63" s="13">
        <v>222</v>
      </c>
      <c r="H63" s="19">
        <v>21</v>
      </c>
      <c r="I63" s="19" t="str">
        <f t="shared" si="0"/>
        <v>222-21</v>
      </c>
      <c r="J63" s="17" t="s">
        <v>135</v>
      </c>
      <c r="K63" s="26"/>
      <c r="L63" s="8" t="b">
        <f t="shared" si="1"/>
        <v>1</v>
      </c>
      <c r="M63" s="8" t="b">
        <f t="shared" si="2"/>
        <v>1</v>
      </c>
      <c r="N63" s="29"/>
      <c r="O63" s="36"/>
      <c r="P63" s="18" t="s">
        <v>20</v>
      </c>
      <c r="Q63" s="31"/>
      <c r="R63" s="31" t="s">
        <v>20</v>
      </c>
      <c r="S63" s="33" t="s">
        <v>25</v>
      </c>
      <c r="T63" s="33" t="s">
        <v>25</v>
      </c>
      <c r="U63" s="31" t="s">
        <v>25</v>
      </c>
      <c r="V63" s="21" t="s">
        <v>25</v>
      </c>
      <c r="W63" s="21" t="s">
        <v>25</v>
      </c>
      <c r="X63" s="18" t="s">
        <v>20</v>
      </c>
      <c r="Y63" s="21"/>
      <c r="Z63" s="21"/>
      <c r="AA63" s="21"/>
      <c r="AB63" s="18" t="s">
        <v>20</v>
      </c>
      <c r="AC63" s="23" t="s">
        <v>50</v>
      </c>
      <c r="AD63" s="24" t="s">
        <v>51</v>
      </c>
      <c r="AE63" s="34">
        <v>222</v>
      </c>
      <c r="AF63" s="35">
        <v>21</v>
      </c>
      <c r="AG63" s="28" t="str">
        <f t="shared" si="3"/>
        <v>222-21</v>
      </c>
      <c r="AH63" s="24" t="s">
        <v>135</v>
      </c>
      <c r="AI63" s="2" t="b">
        <f t="shared" si="4"/>
        <v>1</v>
      </c>
    </row>
    <row r="64" spans="1:35" ht="12.75" customHeight="1">
      <c r="A64" s="12">
        <v>63</v>
      </c>
      <c r="B64" s="28">
        <v>79450267</v>
      </c>
      <c r="C64" s="56" t="s">
        <v>287</v>
      </c>
      <c r="D64" s="15">
        <v>3</v>
      </c>
      <c r="E64" s="13" t="s">
        <v>50</v>
      </c>
      <c r="F64" s="17" t="s">
        <v>51</v>
      </c>
      <c r="G64" s="13">
        <v>222</v>
      </c>
      <c r="H64" s="19">
        <v>20</v>
      </c>
      <c r="I64" s="19" t="str">
        <f t="shared" si="0"/>
        <v>222-20</v>
      </c>
      <c r="J64" s="17" t="s">
        <v>95</v>
      </c>
      <c r="K64" s="82" t="s">
        <v>49</v>
      </c>
      <c r="L64" s="8" t="b">
        <f t="shared" si="1"/>
        <v>1</v>
      </c>
      <c r="M64" s="8" t="b">
        <f t="shared" si="2"/>
        <v>1</v>
      </c>
      <c r="N64" s="29"/>
      <c r="O64" s="36">
        <v>79450267</v>
      </c>
      <c r="P64" s="31" t="s">
        <v>287</v>
      </c>
      <c r="Q64" s="31" t="s">
        <v>49</v>
      </c>
      <c r="R64" s="31" t="s">
        <v>49</v>
      </c>
      <c r="S64" s="33">
        <v>42585</v>
      </c>
      <c r="T64" s="33">
        <v>35062</v>
      </c>
      <c r="U64" s="31" t="s">
        <v>84</v>
      </c>
      <c r="V64" s="21">
        <v>55</v>
      </c>
      <c r="W64" s="21" t="s">
        <v>25</v>
      </c>
      <c r="X64" s="31"/>
      <c r="Y64" s="21"/>
      <c r="Z64" s="21"/>
      <c r="AA64" s="21"/>
      <c r="AB64" s="18" t="s">
        <v>53</v>
      </c>
      <c r="AC64" s="23" t="s">
        <v>50</v>
      </c>
      <c r="AD64" s="24" t="s">
        <v>51</v>
      </c>
      <c r="AE64" s="34">
        <v>222</v>
      </c>
      <c r="AF64" s="35">
        <v>20</v>
      </c>
      <c r="AG64" s="28" t="str">
        <f t="shared" si="3"/>
        <v>222-20</v>
      </c>
      <c r="AH64" s="24" t="s">
        <v>95</v>
      </c>
      <c r="AI64" s="2" t="b">
        <f t="shared" si="4"/>
        <v>1</v>
      </c>
    </row>
    <row r="65" spans="1:35" ht="12.75" customHeight="1">
      <c r="A65" s="12">
        <v>64</v>
      </c>
      <c r="B65" s="28"/>
      <c r="C65" s="15" t="s">
        <v>20</v>
      </c>
      <c r="D65" s="15">
        <v>3</v>
      </c>
      <c r="E65" s="13" t="s">
        <v>50</v>
      </c>
      <c r="F65" s="17" t="s">
        <v>51</v>
      </c>
      <c r="G65" s="13">
        <v>222</v>
      </c>
      <c r="H65" s="19">
        <v>20</v>
      </c>
      <c r="I65" s="19" t="str">
        <f t="shared" si="0"/>
        <v>222-20</v>
      </c>
      <c r="J65" s="17" t="s">
        <v>95</v>
      </c>
      <c r="K65" s="26"/>
      <c r="L65" s="8" t="b">
        <f t="shared" si="1"/>
        <v>1</v>
      </c>
      <c r="M65" s="8" t="b">
        <f t="shared" si="2"/>
        <v>1</v>
      </c>
      <c r="N65" s="29"/>
      <c r="O65" s="36"/>
      <c r="P65" s="18" t="s">
        <v>20</v>
      </c>
      <c r="Q65" s="31"/>
      <c r="R65" s="31" t="s">
        <v>20</v>
      </c>
      <c r="S65" s="33" t="s">
        <v>25</v>
      </c>
      <c r="T65" s="33" t="s">
        <v>25</v>
      </c>
      <c r="U65" s="31" t="s">
        <v>25</v>
      </c>
      <c r="V65" s="21" t="s">
        <v>25</v>
      </c>
      <c r="W65" s="21" t="s">
        <v>25</v>
      </c>
      <c r="X65" s="18" t="s">
        <v>20</v>
      </c>
      <c r="Y65" s="21"/>
      <c r="Z65" s="21"/>
      <c r="AA65" s="21"/>
      <c r="AB65" s="18" t="s">
        <v>20</v>
      </c>
      <c r="AC65" s="23" t="s">
        <v>50</v>
      </c>
      <c r="AD65" s="24" t="s">
        <v>51</v>
      </c>
      <c r="AE65" s="34">
        <v>222</v>
      </c>
      <c r="AF65" s="35">
        <v>20</v>
      </c>
      <c r="AG65" s="28" t="str">
        <f t="shared" si="3"/>
        <v>222-20</v>
      </c>
      <c r="AH65" s="24" t="s">
        <v>95</v>
      </c>
      <c r="AI65" s="2" t="b">
        <f t="shared" si="4"/>
        <v>1</v>
      </c>
    </row>
    <row r="66" spans="1:35" ht="12.75" customHeight="1">
      <c r="A66" s="12">
        <v>65</v>
      </c>
      <c r="B66" s="28"/>
      <c r="C66" s="15" t="s">
        <v>20</v>
      </c>
      <c r="D66" s="15">
        <v>3</v>
      </c>
      <c r="E66" s="13" t="s">
        <v>50</v>
      </c>
      <c r="F66" s="17" t="s">
        <v>51</v>
      </c>
      <c r="G66" s="13">
        <v>222</v>
      </c>
      <c r="H66" s="19">
        <v>19</v>
      </c>
      <c r="I66" s="19" t="str">
        <f t="shared" si="0"/>
        <v>222-19</v>
      </c>
      <c r="J66" s="17" t="s">
        <v>68</v>
      </c>
      <c r="K66" s="26"/>
      <c r="L66" s="8" t="b">
        <f t="shared" si="1"/>
        <v>1</v>
      </c>
      <c r="M66" s="8" t="b">
        <f t="shared" si="2"/>
        <v>1</v>
      </c>
      <c r="N66" s="29"/>
      <c r="O66" s="36"/>
      <c r="P66" s="18" t="s">
        <v>20</v>
      </c>
      <c r="Q66" s="31"/>
      <c r="R66" s="31" t="s">
        <v>20</v>
      </c>
      <c r="S66" s="33" t="s">
        <v>25</v>
      </c>
      <c r="T66" s="33" t="s">
        <v>25</v>
      </c>
      <c r="U66" s="31" t="s">
        <v>25</v>
      </c>
      <c r="V66" s="21" t="s">
        <v>25</v>
      </c>
      <c r="W66" s="21" t="s">
        <v>25</v>
      </c>
      <c r="X66" s="18" t="s">
        <v>20</v>
      </c>
      <c r="Y66" s="21"/>
      <c r="Z66" s="21"/>
      <c r="AA66" s="21"/>
      <c r="AB66" s="18" t="s">
        <v>20</v>
      </c>
      <c r="AC66" s="23" t="s">
        <v>50</v>
      </c>
      <c r="AD66" s="24" t="s">
        <v>51</v>
      </c>
      <c r="AE66" s="34">
        <v>222</v>
      </c>
      <c r="AF66" s="35">
        <v>19</v>
      </c>
      <c r="AG66" s="28" t="str">
        <f t="shared" si="3"/>
        <v>222-19</v>
      </c>
      <c r="AH66" s="24" t="s">
        <v>68</v>
      </c>
      <c r="AI66" s="2" t="b">
        <f t="shared" si="4"/>
        <v>1</v>
      </c>
    </row>
    <row r="67" spans="1:35" ht="12.75" customHeight="1">
      <c r="A67" s="12">
        <v>66</v>
      </c>
      <c r="B67" s="28"/>
      <c r="C67" s="15" t="s">
        <v>20</v>
      </c>
      <c r="D67" s="15">
        <v>3</v>
      </c>
      <c r="E67" s="13" t="s">
        <v>50</v>
      </c>
      <c r="F67" s="17" t="s">
        <v>51</v>
      </c>
      <c r="G67" s="13">
        <v>222</v>
      </c>
      <c r="H67" s="19">
        <v>19</v>
      </c>
      <c r="I67" s="19" t="str">
        <f t="shared" si="0"/>
        <v>222-19</v>
      </c>
      <c r="J67" s="17" t="s">
        <v>68</v>
      </c>
      <c r="K67" s="26"/>
      <c r="L67" s="8" t="b">
        <f t="shared" si="1"/>
        <v>1</v>
      </c>
      <c r="M67" s="8" t="b">
        <f t="shared" si="2"/>
        <v>1</v>
      </c>
      <c r="N67" s="29"/>
      <c r="O67" s="36"/>
      <c r="P67" s="18" t="s">
        <v>20</v>
      </c>
      <c r="Q67" s="31"/>
      <c r="R67" s="31" t="s">
        <v>20</v>
      </c>
      <c r="S67" s="33" t="s">
        <v>25</v>
      </c>
      <c r="T67" s="33" t="s">
        <v>25</v>
      </c>
      <c r="U67" s="31" t="s">
        <v>25</v>
      </c>
      <c r="V67" s="21" t="s">
        <v>25</v>
      </c>
      <c r="W67" s="21" t="s">
        <v>25</v>
      </c>
      <c r="X67" s="18" t="s">
        <v>20</v>
      </c>
      <c r="Y67" s="21"/>
      <c r="Z67" s="21"/>
      <c r="AA67" s="21"/>
      <c r="AB67" s="18" t="s">
        <v>20</v>
      </c>
      <c r="AC67" s="23" t="s">
        <v>50</v>
      </c>
      <c r="AD67" s="24" t="s">
        <v>51</v>
      </c>
      <c r="AE67" s="34">
        <v>222</v>
      </c>
      <c r="AF67" s="35">
        <v>19</v>
      </c>
      <c r="AG67" s="28" t="str">
        <f t="shared" si="3"/>
        <v>222-19</v>
      </c>
      <c r="AH67" s="24" t="s">
        <v>68</v>
      </c>
      <c r="AI67" s="2" t="b">
        <f t="shared" si="4"/>
        <v>1</v>
      </c>
    </row>
    <row r="68" spans="1:35" ht="12.75" customHeight="1">
      <c r="A68" s="12">
        <v>67</v>
      </c>
      <c r="B68" s="13"/>
      <c r="C68" s="15" t="s">
        <v>20</v>
      </c>
      <c r="D68" s="15">
        <v>3</v>
      </c>
      <c r="E68" s="13" t="s">
        <v>50</v>
      </c>
      <c r="F68" s="17" t="s">
        <v>51</v>
      </c>
      <c r="G68" s="13">
        <v>222</v>
      </c>
      <c r="H68" s="19">
        <v>19</v>
      </c>
      <c r="I68" s="19" t="str">
        <f t="shared" si="0"/>
        <v>222-19</v>
      </c>
      <c r="J68" s="17" t="s">
        <v>113</v>
      </c>
      <c r="K68" s="26"/>
      <c r="L68" s="8" t="b">
        <f t="shared" si="1"/>
        <v>1</v>
      </c>
      <c r="M68" s="8" t="b">
        <f t="shared" si="2"/>
        <v>1</v>
      </c>
      <c r="N68" s="29"/>
      <c r="O68" s="30"/>
      <c r="P68" s="18" t="s">
        <v>20</v>
      </c>
      <c r="Q68" s="31"/>
      <c r="R68" s="31" t="s">
        <v>20</v>
      </c>
      <c r="S68" s="33" t="s">
        <v>25</v>
      </c>
      <c r="T68" s="33" t="s">
        <v>25</v>
      </c>
      <c r="U68" s="31" t="s">
        <v>25</v>
      </c>
      <c r="V68" s="21" t="s">
        <v>25</v>
      </c>
      <c r="W68" s="21" t="s">
        <v>25</v>
      </c>
      <c r="X68" s="18" t="s">
        <v>20</v>
      </c>
      <c r="Y68" s="21"/>
      <c r="Z68" s="21"/>
      <c r="AA68" s="21"/>
      <c r="AB68" s="18" t="s">
        <v>20</v>
      </c>
      <c r="AC68" s="23" t="s">
        <v>50</v>
      </c>
      <c r="AD68" s="24" t="s">
        <v>51</v>
      </c>
      <c r="AE68" s="34">
        <v>222</v>
      </c>
      <c r="AF68" s="35">
        <v>19</v>
      </c>
      <c r="AG68" s="28" t="str">
        <f t="shared" si="3"/>
        <v>222-19</v>
      </c>
      <c r="AH68" s="24" t="s">
        <v>113</v>
      </c>
      <c r="AI68" s="2" t="b">
        <f t="shared" si="4"/>
        <v>1</v>
      </c>
    </row>
    <row r="69" spans="1:35" ht="12.75" customHeight="1">
      <c r="A69" s="12">
        <v>68</v>
      </c>
      <c r="B69" s="28">
        <v>51772038</v>
      </c>
      <c r="C69" s="56" t="s">
        <v>291</v>
      </c>
      <c r="D69" s="15">
        <v>3</v>
      </c>
      <c r="E69" s="13" t="s">
        <v>50</v>
      </c>
      <c r="F69" s="17" t="s">
        <v>51</v>
      </c>
      <c r="G69" s="13">
        <v>222</v>
      </c>
      <c r="H69" s="19">
        <v>19</v>
      </c>
      <c r="I69" s="19" t="str">
        <f t="shared" si="0"/>
        <v>222-19</v>
      </c>
      <c r="J69" s="17" t="s">
        <v>135</v>
      </c>
      <c r="K69" s="82" t="s">
        <v>49</v>
      </c>
      <c r="L69" s="8" t="b">
        <f t="shared" si="1"/>
        <v>1</v>
      </c>
      <c r="M69" s="8" t="b">
        <f t="shared" si="2"/>
        <v>1</v>
      </c>
      <c r="N69" s="29"/>
      <c r="O69" s="36">
        <v>51772038</v>
      </c>
      <c r="P69" s="31" t="s">
        <v>291</v>
      </c>
      <c r="Q69" s="31" t="s">
        <v>49</v>
      </c>
      <c r="R69" s="31" t="s">
        <v>49</v>
      </c>
      <c r="S69" s="33">
        <v>42585</v>
      </c>
      <c r="T69" s="33">
        <v>34555</v>
      </c>
      <c r="U69" s="31" t="s">
        <v>48</v>
      </c>
      <c r="V69" s="21">
        <v>57</v>
      </c>
      <c r="W69" s="21" t="s">
        <v>25</v>
      </c>
      <c r="X69" s="31"/>
      <c r="Y69" s="21"/>
      <c r="Z69" s="21"/>
      <c r="AA69" s="21"/>
      <c r="AB69" s="18" t="s">
        <v>53</v>
      </c>
      <c r="AC69" s="23" t="s">
        <v>50</v>
      </c>
      <c r="AD69" s="24" t="s">
        <v>51</v>
      </c>
      <c r="AE69" s="34">
        <v>222</v>
      </c>
      <c r="AF69" s="35">
        <v>19</v>
      </c>
      <c r="AG69" s="28" t="str">
        <f t="shared" si="3"/>
        <v>222-19</v>
      </c>
      <c r="AH69" s="24" t="s">
        <v>135</v>
      </c>
      <c r="AI69" s="2" t="b">
        <f t="shared" si="4"/>
        <v>1</v>
      </c>
    </row>
    <row r="70" spans="1:35" ht="12.75" customHeight="1">
      <c r="A70" s="12">
        <v>69</v>
      </c>
      <c r="B70" s="13"/>
      <c r="C70" s="15" t="s">
        <v>20</v>
      </c>
      <c r="D70" s="15">
        <v>3</v>
      </c>
      <c r="E70" s="13" t="s">
        <v>50</v>
      </c>
      <c r="F70" s="17" t="s">
        <v>72</v>
      </c>
      <c r="G70" s="13">
        <v>219</v>
      </c>
      <c r="H70" s="19">
        <v>18</v>
      </c>
      <c r="I70" s="19" t="str">
        <f t="shared" si="0"/>
        <v>219-18</v>
      </c>
      <c r="J70" s="17" t="s">
        <v>115</v>
      </c>
      <c r="K70" s="26"/>
      <c r="L70" s="8" t="b">
        <f t="shared" si="1"/>
        <v>1</v>
      </c>
      <c r="M70" s="8" t="b">
        <f t="shared" si="2"/>
        <v>1</v>
      </c>
      <c r="N70" s="29"/>
      <c r="O70" s="30"/>
      <c r="P70" s="18" t="s">
        <v>20</v>
      </c>
      <c r="Q70" s="31"/>
      <c r="R70" s="31" t="s">
        <v>20</v>
      </c>
      <c r="S70" s="33" t="s">
        <v>25</v>
      </c>
      <c r="T70" s="33" t="s">
        <v>25</v>
      </c>
      <c r="U70" s="31" t="s">
        <v>25</v>
      </c>
      <c r="V70" s="21" t="s">
        <v>25</v>
      </c>
      <c r="W70" s="21" t="s">
        <v>25</v>
      </c>
      <c r="X70" s="18" t="s">
        <v>20</v>
      </c>
      <c r="Y70" s="21"/>
      <c r="Z70" s="21"/>
      <c r="AA70" s="21"/>
      <c r="AB70" s="18" t="s">
        <v>20</v>
      </c>
      <c r="AC70" s="23" t="s">
        <v>50</v>
      </c>
      <c r="AD70" s="24" t="s">
        <v>72</v>
      </c>
      <c r="AE70" s="34">
        <v>219</v>
      </c>
      <c r="AF70" s="35">
        <v>18</v>
      </c>
      <c r="AG70" s="28" t="str">
        <f t="shared" si="3"/>
        <v>219-18</v>
      </c>
      <c r="AH70" s="24" t="s">
        <v>115</v>
      </c>
      <c r="AI70" s="2" t="b">
        <f t="shared" si="4"/>
        <v>1</v>
      </c>
    </row>
    <row r="71" spans="1:35" ht="12.75" customHeight="1">
      <c r="A71" s="12">
        <v>70</v>
      </c>
      <c r="B71" s="13"/>
      <c r="C71" s="15" t="s">
        <v>20</v>
      </c>
      <c r="D71" s="15">
        <v>3</v>
      </c>
      <c r="E71" s="13" t="s">
        <v>50</v>
      </c>
      <c r="F71" s="17" t="s">
        <v>72</v>
      </c>
      <c r="G71" s="13">
        <v>219</v>
      </c>
      <c r="H71" s="19">
        <v>18</v>
      </c>
      <c r="I71" s="19" t="str">
        <f t="shared" si="0"/>
        <v>219-18</v>
      </c>
      <c r="J71" s="17" t="s">
        <v>32</v>
      </c>
      <c r="K71" s="26"/>
      <c r="L71" s="8" t="b">
        <f t="shared" si="1"/>
        <v>1</v>
      </c>
      <c r="M71" s="8" t="b">
        <f t="shared" si="2"/>
        <v>1</v>
      </c>
      <c r="N71" s="29"/>
      <c r="O71" s="30"/>
      <c r="P71" s="18" t="s">
        <v>20</v>
      </c>
      <c r="Q71" s="31"/>
      <c r="R71" s="31" t="s">
        <v>20</v>
      </c>
      <c r="S71" s="33" t="s">
        <v>25</v>
      </c>
      <c r="T71" s="33" t="s">
        <v>25</v>
      </c>
      <c r="U71" s="31" t="s">
        <v>25</v>
      </c>
      <c r="V71" s="21" t="s">
        <v>25</v>
      </c>
      <c r="W71" s="21" t="s">
        <v>25</v>
      </c>
      <c r="X71" s="18" t="s">
        <v>20</v>
      </c>
      <c r="Y71" s="21"/>
      <c r="Z71" s="21"/>
      <c r="AA71" s="21"/>
      <c r="AB71" s="18" t="s">
        <v>20</v>
      </c>
      <c r="AC71" s="23" t="s">
        <v>50</v>
      </c>
      <c r="AD71" s="24" t="s">
        <v>72</v>
      </c>
      <c r="AE71" s="34">
        <v>219</v>
      </c>
      <c r="AF71" s="35">
        <v>18</v>
      </c>
      <c r="AG71" s="28" t="str">
        <f t="shared" si="3"/>
        <v>219-18</v>
      </c>
      <c r="AH71" s="24" t="s">
        <v>32</v>
      </c>
      <c r="AI71" s="2" t="b">
        <f t="shared" si="4"/>
        <v>1</v>
      </c>
    </row>
    <row r="72" spans="1:35" ht="12.75" customHeight="1">
      <c r="A72" s="12">
        <v>71</v>
      </c>
      <c r="B72" s="28">
        <v>80022321</v>
      </c>
      <c r="C72" s="15" t="s">
        <v>293</v>
      </c>
      <c r="D72" s="15">
        <v>3</v>
      </c>
      <c r="E72" s="13" t="s">
        <v>50</v>
      </c>
      <c r="F72" s="17" t="s">
        <v>72</v>
      </c>
      <c r="G72" s="13">
        <v>219</v>
      </c>
      <c r="H72" s="19">
        <v>18</v>
      </c>
      <c r="I72" s="19" t="str">
        <f t="shared" si="0"/>
        <v>219-18</v>
      </c>
      <c r="J72" s="17" t="s">
        <v>30</v>
      </c>
      <c r="K72" s="37" t="s">
        <v>188</v>
      </c>
      <c r="L72" s="8" t="b">
        <f t="shared" si="1"/>
        <v>1</v>
      </c>
      <c r="M72" s="8" t="b">
        <f t="shared" si="2"/>
        <v>1</v>
      </c>
      <c r="N72" s="29"/>
      <c r="O72" s="36">
        <v>80022321</v>
      </c>
      <c r="P72" s="18" t="s">
        <v>293</v>
      </c>
      <c r="Q72" s="31" t="s">
        <v>24</v>
      </c>
      <c r="R72" s="31" t="s">
        <v>192</v>
      </c>
      <c r="S72" s="33">
        <v>42585</v>
      </c>
      <c r="T72" s="33">
        <v>40408</v>
      </c>
      <c r="U72" s="31" t="s">
        <v>84</v>
      </c>
      <c r="V72" s="21">
        <v>43</v>
      </c>
      <c r="W72" s="21" t="s">
        <v>25</v>
      </c>
      <c r="X72" s="31" t="s">
        <v>20</v>
      </c>
      <c r="Y72" s="21"/>
      <c r="Z72" s="21"/>
      <c r="AA72" s="21"/>
      <c r="AB72" s="18" t="s">
        <v>53</v>
      </c>
      <c r="AC72" s="23" t="s">
        <v>50</v>
      </c>
      <c r="AD72" s="24" t="s">
        <v>72</v>
      </c>
      <c r="AE72" s="34">
        <v>219</v>
      </c>
      <c r="AF72" s="35">
        <v>18</v>
      </c>
      <c r="AG72" s="28" t="str">
        <f t="shared" si="3"/>
        <v>219-18</v>
      </c>
      <c r="AH72" s="24" t="s">
        <v>30</v>
      </c>
      <c r="AI72" s="2" t="b">
        <f t="shared" si="4"/>
        <v>1</v>
      </c>
    </row>
    <row r="73" spans="1:35" ht="12.75" customHeight="1">
      <c r="A73" s="12">
        <v>72</v>
      </c>
      <c r="B73" s="28">
        <v>51657823</v>
      </c>
      <c r="C73" s="15" t="s">
        <v>294</v>
      </c>
      <c r="D73" s="15">
        <v>3</v>
      </c>
      <c r="E73" s="13" t="s">
        <v>50</v>
      </c>
      <c r="F73" s="17" t="s">
        <v>72</v>
      </c>
      <c r="G73" s="13">
        <v>219</v>
      </c>
      <c r="H73" s="19">
        <v>18</v>
      </c>
      <c r="I73" s="19" t="str">
        <f t="shared" si="0"/>
        <v>219-18</v>
      </c>
      <c r="J73" s="17" t="s">
        <v>30</v>
      </c>
      <c r="K73" s="82" t="s">
        <v>49</v>
      </c>
      <c r="L73" s="8" t="b">
        <f t="shared" si="1"/>
        <v>1</v>
      </c>
      <c r="M73" s="8" t="b">
        <f t="shared" si="2"/>
        <v>1</v>
      </c>
      <c r="N73" s="29"/>
      <c r="O73" s="36">
        <v>51657823</v>
      </c>
      <c r="P73" s="18" t="s">
        <v>294</v>
      </c>
      <c r="Q73" s="31" t="s">
        <v>49</v>
      </c>
      <c r="R73" s="31" t="s">
        <v>49</v>
      </c>
      <c r="S73" s="33">
        <v>42585</v>
      </c>
      <c r="T73" s="33">
        <v>33696</v>
      </c>
      <c r="U73" s="31" t="s">
        <v>48</v>
      </c>
      <c r="V73" s="21">
        <v>61</v>
      </c>
      <c r="W73" s="21" t="s">
        <v>25</v>
      </c>
      <c r="X73" s="31"/>
      <c r="Y73" s="21"/>
      <c r="Z73" s="21"/>
      <c r="AA73" s="21"/>
      <c r="AB73" s="18" t="s">
        <v>53</v>
      </c>
      <c r="AC73" s="23" t="s">
        <v>50</v>
      </c>
      <c r="AD73" s="24" t="s">
        <v>72</v>
      </c>
      <c r="AE73" s="34">
        <v>219</v>
      </c>
      <c r="AF73" s="35">
        <v>18</v>
      </c>
      <c r="AG73" s="28" t="str">
        <f t="shared" si="3"/>
        <v>219-18</v>
      </c>
      <c r="AH73" s="24" t="s">
        <v>30</v>
      </c>
      <c r="AI73" s="2" t="b">
        <f t="shared" si="4"/>
        <v>1</v>
      </c>
    </row>
    <row r="74" spans="1:35" ht="12.75" customHeight="1">
      <c r="A74" s="12">
        <v>73</v>
      </c>
      <c r="B74" s="28"/>
      <c r="C74" s="15" t="s">
        <v>20</v>
      </c>
      <c r="D74" s="15">
        <v>3</v>
      </c>
      <c r="E74" s="13" t="s">
        <v>50</v>
      </c>
      <c r="F74" s="17" t="s">
        <v>72</v>
      </c>
      <c r="G74" s="13">
        <v>219</v>
      </c>
      <c r="H74" s="19">
        <v>18</v>
      </c>
      <c r="I74" s="19" t="str">
        <f t="shared" si="0"/>
        <v>219-18</v>
      </c>
      <c r="J74" s="17" t="s">
        <v>30</v>
      </c>
      <c r="K74" s="26"/>
      <c r="L74" s="8" t="b">
        <f t="shared" si="1"/>
        <v>1</v>
      </c>
      <c r="M74" s="8" t="b">
        <f t="shared" si="2"/>
        <v>1</v>
      </c>
      <c r="N74" s="29"/>
      <c r="O74" s="36"/>
      <c r="P74" s="18" t="s">
        <v>20</v>
      </c>
      <c r="Q74" s="31"/>
      <c r="R74" s="31" t="s">
        <v>20</v>
      </c>
      <c r="S74" s="33" t="s">
        <v>25</v>
      </c>
      <c r="T74" s="33" t="s">
        <v>25</v>
      </c>
      <c r="U74" s="31" t="s">
        <v>25</v>
      </c>
      <c r="V74" s="21" t="s">
        <v>25</v>
      </c>
      <c r="W74" s="21" t="s">
        <v>25</v>
      </c>
      <c r="X74" s="18" t="s">
        <v>20</v>
      </c>
      <c r="Y74" s="21"/>
      <c r="Z74" s="21"/>
      <c r="AA74" s="21"/>
      <c r="AB74" s="18" t="s">
        <v>20</v>
      </c>
      <c r="AC74" s="23" t="s">
        <v>50</v>
      </c>
      <c r="AD74" s="24" t="s">
        <v>72</v>
      </c>
      <c r="AE74" s="34">
        <v>219</v>
      </c>
      <c r="AF74" s="35">
        <v>18</v>
      </c>
      <c r="AG74" s="28" t="str">
        <f t="shared" si="3"/>
        <v>219-18</v>
      </c>
      <c r="AH74" s="24" t="s">
        <v>30</v>
      </c>
      <c r="AI74" s="2" t="b">
        <f t="shared" si="4"/>
        <v>1</v>
      </c>
    </row>
    <row r="75" spans="1:35" ht="12.75" customHeight="1">
      <c r="A75" s="12">
        <v>74</v>
      </c>
      <c r="B75" s="28"/>
      <c r="C75" s="15" t="s">
        <v>20</v>
      </c>
      <c r="D75" s="15">
        <v>3</v>
      </c>
      <c r="E75" s="13" t="s">
        <v>50</v>
      </c>
      <c r="F75" s="17" t="s">
        <v>72</v>
      </c>
      <c r="G75" s="13">
        <v>219</v>
      </c>
      <c r="H75" s="19">
        <v>18</v>
      </c>
      <c r="I75" s="19" t="str">
        <f t="shared" si="0"/>
        <v>219-18</v>
      </c>
      <c r="J75" s="17" t="s">
        <v>30</v>
      </c>
      <c r="K75" s="26"/>
      <c r="L75" s="8" t="b">
        <f t="shared" si="1"/>
        <v>1</v>
      </c>
      <c r="M75" s="8" t="b">
        <f t="shared" si="2"/>
        <v>1</v>
      </c>
      <c r="N75" s="29"/>
      <c r="O75" s="36"/>
      <c r="P75" s="18" t="s">
        <v>20</v>
      </c>
      <c r="Q75" s="31"/>
      <c r="R75" s="31" t="s">
        <v>20</v>
      </c>
      <c r="S75" s="33" t="s">
        <v>25</v>
      </c>
      <c r="T75" s="33" t="s">
        <v>25</v>
      </c>
      <c r="U75" s="31" t="s">
        <v>25</v>
      </c>
      <c r="V75" s="21" t="s">
        <v>25</v>
      </c>
      <c r="W75" s="21" t="s">
        <v>25</v>
      </c>
      <c r="X75" s="18" t="s">
        <v>20</v>
      </c>
      <c r="Y75" s="21"/>
      <c r="Z75" s="21"/>
      <c r="AA75" s="21"/>
      <c r="AB75" s="18" t="s">
        <v>20</v>
      </c>
      <c r="AC75" s="23" t="s">
        <v>50</v>
      </c>
      <c r="AD75" s="24" t="s">
        <v>72</v>
      </c>
      <c r="AE75" s="34">
        <v>219</v>
      </c>
      <c r="AF75" s="35">
        <v>18</v>
      </c>
      <c r="AG75" s="28" t="str">
        <f t="shared" si="3"/>
        <v>219-18</v>
      </c>
      <c r="AH75" s="24" t="s">
        <v>30</v>
      </c>
      <c r="AI75" s="2" t="b">
        <f t="shared" si="4"/>
        <v>1</v>
      </c>
    </row>
    <row r="76" spans="1:35" ht="12.75" customHeight="1">
      <c r="A76" s="12">
        <v>75</v>
      </c>
      <c r="B76" s="28"/>
      <c r="C76" s="15" t="s">
        <v>20</v>
      </c>
      <c r="D76" s="15">
        <v>3</v>
      </c>
      <c r="E76" s="13" t="s">
        <v>50</v>
      </c>
      <c r="F76" s="17" t="s">
        <v>72</v>
      </c>
      <c r="G76" s="13">
        <v>219</v>
      </c>
      <c r="H76" s="19">
        <v>18</v>
      </c>
      <c r="I76" s="19" t="str">
        <f t="shared" si="0"/>
        <v>219-18</v>
      </c>
      <c r="J76" s="17" t="s">
        <v>30</v>
      </c>
      <c r="K76" s="26"/>
      <c r="L76" s="8" t="b">
        <f t="shared" si="1"/>
        <v>1</v>
      </c>
      <c r="M76" s="8" t="b">
        <f t="shared" si="2"/>
        <v>1</v>
      </c>
      <c r="N76" s="29"/>
      <c r="O76" s="36"/>
      <c r="P76" s="18" t="s">
        <v>20</v>
      </c>
      <c r="Q76" s="31"/>
      <c r="R76" s="31" t="s">
        <v>20</v>
      </c>
      <c r="S76" s="33" t="s">
        <v>25</v>
      </c>
      <c r="T76" s="33" t="s">
        <v>25</v>
      </c>
      <c r="U76" s="31" t="s">
        <v>25</v>
      </c>
      <c r="V76" s="21" t="s">
        <v>25</v>
      </c>
      <c r="W76" s="21" t="s">
        <v>25</v>
      </c>
      <c r="X76" s="18" t="s">
        <v>20</v>
      </c>
      <c r="Y76" s="21"/>
      <c r="Z76" s="21"/>
      <c r="AA76" s="21"/>
      <c r="AB76" s="18" t="s">
        <v>20</v>
      </c>
      <c r="AC76" s="23" t="s">
        <v>50</v>
      </c>
      <c r="AD76" s="24" t="s">
        <v>72</v>
      </c>
      <c r="AE76" s="34">
        <v>219</v>
      </c>
      <c r="AF76" s="35">
        <v>18</v>
      </c>
      <c r="AG76" s="28" t="str">
        <f t="shared" si="3"/>
        <v>219-18</v>
      </c>
      <c r="AH76" s="24" t="s">
        <v>30</v>
      </c>
      <c r="AI76" s="2" t="b">
        <f t="shared" si="4"/>
        <v>1</v>
      </c>
    </row>
    <row r="77" spans="1:35" ht="12.75" customHeight="1">
      <c r="A77" s="12">
        <v>76</v>
      </c>
      <c r="B77" s="28">
        <v>38263037</v>
      </c>
      <c r="C77" s="56" t="s">
        <v>295</v>
      </c>
      <c r="D77" s="15">
        <v>3</v>
      </c>
      <c r="E77" s="13" t="s">
        <v>50</v>
      </c>
      <c r="F77" s="17" t="s">
        <v>72</v>
      </c>
      <c r="G77" s="13">
        <v>219</v>
      </c>
      <c r="H77" s="19">
        <v>18</v>
      </c>
      <c r="I77" s="19" t="str">
        <f t="shared" si="0"/>
        <v>219-18</v>
      </c>
      <c r="J77" s="17" t="s">
        <v>95</v>
      </c>
      <c r="K77" s="82" t="s">
        <v>49</v>
      </c>
      <c r="L77" s="8" t="b">
        <f t="shared" si="1"/>
        <v>1</v>
      </c>
      <c r="M77" s="8" t="b">
        <f t="shared" si="2"/>
        <v>1</v>
      </c>
      <c r="N77" s="29"/>
      <c r="O77" s="36">
        <v>38263037</v>
      </c>
      <c r="P77" s="31" t="s">
        <v>295</v>
      </c>
      <c r="Q77" s="31" t="s">
        <v>49</v>
      </c>
      <c r="R77" s="31" t="s">
        <v>49</v>
      </c>
      <c r="S77" s="33">
        <v>42585</v>
      </c>
      <c r="T77" s="33">
        <v>35327</v>
      </c>
      <c r="U77" s="31" t="s">
        <v>48</v>
      </c>
      <c r="V77" s="21">
        <v>58</v>
      </c>
      <c r="W77" s="21" t="s">
        <v>25</v>
      </c>
      <c r="X77" s="31"/>
      <c r="Y77" s="21"/>
      <c r="Z77" s="21"/>
      <c r="AA77" s="21"/>
      <c r="AB77" s="18" t="s">
        <v>53</v>
      </c>
      <c r="AC77" s="23" t="s">
        <v>50</v>
      </c>
      <c r="AD77" s="24" t="s">
        <v>72</v>
      </c>
      <c r="AE77" s="34">
        <v>219</v>
      </c>
      <c r="AF77" s="35">
        <v>18</v>
      </c>
      <c r="AG77" s="28" t="str">
        <f t="shared" si="3"/>
        <v>219-18</v>
      </c>
      <c r="AH77" s="24" t="s">
        <v>95</v>
      </c>
      <c r="AI77" s="2" t="b">
        <f t="shared" si="4"/>
        <v>1</v>
      </c>
    </row>
    <row r="78" spans="1:35" ht="12.75" customHeight="1">
      <c r="A78" s="12">
        <v>77</v>
      </c>
      <c r="B78" s="28">
        <v>7630834</v>
      </c>
      <c r="C78" s="15" t="s">
        <v>296</v>
      </c>
      <c r="D78" s="15">
        <v>3</v>
      </c>
      <c r="E78" s="13" t="s">
        <v>50</v>
      </c>
      <c r="F78" s="17" t="s">
        <v>72</v>
      </c>
      <c r="G78" s="13">
        <v>219</v>
      </c>
      <c r="H78" s="19">
        <v>18</v>
      </c>
      <c r="I78" s="19" t="str">
        <f t="shared" si="0"/>
        <v>219-18</v>
      </c>
      <c r="J78" s="17" t="s">
        <v>95</v>
      </c>
      <c r="K78" s="37" t="s">
        <v>188</v>
      </c>
      <c r="L78" s="8" t="b">
        <f t="shared" si="1"/>
        <v>1</v>
      </c>
      <c r="M78" s="8" t="b">
        <f t="shared" si="2"/>
        <v>1</v>
      </c>
      <c r="N78" s="29"/>
      <c r="O78" s="36">
        <v>7630834</v>
      </c>
      <c r="P78" s="18" t="s">
        <v>296</v>
      </c>
      <c r="Q78" s="31" t="s">
        <v>24</v>
      </c>
      <c r="R78" s="31" t="s">
        <v>192</v>
      </c>
      <c r="S78" s="33">
        <v>42585</v>
      </c>
      <c r="T78" s="33">
        <v>41106</v>
      </c>
      <c r="U78" s="31" t="s">
        <v>84</v>
      </c>
      <c r="V78" s="21">
        <v>42</v>
      </c>
      <c r="W78" s="21" t="s">
        <v>25</v>
      </c>
      <c r="X78" s="31" t="s">
        <v>20</v>
      </c>
      <c r="Y78" s="21"/>
      <c r="Z78" s="21"/>
      <c r="AA78" s="21"/>
      <c r="AB78" s="18" t="s">
        <v>53</v>
      </c>
      <c r="AC78" s="23" t="s">
        <v>50</v>
      </c>
      <c r="AD78" s="24" t="s">
        <v>72</v>
      </c>
      <c r="AE78" s="34">
        <v>219</v>
      </c>
      <c r="AF78" s="35">
        <v>18</v>
      </c>
      <c r="AG78" s="28" t="str">
        <f t="shared" si="3"/>
        <v>219-18</v>
      </c>
      <c r="AH78" s="24" t="s">
        <v>95</v>
      </c>
      <c r="AI78" s="2" t="b">
        <f t="shared" si="4"/>
        <v>1</v>
      </c>
    </row>
    <row r="79" spans="1:35" ht="12.75" customHeight="1">
      <c r="A79" s="12">
        <v>78</v>
      </c>
      <c r="B79" s="28"/>
      <c r="C79" s="15" t="s">
        <v>20</v>
      </c>
      <c r="D79" s="15">
        <v>3</v>
      </c>
      <c r="E79" s="13" t="s">
        <v>50</v>
      </c>
      <c r="F79" s="17" t="s">
        <v>72</v>
      </c>
      <c r="G79" s="13">
        <v>219</v>
      </c>
      <c r="H79" s="19">
        <v>18</v>
      </c>
      <c r="I79" s="19" t="str">
        <f t="shared" si="0"/>
        <v>219-18</v>
      </c>
      <c r="J79" s="17" t="s">
        <v>95</v>
      </c>
      <c r="K79" s="26"/>
      <c r="L79" s="8" t="b">
        <f t="shared" si="1"/>
        <v>1</v>
      </c>
      <c r="M79" s="8" t="b">
        <f t="shared" si="2"/>
        <v>1</v>
      </c>
      <c r="N79" s="29"/>
      <c r="O79" s="36"/>
      <c r="P79" s="18" t="s">
        <v>20</v>
      </c>
      <c r="Q79" s="31"/>
      <c r="R79" s="31" t="s">
        <v>20</v>
      </c>
      <c r="S79" s="33" t="s">
        <v>25</v>
      </c>
      <c r="T79" s="33" t="s">
        <v>25</v>
      </c>
      <c r="U79" s="31" t="s">
        <v>25</v>
      </c>
      <c r="V79" s="21" t="s">
        <v>25</v>
      </c>
      <c r="W79" s="21" t="s">
        <v>25</v>
      </c>
      <c r="X79" s="18" t="s">
        <v>20</v>
      </c>
      <c r="Y79" s="21"/>
      <c r="Z79" s="21"/>
      <c r="AA79" s="21"/>
      <c r="AB79" s="18" t="s">
        <v>20</v>
      </c>
      <c r="AC79" s="23" t="s">
        <v>50</v>
      </c>
      <c r="AD79" s="24" t="s">
        <v>72</v>
      </c>
      <c r="AE79" s="34">
        <v>219</v>
      </c>
      <c r="AF79" s="35">
        <v>18</v>
      </c>
      <c r="AG79" s="28" t="str">
        <f t="shared" si="3"/>
        <v>219-18</v>
      </c>
      <c r="AH79" s="24" t="s">
        <v>95</v>
      </c>
      <c r="AI79" s="2" t="b">
        <f t="shared" si="4"/>
        <v>1</v>
      </c>
    </row>
    <row r="80" spans="1:35" ht="12.75" customHeight="1">
      <c r="A80" s="12">
        <v>79</v>
      </c>
      <c r="B80" s="28"/>
      <c r="C80" s="15" t="s">
        <v>20</v>
      </c>
      <c r="D80" s="15">
        <v>3</v>
      </c>
      <c r="E80" s="13" t="s">
        <v>50</v>
      </c>
      <c r="F80" s="17" t="s">
        <v>72</v>
      </c>
      <c r="G80" s="13">
        <v>219</v>
      </c>
      <c r="H80" s="19">
        <v>18</v>
      </c>
      <c r="I80" s="19" t="str">
        <f t="shared" si="0"/>
        <v>219-18</v>
      </c>
      <c r="J80" s="17" t="s">
        <v>95</v>
      </c>
      <c r="K80" s="26"/>
      <c r="L80" s="8" t="b">
        <f t="shared" si="1"/>
        <v>1</v>
      </c>
      <c r="M80" s="8" t="b">
        <f t="shared" si="2"/>
        <v>1</v>
      </c>
      <c r="N80" s="29"/>
      <c r="O80" s="36"/>
      <c r="P80" s="18" t="s">
        <v>20</v>
      </c>
      <c r="Q80" s="31"/>
      <c r="R80" s="31" t="s">
        <v>20</v>
      </c>
      <c r="S80" s="33" t="s">
        <v>25</v>
      </c>
      <c r="T80" s="33" t="s">
        <v>25</v>
      </c>
      <c r="U80" s="31" t="s">
        <v>25</v>
      </c>
      <c r="V80" s="21" t="s">
        <v>25</v>
      </c>
      <c r="W80" s="21" t="s">
        <v>25</v>
      </c>
      <c r="X80" s="18" t="s">
        <v>20</v>
      </c>
      <c r="Y80" s="21"/>
      <c r="Z80" s="21"/>
      <c r="AA80" s="21"/>
      <c r="AB80" s="18" t="s">
        <v>20</v>
      </c>
      <c r="AC80" s="23" t="s">
        <v>50</v>
      </c>
      <c r="AD80" s="24" t="s">
        <v>72</v>
      </c>
      <c r="AE80" s="34">
        <v>219</v>
      </c>
      <c r="AF80" s="35">
        <v>18</v>
      </c>
      <c r="AG80" s="28" t="str">
        <f t="shared" si="3"/>
        <v>219-18</v>
      </c>
      <c r="AH80" s="24" t="s">
        <v>95</v>
      </c>
      <c r="AI80" s="2" t="b">
        <f t="shared" si="4"/>
        <v>1</v>
      </c>
    </row>
    <row r="81" spans="1:35" ht="12.75" customHeight="1">
      <c r="A81" s="12">
        <v>80</v>
      </c>
      <c r="B81" s="28"/>
      <c r="C81" s="15" t="s">
        <v>20</v>
      </c>
      <c r="D81" s="15">
        <v>3</v>
      </c>
      <c r="E81" s="13" t="s">
        <v>50</v>
      </c>
      <c r="F81" s="17" t="s">
        <v>72</v>
      </c>
      <c r="G81" s="13">
        <v>219</v>
      </c>
      <c r="H81" s="19">
        <v>18</v>
      </c>
      <c r="I81" s="19" t="str">
        <f t="shared" si="0"/>
        <v>219-18</v>
      </c>
      <c r="J81" s="17" t="s">
        <v>95</v>
      </c>
      <c r="K81" s="26"/>
      <c r="L81" s="8" t="b">
        <f t="shared" si="1"/>
        <v>1</v>
      </c>
      <c r="M81" s="8" t="b">
        <f t="shared" si="2"/>
        <v>1</v>
      </c>
      <c r="N81" s="29"/>
      <c r="O81" s="36"/>
      <c r="P81" s="18" t="s">
        <v>20</v>
      </c>
      <c r="Q81" s="31"/>
      <c r="R81" s="31" t="s">
        <v>20</v>
      </c>
      <c r="S81" s="33" t="s">
        <v>25</v>
      </c>
      <c r="T81" s="33" t="s">
        <v>25</v>
      </c>
      <c r="U81" s="31" t="s">
        <v>25</v>
      </c>
      <c r="V81" s="21" t="s">
        <v>25</v>
      </c>
      <c r="W81" s="21" t="s">
        <v>25</v>
      </c>
      <c r="X81" s="18" t="s">
        <v>20</v>
      </c>
      <c r="Y81" s="21"/>
      <c r="Z81" s="21"/>
      <c r="AA81" s="21"/>
      <c r="AB81" s="18" t="s">
        <v>20</v>
      </c>
      <c r="AC81" s="23" t="s">
        <v>50</v>
      </c>
      <c r="AD81" s="24" t="s">
        <v>72</v>
      </c>
      <c r="AE81" s="34">
        <v>219</v>
      </c>
      <c r="AF81" s="35">
        <v>18</v>
      </c>
      <c r="AG81" s="28" t="str">
        <f t="shared" si="3"/>
        <v>219-18</v>
      </c>
      <c r="AH81" s="24" t="s">
        <v>95</v>
      </c>
      <c r="AI81" s="2" t="b">
        <f t="shared" si="4"/>
        <v>1</v>
      </c>
    </row>
    <row r="82" spans="1:35" ht="12.75" customHeight="1">
      <c r="A82" s="12">
        <v>81</v>
      </c>
      <c r="B82" s="28"/>
      <c r="C82" s="15" t="s">
        <v>20</v>
      </c>
      <c r="D82" s="15">
        <v>3</v>
      </c>
      <c r="E82" s="13" t="s">
        <v>50</v>
      </c>
      <c r="F82" s="17" t="s">
        <v>72</v>
      </c>
      <c r="G82" s="13">
        <v>219</v>
      </c>
      <c r="H82" s="19">
        <v>18</v>
      </c>
      <c r="I82" s="19" t="str">
        <f t="shared" si="0"/>
        <v>219-18</v>
      </c>
      <c r="J82" s="17" t="s">
        <v>95</v>
      </c>
      <c r="K82" s="26"/>
      <c r="L82" s="8" t="b">
        <f t="shared" si="1"/>
        <v>1</v>
      </c>
      <c r="M82" s="8" t="b">
        <f t="shared" si="2"/>
        <v>1</v>
      </c>
      <c r="N82" s="29"/>
      <c r="O82" s="36"/>
      <c r="P82" s="18" t="s">
        <v>20</v>
      </c>
      <c r="Q82" s="31"/>
      <c r="R82" s="31" t="s">
        <v>20</v>
      </c>
      <c r="S82" s="33" t="s">
        <v>25</v>
      </c>
      <c r="T82" s="33" t="s">
        <v>25</v>
      </c>
      <c r="U82" s="31" t="s">
        <v>25</v>
      </c>
      <c r="V82" s="21" t="s">
        <v>25</v>
      </c>
      <c r="W82" s="21" t="s">
        <v>25</v>
      </c>
      <c r="X82" s="18" t="s">
        <v>20</v>
      </c>
      <c r="Y82" s="21"/>
      <c r="Z82" s="21"/>
      <c r="AA82" s="21"/>
      <c r="AB82" s="18" t="s">
        <v>20</v>
      </c>
      <c r="AC82" s="23" t="s">
        <v>50</v>
      </c>
      <c r="AD82" s="24" t="s">
        <v>72</v>
      </c>
      <c r="AE82" s="34">
        <v>219</v>
      </c>
      <c r="AF82" s="35">
        <v>18</v>
      </c>
      <c r="AG82" s="28" t="str">
        <f t="shared" si="3"/>
        <v>219-18</v>
      </c>
      <c r="AH82" s="24" t="s">
        <v>95</v>
      </c>
      <c r="AI82" s="2" t="b">
        <f t="shared" si="4"/>
        <v>1</v>
      </c>
    </row>
    <row r="83" spans="1:35" ht="12.75" customHeight="1">
      <c r="A83" s="12">
        <v>82</v>
      </c>
      <c r="B83" s="28">
        <v>79567977</v>
      </c>
      <c r="C83" s="56" t="s">
        <v>298</v>
      </c>
      <c r="D83" s="15">
        <v>3</v>
      </c>
      <c r="E83" s="13" t="s">
        <v>50</v>
      </c>
      <c r="F83" s="17" t="s">
        <v>72</v>
      </c>
      <c r="G83" s="13">
        <v>219</v>
      </c>
      <c r="H83" s="19">
        <v>18</v>
      </c>
      <c r="I83" s="19" t="str">
        <f t="shared" si="0"/>
        <v>219-18</v>
      </c>
      <c r="J83" s="17" t="s">
        <v>113</v>
      </c>
      <c r="K83" s="82" t="s">
        <v>49</v>
      </c>
      <c r="L83" s="8" t="b">
        <f t="shared" si="1"/>
        <v>1</v>
      </c>
      <c r="M83" s="8" t="b">
        <f t="shared" si="2"/>
        <v>1</v>
      </c>
      <c r="N83" s="29"/>
      <c r="O83" s="36">
        <v>79567977</v>
      </c>
      <c r="P83" s="31" t="s">
        <v>298</v>
      </c>
      <c r="Q83" s="31" t="s">
        <v>49</v>
      </c>
      <c r="R83" s="31" t="s">
        <v>49</v>
      </c>
      <c r="S83" s="33">
        <v>42585</v>
      </c>
      <c r="T83" s="33">
        <v>40260</v>
      </c>
      <c r="U83" s="31" t="s">
        <v>84</v>
      </c>
      <c r="V83" s="21">
        <v>49</v>
      </c>
      <c r="W83" s="21" t="s">
        <v>25</v>
      </c>
      <c r="X83" s="31"/>
      <c r="Y83" s="21"/>
      <c r="Z83" s="21"/>
      <c r="AA83" s="21"/>
      <c r="AB83" s="18" t="s">
        <v>53</v>
      </c>
      <c r="AC83" s="23" t="s">
        <v>50</v>
      </c>
      <c r="AD83" s="24" t="s">
        <v>72</v>
      </c>
      <c r="AE83" s="34">
        <v>219</v>
      </c>
      <c r="AF83" s="35">
        <v>18</v>
      </c>
      <c r="AG83" s="28" t="str">
        <f t="shared" si="3"/>
        <v>219-18</v>
      </c>
      <c r="AH83" s="24" t="s">
        <v>113</v>
      </c>
      <c r="AI83" s="2" t="b">
        <f t="shared" si="4"/>
        <v>1</v>
      </c>
    </row>
    <row r="84" spans="1:35" ht="12.75" customHeight="1">
      <c r="A84" s="12">
        <v>83</v>
      </c>
      <c r="B84" s="28"/>
      <c r="C84" s="15" t="s">
        <v>20</v>
      </c>
      <c r="D84" s="15">
        <v>3</v>
      </c>
      <c r="E84" s="13" t="s">
        <v>50</v>
      </c>
      <c r="F84" s="17" t="s">
        <v>72</v>
      </c>
      <c r="G84" s="13">
        <v>219</v>
      </c>
      <c r="H84" s="19">
        <v>18</v>
      </c>
      <c r="I84" s="19" t="str">
        <f t="shared" si="0"/>
        <v>219-18</v>
      </c>
      <c r="J84" s="17" t="s">
        <v>113</v>
      </c>
      <c r="K84" s="26"/>
      <c r="L84" s="8" t="b">
        <f t="shared" si="1"/>
        <v>1</v>
      </c>
      <c r="M84" s="8" t="b">
        <f t="shared" si="2"/>
        <v>1</v>
      </c>
      <c r="N84" s="29"/>
      <c r="O84" s="36"/>
      <c r="P84" s="18" t="s">
        <v>20</v>
      </c>
      <c r="Q84" s="31"/>
      <c r="R84" s="31" t="s">
        <v>20</v>
      </c>
      <c r="S84" s="33" t="s">
        <v>25</v>
      </c>
      <c r="T84" s="33" t="s">
        <v>25</v>
      </c>
      <c r="U84" s="31" t="s">
        <v>25</v>
      </c>
      <c r="V84" s="21" t="s">
        <v>25</v>
      </c>
      <c r="W84" s="21" t="s">
        <v>25</v>
      </c>
      <c r="X84" s="18" t="s">
        <v>20</v>
      </c>
      <c r="Y84" s="21"/>
      <c r="Z84" s="21"/>
      <c r="AA84" s="21"/>
      <c r="AB84" s="18" t="s">
        <v>20</v>
      </c>
      <c r="AC84" s="23" t="s">
        <v>50</v>
      </c>
      <c r="AD84" s="24" t="s">
        <v>72</v>
      </c>
      <c r="AE84" s="34">
        <v>219</v>
      </c>
      <c r="AF84" s="35">
        <v>18</v>
      </c>
      <c r="AG84" s="28" t="str">
        <f t="shared" si="3"/>
        <v>219-18</v>
      </c>
      <c r="AH84" s="24" t="s">
        <v>113</v>
      </c>
      <c r="AI84" s="2" t="b">
        <f t="shared" si="4"/>
        <v>1</v>
      </c>
    </row>
    <row r="85" spans="1:35" ht="12.75" customHeight="1">
      <c r="A85" s="12">
        <v>84</v>
      </c>
      <c r="B85" s="28">
        <v>93371977</v>
      </c>
      <c r="C85" s="56" t="s">
        <v>299</v>
      </c>
      <c r="D85" s="15">
        <v>3</v>
      </c>
      <c r="E85" s="13" t="s">
        <v>50</v>
      </c>
      <c r="F85" s="17" t="s">
        <v>72</v>
      </c>
      <c r="G85" s="13">
        <v>219</v>
      </c>
      <c r="H85" s="19">
        <v>18</v>
      </c>
      <c r="I85" s="19" t="str">
        <f t="shared" si="0"/>
        <v>219-18</v>
      </c>
      <c r="J85" s="17" t="s">
        <v>113</v>
      </c>
      <c r="K85" s="82" t="s">
        <v>49</v>
      </c>
      <c r="L85" s="8" t="b">
        <f t="shared" si="1"/>
        <v>1</v>
      </c>
      <c r="M85" s="8" t="b">
        <f t="shared" si="2"/>
        <v>1</v>
      </c>
      <c r="N85" s="29"/>
      <c r="O85" s="36">
        <v>93371977</v>
      </c>
      <c r="P85" s="31" t="s">
        <v>299</v>
      </c>
      <c r="Q85" s="31" t="s">
        <v>49</v>
      </c>
      <c r="R85" s="31" t="s">
        <v>49</v>
      </c>
      <c r="S85" s="33">
        <v>42585</v>
      </c>
      <c r="T85" s="33">
        <v>40267</v>
      </c>
      <c r="U85" s="31" t="s">
        <v>84</v>
      </c>
      <c r="V85" s="21">
        <v>54</v>
      </c>
      <c r="W85" s="21" t="s">
        <v>25</v>
      </c>
      <c r="X85" s="31"/>
      <c r="Y85" s="21"/>
      <c r="Z85" s="21"/>
      <c r="AA85" s="21"/>
      <c r="AB85" s="18" t="s">
        <v>53</v>
      </c>
      <c r="AC85" s="23" t="s">
        <v>50</v>
      </c>
      <c r="AD85" s="24" t="s">
        <v>72</v>
      </c>
      <c r="AE85" s="34">
        <v>219</v>
      </c>
      <c r="AF85" s="35">
        <v>18</v>
      </c>
      <c r="AG85" s="28" t="str">
        <f t="shared" si="3"/>
        <v>219-18</v>
      </c>
      <c r="AH85" s="24" t="s">
        <v>113</v>
      </c>
      <c r="AI85" s="2" t="b">
        <f t="shared" si="4"/>
        <v>1</v>
      </c>
    </row>
    <row r="86" spans="1:35" ht="12.75" customHeight="1">
      <c r="A86" s="12">
        <v>85</v>
      </c>
      <c r="B86" s="28">
        <v>79802044</v>
      </c>
      <c r="C86" s="15" t="s">
        <v>300</v>
      </c>
      <c r="D86" s="15">
        <v>3</v>
      </c>
      <c r="E86" s="13" t="s">
        <v>50</v>
      </c>
      <c r="F86" s="17" t="s">
        <v>72</v>
      </c>
      <c r="G86" s="13">
        <v>219</v>
      </c>
      <c r="H86" s="19">
        <v>18</v>
      </c>
      <c r="I86" s="19" t="str">
        <f t="shared" si="0"/>
        <v>219-18</v>
      </c>
      <c r="J86" s="17" t="s">
        <v>132</v>
      </c>
      <c r="K86" s="82" t="s">
        <v>49</v>
      </c>
      <c r="L86" s="8" t="b">
        <f t="shared" si="1"/>
        <v>1</v>
      </c>
      <c r="M86" s="8" t="b">
        <f t="shared" si="2"/>
        <v>1</v>
      </c>
      <c r="N86" s="29"/>
      <c r="O86" s="36">
        <v>79802044</v>
      </c>
      <c r="P86" s="18" t="s">
        <v>300</v>
      </c>
      <c r="Q86" s="31" t="s">
        <v>49</v>
      </c>
      <c r="R86" s="31" t="s">
        <v>49</v>
      </c>
      <c r="S86" s="33">
        <v>42585</v>
      </c>
      <c r="T86" s="33">
        <v>38294</v>
      </c>
      <c r="U86" s="31" t="s">
        <v>84</v>
      </c>
      <c r="V86" s="21">
        <v>46</v>
      </c>
      <c r="W86" s="21" t="s">
        <v>25</v>
      </c>
      <c r="X86" s="31"/>
      <c r="Y86" s="21"/>
      <c r="Z86" s="21"/>
      <c r="AA86" s="21"/>
      <c r="AB86" s="18" t="s">
        <v>53</v>
      </c>
      <c r="AC86" s="23" t="s">
        <v>50</v>
      </c>
      <c r="AD86" s="24" t="s">
        <v>72</v>
      </c>
      <c r="AE86" s="34">
        <v>219</v>
      </c>
      <c r="AF86" s="35">
        <v>18</v>
      </c>
      <c r="AG86" s="28" t="str">
        <f t="shared" si="3"/>
        <v>219-18</v>
      </c>
      <c r="AH86" s="24" t="s">
        <v>132</v>
      </c>
      <c r="AI86" s="2" t="b">
        <f t="shared" si="4"/>
        <v>1</v>
      </c>
    </row>
    <row r="87" spans="1:35" ht="12.75" customHeight="1">
      <c r="A87" s="12">
        <v>86</v>
      </c>
      <c r="B87" s="28"/>
      <c r="C87" s="15" t="s">
        <v>20</v>
      </c>
      <c r="D87" s="15">
        <v>3</v>
      </c>
      <c r="E87" s="13" t="s">
        <v>50</v>
      </c>
      <c r="F87" s="17" t="s">
        <v>72</v>
      </c>
      <c r="G87" s="13">
        <v>219</v>
      </c>
      <c r="H87" s="19">
        <v>18</v>
      </c>
      <c r="I87" s="19" t="str">
        <f t="shared" si="0"/>
        <v>219-18</v>
      </c>
      <c r="J87" s="17" t="s">
        <v>132</v>
      </c>
      <c r="K87" s="26"/>
      <c r="L87" s="8" t="b">
        <f t="shared" si="1"/>
        <v>1</v>
      </c>
      <c r="M87" s="8" t="b">
        <f t="shared" si="2"/>
        <v>1</v>
      </c>
      <c r="N87" s="29"/>
      <c r="O87" s="36"/>
      <c r="P87" s="18" t="s">
        <v>20</v>
      </c>
      <c r="Q87" s="31"/>
      <c r="R87" s="31" t="s">
        <v>20</v>
      </c>
      <c r="S87" s="33" t="s">
        <v>25</v>
      </c>
      <c r="T87" s="33" t="s">
        <v>25</v>
      </c>
      <c r="U87" s="31" t="s">
        <v>25</v>
      </c>
      <c r="V87" s="21" t="s">
        <v>25</v>
      </c>
      <c r="W87" s="21" t="s">
        <v>25</v>
      </c>
      <c r="X87" s="18" t="s">
        <v>20</v>
      </c>
      <c r="Y87" s="21"/>
      <c r="Z87" s="21"/>
      <c r="AA87" s="21"/>
      <c r="AB87" s="18" t="s">
        <v>20</v>
      </c>
      <c r="AC87" s="23" t="s">
        <v>50</v>
      </c>
      <c r="AD87" s="24" t="s">
        <v>72</v>
      </c>
      <c r="AE87" s="34">
        <v>219</v>
      </c>
      <c r="AF87" s="35">
        <v>18</v>
      </c>
      <c r="AG87" s="28" t="str">
        <f t="shared" si="3"/>
        <v>219-18</v>
      </c>
      <c r="AH87" s="24" t="s">
        <v>132</v>
      </c>
      <c r="AI87" s="2" t="b">
        <f t="shared" si="4"/>
        <v>1</v>
      </c>
    </row>
    <row r="88" spans="1:35" ht="12.75" customHeight="1">
      <c r="A88" s="12">
        <v>87</v>
      </c>
      <c r="B88" s="23">
        <v>6758776</v>
      </c>
      <c r="C88" s="15" t="s">
        <v>305</v>
      </c>
      <c r="D88" s="15">
        <v>3</v>
      </c>
      <c r="E88" s="13" t="s">
        <v>50</v>
      </c>
      <c r="F88" s="17" t="s">
        <v>72</v>
      </c>
      <c r="G88" s="13">
        <v>219</v>
      </c>
      <c r="H88" s="19">
        <v>18</v>
      </c>
      <c r="I88" s="19" t="str">
        <f t="shared" si="0"/>
        <v>219-18</v>
      </c>
      <c r="J88" s="17" t="s">
        <v>135</v>
      </c>
      <c r="K88" s="82" t="s">
        <v>49</v>
      </c>
      <c r="L88" s="8" t="b">
        <f t="shared" si="1"/>
        <v>1</v>
      </c>
      <c r="M88" s="8" t="b">
        <f t="shared" si="2"/>
        <v>1</v>
      </c>
      <c r="N88" s="29"/>
      <c r="O88" s="30">
        <v>6758776</v>
      </c>
      <c r="P88" s="18" t="s">
        <v>305</v>
      </c>
      <c r="Q88" s="31" t="s">
        <v>49</v>
      </c>
      <c r="R88" s="31" t="s">
        <v>49</v>
      </c>
      <c r="S88" s="33">
        <v>42585</v>
      </c>
      <c r="T88" s="33">
        <v>31944</v>
      </c>
      <c r="U88" s="31" t="s">
        <v>84</v>
      </c>
      <c r="V88" s="21">
        <v>69</v>
      </c>
      <c r="W88" s="21" t="s">
        <v>25</v>
      </c>
      <c r="X88" s="31"/>
      <c r="Y88" s="21"/>
      <c r="Z88" s="21"/>
      <c r="AA88" s="21"/>
      <c r="AB88" s="18" t="s">
        <v>53</v>
      </c>
      <c r="AC88" s="23" t="s">
        <v>50</v>
      </c>
      <c r="AD88" s="24" t="s">
        <v>72</v>
      </c>
      <c r="AE88" s="34">
        <v>219</v>
      </c>
      <c r="AF88" s="35">
        <v>18</v>
      </c>
      <c r="AG88" s="28" t="str">
        <f t="shared" si="3"/>
        <v>219-18</v>
      </c>
      <c r="AH88" s="24" t="s">
        <v>135</v>
      </c>
      <c r="AI88" s="2" t="b">
        <f t="shared" si="4"/>
        <v>1</v>
      </c>
    </row>
    <row r="89" spans="1:35" ht="12.75" customHeight="1">
      <c r="A89" s="12">
        <v>88</v>
      </c>
      <c r="B89" s="28">
        <v>52103754</v>
      </c>
      <c r="C89" s="15" t="s">
        <v>306</v>
      </c>
      <c r="D89" s="15">
        <v>3</v>
      </c>
      <c r="E89" s="13" t="s">
        <v>50</v>
      </c>
      <c r="F89" s="17" t="s">
        <v>72</v>
      </c>
      <c r="G89" s="13">
        <v>219</v>
      </c>
      <c r="H89" s="19">
        <v>18</v>
      </c>
      <c r="I89" s="19" t="str">
        <f t="shared" si="0"/>
        <v>219-18</v>
      </c>
      <c r="J89" s="17" t="s">
        <v>135</v>
      </c>
      <c r="K89" s="37" t="s">
        <v>188</v>
      </c>
      <c r="L89" s="8" t="b">
        <f t="shared" si="1"/>
        <v>1</v>
      </c>
      <c r="M89" s="8" t="b">
        <f t="shared" si="2"/>
        <v>1</v>
      </c>
      <c r="N89" s="29"/>
      <c r="O89" s="36">
        <v>52103754</v>
      </c>
      <c r="P89" s="18" t="s">
        <v>306</v>
      </c>
      <c r="Q89" s="31" t="s">
        <v>24</v>
      </c>
      <c r="R89" s="31" t="s">
        <v>192</v>
      </c>
      <c r="S89" s="33">
        <v>42585</v>
      </c>
      <c r="T89" s="33">
        <v>38294</v>
      </c>
      <c r="U89" s="31" t="s">
        <v>48</v>
      </c>
      <c r="V89" s="21">
        <v>50</v>
      </c>
      <c r="W89" s="21" t="s">
        <v>25</v>
      </c>
      <c r="X89" s="31" t="s">
        <v>20</v>
      </c>
      <c r="Y89" s="21"/>
      <c r="Z89" s="21"/>
      <c r="AA89" s="21"/>
      <c r="AB89" s="18" t="s">
        <v>53</v>
      </c>
      <c r="AC89" s="23" t="s">
        <v>50</v>
      </c>
      <c r="AD89" s="24" t="s">
        <v>72</v>
      </c>
      <c r="AE89" s="34">
        <v>219</v>
      </c>
      <c r="AF89" s="35">
        <v>18</v>
      </c>
      <c r="AG89" s="28" t="str">
        <f t="shared" si="3"/>
        <v>219-18</v>
      </c>
      <c r="AH89" s="24" t="s">
        <v>135</v>
      </c>
      <c r="AI89" s="2" t="b">
        <f t="shared" si="4"/>
        <v>1</v>
      </c>
    </row>
    <row r="90" spans="1:35" ht="12.75" customHeight="1">
      <c r="A90" s="12">
        <v>89</v>
      </c>
      <c r="B90" s="28">
        <v>19299567</v>
      </c>
      <c r="C90" s="15" t="s">
        <v>307</v>
      </c>
      <c r="D90" s="15">
        <v>3</v>
      </c>
      <c r="E90" s="13" t="s">
        <v>50</v>
      </c>
      <c r="F90" s="17" t="s">
        <v>72</v>
      </c>
      <c r="G90" s="13">
        <v>219</v>
      </c>
      <c r="H90" s="19">
        <v>18</v>
      </c>
      <c r="I90" s="19" t="str">
        <f t="shared" si="0"/>
        <v>219-18</v>
      </c>
      <c r="J90" s="17" t="s">
        <v>135</v>
      </c>
      <c r="K90" s="82" t="s">
        <v>49</v>
      </c>
      <c r="L90" s="8" t="b">
        <f t="shared" si="1"/>
        <v>1</v>
      </c>
      <c r="M90" s="8" t="b">
        <f t="shared" si="2"/>
        <v>1</v>
      </c>
      <c r="N90" s="29"/>
      <c r="O90" s="36">
        <v>19299567</v>
      </c>
      <c r="P90" s="18" t="s">
        <v>307</v>
      </c>
      <c r="Q90" s="31" t="s">
        <v>49</v>
      </c>
      <c r="R90" s="31" t="s">
        <v>49</v>
      </c>
      <c r="S90" s="33">
        <v>42585</v>
      </c>
      <c r="T90" s="33">
        <v>34775</v>
      </c>
      <c r="U90" s="31" t="s">
        <v>84</v>
      </c>
      <c r="V90" s="21">
        <v>67</v>
      </c>
      <c r="W90" s="21" t="s">
        <v>25</v>
      </c>
      <c r="X90" s="31"/>
      <c r="Y90" s="21"/>
      <c r="Z90" s="21"/>
      <c r="AA90" s="21"/>
      <c r="AB90" s="18" t="s">
        <v>53</v>
      </c>
      <c r="AC90" s="23" t="s">
        <v>50</v>
      </c>
      <c r="AD90" s="24" t="s">
        <v>72</v>
      </c>
      <c r="AE90" s="34">
        <v>219</v>
      </c>
      <c r="AF90" s="35">
        <v>18</v>
      </c>
      <c r="AG90" s="28" t="str">
        <f t="shared" si="3"/>
        <v>219-18</v>
      </c>
      <c r="AH90" s="24" t="s">
        <v>135</v>
      </c>
      <c r="AI90" s="2" t="b">
        <f t="shared" si="4"/>
        <v>1</v>
      </c>
    </row>
    <row r="91" spans="1:35" ht="12.75" customHeight="1">
      <c r="A91" s="12">
        <v>90</v>
      </c>
      <c r="B91" s="28">
        <v>51641343</v>
      </c>
      <c r="C91" s="15" t="s">
        <v>310</v>
      </c>
      <c r="D91" s="15">
        <v>3</v>
      </c>
      <c r="E91" s="13" t="s">
        <v>50</v>
      </c>
      <c r="F91" s="17" t="s">
        <v>72</v>
      </c>
      <c r="G91" s="13">
        <v>219</v>
      </c>
      <c r="H91" s="19">
        <v>18</v>
      </c>
      <c r="I91" s="19" t="str">
        <f t="shared" si="0"/>
        <v>219-18</v>
      </c>
      <c r="J91" s="17" t="s">
        <v>135</v>
      </c>
      <c r="K91" s="37" t="s">
        <v>188</v>
      </c>
      <c r="L91" s="8" t="b">
        <f t="shared" si="1"/>
        <v>1</v>
      </c>
      <c r="M91" s="8" t="b">
        <f t="shared" si="2"/>
        <v>1</v>
      </c>
      <c r="N91" s="29"/>
      <c r="O91" s="36">
        <v>51641343</v>
      </c>
      <c r="P91" s="18" t="s">
        <v>310</v>
      </c>
      <c r="Q91" s="31" t="s">
        <v>24</v>
      </c>
      <c r="R91" s="31" t="s">
        <v>192</v>
      </c>
      <c r="S91" s="33">
        <v>42585</v>
      </c>
      <c r="T91" s="33">
        <v>38443</v>
      </c>
      <c r="U91" s="31" t="s">
        <v>48</v>
      </c>
      <c r="V91" s="21">
        <v>60</v>
      </c>
      <c r="W91" s="21" t="s">
        <v>25</v>
      </c>
      <c r="X91" s="31" t="s">
        <v>20</v>
      </c>
      <c r="Y91" s="21"/>
      <c r="Z91" s="21"/>
      <c r="AA91" s="21"/>
      <c r="AB91" s="18" t="s">
        <v>53</v>
      </c>
      <c r="AC91" s="23" t="s">
        <v>50</v>
      </c>
      <c r="AD91" s="24" t="s">
        <v>72</v>
      </c>
      <c r="AE91" s="34">
        <v>219</v>
      </c>
      <c r="AF91" s="35">
        <v>18</v>
      </c>
      <c r="AG91" s="28" t="str">
        <f t="shared" si="3"/>
        <v>219-18</v>
      </c>
      <c r="AH91" s="24" t="s">
        <v>135</v>
      </c>
      <c r="AI91" s="2" t="b">
        <f t="shared" si="4"/>
        <v>1</v>
      </c>
    </row>
    <row r="92" spans="1:35" ht="12.75" customHeight="1">
      <c r="A92" s="12">
        <v>91</v>
      </c>
      <c r="B92" s="28"/>
      <c r="C92" s="15" t="s">
        <v>20</v>
      </c>
      <c r="D92" s="15">
        <v>3</v>
      </c>
      <c r="E92" s="13" t="s">
        <v>50</v>
      </c>
      <c r="F92" s="17" t="s">
        <v>72</v>
      </c>
      <c r="G92" s="13">
        <v>219</v>
      </c>
      <c r="H92" s="19">
        <v>18</v>
      </c>
      <c r="I92" s="19" t="str">
        <f t="shared" si="0"/>
        <v>219-18</v>
      </c>
      <c r="J92" s="17" t="s">
        <v>135</v>
      </c>
      <c r="K92" s="26"/>
      <c r="L92" s="8" t="b">
        <f t="shared" si="1"/>
        <v>1</v>
      </c>
      <c r="M92" s="8" t="b">
        <f t="shared" si="2"/>
        <v>1</v>
      </c>
      <c r="N92" s="29"/>
      <c r="O92" s="36"/>
      <c r="P92" s="18" t="s">
        <v>20</v>
      </c>
      <c r="Q92" s="31"/>
      <c r="R92" s="31" t="s">
        <v>20</v>
      </c>
      <c r="S92" s="33" t="s">
        <v>25</v>
      </c>
      <c r="T92" s="33" t="s">
        <v>25</v>
      </c>
      <c r="U92" s="31" t="s">
        <v>25</v>
      </c>
      <c r="V92" s="21" t="s">
        <v>25</v>
      </c>
      <c r="W92" s="21" t="s">
        <v>25</v>
      </c>
      <c r="X92" s="18" t="s">
        <v>20</v>
      </c>
      <c r="Y92" s="21"/>
      <c r="Z92" s="21"/>
      <c r="AA92" s="21"/>
      <c r="AB92" s="18" t="s">
        <v>20</v>
      </c>
      <c r="AC92" s="23" t="s">
        <v>50</v>
      </c>
      <c r="AD92" s="24" t="s">
        <v>72</v>
      </c>
      <c r="AE92" s="34">
        <v>219</v>
      </c>
      <c r="AF92" s="35">
        <v>18</v>
      </c>
      <c r="AG92" s="28" t="str">
        <f t="shared" si="3"/>
        <v>219-18</v>
      </c>
      <c r="AH92" s="24" t="s">
        <v>135</v>
      </c>
      <c r="AI92" s="2" t="b">
        <f t="shared" si="4"/>
        <v>1</v>
      </c>
    </row>
    <row r="93" spans="1:35" ht="12.75" customHeight="1">
      <c r="A93" s="12">
        <v>92</v>
      </c>
      <c r="B93" s="28"/>
      <c r="C93" s="15" t="s">
        <v>20</v>
      </c>
      <c r="D93" s="15">
        <v>3</v>
      </c>
      <c r="E93" s="13" t="s">
        <v>50</v>
      </c>
      <c r="F93" s="17" t="s">
        <v>72</v>
      </c>
      <c r="G93" s="13">
        <v>219</v>
      </c>
      <c r="H93" s="19">
        <v>18</v>
      </c>
      <c r="I93" s="19" t="str">
        <f t="shared" si="0"/>
        <v>219-18</v>
      </c>
      <c r="J93" s="17" t="s">
        <v>135</v>
      </c>
      <c r="K93" s="26"/>
      <c r="L93" s="8" t="b">
        <f t="shared" si="1"/>
        <v>1</v>
      </c>
      <c r="M93" s="8" t="b">
        <f t="shared" si="2"/>
        <v>1</v>
      </c>
      <c r="N93" s="29"/>
      <c r="O93" s="36"/>
      <c r="P93" s="18" t="s">
        <v>20</v>
      </c>
      <c r="Q93" s="31"/>
      <c r="R93" s="31" t="s">
        <v>20</v>
      </c>
      <c r="S93" s="33" t="s">
        <v>25</v>
      </c>
      <c r="T93" s="33" t="s">
        <v>25</v>
      </c>
      <c r="U93" s="31" t="s">
        <v>25</v>
      </c>
      <c r="V93" s="21" t="s">
        <v>25</v>
      </c>
      <c r="W93" s="21" t="s">
        <v>25</v>
      </c>
      <c r="X93" s="18" t="s">
        <v>20</v>
      </c>
      <c r="Y93" s="21"/>
      <c r="Z93" s="21"/>
      <c r="AA93" s="21"/>
      <c r="AB93" s="18" t="s">
        <v>20</v>
      </c>
      <c r="AC93" s="23" t="s">
        <v>50</v>
      </c>
      <c r="AD93" s="24" t="s">
        <v>72</v>
      </c>
      <c r="AE93" s="34">
        <v>219</v>
      </c>
      <c r="AF93" s="35">
        <v>18</v>
      </c>
      <c r="AG93" s="28" t="str">
        <f t="shared" si="3"/>
        <v>219-18</v>
      </c>
      <c r="AH93" s="24" t="s">
        <v>135</v>
      </c>
      <c r="AI93" s="2" t="b">
        <f t="shared" si="4"/>
        <v>1</v>
      </c>
    </row>
    <row r="94" spans="1:35" ht="12.75" customHeight="1">
      <c r="A94" s="12">
        <v>93</v>
      </c>
      <c r="B94" s="28"/>
      <c r="C94" s="15" t="s">
        <v>20</v>
      </c>
      <c r="D94" s="15">
        <v>3</v>
      </c>
      <c r="E94" s="13" t="s">
        <v>50</v>
      </c>
      <c r="F94" s="17" t="s">
        <v>72</v>
      </c>
      <c r="G94" s="13">
        <v>219</v>
      </c>
      <c r="H94" s="19">
        <v>18</v>
      </c>
      <c r="I94" s="19" t="str">
        <f t="shared" si="0"/>
        <v>219-18</v>
      </c>
      <c r="J94" s="17" t="s">
        <v>135</v>
      </c>
      <c r="K94" s="26"/>
      <c r="L94" s="8" t="b">
        <f t="shared" si="1"/>
        <v>1</v>
      </c>
      <c r="M94" s="8" t="b">
        <f t="shared" si="2"/>
        <v>1</v>
      </c>
      <c r="N94" s="29"/>
      <c r="O94" s="36"/>
      <c r="P94" s="18" t="s">
        <v>20</v>
      </c>
      <c r="Q94" s="31"/>
      <c r="R94" s="31" t="s">
        <v>20</v>
      </c>
      <c r="S94" s="33" t="s">
        <v>25</v>
      </c>
      <c r="T94" s="33" t="s">
        <v>25</v>
      </c>
      <c r="U94" s="31" t="s">
        <v>25</v>
      </c>
      <c r="V94" s="21" t="s">
        <v>25</v>
      </c>
      <c r="W94" s="21" t="s">
        <v>25</v>
      </c>
      <c r="X94" s="18" t="s">
        <v>20</v>
      </c>
      <c r="Y94" s="21"/>
      <c r="Z94" s="21"/>
      <c r="AA94" s="21"/>
      <c r="AB94" s="18" t="s">
        <v>20</v>
      </c>
      <c r="AC94" s="23" t="s">
        <v>50</v>
      </c>
      <c r="AD94" s="24" t="s">
        <v>72</v>
      </c>
      <c r="AE94" s="34">
        <v>219</v>
      </c>
      <c r="AF94" s="35">
        <v>18</v>
      </c>
      <c r="AG94" s="28" t="str">
        <f t="shared" si="3"/>
        <v>219-18</v>
      </c>
      <c r="AH94" s="24" t="s">
        <v>135</v>
      </c>
      <c r="AI94" s="2" t="b">
        <f t="shared" si="4"/>
        <v>1</v>
      </c>
    </row>
    <row r="95" spans="1:35" ht="12.75" customHeight="1">
      <c r="A95" s="12">
        <v>94</v>
      </c>
      <c r="B95" s="28"/>
      <c r="C95" s="15" t="s">
        <v>20</v>
      </c>
      <c r="D95" s="15">
        <v>3</v>
      </c>
      <c r="E95" s="13" t="s">
        <v>50</v>
      </c>
      <c r="F95" s="17" t="s">
        <v>72</v>
      </c>
      <c r="G95" s="13">
        <v>219</v>
      </c>
      <c r="H95" s="19">
        <v>15</v>
      </c>
      <c r="I95" s="19" t="str">
        <f t="shared" si="0"/>
        <v>219-15</v>
      </c>
      <c r="J95" s="17" t="s">
        <v>68</v>
      </c>
      <c r="K95" s="26"/>
      <c r="L95" s="8" t="b">
        <f t="shared" si="1"/>
        <v>1</v>
      </c>
      <c r="M95" s="8" t="b">
        <f t="shared" si="2"/>
        <v>1</v>
      </c>
      <c r="N95" s="29"/>
      <c r="O95" s="36"/>
      <c r="P95" s="18" t="s">
        <v>20</v>
      </c>
      <c r="Q95" s="31"/>
      <c r="R95" s="31" t="s">
        <v>20</v>
      </c>
      <c r="S95" s="33" t="s">
        <v>25</v>
      </c>
      <c r="T95" s="33" t="s">
        <v>25</v>
      </c>
      <c r="U95" s="31" t="s">
        <v>25</v>
      </c>
      <c r="V95" s="21" t="s">
        <v>25</v>
      </c>
      <c r="W95" s="21" t="s">
        <v>25</v>
      </c>
      <c r="X95" s="18" t="s">
        <v>20</v>
      </c>
      <c r="Y95" s="21"/>
      <c r="Z95" s="21"/>
      <c r="AA95" s="21"/>
      <c r="AB95" s="18" t="s">
        <v>20</v>
      </c>
      <c r="AC95" s="23" t="s">
        <v>50</v>
      </c>
      <c r="AD95" s="24" t="s">
        <v>72</v>
      </c>
      <c r="AE95" s="34">
        <v>219</v>
      </c>
      <c r="AF95" s="35">
        <v>15</v>
      </c>
      <c r="AG95" s="28" t="str">
        <f t="shared" si="3"/>
        <v>219-15</v>
      </c>
      <c r="AH95" s="24" t="s">
        <v>68</v>
      </c>
      <c r="AI95" s="2" t="b">
        <f t="shared" si="4"/>
        <v>1</v>
      </c>
    </row>
    <row r="96" spans="1:35" ht="12.75" customHeight="1">
      <c r="A96" s="12">
        <v>95</v>
      </c>
      <c r="B96" s="28">
        <v>80060729</v>
      </c>
      <c r="C96" s="15" t="s">
        <v>313</v>
      </c>
      <c r="D96" s="15">
        <v>3</v>
      </c>
      <c r="E96" s="13" t="s">
        <v>50</v>
      </c>
      <c r="F96" s="17" t="s">
        <v>72</v>
      </c>
      <c r="G96" s="13">
        <v>219</v>
      </c>
      <c r="H96" s="19">
        <v>15</v>
      </c>
      <c r="I96" s="19" t="str">
        <f t="shared" si="0"/>
        <v>219-15</v>
      </c>
      <c r="J96" s="17" t="s">
        <v>135</v>
      </c>
      <c r="K96" s="82" t="s">
        <v>49</v>
      </c>
      <c r="L96" s="8" t="b">
        <f t="shared" si="1"/>
        <v>1</v>
      </c>
      <c r="M96" s="8" t="b">
        <f t="shared" si="2"/>
        <v>1</v>
      </c>
      <c r="N96" s="29"/>
      <c r="O96" s="36">
        <v>80060729</v>
      </c>
      <c r="P96" s="18" t="s">
        <v>313</v>
      </c>
      <c r="Q96" s="31" t="s">
        <v>49</v>
      </c>
      <c r="R96" s="31" t="s">
        <v>49</v>
      </c>
      <c r="S96" s="33">
        <v>42585</v>
      </c>
      <c r="T96" s="33">
        <v>38443</v>
      </c>
      <c r="U96" s="31" t="s">
        <v>84</v>
      </c>
      <c r="V96" s="21">
        <v>43</v>
      </c>
      <c r="W96" s="21" t="s">
        <v>25</v>
      </c>
      <c r="X96" s="31"/>
      <c r="Y96" s="21"/>
      <c r="Z96" s="21"/>
      <c r="AA96" s="21"/>
      <c r="AB96" s="18" t="s">
        <v>53</v>
      </c>
      <c r="AC96" s="23" t="s">
        <v>50</v>
      </c>
      <c r="AD96" s="24" t="s">
        <v>72</v>
      </c>
      <c r="AE96" s="34">
        <v>219</v>
      </c>
      <c r="AF96" s="35">
        <v>15</v>
      </c>
      <c r="AG96" s="28" t="str">
        <f t="shared" si="3"/>
        <v>219-15</v>
      </c>
      <c r="AH96" s="24" t="s">
        <v>135</v>
      </c>
      <c r="AI96" s="2" t="b">
        <f t="shared" si="4"/>
        <v>1</v>
      </c>
    </row>
    <row r="97" spans="1:35" ht="12.75" customHeight="1">
      <c r="A97" s="12">
        <v>96</v>
      </c>
      <c r="B97" s="28"/>
      <c r="C97" s="15" t="s">
        <v>20</v>
      </c>
      <c r="D97" s="15">
        <v>3</v>
      </c>
      <c r="E97" s="13" t="s">
        <v>50</v>
      </c>
      <c r="F97" s="17" t="s">
        <v>72</v>
      </c>
      <c r="G97" s="13">
        <v>219</v>
      </c>
      <c r="H97" s="19">
        <v>15</v>
      </c>
      <c r="I97" s="19" t="str">
        <f t="shared" si="0"/>
        <v>219-15</v>
      </c>
      <c r="J97" s="17" t="s">
        <v>135</v>
      </c>
      <c r="K97" s="26"/>
      <c r="L97" s="8" t="b">
        <f t="shared" si="1"/>
        <v>1</v>
      </c>
      <c r="M97" s="8" t="b">
        <f t="shared" si="2"/>
        <v>1</v>
      </c>
      <c r="N97" s="29"/>
      <c r="O97" s="36"/>
      <c r="P97" s="18" t="s">
        <v>20</v>
      </c>
      <c r="Q97" s="31"/>
      <c r="R97" s="31" t="s">
        <v>20</v>
      </c>
      <c r="S97" s="33" t="s">
        <v>25</v>
      </c>
      <c r="T97" s="33" t="s">
        <v>25</v>
      </c>
      <c r="U97" s="31" t="s">
        <v>25</v>
      </c>
      <c r="V97" s="21" t="s">
        <v>25</v>
      </c>
      <c r="W97" s="21" t="s">
        <v>25</v>
      </c>
      <c r="X97" s="18" t="s">
        <v>20</v>
      </c>
      <c r="Y97" s="21"/>
      <c r="Z97" s="21"/>
      <c r="AA97" s="21"/>
      <c r="AB97" s="18" t="s">
        <v>20</v>
      </c>
      <c r="AC97" s="23" t="s">
        <v>50</v>
      </c>
      <c r="AD97" s="24" t="s">
        <v>72</v>
      </c>
      <c r="AE97" s="34">
        <v>219</v>
      </c>
      <c r="AF97" s="35">
        <v>15</v>
      </c>
      <c r="AG97" s="28" t="str">
        <f t="shared" si="3"/>
        <v>219-15</v>
      </c>
      <c r="AH97" s="24" t="s">
        <v>135</v>
      </c>
      <c r="AI97" s="2" t="b">
        <f t="shared" si="4"/>
        <v>1</v>
      </c>
    </row>
    <row r="98" spans="1:35" ht="12.75" customHeight="1">
      <c r="A98" s="12">
        <v>97</v>
      </c>
      <c r="B98" s="28"/>
      <c r="C98" s="15" t="s">
        <v>20</v>
      </c>
      <c r="D98" s="15">
        <v>3</v>
      </c>
      <c r="E98" s="13" t="s">
        <v>50</v>
      </c>
      <c r="F98" s="17" t="s">
        <v>72</v>
      </c>
      <c r="G98" s="13">
        <v>219</v>
      </c>
      <c r="H98" s="19">
        <v>15</v>
      </c>
      <c r="I98" s="19" t="str">
        <f t="shared" si="0"/>
        <v>219-15</v>
      </c>
      <c r="J98" s="17" t="s">
        <v>135</v>
      </c>
      <c r="K98" s="26"/>
      <c r="L98" s="8" t="b">
        <f t="shared" si="1"/>
        <v>1</v>
      </c>
      <c r="M98" s="8" t="b">
        <f t="shared" si="2"/>
        <v>1</v>
      </c>
      <c r="N98" s="29"/>
      <c r="O98" s="36"/>
      <c r="P98" s="18" t="s">
        <v>20</v>
      </c>
      <c r="Q98" s="31"/>
      <c r="R98" s="31" t="s">
        <v>20</v>
      </c>
      <c r="S98" s="33" t="s">
        <v>25</v>
      </c>
      <c r="T98" s="33" t="s">
        <v>25</v>
      </c>
      <c r="U98" s="31" t="s">
        <v>25</v>
      </c>
      <c r="V98" s="21" t="s">
        <v>25</v>
      </c>
      <c r="W98" s="21" t="s">
        <v>25</v>
      </c>
      <c r="X98" s="18" t="s">
        <v>20</v>
      </c>
      <c r="Y98" s="21"/>
      <c r="Z98" s="21"/>
      <c r="AA98" s="21"/>
      <c r="AB98" s="18" t="s">
        <v>20</v>
      </c>
      <c r="AC98" s="23" t="s">
        <v>50</v>
      </c>
      <c r="AD98" s="24" t="s">
        <v>72</v>
      </c>
      <c r="AE98" s="34">
        <v>219</v>
      </c>
      <c r="AF98" s="35">
        <v>15</v>
      </c>
      <c r="AG98" s="28" t="str">
        <f t="shared" si="3"/>
        <v>219-15</v>
      </c>
      <c r="AH98" s="24" t="s">
        <v>135</v>
      </c>
      <c r="AI98" s="2" t="b">
        <f t="shared" si="4"/>
        <v>1</v>
      </c>
    </row>
    <row r="99" spans="1:35" ht="12.75" customHeight="1">
      <c r="A99" s="12">
        <v>98</v>
      </c>
      <c r="B99" s="28"/>
      <c r="C99" s="15" t="s">
        <v>20</v>
      </c>
      <c r="D99" s="15">
        <v>3</v>
      </c>
      <c r="E99" s="13" t="s">
        <v>50</v>
      </c>
      <c r="F99" s="17" t="s">
        <v>72</v>
      </c>
      <c r="G99" s="13">
        <v>219</v>
      </c>
      <c r="H99" s="19">
        <v>15</v>
      </c>
      <c r="I99" s="19" t="str">
        <f t="shared" si="0"/>
        <v>219-15</v>
      </c>
      <c r="J99" s="17" t="s">
        <v>135</v>
      </c>
      <c r="K99" s="26"/>
      <c r="L99" s="8" t="b">
        <f t="shared" si="1"/>
        <v>1</v>
      </c>
      <c r="M99" s="8" t="b">
        <f t="shared" si="2"/>
        <v>1</v>
      </c>
      <c r="N99" s="29"/>
      <c r="O99" s="36"/>
      <c r="P99" s="18" t="s">
        <v>20</v>
      </c>
      <c r="Q99" s="31"/>
      <c r="R99" s="31" t="s">
        <v>20</v>
      </c>
      <c r="S99" s="33" t="s">
        <v>25</v>
      </c>
      <c r="T99" s="33" t="s">
        <v>25</v>
      </c>
      <c r="U99" s="31" t="s">
        <v>25</v>
      </c>
      <c r="V99" s="21" t="s">
        <v>25</v>
      </c>
      <c r="W99" s="21" t="s">
        <v>25</v>
      </c>
      <c r="X99" s="18" t="s">
        <v>20</v>
      </c>
      <c r="Y99" s="21"/>
      <c r="Z99" s="21"/>
      <c r="AA99" s="21"/>
      <c r="AB99" s="18" t="s">
        <v>20</v>
      </c>
      <c r="AC99" s="23" t="s">
        <v>50</v>
      </c>
      <c r="AD99" s="24" t="s">
        <v>72</v>
      </c>
      <c r="AE99" s="34">
        <v>219</v>
      </c>
      <c r="AF99" s="35">
        <v>15</v>
      </c>
      <c r="AG99" s="28" t="str">
        <f t="shared" si="3"/>
        <v>219-15</v>
      </c>
      <c r="AH99" s="24" t="s">
        <v>135</v>
      </c>
      <c r="AI99" s="2" t="b">
        <f t="shared" si="4"/>
        <v>1</v>
      </c>
    </row>
    <row r="100" spans="1:35" ht="12.75" customHeight="1">
      <c r="A100" s="12">
        <v>99</v>
      </c>
      <c r="B100" s="13"/>
      <c r="C100" s="15" t="s">
        <v>20</v>
      </c>
      <c r="D100" s="15">
        <v>3</v>
      </c>
      <c r="E100" s="19" t="s">
        <v>50</v>
      </c>
      <c r="F100" s="17" t="s">
        <v>72</v>
      </c>
      <c r="G100" s="13">
        <v>219</v>
      </c>
      <c r="H100" s="19">
        <v>13</v>
      </c>
      <c r="I100" s="19" t="str">
        <f t="shared" si="0"/>
        <v>219-13</v>
      </c>
      <c r="J100" s="17" t="s">
        <v>138</v>
      </c>
      <c r="K100" s="26"/>
      <c r="L100" s="8" t="b">
        <f t="shared" si="1"/>
        <v>1</v>
      </c>
      <c r="M100" s="8" t="b">
        <f t="shared" si="2"/>
        <v>1</v>
      </c>
      <c r="N100" s="29"/>
      <c r="O100" s="30"/>
      <c r="P100" s="18" t="s">
        <v>20</v>
      </c>
      <c r="Q100" s="31"/>
      <c r="R100" s="31" t="s">
        <v>20</v>
      </c>
      <c r="S100" s="33" t="s">
        <v>25</v>
      </c>
      <c r="T100" s="33" t="s">
        <v>25</v>
      </c>
      <c r="U100" s="31" t="s">
        <v>25</v>
      </c>
      <c r="V100" s="21" t="s">
        <v>25</v>
      </c>
      <c r="W100" s="21" t="s">
        <v>25</v>
      </c>
      <c r="X100" s="18" t="s">
        <v>20</v>
      </c>
      <c r="Y100" s="21"/>
      <c r="Z100" s="21"/>
      <c r="AA100" s="21"/>
      <c r="AB100" s="18" t="s">
        <v>20</v>
      </c>
      <c r="AC100" s="28" t="s">
        <v>50</v>
      </c>
      <c r="AD100" s="24" t="s">
        <v>72</v>
      </c>
      <c r="AE100" s="34">
        <v>219</v>
      </c>
      <c r="AF100" s="35">
        <v>13</v>
      </c>
      <c r="AG100" s="28" t="str">
        <f t="shared" si="3"/>
        <v>219-13</v>
      </c>
      <c r="AH100" s="24" t="s">
        <v>138</v>
      </c>
      <c r="AI100" s="2" t="b">
        <f t="shared" si="4"/>
        <v>1</v>
      </c>
    </row>
    <row r="101" spans="1:35" ht="12.75" customHeight="1">
      <c r="A101" s="12">
        <v>100</v>
      </c>
      <c r="B101" s="28"/>
      <c r="C101" s="15" t="s">
        <v>20</v>
      </c>
      <c r="D101" s="15">
        <v>3</v>
      </c>
      <c r="E101" s="13" t="s">
        <v>50</v>
      </c>
      <c r="F101" s="17" t="s">
        <v>72</v>
      </c>
      <c r="G101" s="13">
        <v>219</v>
      </c>
      <c r="H101" s="19">
        <v>13</v>
      </c>
      <c r="I101" s="19" t="str">
        <f t="shared" si="0"/>
        <v>219-13</v>
      </c>
      <c r="J101" s="17" t="s">
        <v>132</v>
      </c>
      <c r="K101" s="26"/>
      <c r="L101" s="8" t="b">
        <f t="shared" si="1"/>
        <v>1</v>
      </c>
      <c r="M101" s="8" t="b">
        <f t="shared" si="2"/>
        <v>1</v>
      </c>
      <c r="N101" s="29"/>
      <c r="O101" s="36"/>
      <c r="P101" s="18" t="s">
        <v>20</v>
      </c>
      <c r="Q101" s="31"/>
      <c r="R101" s="31" t="s">
        <v>20</v>
      </c>
      <c r="S101" s="33" t="s">
        <v>25</v>
      </c>
      <c r="T101" s="33" t="s">
        <v>25</v>
      </c>
      <c r="U101" s="31" t="s">
        <v>25</v>
      </c>
      <c r="V101" s="21" t="s">
        <v>25</v>
      </c>
      <c r="W101" s="21" t="s">
        <v>25</v>
      </c>
      <c r="X101" s="18" t="s">
        <v>20</v>
      </c>
      <c r="Y101" s="21"/>
      <c r="Z101" s="21"/>
      <c r="AA101" s="21"/>
      <c r="AB101" s="18" t="s">
        <v>20</v>
      </c>
      <c r="AC101" s="23" t="s">
        <v>50</v>
      </c>
      <c r="AD101" s="24" t="s">
        <v>72</v>
      </c>
      <c r="AE101" s="34">
        <v>219</v>
      </c>
      <c r="AF101" s="35">
        <v>13</v>
      </c>
      <c r="AG101" s="28" t="str">
        <f t="shared" si="3"/>
        <v>219-13</v>
      </c>
      <c r="AH101" s="24" t="s">
        <v>132</v>
      </c>
      <c r="AI101" s="2" t="b">
        <f t="shared" si="4"/>
        <v>1</v>
      </c>
    </row>
    <row r="102" spans="1:35" ht="12.75" customHeight="1">
      <c r="A102" s="12">
        <v>101</v>
      </c>
      <c r="B102" s="28"/>
      <c r="C102" s="15" t="s">
        <v>20</v>
      </c>
      <c r="D102" s="15">
        <v>3</v>
      </c>
      <c r="E102" s="13" t="s">
        <v>50</v>
      </c>
      <c r="F102" s="17" t="s">
        <v>72</v>
      </c>
      <c r="G102" s="13">
        <v>219</v>
      </c>
      <c r="H102" s="19">
        <v>13</v>
      </c>
      <c r="I102" s="19" t="str">
        <f t="shared" si="0"/>
        <v>219-13</v>
      </c>
      <c r="J102" s="17" t="s">
        <v>132</v>
      </c>
      <c r="K102" s="26"/>
      <c r="L102" s="8" t="b">
        <f t="shared" si="1"/>
        <v>1</v>
      </c>
      <c r="M102" s="8" t="b">
        <f t="shared" si="2"/>
        <v>1</v>
      </c>
      <c r="N102" s="29"/>
      <c r="O102" s="36"/>
      <c r="P102" s="18" t="s">
        <v>20</v>
      </c>
      <c r="Q102" s="31"/>
      <c r="R102" s="31" t="s">
        <v>20</v>
      </c>
      <c r="S102" s="33" t="s">
        <v>25</v>
      </c>
      <c r="T102" s="33" t="s">
        <v>25</v>
      </c>
      <c r="U102" s="31" t="s">
        <v>25</v>
      </c>
      <c r="V102" s="21" t="s">
        <v>25</v>
      </c>
      <c r="W102" s="21" t="s">
        <v>25</v>
      </c>
      <c r="X102" s="18" t="s">
        <v>20</v>
      </c>
      <c r="Y102" s="21"/>
      <c r="Z102" s="21"/>
      <c r="AA102" s="21"/>
      <c r="AB102" s="18" t="s">
        <v>20</v>
      </c>
      <c r="AC102" s="23" t="s">
        <v>50</v>
      </c>
      <c r="AD102" s="24" t="s">
        <v>72</v>
      </c>
      <c r="AE102" s="34">
        <v>219</v>
      </c>
      <c r="AF102" s="35">
        <v>13</v>
      </c>
      <c r="AG102" s="28" t="str">
        <f t="shared" si="3"/>
        <v>219-13</v>
      </c>
      <c r="AH102" s="24" t="s">
        <v>132</v>
      </c>
      <c r="AI102" s="2" t="b">
        <f t="shared" si="4"/>
        <v>1</v>
      </c>
    </row>
    <row r="103" spans="1:35" ht="12.75" customHeight="1">
      <c r="A103" s="12">
        <v>102</v>
      </c>
      <c r="B103" s="13"/>
      <c r="C103" s="15" t="s">
        <v>20</v>
      </c>
      <c r="D103" s="15">
        <v>3</v>
      </c>
      <c r="E103" s="19" t="s">
        <v>50</v>
      </c>
      <c r="F103" s="17" t="s">
        <v>72</v>
      </c>
      <c r="G103" s="13">
        <v>219</v>
      </c>
      <c r="H103" s="19">
        <v>10</v>
      </c>
      <c r="I103" s="19" t="str">
        <f t="shared" si="0"/>
        <v>219-10</v>
      </c>
      <c r="J103" s="17" t="s">
        <v>138</v>
      </c>
      <c r="K103" s="26"/>
      <c r="L103" s="8" t="b">
        <f t="shared" si="1"/>
        <v>1</v>
      </c>
      <c r="M103" s="8" t="b">
        <f t="shared" si="2"/>
        <v>1</v>
      </c>
      <c r="N103" s="29"/>
      <c r="O103" s="30"/>
      <c r="P103" s="18" t="s">
        <v>20</v>
      </c>
      <c r="Q103" s="31"/>
      <c r="R103" s="31" t="s">
        <v>20</v>
      </c>
      <c r="S103" s="33" t="s">
        <v>25</v>
      </c>
      <c r="T103" s="33" t="s">
        <v>25</v>
      </c>
      <c r="U103" s="31" t="s">
        <v>25</v>
      </c>
      <c r="V103" s="21" t="s">
        <v>25</v>
      </c>
      <c r="W103" s="21" t="s">
        <v>25</v>
      </c>
      <c r="X103" s="18" t="s">
        <v>20</v>
      </c>
      <c r="Y103" s="21"/>
      <c r="Z103" s="21"/>
      <c r="AA103" s="21"/>
      <c r="AB103" s="18" t="s">
        <v>20</v>
      </c>
      <c r="AC103" s="28" t="s">
        <v>50</v>
      </c>
      <c r="AD103" s="24" t="s">
        <v>72</v>
      </c>
      <c r="AE103" s="34">
        <v>219</v>
      </c>
      <c r="AF103" s="35">
        <v>10</v>
      </c>
      <c r="AG103" s="28" t="str">
        <f t="shared" si="3"/>
        <v>219-10</v>
      </c>
      <c r="AH103" s="24" t="s">
        <v>138</v>
      </c>
      <c r="AI103" s="2" t="b">
        <f t="shared" si="4"/>
        <v>1</v>
      </c>
    </row>
    <row r="104" spans="1:35" ht="12.75" customHeight="1">
      <c r="A104" s="12">
        <v>103</v>
      </c>
      <c r="B104" s="28">
        <v>51560501</v>
      </c>
      <c r="C104" s="15" t="s">
        <v>319</v>
      </c>
      <c r="D104" s="15">
        <v>3</v>
      </c>
      <c r="E104" s="13" t="s">
        <v>50</v>
      </c>
      <c r="F104" s="17" t="s">
        <v>72</v>
      </c>
      <c r="G104" s="13">
        <v>219</v>
      </c>
      <c r="H104" s="19">
        <v>10</v>
      </c>
      <c r="I104" s="19" t="str">
        <f t="shared" si="0"/>
        <v>219-10</v>
      </c>
      <c r="J104" s="17" t="s">
        <v>30</v>
      </c>
      <c r="K104" s="37" t="s">
        <v>188</v>
      </c>
      <c r="L104" s="8" t="b">
        <f t="shared" si="1"/>
        <v>1</v>
      </c>
      <c r="M104" s="8" t="b">
        <f t="shared" si="2"/>
        <v>1</v>
      </c>
      <c r="N104" s="29"/>
      <c r="O104" s="36">
        <v>51560501</v>
      </c>
      <c r="P104" s="18" t="s">
        <v>319</v>
      </c>
      <c r="Q104" s="31" t="s">
        <v>24</v>
      </c>
      <c r="R104" s="31" t="s">
        <v>192</v>
      </c>
      <c r="S104" s="33">
        <v>42585</v>
      </c>
      <c r="T104" s="33">
        <v>38343</v>
      </c>
      <c r="U104" s="31" t="s">
        <v>48</v>
      </c>
      <c r="V104" s="21">
        <v>63</v>
      </c>
      <c r="W104" s="21" t="s">
        <v>25</v>
      </c>
      <c r="X104" s="31" t="s">
        <v>20</v>
      </c>
      <c r="Y104" s="21"/>
      <c r="Z104" s="21"/>
      <c r="AA104" s="21"/>
      <c r="AB104" s="18" t="s">
        <v>53</v>
      </c>
      <c r="AC104" s="23" t="s">
        <v>50</v>
      </c>
      <c r="AD104" s="24" t="s">
        <v>72</v>
      </c>
      <c r="AE104" s="34">
        <v>219</v>
      </c>
      <c r="AF104" s="35">
        <v>10</v>
      </c>
      <c r="AG104" s="28" t="str">
        <f t="shared" si="3"/>
        <v>219-10</v>
      </c>
      <c r="AH104" s="24" t="s">
        <v>30</v>
      </c>
      <c r="AI104" s="2" t="b">
        <f t="shared" si="4"/>
        <v>1</v>
      </c>
    </row>
    <row r="105" spans="1:35" ht="12.75" customHeight="1">
      <c r="A105" s="12">
        <v>104</v>
      </c>
      <c r="B105" s="28">
        <v>1020725639</v>
      </c>
      <c r="C105" s="15" t="s">
        <v>320</v>
      </c>
      <c r="D105" s="15">
        <v>3</v>
      </c>
      <c r="E105" s="13" t="s">
        <v>50</v>
      </c>
      <c r="F105" s="17" t="s">
        <v>72</v>
      </c>
      <c r="G105" s="13">
        <v>219</v>
      </c>
      <c r="H105" s="19">
        <v>10</v>
      </c>
      <c r="I105" s="19" t="str">
        <f t="shared" si="0"/>
        <v>219-10</v>
      </c>
      <c r="J105" s="17" t="s">
        <v>135</v>
      </c>
      <c r="K105" s="37" t="s">
        <v>188</v>
      </c>
      <c r="L105" s="8" t="b">
        <f t="shared" si="1"/>
        <v>1</v>
      </c>
      <c r="M105" s="8" t="b">
        <f t="shared" si="2"/>
        <v>1</v>
      </c>
      <c r="N105" s="29"/>
      <c r="O105" s="36">
        <v>1020725639</v>
      </c>
      <c r="P105" s="18" t="s">
        <v>320</v>
      </c>
      <c r="Q105" s="31" t="s">
        <v>24</v>
      </c>
      <c r="R105" s="31" t="s">
        <v>192</v>
      </c>
      <c r="S105" s="33">
        <v>42585</v>
      </c>
      <c r="T105" s="33">
        <v>42368</v>
      </c>
      <c r="U105" s="31" t="s">
        <v>48</v>
      </c>
      <c r="V105" s="21">
        <v>35</v>
      </c>
      <c r="W105" s="21" t="s">
        <v>25</v>
      </c>
      <c r="X105" s="31" t="s">
        <v>20</v>
      </c>
      <c r="Y105" s="21"/>
      <c r="Z105" s="21"/>
      <c r="AA105" s="21"/>
      <c r="AB105" s="18" t="s">
        <v>53</v>
      </c>
      <c r="AC105" s="23" t="s">
        <v>50</v>
      </c>
      <c r="AD105" s="24" t="s">
        <v>72</v>
      </c>
      <c r="AE105" s="34">
        <v>219</v>
      </c>
      <c r="AF105" s="35">
        <v>10</v>
      </c>
      <c r="AG105" s="28" t="str">
        <f t="shared" si="3"/>
        <v>219-10</v>
      </c>
      <c r="AH105" s="24" t="s">
        <v>135</v>
      </c>
      <c r="AI105" s="2" t="b">
        <f t="shared" si="4"/>
        <v>1</v>
      </c>
    </row>
    <row r="106" spans="1:35" ht="12.75" customHeight="1">
      <c r="A106" s="12">
        <v>105</v>
      </c>
      <c r="B106" s="28">
        <v>79361343</v>
      </c>
      <c r="C106" s="56" t="s">
        <v>321</v>
      </c>
      <c r="D106" s="15">
        <v>3</v>
      </c>
      <c r="E106" s="13" t="s">
        <v>50</v>
      </c>
      <c r="F106" s="17" t="s">
        <v>72</v>
      </c>
      <c r="G106" s="13">
        <v>219</v>
      </c>
      <c r="H106" s="19">
        <v>9</v>
      </c>
      <c r="I106" s="19" t="str">
        <f t="shared" si="0"/>
        <v>219-9</v>
      </c>
      <c r="J106" s="17" t="s">
        <v>32</v>
      </c>
      <c r="K106" s="104" t="s">
        <v>49</v>
      </c>
      <c r="L106" s="8" t="b">
        <f t="shared" si="1"/>
        <v>1</v>
      </c>
      <c r="M106" s="8" t="b">
        <f t="shared" si="2"/>
        <v>1</v>
      </c>
      <c r="N106" s="29"/>
      <c r="O106" s="36">
        <v>79361343</v>
      </c>
      <c r="P106" s="31" t="s">
        <v>321</v>
      </c>
      <c r="Q106" s="102" t="s">
        <v>49</v>
      </c>
      <c r="R106" s="31" t="s">
        <v>49</v>
      </c>
      <c r="S106" s="33">
        <v>42585</v>
      </c>
      <c r="T106" s="33">
        <v>34785</v>
      </c>
      <c r="U106" s="31" t="s">
        <v>84</v>
      </c>
      <c r="V106" s="21">
        <v>56</v>
      </c>
      <c r="W106" s="21" t="s">
        <v>25</v>
      </c>
      <c r="X106" s="31"/>
      <c r="Y106" s="21"/>
      <c r="Z106" s="21"/>
      <c r="AA106" s="21"/>
      <c r="AB106" s="18" t="s">
        <v>53</v>
      </c>
      <c r="AC106" s="23" t="s">
        <v>50</v>
      </c>
      <c r="AD106" s="24" t="s">
        <v>72</v>
      </c>
      <c r="AE106" s="34">
        <v>219</v>
      </c>
      <c r="AF106" s="35">
        <v>9</v>
      </c>
      <c r="AG106" s="28" t="str">
        <f t="shared" si="3"/>
        <v>219-9</v>
      </c>
      <c r="AH106" s="24" t="s">
        <v>32</v>
      </c>
      <c r="AI106" s="2" t="b">
        <f t="shared" si="4"/>
        <v>1</v>
      </c>
    </row>
    <row r="107" spans="1:35" ht="12.75" customHeight="1">
      <c r="A107" s="12">
        <v>106</v>
      </c>
      <c r="B107" s="13"/>
      <c r="C107" s="15" t="s">
        <v>20</v>
      </c>
      <c r="D107" s="15">
        <v>3</v>
      </c>
      <c r="E107" s="13" t="s">
        <v>50</v>
      </c>
      <c r="F107" s="17" t="s">
        <v>72</v>
      </c>
      <c r="G107" s="13">
        <v>219</v>
      </c>
      <c r="H107" s="19">
        <v>8</v>
      </c>
      <c r="I107" s="19" t="str">
        <f t="shared" si="0"/>
        <v>219-8</v>
      </c>
      <c r="J107" s="17" t="s">
        <v>87</v>
      </c>
      <c r="K107" s="26"/>
      <c r="L107" s="8" t="b">
        <f t="shared" si="1"/>
        <v>1</v>
      </c>
      <c r="M107" s="8" t="b">
        <f t="shared" si="2"/>
        <v>1</v>
      </c>
      <c r="N107" s="29"/>
      <c r="O107" s="30"/>
      <c r="P107" s="18" t="s">
        <v>20</v>
      </c>
      <c r="Q107" s="31"/>
      <c r="R107" s="31" t="s">
        <v>20</v>
      </c>
      <c r="S107" s="33" t="s">
        <v>25</v>
      </c>
      <c r="T107" s="33" t="s">
        <v>25</v>
      </c>
      <c r="U107" s="31" t="s">
        <v>25</v>
      </c>
      <c r="V107" s="21" t="s">
        <v>25</v>
      </c>
      <c r="W107" s="21" t="s">
        <v>25</v>
      </c>
      <c r="X107" s="18" t="s">
        <v>20</v>
      </c>
      <c r="Y107" s="21"/>
      <c r="Z107" s="21"/>
      <c r="AA107" s="21"/>
      <c r="AB107" s="18" t="s">
        <v>20</v>
      </c>
      <c r="AC107" s="23" t="s">
        <v>50</v>
      </c>
      <c r="AD107" s="24" t="s">
        <v>72</v>
      </c>
      <c r="AE107" s="34">
        <v>219</v>
      </c>
      <c r="AF107" s="35">
        <v>8</v>
      </c>
      <c r="AG107" s="28" t="str">
        <f t="shared" si="3"/>
        <v>219-8</v>
      </c>
      <c r="AH107" s="24" t="s">
        <v>87</v>
      </c>
      <c r="AI107" s="2" t="b">
        <f t="shared" si="4"/>
        <v>1</v>
      </c>
    </row>
    <row r="108" spans="1:35" ht="12.75" customHeight="1">
      <c r="A108" s="12">
        <v>107</v>
      </c>
      <c r="B108" s="28">
        <v>51937185</v>
      </c>
      <c r="C108" s="56" t="s">
        <v>327</v>
      </c>
      <c r="D108" s="15">
        <v>3</v>
      </c>
      <c r="E108" s="13" t="s">
        <v>50</v>
      </c>
      <c r="F108" s="17" t="s">
        <v>72</v>
      </c>
      <c r="G108" s="13">
        <v>219</v>
      </c>
      <c r="H108" s="19">
        <v>8</v>
      </c>
      <c r="I108" s="19" t="str">
        <f t="shared" si="0"/>
        <v>219-8</v>
      </c>
      <c r="J108" s="17" t="s">
        <v>30</v>
      </c>
      <c r="K108" s="82" t="s">
        <v>49</v>
      </c>
      <c r="L108" s="8" t="b">
        <f t="shared" si="1"/>
        <v>1</v>
      </c>
      <c r="M108" s="8" t="b">
        <f t="shared" si="2"/>
        <v>1</v>
      </c>
      <c r="N108" s="29"/>
      <c r="O108" s="36">
        <v>51937185</v>
      </c>
      <c r="P108" s="31" t="s">
        <v>327</v>
      </c>
      <c r="Q108" s="31" t="s">
        <v>49</v>
      </c>
      <c r="R108" s="31" t="s">
        <v>49</v>
      </c>
      <c r="S108" s="33">
        <v>42585</v>
      </c>
      <c r="T108" s="33">
        <v>35499</v>
      </c>
      <c r="U108" s="31" t="s">
        <v>48</v>
      </c>
      <c r="V108" s="21">
        <v>53</v>
      </c>
      <c r="W108" s="21" t="s">
        <v>25</v>
      </c>
      <c r="X108" s="31"/>
      <c r="Y108" s="21"/>
      <c r="Z108" s="21"/>
      <c r="AA108" s="21"/>
      <c r="AB108" s="18" t="s">
        <v>53</v>
      </c>
      <c r="AC108" s="23" t="s">
        <v>50</v>
      </c>
      <c r="AD108" s="24" t="s">
        <v>72</v>
      </c>
      <c r="AE108" s="34">
        <v>219</v>
      </c>
      <c r="AF108" s="35">
        <v>8</v>
      </c>
      <c r="AG108" s="28" t="str">
        <f t="shared" si="3"/>
        <v>219-8</v>
      </c>
      <c r="AH108" s="24" t="s">
        <v>30</v>
      </c>
      <c r="AI108" s="2" t="b">
        <f t="shared" si="4"/>
        <v>1</v>
      </c>
    </row>
    <row r="109" spans="1:35" ht="12.75" customHeight="1">
      <c r="A109" s="12">
        <v>108</v>
      </c>
      <c r="B109" s="28"/>
      <c r="C109" s="15" t="s">
        <v>20</v>
      </c>
      <c r="D109" s="15">
        <v>3</v>
      </c>
      <c r="E109" s="13" t="s">
        <v>50</v>
      </c>
      <c r="F109" s="17" t="s">
        <v>72</v>
      </c>
      <c r="G109" s="13">
        <v>219</v>
      </c>
      <c r="H109" s="19">
        <v>3</v>
      </c>
      <c r="I109" s="19" t="str">
        <f t="shared" si="0"/>
        <v>219-3</v>
      </c>
      <c r="J109" s="17" t="s">
        <v>132</v>
      </c>
      <c r="K109" s="26"/>
      <c r="L109" s="8" t="b">
        <f t="shared" si="1"/>
        <v>1</v>
      </c>
      <c r="M109" s="8" t="b">
        <f t="shared" si="2"/>
        <v>1</v>
      </c>
      <c r="N109" s="29"/>
      <c r="O109" s="36"/>
      <c r="P109" s="18" t="s">
        <v>20</v>
      </c>
      <c r="Q109" s="31"/>
      <c r="R109" s="31" t="s">
        <v>20</v>
      </c>
      <c r="S109" s="33" t="s">
        <v>25</v>
      </c>
      <c r="T109" s="33" t="s">
        <v>25</v>
      </c>
      <c r="U109" s="31" t="s">
        <v>25</v>
      </c>
      <c r="V109" s="21" t="s">
        <v>25</v>
      </c>
      <c r="W109" s="21" t="s">
        <v>25</v>
      </c>
      <c r="X109" s="18" t="s">
        <v>20</v>
      </c>
      <c r="Y109" s="21"/>
      <c r="Z109" s="21"/>
      <c r="AA109" s="21"/>
      <c r="AB109" s="18" t="s">
        <v>20</v>
      </c>
      <c r="AC109" s="23" t="s">
        <v>50</v>
      </c>
      <c r="AD109" s="24" t="s">
        <v>72</v>
      </c>
      <c r="AE109" s="34">
        <v>219</v>
      </c>
      <c r="AF109" s="35">
        <v>3</v>
      </c>
      <c r="AG109" s="28" t="str">
        <f t="shared" si="3"/>
        <v>219-3</v>
      </c>
      <c r="AH109" s="24" t="s">
        <v>132</v>
      </c>
      <c r="AI109" s="2" t="b">
        <f t="shared" si="4"/>
        <v>1</v>
      </c>
    </row>
    <row r="110" spans="1:35" ht="12.75" customHeight="1">
      <c r="A110" s="12">
        <v>109</v>
      </c>
      <c r="B110" s="28"/>
      <c r="C110" s="15" t="s">
        <v>20</v>
      </c>
      <c r="D110" s="15">
        <v>3</v>
      </c>
      <c r="E110" s="13" t="s">
        <v>50</v>
      </c>
      <c r="F110" s="17" t="s">
        <v>72</v>
      </c>
      <c r="G110" s="13">
        <v>219</v>
      </c>
      <c r="H110" s="19">
        <v>1</v>
      </c>
      <c r="I110" s="19" t="str">
        <f t="shared" si="0"/>
        <v>219-1</v>
      </c>
      <c r="J110" s="17" t="s">
        <v>95</v>
      </c>
      <c r="K110" s="26"/>
      <c r="L110" s="8" t="b">
        <f t="shared" si="1"/>
        <v>1</v>
      </c>
      <c r="M110" s="8" t="b">
        <f t="shared" si="2"/>
        <v>1</v>
      </c>
      <c r="N110" s="29"/>
      <c r="O110" s="36"/>
      <c r="P110" s="18" t="s">
        <v>20</v>
      </c>
      <c r="Q110" s="31"/>
      <c r="R110" s="31" t="s">
        <v>20</v>
      </c>
      <c r="S110" s="33" t="s">
        <v>25</v>
      </c>
      <c r="T110" s="33" t="s">
        <v>25</v>
      </c>
      <c r="U110" s="31" t="s">
        <v>25</v>
      </c>
      <c r="V110" s="21" t="s">
        <v>25</v>
      </c>
      <c r="W110" s="21" t="s">
        <v>25</v>
      </c>
      <c r="X110" s="18" t="s">
        <v>20</v>
      </c>
      <c r="Y110" s="21"/>
      <c r="Z110" s="21"/>
      <c r="AA110" s="21"/>
      <c r="AB110" s="18" t="s">
        <v>20</v>
      </c>
      <c r="AC110" s="23" t="s">
        <v>50</v>
      </c>
      <c r="AD110" s="24" t="s">
        <v>72</v>
      </c>
      <c r="AE110" s="34">
        <v>219</v>
      </c>
      <c r="AF110" s="35">
        <v>1</v>
      </c>
      <c r="AG110" s="28" t="str">
        <f t="shared" si="3"/>
        <v>219-1</v>
      </c>
      <c r="AH110" s="24" t="s">
        <v>95</v>
      </c>
      <c r="AI110" s="2" t="b">
        <f t="shared" si="4"/>
        <v>1</v>
      </c>
    </row>
    <row r="111" spans="1:35" ht="12.75" customHeight="1">
      <c r="A111" s="12">
        <v>110</v>
      </c>
      <c r="B111" s="28"/>
      <c r="C111" s="15" t="s">
        <v>20</v>
      </c>
      <c r="D111" s="15">
        <v>3</v>
      </c>
      <c r="E111" s="13" t="s">
        <v>50</v>
      </c>
      <c r="F111" s="17" t="s">
        <v>72</v>
      </c>
      <c r="G111" s="13">
        <v>219</v>
      </c>
      <c r="H111" s="19">
        <v>1</v>
      </c>
      <c r="I111" s="19" t="str">
        <f t="shared" si="0"/>
        <v>219-1</v>
      </c>
      <c r="J111" s="17" t="s">
        <v>132</v>
      </c>
      <c r="K111" s="26"/>
      <c r="L111" s="8" t="b">
        <f t="shared" si="1"/>
        <v>1</v>
      </c>
      <c r="M111" s="8" t="b">
        <f t="shared" si="2"/>
        <v>1</v>
      </c>
      <c r="N111" s="29"/>
      <c r="O111" s="36"/>
      <c r="P111" s="18" t="s">
        <v>20</v>
      </c>
      <c r="Q111" s="31"/>
      <c r="R111" s="31" t="s">
        <v>20</v>
      </c>
      <c r="S111" s="33" t="s">
        <v>25</v>
      </c>
      <c r="T111" s="33" t="s">
        <v>25</v>
      </c>
      <c r="U111" s="31" t="s">
        <v>25</v>
      </c>
      <c r="V111" s="21" t="s">
        <v>25</v>
      </c>
      <c r="W111" s="21" t="s">
        <v>25</v>
      </c>
      <c r="X111" s="18" t="s">
        <v>20</v>
      </c>
      <c r="Y111" s="21"/>
      <c r="Z111" s="21"/>
      <c r="AA111" s="21"/>
      <c r="AB111" s="18" t="s">
        <v>20</v>
      </c>
      <c r="AC111" s="23" t="s">
        <v>50</v>
      </c>
      <c r="AD111" s="24" t="s">
        <v>72</v>
      </c>
      <c r="AE111" s="34">
        <v>219</v>
      </c>
      <c r="AF111" s="35">
        <v>1</v>
      </c>
      <c r="AG111" s="28" t="str">
        <f t="shared" si="3"/>
        <v>219-1</v>
      </c>
      <c r="AH111" s="24" t="s">
        <v>132</v>
      </c>
      <c r="AI111" s="2" t="b">
        <f t="shared" si="4"/>
        <v>1</v>
      </c>
    </row>
    <row r="112" spans="1:35" ht="12.75" customHeight="1">
      <c r="A112" s="12">
        <v>111</v>
      </c>
      <c r="B112" s="28"/>
      <c r="C112" s="15" t="s">
        <v>20</v>
      </c>
      <c r="D112" s="15">
        <v>3</v>
      </c>
      <c r="E112" s="13" t="s">
        <v>50</v>
      </c>
      <c r="F112" s="17" t="s">
        <v>72</v>
      </c>
      <c r="G112" s="13">
        <v>219</v>
      </c>
      <c r="H112" s="19">
        <v>1</v>
      </c>
      <c r="I112" s="19" t="str">
        <f t="shared" si="0"/>
        <v>219-1</v>
      </c>
      <c r="J112" s="17" t="s">
        <v>132</v>
      </c>
      <c r="K112" s="26"/>
      <c r="L112" s="8" t="b">
        <f t="shared" si="1"/>
        <v>1</v>
      </c>
      <c r="M112" s="8" t="b">
        <f t="shared" si="2"/>
        <v>1</v>
      </c>
      <c r="N112" s="29"/>
      <c r="O112" s="36"/>
      <c r="P112" s="18" t="s">
        <v>20</v>
      </c>
      <c r="Q112" s="31"/>
      <c r="R112" s="31" t="s">
        <v>20</v>
      </c>
      <c r="S112" s="33" t="s">
        <v>25</v>
      </c>
      <c r="T112" s="33" t="s">
        <v>25</v>
      </c>
      <c r="U112" s="31" t="s">
        <v>25</v>
      </c>
      <c r="V112" s="21" t="s">
        <v>25</v>
      </c>
      <c r="W112" s="21" t="s">
        <v>25</v>
      </c>
      <c r="X112" s="18" t="s">
        <v>20</v>
      </c>
      <c r="Y112" s="21"/>
      <c r="Z112" s="21"/>
      <c r="AA112" s="21"/>
      <c r="AB112" s="18" t="s">
        <v>20</v>
      </c>
      <c r="AC112" s="23" t="s">
        <v>50</v>
      </c>
      <c r="AD112" s="24" t="s">
        <v>72</v>
      </c>
      <c r="AE112" s="34">
        <v>219</v>
      </c>
      <c r="AF112" s="35">
        <v>1</v>
      </c>
      <c r="AG112" s="28" t="str">
        <f t="shared" si="3"/>
        <v>219-1</v>
      </c>
      <c r="AH112" s="24" t="s">
        <v>132</v>
      </c>
      <c r="AI112" s="2" t="b">
        <f t="shared" si="4"/>
        <v>1</v>
      </c>
    </row>
    <row r="113" spans="1:35" ht="12.75" customHeight="1">
      <c r="A113" s="12">
        <v>112</v>
      </c>
      <c r="B113" s="28"/>
      <c r="C113" s="15" t="s">
        <v>20</v>
      </c>
      <c r="D113" s="15">
        <v>3</v>
      </c>
      <c r="E113" s="13" t="s">
        <v>50</v>
      </c>
      <c r="F113" s="17" t="s">
        <v>72</v>
      </c>
      <c r="G113" s="13">
        <v>219</v>
      </c>
      <c r="H113" s="19">
        <v>1</v>
      </c>
      <c r="I113" s="19" t="str">
        <f t="shared" si="0"/>
        <v>219-1</v>
      </c>
      <c r="J113" s="17" t="s">
        <v>135</v>
      </c>
      <c r="K113" s="26"/>
      <c r="L113" s="8" t="b">
        <f t="shared" si="1"/>
        <v>1</v>
      </c>
      <c r="M113" s="8" t="b">
        <f t="shared" si="2"/>
        <v>1</v>
      </c>
      <c r="N113" s="29"/>
      <c r="O113" s="36"/>
      <c r="P113" s="18" t="s">
        <v>20</v>
      </c>
      <c r="Q113" s="31"/>
      <c r="R113" s="31" t="s">
        <v>20</v>
      </c>
      <c r="S113" s="33" t="s">
        <v>25</v>
      </c>
      <c r="T113" s="33" t="s">
        <v>25</v>
      </c>
      <c r="U113" s="31" t="s">
        <v>25</v>
      </c>
      <c r="V113" s="21" t="s">
        <v>25</v>
      </c>
      <c r="W113" s="21" t="s">
        <v>25</v>
      </c>
      <c r="X113" s="18" t="s">
        <v>20</v>
      </c>
      <c r="Y113" s="21"/>
      <c r="Z113" s="21"/>
      <c r="AA113" s="21"/>
      <c r="AB113" s="18" t="s">
        <v>20</v>
      </c>
      <c r="AC113" s="23" t="s">
        <v>50</v>
      </c>
      <c r="AD113" s="24" t="s">
        <v>72</v>
      </c>
      <c r="AE113" s="34">
        <v>219</v>
      </c>
      <c r="AF113" s="35">
        <v>1</v>
      </c>
      <c r="AG113" s="28" t="str">
        <f t="shared" si="3"/>
        <v>219-1</v>
      </c>
      <c r="AH113" s="24" t="s">
        <v>135</v>
      </c>
      <c r="AI113" s="2" t="b">
        <f t="shared" si="4"/>
        <v>1</v>
      </c>
    </row>
    <row r="114" spans="1:35" ht="12.75" customHeight="1">
      <c r="A114" s="12">
        <v>113</v>
      </c>
      <c r="B114" s="28"/>
      <c r="C114" s="15" t="s">
        <v>20</v>
      </c>
      <c r="D114" s="15">
        <v>3</v>
      </c>
      <c r="E114" s="13" t="s">
        <v>50</v>
      </c>
      <c r="F114" s="17" t="s">
        <v>72</v>
      </c>
      <c r="G114" s="13">
        <v>219</v>
      </c>
      <c r="H114" s="19">
        <v>1</v>
      </c>
      <c r="I114" s="19" t="str">
        <f t="shared" si="0"/>
        <v>219-1</v>
      </c>
      <c r="J114" s="17" t="s">
        <v>135</v>
      </c>
      <c r="K114" s="26"/>
      <c r="L114" s="8" t="b">
        <f t="shared" si="1"/>
        <v>1</v>
      </c>
      <c r="M114" s="8" t="b">
        <f t="shared" si="2"/>
        <v>1</v>
      </c>
      <c r="N114" s="29"/>
      <c r="O114" s="36"/>
      <c r="P114" s="18" t="s">
        <v>20</v>
      </c>
      <c r="Q114" s="31"/>
      <c r="R114" s="31" t="s">
        <v>20</v>
      </c>
      <c r="S114" s="33" t="s">
        <v>25</v>
      </c>
      <c r="T114" s="33" t="s">
        <v>25</v>
      </c>
      <c r="U114" s="31" t="s">
        <v>25</v>
      </c>
      <c r="V114" s="21" t="s">
        <v>25</v>
      </c>
      <c r="W114" s="21" t="s">
        <v>25</v>
      </c>
      <c r="X114" s="18" t="s">
        <v>20</v>
      </c>
      <c r="Y114" s="21"/>
      <c r="Z114" s="21"/>
      <c r="AA114" s="21"/>
      <c r="AB114" s="18" t="s">
        <v>20</v>
      </c>
      <c r="AC114" s="23" t="s">
        <v>50</v>
      </c>
      <c r="AD114" s="24" t="s">
        <v>72</v>
      </c>
      <c r="AE114" s="34">
        <v>219</v>
      </c>
      <c r="AF114" s="35">
        <v>1</v>
      </c>
      <c r="AG114" s="28" t="str">
        <f t="shared" si="3"/>
        <v>219-1</v>
      </c>
      <c r="AH114" s="24" t="s">
        <v>135</v>
      </c>
      <c r="AI114" s="2" t="b">
        <f t="shared" si="4"/>
        <v>1</v>
      </c>
    </row>
    <row r="115" spans="1:35" ht="12.75" customHeight="1">
      <c r="A115" s="12">
        <v>114</v>
      </c>
      <c r="B115" s="28"/>
      <c r="C115" s="15" t="s">
        <v>20</v>
      </c>
      <c r="D115" s="15">
        <v>3</v>
      </c>
      <c r="E115" s="13" t="s">
        <v>50</v>
      </c>
      <c r="F115" s="17" t="s">
        <v>72</v>
      </c>
      <c r="G115" s="13">
        <v>219</v>
      </c>
      <c r="H115" s="19">
        <v>1</v>
      </c>
      <c r="I115" s="19" t="str">
        <f t="shared" si="0"/>
        <v>219-1</v>
      </c>
      <c r="J115" s="17" t="s">
        <v>135</v>
      </c>
      <c r="K115" s="26"/>
      <c r="L115" s="8" t="b">
        <f t="shared" si="1"/>
        <v>1</v>
      </c>
      <c r="M115" s="8" t="b">
        <f t="shared" si="2"/>
        <v>1</v>
      </c>
      <c r="N115" s="29"/>
      <c r="O115" s="36"/>
      <c r="P115" s="18" t="s">
        <v>20</v>
      </c>
      <c r="Q115" s="31"/>
      <c r="R115" s="31" t="s">
        <v>20</v>
      </c>
      <c r="S115" s="33" t="s">
        <v>25</v>
      </c>
      <c r="T115" s="33" t="s">
        <v>25</v>
      </c>
      <c r="U115" s="31" t="s">
        <v>25</v>
      </c>
      <c r="V115" s="21" t="s">
        <v>25</v>
      </c>
      <c r="W115" s="21" t="s">
        <v>25</v>
      </c>
      <c r="X115" s="18" t="s">
        <v>20</v>
      </c>
      <c r="Y115" s="21"/>
      <c r="Z115" s="21"/>
      <c r="AA115" s="21"/>
      <c r="AB115" s="18" t="s">
        <v>20</v>
      </c>
      <c r="AC115" s="23" t="s">
        <v>50</v>
      </c>
      <c r="AD115" s="24" t="s">
        <v>72</v>
      </c>
      <c r="AE115" s="34">
        <v>219</v>
      </c>
      <c r="AF115" s="35">
        <v>1</v>
      </c>
      <c r="AG115" s="28" t="str">
        <f t="shared" si="3"/>
        <v>219-1</v>
      </c>
      <c r="AH115" s="24" t="s">
        <v>135</v>
      </c>
      <c r="AI115" s="2" t="b">
        <f t="shared" si="4"/>
        <v>1</v>
      </c>
    </row>
    <row r="116" spans="1:35" ht="12.75" customHeight="1">
      <c r="A116" s="12">
        <v>115</v>
      </c>
      <c r="B116" s="28"/>
      <c r="C116" s="15" t="s">
        <v>20</v>
      </c>
      <c r="D116" s="15">
        <v>3</v>
      </c>
      <c r="E116" s="13" t="s">
        <v>50</v>
      </c>
      <c r="F116" s="17" t="s">
        <v>72</v>
      </c>
      <c r="G116" s="13">
        <v>219</v>
      </c>
      <c r="H116" s="19">
        <v>1</v>
      </c>
      <c r="I116" s="19" t="str">
        <f t="shared" si="0"/>
        <v>219-1</v>
      </c>
      <c r="J116" s="17" t="s">
        <v>135</v>
      </c>
      <c r="K116" s="26"/>
      <c r="L116" s="8" t="b">
        <f t="shared" si="1"/>
        <v>1</v>
      </c>
      <c r="M116" s="8" t="b">
        <f t="shared" si="2"/>
        <v>1</v>
      </c>
      <c r="N116" s="29"/>
      <c r="O116" s="36"/>
      <c r="P116" s="18" t="s">
        <v>20</v>
      </c>
      <c r="Q116" s="31"/>
      <c r="R116" s="31" t="s">
        <v>20</v>
      </c>
      <c r="S116" s="33" t="s">
        <v>25</v>
      </c>
      <c r="T116" s="33" t="s">
        <v>25</v>
      </c>
      <c r="U116" s="31" t="s">
        <v>25</v>
      </c>
      <c r="V116" s="21" t="s">
        <v>25</v>
      </c>
      <c r="W116" s="21" t="s">
        <v>25</v>
      </c>
      <c r="X116" s="18" t="s">
        <v>20</v>
      </c>
      <c r="Y116" s="21"/>
      <c r="Z116" s="21"/>
      <c r="AA116" s="21"/>
      <c r="AB116" s="18" t="s">
        <v>20</v>
      </c>
      <c r="AC116" s="23" t="s">
        <v>50</v>
      </c>
      <c r="AD116" s="24" t="s">
        <v>72</v>
      </c>
      <c r="AE116" s="34">
        <v>219</v>
      </c>
      <c r="AF116" s="35">
        <v>1</v>
      </c>
      <c r="AG116" s="28" t="str">
        <f t="shared" si="3"/>
        <v>219-1</v>
      </c>
      <c r="AH116" s="24" t="s">
        <v>135</v>
      </c>
      <c r="AI116" s="2" t="b">
        <f t="shared" si="4"/>
        <v>1</v>
      </c>
    </row>
    <row r="117" spans="1:35" ht="12.75" customHeight="1">
      <c r="A117" s="12">
        <v>116</v>
      </c>
      <c r="B117" s="28"/>
      <c r="C117" s="15" t="s">
        <v>20</v>
      </c>
      <c r="D117" s="15">
        <v>4</v>
      </c>
      <c r="E117" s="13" t="s">
        <v>124</v>
      </c>
      <c r="F117" s="17" t="s">
        <v>124</v>
      </c>
      <c r="G117" s="13">
        <v>314</v>
      </c>
      <c r="H117" s="19">
        <v>21</v>
      </c>
      <c r="I117" s="19" t="str">
        <f t="shared" si="0"/>
        <v>314-21</v>
      </c>
      <c r="J117" s="17" t="s">
        <v>115</v>
      </c>
      <c r="K117" s="26"/>
      <c r="L117" s="8" t="b">
        <f t="shared" si="1"/>
        <v>1</v>
      </c>
      <c r="M117" s="8" t="b">
        <f t="shared" si="2"/>
        <v>1</v>
      </c>
      <c r="N117" s="29"/>
      <c r="O117" s="36"/>
      <c r="P117" s="18" t="s">
        <v>20</v>
      </c>
      <c r="Q117" s="31"/>
      <c r="R117" s="31" t="s">
        <v>20</v>
      </c>
      <c r="S117" s="33" t="s">
        <v>25</v>
      </c>
      <c r="T117" s="33" t="s">
        <v>25</v>
      </c>
      <c r="U117" s="31" t="s">
        <v>25</v>
      </c>
      <c r="V117" s="21" t="s">
        <v>25</v>
      </c>
      <c r="W117" s="21" t="s">
        <v>25</v>
      </c>
      <c r="X117" s="18" t="s">
        <v>20</v>
      </c>
      <c r="Y117" s="21"/>
      <c r="Z117" s="21"/>
      <c r="AA117" s="21"/>
      <c r="AB117" s="18" t="s">
        <v>20</v>
      </c>
      <c r="AC117" s="23" t="s">
        <v>124</v>
      </c>
      <c r="AD117" s="24" t="s">
        <v>124</v>
      </c>
      <c r="AE117" s="34">
        <v>314</v>
      </c>
      <c r="AF117" s="35">
        <v>21</v>
      </c>
      <c r="AG117" s="28" t="str">
        <f t="shared" si="3"/>
        <v>314-21</v>
      </c>
      <c r="AH117" s="24" t="s">
        <v>115</v>
      </c>
      <c r="AI117" s="2" t="b">
        <f t="shared" si="4"/>
        <v>1</v>
      </c>
    </row>
    <row r="118" spans="1:35" ht="12.75" customHeight="1">
      <c r="A118" s="12">
        <v>117</v>
      </c>
      <c r="B118" s="28"/>
      <c r="C118" s="15" t="s">
        <v>20</v>
      </c>
      <c r="D118" s="15">
        <v>4</v>
      </c>
      <c r="E118" s="13" t="s">
        <v>124</v>
      </c>
      <c r="F118" s="17" t="s">
        <v>124</v>
      </c>
      <c r="G118" s="13">
        <v>314</v>
      </c>
      <c r="H118" s="19">
        <v>20</v>
      </c>
      <c r="I118" s="19" t="str">
        <f t="shared" si="0"/>
        <v>314-20</v>
      </c>
      <c r="J118" s="17" t="s">
        <v>30</v>
      </c>
      <c r="K118" s="26"/>
      <c r="L118" s="8" t="b">
        <f t="shared" si="1"/>
        <v>1</v>
      </c>
      <c r="M118" s="8" t="b">
        <f t="shared" si="2"/>
        <v>1</v>
      </c>
      <c r="N118" s="29"/>
      <c r="O118" s="36"/>
      <c r="P118" s="18" t="s">
        <v>20</v>
      </c>
      <c r="Q118" s="31"/>
      <c r="R118" s="31" t="s">
        <v>20</v>
      </c>
      <c r="S118" s="33" t="s">
        <v>25</v>
      </c>
      <c r="T118" s="33" t="s">
        <v>25</v>
      </c>
      <c r="U118" s="31" t="s">
        <v>25</v>
      </c>
      <c r="V118" s="21" t="s">
        <v>25</v>
      </c>
      <c r="W118" s="21" t="s">
        <v>25</v>
      </c>
      <c r="X118" s="18" t="s">
        <v>20</v>
      </c>
      <c r="Y118" s="21"/>
      <c r="Z118" s="21"/>
      <c r="AA118" s="21"/>
      <c r="AB118" s="18" t="s">
        <v>20</v>
      </c>
      <c r="AC118" s="23" t="s">
        <v>124</v>
      </c>
      <c r="AD118" s="24" t="s">
        <v>124</v>
      </c>
      <c r="AE118" s="34">
        <v>314</v>
      </c>
      <c r="AF118" s="35">
        <v>20</v>
      </c>
      <c r="AG118" s="28" t="str">
        <f t="shared" si="3"/>
        <v>314-20</v>
      </c>
      <c r="AH118" s="24" t="s">
        <v>30</v>
      </c>
      <c r="AI118" s="2" t="b">
        <f t="shared" si="4"/>
        <v>1</v>
      </c>
    </row>
    <row r="119" spans="1:35" ht="12.75" customHeight="1">
      <c r="A119" s="12">
        <v>118</v>
      </c>
      <c r="B119" s="28"/>
      <c r="C119" s="15" t="s">
        <v>20</v>
      </c>
      <c r="D119" s="15">
        <v>4</v>
      </c>
      <c r="E119" s="13" t="s">
        <v>124</v>
      </c>
      <c r="F119" s="17" t="s">
        <v>124</v>
      </c>
      <c r="G119" s="13">
        <v>314</v>
      </c>
      <c r="H119" s="19">
        <v>20</v>
      </c>
      <c r="I119" s="19" t="str">
        <f t="shared" si="0"/>
        <v>314-20</v>
      </c>
      <c r="J119" s="17" t="s">
        <v>30</v>
      </c>
      <c r="K119" s="26"/>
      <c r="L119" s="8" t="b">
        <f t="shared" si="1"/>
        <v>1</v>
      </c>
      <c r="M119" s="8" t="b">
        <f t="shared" si="2"/>
        <v>1</v>
      </c>
      <c r="N119" s="29"/>
      <c r="O119" s="36"/>
      <c r="P119" s="18" t="s">
        <v>20</v>
      </c>
      <c r="Q119" s="31"/>
      <c r="R119" s="31" t="s">
        <v>20</v>
      </c>
      <c r="S119" s="33" t="s">
        <v>25</v>
      </c>
      <c r="T119" s="33" t="s">
        <v>25</v>
      </c>
      <c r="U119" s="31" t="s">
        <v>25</v>
      </c>
      <c r="V119" s="21" t="s">
        <v>25</v>
      </c>
      <c r="W119" s="21" t="s">
        <v>25</v>
      </c>
      <c r="X119" s="18" t="s">
        <v>20</v>
      </c>
      <c r="Y119" s="21"/>
      <c r="Z119" s="21"/>
      <c r="AA119" s="21"/>
      <c r="AB119" s="18" t="s">
        <v>20</v>
      </c>
      <c r="AC119" s="23" t="s">
        <v>124</v>
      </c>
      <c r="AD119" s="24" t="s">
        <v>124</v>
      </c>
      <c r="AE119" s="34">
        <v>314</v>
      </c>
      <c r="AF119" s="35">
        <v>20</v>
      </c>
      <c r="AG119" s="28" t="str">
        <f t="shared" si="3"/>
        <v>314-20</v>
      </c>
      <c r="AH119" s="24" t="s">
        <v>30</v>
      </c>
      <c r="AI119" s="2" t="b">
        <f t="shared" si="4"/>
        <v>1</v>
      </c>
    </row>
    <row r="120" spans="1:35" ht="12.75" customHeight="1">
      <c r="A120" s="12">
        <v>119</v>
      </c>
      <c r="B120" s="28"/>
      <c r="C120" s="15" t="s">
        <v>20</v>
      </c>
      <c r="D120" s="15">
        <v>4</v>
      </c>
      <c r="E120" s="13" t="s">
        <v>124</v>
      </c>
      <c r="F120" s="17" t="s">
        <v>124</v>
      </c>
      <c r="G120" s="13">
        <v>314</v>
      </c>
      <c r="H120" s="19">
        <v>20</v>
      </c>
      <c r="I120" s="19" t="str">
        <f t="shared" si="0"/>
        <v>314-20</v>
      </c>
      <c r="J120" s="17" t="s">
        <v>30</v>
      </c>
      <c r="K120" s="26"/>
      <c r="L120" s="8" t="b">
        <f t="shared" si="1"/>
        <v>1</v>
      </c>
      <c r="M120" s="8" t="b">
        <f t="shared" si="2"/>
        <v>1</v>
      </c>
      <c r="N120" s="29"/>
      <c r="O120" s="36"/>
      <c r="P120" s="18" t="s">
        <v>20</v>
      </c>
      <c r="Q120" s="31"/>
      <c r="R120" s="31" t="s">
        <v>20</v>
      </c>
      <c r="S120" s="33" t="s">
        <v>25</v>
      </c>
      <c r="T120" s="33" t="s">
        <v>25</v>
      </c>
      <c r="U120" s="31" t="s">
        <v>25</v>
      </c>
      <c r="V120" s="21" t="s">
        <v>25</v>
      </c>
      <c r="W120" s="21" t="s">
        <v>25</v>
      </c>
      <c r="X120" s="18" t="s">
        <v>20</v>
      </c>
      <c r="Y120" s="21"/>
      <c r="Z120" s="21"/>
      <c r="AA120" s="21"/>
      <c r="AB120" s="18" t="s">
        <v>20</v>
      </c>
      <c r="AC120" s="23" t="s">
        <v>124</v>
      </c>
      <c r="AD120" s="24" t="s">
        <v>124</v>
      </c>
      <c r="AE120" s="34">
        <v>314</v>
      </c>
      <c r="AF120" s="35">
        <v>20</v>
      </c>
      <c r="AG120" s="28" t="str">
        <f t="shared" si="3"/>
        <v>314-20</v>
      </c>
      <c r="AH120" s="24" t="s">
        <v>30</v>
      </c>
      <c r="AI120" s="2" t="b">
        <f t="shared" si="4"/>
        <v>1</v>
      </c>
    </row>
    <row r="121" spans="1:35" ht="12.75" customHeight="1">
      <c r="A121" s="12">
        <v>120</v>
      </c>
      <c r="B121" s="28"/>
      <c r="C121" s="15" t="s">
        <v>20</v>
      </c>
      <c r="D121" s="15">
        <v>4</v>
      </c>
      <c r="E121" s="13" t="s">
        <v>124</v>
      </c>
      <c r="F121" s="17" t="s">
        <v>124</v>
      </c>
      <c r="G121" s="13">
        <v>314</v>
      </c>
      <c r="H121" s="19">
        <v>20</v>
      </c>
      <c r="I121" s="19" t="str">
        <f t="shared" si="0"/>
        <v>314-20</v>
      </c>
      <c r="J121" s="17" t="s">
        <v>30</v>
      </c>
      <c r="K121" s="26"/>
      <c r="L121" s="8" t="b">
        <f t="shared" si="1"/>
        <v>1</v>
      </c>
      <c r="M121" s="8" t="b">
        <f t="shared" si="2"/>
        <v>1</v>
      </c>
      <c r="N121" s="29"/>
      <c r="O121" s="36"/>
      <c r="P121" s="18" t="s">
        <v>20</v>
      </c>
      <c r="Q121" s="31"/>
      <c r="R121" s="31" t="s">
        <v>20</v>
      </c>
      <c r="S121" s="33" t="s">
        <v>25</v>
      </c>
      <c r="T121" s="33" t="s">
        <v>25</v>
      </c>
      <c r="U121" s="31" t="s">
        <v>25</v>
      </c>
      <c r="V121" s="21" t="s">
        <v>25</v>
      </c>
      <c r="W121" s="21" t="s">
        <v>25</v>
      </c>
      <c r="X121" s="18" t="s">
        <v>20</v>
      </c>
      <c r="Y121" s="21"/>
      <c r="Z121" s="21"/>
      <c r="AA121" s="21"/>
      <c r="AB121" s="18" t="s">
        <v>20</v>
      </c>
      <c r="AC121" s="23" t="s">
        <v>124</v>
      </c>
      <c r="AD121" s="24" t="s">
        <v>124</v>
      </c>
      <c r="AE121" s="34">
        <v>314</v>
      </c>
      <c r="AF121" s="35">
        <v>20</v>
      </c>
      <c r="AG121" s="28" t="str">
        <f t="shared" si="3"/>
        <v>314-20</v>
      </c>
      <c r="AH121" s="24" t="s">
        <v>30</v>
      </c>
      <c r="AI121" s="2" t="b">
        <f t="shared" si="4"/>
        <v>1</v>
      </c>
    </row>
    <row r="122" spans="1:35" ht="12.75" customHeight="1">
      <c r="A122" s="12">
        <v>121</v>
      </c>
      <c r="B122" s="28"/>
      <c r="C122" s="15" t="s">
        <v>20</v>
      </c>
      <c r="D122" s="15">
        <v>4</v>
      </c>
      <c r="E122" s="13" t="s">
        <v>124</v>
      </c>
      <c r="F122" s="17" t="s">
        <v>124</v>
      </c>
      <c r="G122" s="13">
        <v>314</v>
      </c>
      <c r="H122" s="19">
        <v>20</v>
      </c>
      <c r="I122" s="19" t="str">
        <f t="shared" si="0"/>
        <v>314-20</v>
      </c>
      <c r="J122" s="17" t="s">
        <v>135</v>
      </c>
      <c r="K122" s="26"/>
      <c r="L122" s="8" t="b">
        <f t="shared" si="1"/>
        <v>1</v>
      </c>
      <c r="M122" s="8" t="b">
        <f t="shared" si="2"/>
        <v>1</v>
      </c>
      <c r="N122" s="29"/>
      <c r="O122" s="36"/>
      <c r="P122" s="18" t="s">
        <v>20</v>
      </c>
      <c r="Q122" s="31"/>
      <c r="R122" s="31" t="s">
        <v>20</v>
      </c>
      <c r="S122" s="33" t="s">
        <v>25</v>
      </c>
      <c r="T122" s="33" t="s">
        <v>25</v>
      </c>
      <c r="U122" s="31" t="s">
        <v>25</v>
      </c>
      <c r="V122" s="21" t="s">
        <v>25</v>
      </c>
      <c r="W122" s="21" t="s">
        <v>25</v>
      </c>
      <c r="X122" s="18" t="s">
        <v>20</v>
      </c>
      <c r="Y122" s="21"/>
      <c r="Z122" s="21"/>
      <c r="AA122" s="21"/>
      <c r="AB122" s="18" t="s">
        <v>20</v>
      </c>
      <c r="AC122" s="23" t="s">
        <v>124</v>
      </c>
      <c r="AD122" s="24" t="s">
        <v>124</v>
      </c>
      <c r="AE122" s="34">
        <v>314</v>
      </c>
      <c r="AF122" s="35">
        <v>20</v>
      </c>
      <c r="AG122" s="28" t="str">
        <f t="shared" si="3"/>
        <v>314-20</v>
      </c>
      <c r="AH122" s="24" t="s">
        <v>135</v>
      </c>
      <c r="AI122" s="2" t="b">
        <f t="shared" si="4"/>
        <v>1</v>
      </c>
    </row>
    <row r="123" spans="1:35" ht="12.75" customHeight="1">
      <c r="A123" s="12">
        <v>122</v>
      </c>
      <c r="B123" s="28"/>
      <c r="C123" s="15" t="s">
        <v>20</v>
      </c>
      <c r="D123" s="15">
        <v>4</v>
      </c>
      <c r="E123" s="13" t="s">
        <v>124</v>
      </c>
      <c r="F123" s="17" t="s">
        <v>124</v>
      </c>
      <c r="G123" s="13">
        <v>314</v>
      </c>
      <c r="H123" s="19">
        <v>20</v>
      </c>
      <c r="I123" s="19" t="str">
        <f t="shared" si="0"/>
        <v>314-20</v>
      </c>
      <c r="J123" s="17" t="s">
        <v>135</v>
      </c>
      <c r="K123" s="26"/>
      <c r="L123" s="8" t="b">
        <f t="shared" si="1"/>
        <v>1</v>
      </c>
      <c r="M123" s="8" t="b">
        <f t="shared" si="2"/>
        <v>1</v>
      </c>
      <c r="N123" s="29"/>
      <c r="O123" s="36"/>
      <c r="P123" s="18" t="s">
        <v>20</v>
      </c>
      <c r="Q123" s="31"/>
      <c r="R123" s="31" t="s">
        <v>20</v>
      </c>
      <c r="S123" s="33" t="s">
        <v>25</v>
      </c>
      <c r="T123" s="33" t="s">
        <v>25</v>
      </c>
      <c r="U123" s="31" t="s">
        <v>25</v>
      </c>
      <c r="V123" s="21" t="s">
        <v>25</v>
      </c>
      <c r="W123" s="21" t="s">
        <v>25</v>
      </c>
      <c r="X123" s="18" t="s">
        <v>20</v>
      </c>
      <c r="Y123" s="21"/>
      <c r="Z123" s="21"/>
      <c r="AA123" s="21"/>
      <c r="AB123" s="18" t="s">
        <v>20</v>
      </c>
      <c r="AC123" s="23" t="s">
        <v>124</v>
      </c>
      <c r="AD123" s="24" t="s">
        <v>124</v>
      </c>
      <c r="AE123" s="34">
        <v>314</v>
      </c>
      <c r="AF123" s="35">
        <v>20</v>
      </c>
      <c r="AG123" s="28" t="str">
        <f t="shared" si="3"/>
        <v>314-20</v>
      </c>
      <c r="AH123" s="24" t="s">
        <v>135</v>
      </c>
      <c r="AI123" s="2" t="b">
        <f t="shared" si="4"/>
        <v>1</v>
      </c>
    </row>
    <row r="124" spans="1:35" ht="12.75" customHeight="1">
      <c r="A124" s="12">
        <v>123</v>
      </c>
      <c r="B124" s="28"/>
      <c r="C124" s="15" t="s">
        <v>20</v>
      </c>
      <c r="D124" s="15">
        <v>4</v>
      </c>
      <c r="E124" s="13" t="s">
        <v>124</v>
      </c>
      <c r="F124" s="17" t="s">
        <v>124</v>
      </c>
      <c r="G124" s="13">
        <v>314</v>
      </c>
      <c r="H124" s="19">
        <v>20</v>
      </c>
      <c r="I124" s="19" t="str">
        <f t="shared" si="0"/>
        <v>314-20</v>
      </c>
      <c r="J124" s="17" t="s">
        <v>135</v>
      </c>
      <c r="K124" s="26"/>
      <c r="L124" s="8" t="b">
        <f t="shared" si="1"/>
        <v>1</v>
      </c>
      <c r="M124" s="8" t="b">
        <f t="shared" si="2"/>
        <v>1</v>
      </c>
      <c r="N124" s="29"/>
      <c r="O124" s="36"/>
      <c r="P124" s="18" t="s">
        <v>20</v>
      </c>
      <c r="Q124" s="31"/>
      <c r="R124" s="31" t="s">
        <v>20</v>
      </c>
      <c r="S124" s="33" t="s">
        <v>25</v>
      </c>
      <c r="T124" s="33" t="s">
        <v>25</v>
      </c>
      <c r="U124" s="31" t="s">
        <v>25</v>
      </c>
      <c r="V124" s="21" t="s">
        <v>25</v>
      </c>
      <c r="W124" s="21" t="s">
        <v>25</v>
      </c>
      <c r="X124" s="18" t="s">
        <v>20</v>
      </c>
      <c r="Y124" s="21"/>
      <c r="Z124" s="21"/>
      <c r="AA124" s="21"/>
      <c r="AB124" s="18" t="s">
        <v>20</v>
      </c>
      <c r="AC124" s="23" t="s">
        <v>124</v>
      </c>
      <c r="AD124" s="24" t="s">
        <v>124</v>
      </c>
      <c r="AE124" s="34">
        <v>314</v>
      </c>
      <c r="AF124" s="35">
        <v>20</v>
      </c>
      <c r="AG124" s="28" t="str">
        <f t="shared" si="3"/>
        <v>314-20</v>
      </c>
      <c r="AH124" s="24" t="s">
        <v>135</v>
      </c>
      <c r="AI124" s="2" t="b">
        <f t="shared" si="4"/>
        <v>1</v>
      </c>
    </row>
    <row r="125" spans="1:35" ht="12.75" customHeight="1">
      <c r="A125" s="12">
        <v>124</v>
      </c>
      <c r="B125" s="28"/>
      <c r="C125" s="15" t="s">
        <v>20</v>
      </c>
      <c r="D125" s="15">
        <v>4</v>
      </c>
      <c r="E125" s="13" t="s">
        <v>124</v>
      </c>
      <c r="F125" s="17" t="s">
        <v>124</v>
      </c>
      <c r="G125" s="13">
        <v>314</v>
      </c>
      <c r="H125" s="19">
        <v>20</v>
      </c>
      <c r="I125" s="19" t="str">
        <f t="shared" si="0"/>
        <v>314-20</v>
      </c>
      <c r="J125" s="17" t="s">
        <v>135</v>
      </c>
      <c r="K125" s="26"/>
      <c r="L125" s="8" t="b">
        <f t="shared" si="1"/>
        <v>1</v>
      </c>
      <c r="M125" s="8" t="b">
        <f t="shared" si="2"/>
        <v>1</v>
      </c>
      <c r="N125" s="29"/>
      <c r="O125" s="36"/>
      <c r="P125" s="18" t="s">
        <v>20</v>
      </c>
      <c r="Q125" s="31"/>
      <c r="R125" s="31" t="s">
        <v>20</v>
      </c>
      <c r="S125" s="33" t="s">
        <v>25</v>
      </c>
      <c r="T125" s="33" t="s">
        <v>25</v>
      </c>
      <c r="U125" s="31" t="s">
        <v>25</v>
      </c>
      <c r="V125" s="21" t="s">
        <v>25</v>
      </c>
      <c r="W125" s="21" t="s">
        <v>25</v>
      </c>
      <c r="X125" s="18" t="s">
        <v>20</v>
      </c>
      <c r="Y125" s="21"/>
      <c r="Z125" s="21"/>
      <c r="AA125" s="21"/>
      <c r="AB125" s="18" t="s">
        <v>20</v>
      </c>
      <c r="AC125" s="23" t="s">
        <v>124</v>
      </c>
      <c r="AD125" s="24" t="s">
        <v>124</v>
      </c>
      <c r="AE125" s="34">
        <v>314</v>
      </c>
      <c r="AF125" s="35">
        <v>20</v>
      </c>
      <c r="AG125" s="28" t="str">
        <f t="shared" si="3"/>
        <v>314-20</v>
      </c>
      <c r="AH125" s="24" t="s">
        <v>135</v>
      </c>
      <c r="AI125" s="2" t="b">
        <f t="shared" si="4"/>
        <v>1</v>
      </c>
    </row>
    <row r="126" spans="1:35" ht="12.75" customHeight="1">
      <c r="A126" s="12">
        <v>125</v>
      </c>
      <c r="B126" s="28"/>
      <c r="C126" s="15" t="s">
        <v>20</v>
      </c>
      <c r="D126" s="15">
        <v>4</v>
      </c>
      <c r="E126" s="13" t="s">
        <v>124</v>
      </c>
      <c r="F126" s="17" t="s">
        <v>124</v>
      </c>
      <c r="G126" s="13">
        <v>314</v>
      </c>
      <c r="H126" s="19">
        <v>20</v>
      </c>
      <c r="I126" s="19" t="str">
        <f t="shared" si="0"/>
        <v>314-20</v>
      </c>
      <c r="J126" s="17" t="s">
        <v>135</v>
      </c>
      <c r="K126" s="26"/>
      <c r="L126" s="8" t="b">
        <f t="shared" si="1"/>
        <v>1</v>
      </c>
      <c r="M126" s="8" t="b">
        <f t="shared" si="2"/>
        <v>1</v>
      </c>
      <c r="N126" s="29"/>
      <c r="O126" s="36"/>
      <c r="P126" s="18" t="s">
        <v>20</v>
      </c>
      <c r="Q126" s="31"/>
      <c r="R126" s="31" t="s">
        <v>20</v>
      </c>
      <c r="S126" s="33" t="s">
        <v>25</v>
      </c>
      <c r="T126" s="33" t="s">
        <v>25</v>
      </c>
      <c r="U126" s="31" t="s">
        <v>25</v>
      </c>
      <c r="V126" s="21" t="s">
        <v>25</v>
      </c>
      <c r="W126" s="21" t="s">
        <v>25</v>
      </c>
      <c r="X126" s="18" t="s">
        <v>20</v>
      </c>
      <c r="Y126" s="21"/>
      <c r="Z126" s="21"/>
      <c r="AA126" s="21"/>
      <c r="AB126" s="18" t="s">
        <v>20</v>
      </c>
      <c r="AC126" s="23" t="s">
        <v>124</v>
      </c>
      <c r="AD126" s="24" t="s">
        <v>124</v>
      </c>
      <c r="AE126" s="34">
        <v>314</v>
      </c>
      <c r="AF126" s="35">
        <v>20</v>
      </c>
      <c r="AG126" s="28" t="str">
        <f t="shared" si="3"/>
        <v>314-20</v>
      </c>
      <c r="AH126" s="24" t="s">
        <v>135</v>
      </c>
      <c r="AI126" s="2" t="b">
        <f t="shared" si="4"/>
        <v>1</v>
      </c>
    </row>
    <row r="127" spans="1:35" ht="12.75" customHeight="1">
      <c r="A127" s="12">
        <v>126</v>
      </c>
      <c r="B127" s="28"/>
      <c r="C127" s="15" t="s">
        <v>20</v>
      </c>
      <c r="D127" s="15">
        <v>4</v>
      </c>
      <c r="E127" s="13" t="s">
        <v>124</v>
      </c>
      <c r="F127" s="17" t="s">
        <v>124</v>
      </c>
      <c r="G127" s="13">
        <v>314</v>
      </c>
      <c r="H127" s="19">
        <v>15</v>
      </c>
      <c r="I127" s="19" t="str">
        <f t="shared" si="0"/>
        <v>314-15</v>
      </c>
      <c r="J127" s="17" t="s">
        <v>143</v>
      </c>
      <c r="K127" s="26"/>
      <c r="L127" s="8" t="b">
        <f t="shared" si="1"/>
        <v>1</v>
      </c>
      <c r="M127" s="8" t="b">
        <f t="shared" si="2"/>
        <v>1</v>
      </c>
      <c r="N127" s="29"/>
      <c r="O127" s="36"/>
      <c r="P127" s="18" t="s">
        <v>20</v>
      </c>
      <c r="Q127" s="31"/>
      <c r="R127" s="31" t="s">
        <v>20</v>
      </c>
      <c r="S127" s="33" t="s">
        <v>25</v>
      </c>
      <c r="T127" s="33" t="s">
        <v>25</v>
      </c>
      <c r="U127" s="31" t="s">
        <v>25</v>
      </c>
      <c r="V127" s="21" t="s">
        <v>25</v>
      </c>
      <c r="W127" s="21" t="s">
        <v>25</v>
      </c>
      <c r="X127" s="18" t="s">
        <v>20</v>
      </c>
      <c r="Y127" s="21"/>
      <c r="Z127" s="21"/>
      <c r="AA127" s="21"/>
      <c r="AB127" s="18" t="s">
        <v>20</v>
      </c>
      <c r="AC127" s="23" t="s">
        <v>124</v>
      </c>
      <c r="AD127" s="24" t="s">
        <v>124</v>
      </c>
      <c r="AE127" s="34">
        <v>314</v>
      </c>
      <c r="AF127" s="35">
        <v>15</v>
      </c>
      <c r="AG127" s="28" t="str">
        <f t="shared" si="3"/>
        <v>314-15</v>
      </c>
      <c r="AH127" s="24" t="s">
        <v>143</v>
      </c>
      <c r="AI127" s="2" t="b">
        <f t="shared" si="4"/>
        <v>1</v>
      </c>
    </row>
    <row r="128" spans="1:35" ht="12.75" customHeight="1">
      <c r="A128" s="12">
        <v>127</v>
      </c>
      <c r="B128" s="28"/>
      <c r="C128" s="15" t="s">
        <v>20</v>
      </c>
      <c r="D128" s="15">
        <v>4</v>
      </c>
      <c r="E128" s="13" t="s">
        <v>124</v>
      </c>
      <c r="F128" s="17" t="s">
        <v>124</v>
      </c>
      <c r="G128" s="13">
        <v>314</v>
      </c>
      <c r="H128" s="19">
        <v>15</v>
      </c>
      <c r="I128" s="19" t="str">
        <f t="shared" si="0"/>
        <v>314-15</v>
      </c>
      <c r="J128" s="17" t="s">
        <v>95</v>
      </c>
      <c r="K128" s="26"/>
      <c r="L128" s="8" t="b">
        <f t="shared" si="1"/>
        <v>1</v>
      </c>
      <c r="M128" s="8" t="b">
        <f t="shared" si="2"/>
        <v>1</v>
      </c>
      <c r="N128" s="29"/>
      <c r="O128" s="36"/>
      <c r="P128" s="18" t="s">
        <v>20</v>
      </c>
      <c r="Q128" s="31"/>
      <c r="R128" s="31" t="s">
        <v>20</v>
      </c>
      <c r="S128" s="33" t="s">
        <v>25</v>
      </c>
      <c r="T128" s="33" t="s">
        <v>25</v>
      </c>
      <c r="U128" s="31" t="s">
        <v>25</v>
      </c>
      <c r="V128" s="21" t="s">
        <v>25</v>
      </c>
      <c r="W128" s="21" t="s">
        <v>25</v>
      </c>
      <c r="X128" s="18" t="s">
        <v>20</v>
      </c>
      <c r="Y128" s="21"/>
      <c r="Z128" s="21"/>
      <c r="AA128" s="21"/>
      <c r="AB128" s="18" t="s">
        <v>20</v>
      </c>
      <c r="AC128" s="23" t="s">
        <v>124</v>
      </c>
      <c r="AD128" s="24" t="s">
        <v>124</v>
      </c>
      <c r="AE128" s="34">
        <v>314</v>
      </c>
      <c r="AF128" s="35">
        <v>15</v>
      </c>
      <c r="AG128" s="28" t="str">
        <f t="shared" si="3"/>
        <v>314-15</v>
      </c>
      <c r="AH128" s="24" t="s">
        <v>95</v>
      </c>
      <c r="AI128" s="2" t="b">
        <f t="shared" si="4"/>
        <v>1</v>
      </c>
    </row>
    <row r="129" spans="1:35" ht="12.75" customHeight="1">
      <c r="A129" s="12">
        <v>128</v>
      </c>
      <c r="B129" s="28"/>
      <c r="C129" s="15" t="s">
        <v>20</v>
      </c>
      <c r="D129" s="15">
        <v>4</v>
      </c>
      <c r="E129" s="13" t="s">
        <v>124</v>
      </c>
      <c r="F129" s="17" t="s">
        <v>124</v>
      </c>
      <c r="G129" s="13">
        <v>314</v>
      </c>
      <c r="H129" s="19">
        <v>15</v>
      </c>
      <c r="I129" s="19" t="str">
        <f t="shared" si="0"/>
        <v>314-15</v>
      </c>
      <c r="J129" s="17" t="s">
        <v>95</v>
      </c>
      <c r="K129" s="26"/>
      <c r="L129" s="8" t="b">
        <f t="shared" si="1"/>
        <v>1</v>
      </c>
      <c r="M129" s="8" t="b">
        <f t="shared" si="2"/>
        <v>1</v>
      </c>
      <c r="N129" s="29"/>
      <c r="O129" s="36"/>
      <c r="P129" s="18" t="s">
        <v>20</v>
      </c>
      <c r="Q129" s="31"/>
      <c r="R129" s="31" t="s">
        <v>20</v>
      </c>
      <c r="S129" s="33" t="s">
        <v>25</v>
      </c>
      <c r="T129" s="33" t="s">
        <v>25</v>
      </c>
      <c r="U129" s="31" t="s">
        <v>25</v>
      </c>
      <c r="V129" s="21" t="s">
        <v>25</v>
      </c>
      <c r="W129" s="21" t="s">
        <v>25</v>
      </c>
      <c r="X129" s="18" t="s">
        <v>20</v>
      </c>
      <c r="Y129" s="21"/>
      <c r="Z129" s="21"/>
      <c r="AA129" s="21"/>
      <c r="AB129" s="18" t="s">
        <v>20</v>
      </c>
      <c r="AC129" s="23" t="s">
        <v>124</v>
      </c>
      <c r="AD129" s="24" t="s">
        <v>124</v>
      </c>
      <c r="AE129" s="34">
        <v>314</v>
      </c>
      <c r="AF129" s="35">
        <v>15</v>
      </c>
      <c r="AG129" s="28" t="str">
        <f t="shared" si="3"/>
        <v>314-15</v>
      </c>
      <c r="AH129" s="24" t="s">
        <v>95</v>
      </c>
      <c r="AI129" s="2" t="b">
        <f t="shared" si="4"/>
        <v>1</v>
      </c>
    </row>
    <row r="130" spans="1:35" ht="12.75" customHeight="1">
      <c r="A130" s="12">
        <v>129</v>
      </c>
      <c r="B130" s="28"/>
      <c r="C130" s="15" t="s">
        <v>20</v>
      </c>
      <c r="D130" s="15">
        <v>4</v>
      </c>
      <c r="E130" s="13" t="s">
        <v>124</v>
      </c>
      <c r="F130" s="17" t="s">
        <v>124</v>
      </c>
      <c r="G130" s="13">
        <v>314</v>
      </c>
      <c r="H130" s="19">
        <v>15</v>
      </c>
      <c r="I130" s="19" t="str">
        <f t="shared" si="0"/>
        <v>314-15</v>
      </c>
      <c r="J130" s="17" t="s">
        <v>95</v>
      </c>
      <c r="K130" s="26"/>
      <c r="L130" s="8" t="b">
        <f t="shared" si="1"/>
        <v>1</v>
      </c>
      <c r="M130" s="8" t="b">
        <f t="shared" si="2"/>
        <v>1</v>
      </c>
      <c r="N130" s="29"/>
      <c r="O130" s="36"/>
      <c r="P130" s="18" t="s">
        <v>20</v>
      </c>
      <c r="Q130" s="31"/>
      <c r="R130" s="31" t="s">
        <v>20</v>
      </c>
      <c r="S130" s="33" t="s">
        <v>25</v>
      </c>
      <c r="T130" s="33" t="s">
        <v>25</v>
      </c>
      <c r="U130" s="31" t="s">
        <v>25</v>
      </c>
      <c r="V130" s="21" t="s">
        <v>25</v>
      </c>
      <c r="W130" s="21" t="s">
        <v>25</v>
      </c>
      <c r="X130" s="18" t="s">
        <v>20</v>
      </c>
      <c r="Y130" s="21"/>
      <c r="Z130" s="21"/>
      <c r="AA130" s="21"/>
      <c r="AB130" s="18" t="s">
        <v>20</v>
      </c>
      <c r="AC130" s="23" t="s">
        <v>124</v>
      </c>
      <c r="AD130" s="24" t="s">
        <v>124</v>
      </c>
      <c r="AE130" s="34">
        <v>314</v>
      </c>
      <c r="AF130" s="35">
        <v>15</v>
      </c>
      <c r="AG130" s="28" t="str">
        <f t="shared" si="3"/>
        <v>314-15</v>
      </c>
      <c r="AH130" s="24" t="s">
        <v>95</v>
      </c>
      <c r="AI130" s="2" t="b">
        <f t="shared" si="4"/>
        <v>1</v>
      </c>
    </row>
    <row r="131" spans="1:35" ht="12.75" customHeight="1">
      <c r="A131" s="12">
        <v>130</v>
      </c>
      <c r="B131" s="28"/>
      <c r="C131" s="15" t="s">
        <v>20</v>
      </c>
      <c r="D131" s="15">
        <v>4</v>
      </c>
      <c r="E131" s="13" t="s">
        <v>124</v>
      </c>
      <c r="F131" s="17" t="s">
        <v>124</v>
      </c>
      <c r="G131" s="13">
        <v>314</v>
      </c>
      <c r="H131" s="19">
        <v>15</v>
      </c>
      <c r="I131" s="19" t="str">
        <f t="shared" si="0"/>
        <v>314-15</v>
      </c>
      <c r="J131" s="17" t="s">
        <v>95</v>
      </c>
      <c r="K131" s="26"/>
      <c r="L131" s="8" t="b">
        <f t="shared" si="1"/>
        <v>1</v>
      </c>
      <c r="M131" s="8" t="b">
        <f t="shared" si="2"/>
        <v>1</v>
      </c>
      <c r="N131" s="29"/>
      <c r="O131" s="36"/>
      <c r="P131" s="18" t="s">
        <v>20</v>
      </c>
      <c r="Q131" s="31"/>
      <c r="R131" s="31" t="s">
        <v>20</v>
      </c>
      <c r="S131" s="33" t="s">
        <v>25</v>
      </c>
      <c r="T131" s="33" t="s">
        <v>25</v>
      </c>
      <c r="U131" s="31" t="s">
        <v>25</v>
      </c>
      <c r="V131" s="21" t="s">
        <v>25</v>
      </c>
      <c r="W131" s="21" t="s">
        <v>25</v>
      </c>
      <c r="X131" s="18" t="s">
        <v>20</v>
      </c>
      <c r="Y131" s="21"/>
      <c r="Z131" s="21"/>
      <c r="AA131" s="21"/>
      <c r="AB131" s="18" t="s">
        <v>20</v>
      </c>
      <c r="AC131" s="23" t="s">
        <v>124</v>
      </c>
      <c r="AD131" s="24" t="s">
        <v>124</v>
      </c>
      <c r="AE131" s="34">
        <v>314</v>
      </c>
      <c r="AF131" s="35">
        <v>15</v>
      </c>
      <c r="AG131" s="28" t="str">
        <f t="shared" si="3"/>
        <v>314-15</v>
      </c>
      <c r="AH131" s="24" t="s">
        <v>95</v>
      </c>
      <c r="AI131" s="2" t="b">
        <f t="shared" si="4"/>
        <v>1</v>
      </c>
    </row>
    <row r="132" spans="1:35" ht="12.75" customHeight="1">
      <c r="A132" s="12">
        <v>131</v>
      </c>
      <c r="B132" s="28"/>
      <c r="C132" s="15" t="s">
        <v>20</v>
      </c>
      <c r="D132" s="15">
        <v>4</v>
      </c>
      <c r="E132" s="13" t="s">
        <v>124</v>
      </c>
      <c r="F132" s="17" t="s">
        <v>124</v>
      </c>
      <c r="G132" s="13">
        <v>314</v>
      </c>
      <c r="H132" s="19">
        <v>15</v>
      </c>
      <c r="I132" s="19" t="str">
        <f t="shared" si="0"/>
        <v>314-15</v>
      </c>
      <c r="J132" s="17" t="s">
        <v>113</v>
      </c>
      <c r="K132" s="26"/>
      <c r="L132" s="8" t="b">
        <f t="shared" si="1"/>
        <v>1</v>
      </c>
      <c r="M132" s="8" t="b">
        <f t="shared" si="2"/>
        <v>1</v>
      </c>
      <c r="N132" s="29"/>
      <c r="O132" s="36"/>
      <c r="P132" s="18" t="s">
        <v>20</v>
      </c>
      <c r="Q132" s="31"/>
      <c r="R132" s="31" t="s">
        <v>20</v>
      </c>
      <c r="S132" s="33" t="s">
        <v>25</v>
      </c>
      <c r="T132" s="33" t="s">
        <v>25</v>
      </c>
      <c r="U132" s="31" t="s">
        <v>25</v>
      </c>
      <c r="V132" s="21" t="s">
        <v>25</v>
      </c>
      <c r="W132" s="21" t="s">
        <v>25</v>
      </c>
      <c r="X132" s="18" t="s">
        <v>20</v>
      </c>
      <c r="Y132" s="21"/>
      <c r="Z132" s="21"/>
      <c r="AA132" s="21"/>
      <c r="AB132" s="18" t="s">
        <v>20</v>
      </c>
      <c r="AC132" s="23" t="s">
        <v>124</v>
      </c>
      <c r="AD132" s="24" t="s">
        <v>124</v>
      </c>
      <c r="AE132" s="34">
        <v>314</v>
      </c>
      <c r="AF132" s="35">
        <v>15</v>
      </c>
      <c r="AG132" s="28" t="str">
        <f t="shared" si="3"/>
        <v>314-15</v>
      </c>
      <c r="AH132" s="24" t="s">
        <v>113</v>
      </c>
      <c r="AI132" s="2" t="b">
        <f t="shared" si="4"/>
        <v>1</v>
      </c>
    </row>
    <row r="133" spans="1:35" ht="12.75" customHeight="1">
      <c r="A133" s="12">
        <v>132</v>
      </c>
      <c r="B133" s="28"/>
      <c r="C133" s="15" t="s">
        <v>20</v>
      </c>
      <c r="D133" s="15">
        <v>4</v>
      </c>
      <c r="E133" s="13" t="s">
        <v>124</v>
      </c>
      <c r="F133" s="17" t="s">
        <v>124</v>
      </c>
      <c r="G133" s="13">
        <v>314</v>
      </c>
      <c r="H133" s="19">
        <v>15</v>
      </c>
      <c r="I133" s="19" t="str">
        <f t="shared" si="0"/>
        <v>314-15</v>
      </c>
      <c r="J133" s="17" t="s">
        <v>132</v>
      </c>
      <c r="K133" s="26"/>
      <c r="L133" s="8" t="b">
        <f t="shared" si="1"/>
        <v>1</v>
      </c>
      <c r="M133" s="8" t="b">
        <f t="shared" si="2"/>
        <v>1</v>
      </c>
      <c r="N133" s="29"/>
      <c r="O133" s="36"/>
      <c r="P133" s="18" t="s">
        <v>20</v>
      </c>
      <c r="Q133" s="31"/>
      <c r="R133" s="31" t="s">
        <v>20</v>
      </c>
      <c r="S133" s="33" t="s">
        <v>25</v>
      </c>
      <c r="T133" s="33" t="s">
        <v>25</v>
      </c>
      <c r="U133" s="31" t="s">
        <v>25</v>
      </c>
      <c r="V133" s="21" t="s">
        <v>25</v>
      </c>
      <c r="W133" s="21" t="s">
        <v>25</v>
      </c>
      <c r="X133" s="18" t="s">
        <v>20</v>
      </c>
      <c r="Y133" s="21"/>
      <c r="Z133" s="21"/>
      <c r="AA133" s="21"/>
      <c r="AB133" s="18" t="s">
        <v>20</v>
      </c>
      <c r="AC133" s="23" t="s">
        <v>124</v>
      </c>
      <c r="AD133" s="24" t="s">
        <v>124</v>
      </c>
      <c r="AE133" s="34">
        <v>314</v>
      </c>
      <c r="AF133" s="35">
        <v>15</v>
      </c>
      <c r="AG133" s="28" t="str">
        <f t="shared" si="3"/>
        <v>314-15</v>
      </c>
      <c r="AH133" s="24" t="s">
        <v>132</v>
      </c>
      <c r="AI133" s="2" t="b">
        <f t="shared" si="4"/>
        <v>1</v>
      </c>
    </row>
    <row r="134" spans="1:35" ht="12.75" customHeight="1">
      <c r="A134" s="12">
        <v>133</v>
      </c>
      <c r="B134" s="28"/>
      <c r="C134" s="15" t="s">
        <v>20</v>
      </c>
      <c r="D134" s="15">
        <v>4</v>
      </c>
      <c r="E134" s="13" t="s">
        <v>124</v>
      </c>
      <c r="F134" s="17" t="s">
        <v>124</v>
      </c>
      <c r="G134" s="13">
        <v>314</v>
      </c>
      <c r="H134" s="19">
        <v>15</v>
      </c>
      <c r="I134" s="19" t="str">
        <f t="shared" si="0"/>
        <v>314-15</v>
      </c>
      <c r="J134" s="17" t="s">
        <v>132</v>
      </c>
      <c r="K134" s="26"/>
      <c r="L134" s="8" t="b">
        <f t="shared" si="1"/>
        <v>1</v>
      </c>
      <c r="M134" s="8" t="b">
        <f t="shared" si="2"/>
        <v>1</v>
      </c>
      <c r="N134" s="29"/>
      <c r="O134" s="36"/>
      <c r="P134" s="18" t="s">
        <v>20</v>
      </c>
      <c r="Q134" s="31"/>
      <c r="R134" s="31" t="s">
        <v>20</v>
      </c>
      <c r="S134" s="33" t="s">
        <v>25</v>
      </c>
      <c r="T134" s="33" t="s">
        <v>25</v>
      </c>
      <c r="U134" s="31" t="s">
        <v>25</v>
      </c>
      <c r="V134" s="21" t="s">
        <v>25</v>
      </c>
      <c r="W134" s="21" t="s">
        <v>25</v>
      </c>
      <c r="X134" s="18" t="s">
        <v>20</v>
      </c>
      <c r="Y134" s="21"/>
      <c r="Z134" s="21"/>
      <c r="AA134" s="21"/>
      <c r="AB134" s="18" t="s">
        <v>20</v>
      </c>
      <c r="AC134" s="23" t="s">
        <v>124</v>
      </c>
      <c r="AD134" s="24" t="s">
        <v>124</v>
      </c>
      <c r="AE134" s="34">
        <v>314</v>
      </c>
      <c r="AF134" s="35">
        <v>15</v>
      </c>
      <c r="AG134" s="28" t="str">
        <f t="shared" si="3"/>
        <v>314-15</v>
      </c>
      <c r="AH134" s="24" t="s">
        <v>132</v>
      </c>
      <c r="AI134" s="2" t="b">
        <f t="shared" si="4"/>
        <v>1</v>
      </c>
    </row>
    <row r="135" spans="1:35" ht="12.75" customHeight="1">
      <c r="A135" s="12">
        <v>134</v>
      </c>
      <c r="B135" s="28"/>
      <c r="C135" s="15" t="s">
        <v>20</v>
      </c>
      <c r="D135" s="15">
        <v>4</v>
      </c>
      <c r="E135" s="13" t="s">
        <v>124</v>
      </c>
      <c r="F135" s="17" t="s">
        <v>124</v>
      </c>
      <c r="G135" s="13">
        <v>314</v>
      </c>
      <c r="H135" s="19">
        <v>9</v>
      </c>
      <c r="I135" s="19" t="str">
        <f t="shared" si="0"/>
        <v>314-9</v>
      </c>
      <c r="J135" s="17" t="s">
        <v>95</v>
      </c>
      <c r="K135" s="26"/>
      <c r="L135" s="8" t="b">
        <f t="shared" si="1"/>
        <v>1</v>
      </c>
      <c r="M135" s="8" t="b">
        <f t="shared" si="2"/>
        <v>1</v>
      </c>
      <c r="N135" s="29"/>
      <c r="O135" s="36"/>
      <c r="P135" s="18" t="s">
        <v>20</v>
      </c>
      <c r="Q135" s="31"/>
      <c r="R135" s="31" t="s">
        <v>20</v>
      </c>
      <c r="S135" s="33" t="s">
        <v>25</v>
      </c>
      <c r="T135" s="33" t="s">
        <v>25</v>
      </c>
      <c r="U135" s="31" t="s">
        <v>25</v>
      </c>
      <c r="V135" s="21" t="s">
        <v>25</v>
      </c>
      <c r="W135" s="21" t="s">
        <v>25</v>
      </c>
      <c r="X135" s="18" t="s">
        <v>20</v>
      </c>
      <c r="Y135" s="21"/>
      <c r="Z135" s="21"/>
      <c r="AA135" s="21"/>
      <c r="AB135" s="18" t="s">
        <v>20</v>
      </c>
      <c r="AC135" s="23" t="s">
        <v>124</v>
      </c>
      <c r="AD135" s="24" t="s">
        <v>124</v>
      </c>
      <c r="AE135" s="34">
        <v>314</v>
      </c>
      <c r="AF135" s="35">
        <v>9</v>
      </c>
      <c r="AG135" s="28" t="str">
        <f t="shared" si="3"/>
        <v>314-9</v>
      </c>
      <c r="AH135" s="24" t="s">
        <v>95</v>
      </c>
      <c r="AI135" s="2" t="b">
        <f t="shared" si="4"/>
        <v>1</v>
      </c>
    </row>
    <row r="136" spans="1:35" ht="12.75" customHeight="1">
      <c r="A136" s="12">
        <v>135</v>
      </c>
      <c r="B136" s="28">
        <v>41667895</v>
      </c>
      <c r="C136" s="15" t="s">
        <v>347</v>
      </c>
      <c r="D136" s="15">
        <v>4</v>
      </c>
      <c r="E136" s="13" t="s">
        <v>124</v>
      </c>
      <c r="F136" s="17" t="s">
        <v>124</v>
      </c>
      <c r="G136" s="13">
        <v>314</v>
      </c>
      <c r="H136" s="19">
        <v>9</v>
      </c>
      <c r="I136" s="19" t="str">
        <f t="shared" si="0"/>
        <v>314-9</v>
      </c>
      <c r="J136" s="17" t="s">
        <v>113</v>
      </c>
      <c r="K136" s="82" t="s">
        <v>49</v>
      </c>
      <c r="L136" s="8" t="b">
        <f t="shared" si="1"/>
        <v>1</v>
      </c>
      <c r="M136" s="8" t="b">
        <f t="shared" si="2"/>
        <v>1</v>
      </c>
      <c r="N136" s="29"/>
      <c r="O136" s="36">
        <v>41667895</v>
      </c>
      <c r="P136" s="18" t="s">
        <v>347</v>
      </c>
      <c r="Q136" s="31" t="s">
        <v>49</v>
      </c>
      <c r="R136" s="31" t="s">
        <v>49</v>
      </c>
      <c r="S136" s="33">
        <v>42585</v>
      </c>
      <c r="T136" s="33">
        <v>30867</v>
      </c>
      <c r="U136" s="31" t="s">
        <v>48</v>
      </c>
      <c r="V136" s="21">
        <v>65</v>
      </c>
      <c r="W136" s="21" t="s">
        <v>25</v>
      </c>
      <c r="X136" s="31"/>
      <c r="Y136" s="21"/>
      <c r="Z136" s="21"/>
      <c r="AA136" s="21"/>
      <c r="AB136" s="18" t="s">
        <v>53</v>
      </c>
      <c r="AC136" s="23" t="s">
        <v>124</v>
      </c>
      <c r="AD136" s="24" t="s">
        <v>124</v>
      </c>
      <c r="AE136" s="34">
        <v>314</v>
      </c>
      <c r="AF136" s="35">
        <v>9</v>
      </c>
      <c r="AG136" s="28" t="str">
        <f t="shared" si="3"/>
        <v>314-9</v>
      </c>
      <c r="AH136" s="24" t="s">
        <v>113</v>
      </c>
      <c r="AI136" s="2" t="b">
        <f t="shared" si="4"/>
        <v>1</v>
      </c>
    </row>
    <row r="137" spans="1:35" ht="12.75" customHeight="1">
      <c r="A137" s="12">
        <v>136</v>
      </c>
      <c r="B137" s="28">
        <v>19209798</v>
      </c>
      <c r="C137" s="15" t="s">
        <v>145</v>
      </c>
      <c r="D137" s="15">
        <v>5</v>
      </c>
      <c r="E137" s="13" t="s">
        <v>27</v>
      </c>
      <c r="F137" s="17" t="s">
        <v>146</v>
      </c>
      <c r="G137" s="13">
        <v>407</v>
      </c>
      <c r="H137" s="19">
        <v>27</v>
      </c>
      <c r="I137" s="19" t="str">
        <f t="shared" si="0"/>
        <v>407-27</v>
      </c>
      <c r="J137" s="17" t="s">
        <v>30</v>
      </c>
      <c r="K137" s="82" t="s">
        <v>49</v>
      </c>
      <c r="L137" s="8" t="b">
        <f t="shared" si="1"/>
        <v>1</v>
      </c>
      <c r="M137" s="8" t="b">
        <f t="shared" si="2"/>
        <v>1</v>
      </c>
      <c r="N137" s="29"/>
      <c r="O137" s="36">
        <v>19209798</v>
      </c>
      <c r="P137" s="18" t="s">
        <v>145</v>
      </c>
      <c r="Q137" s="31" t="s">
        <v>49</v>
      </c>
      <c r="R137" s="31" t="s">
        <v>49</v>
      </c>
      <c r="S137" s="33">
        <v>42585</v>
      </c>
      <c r="T137" s="33">
        <v>35815</v>
      </c>
      <c r="U137" s="31" t="s">
        <v>84</v>
      </c>
      <c r="V137" s="21">
        <v>69</v>
      </c>
      <c r="W137" s="21" t="s">
        <v>25</v>
      </c>
      <c r="X137" s="31"/>
      <c r="Y137" s="21"/>
      <c r="Z137" s="21"/>
      <c r="AA137" s="21"/>
      <c r="AB137" s="18" t="s">
        <v>53</v>
      </c>
      <c r="AC137" s="23" t="s">
        <v>27</v>
      </c>
      <c r="AD137" s="24" t="s">
        <v>146</v>
      </c>
      <c r="AE137" s="34">
        <v>407</v>
      </c>
      <c r="AF137" s="35">
        <v>27</v>
      </c>
      <c r="AG137" s="28" t="s">
        <v>149</v>
      </c>
      <c r="AH137" s="24" t="s">
        <v>30</v>
      </c>
      <c r="AI137" s="2" t="b">
        <f t="shared" si="4"/>
        <v>1</v>
      </c>
    </row>
    <row r="138" spans="1:35" ht="12.75" customHeight="1">
      <c r="A138" s="12">
        <v>137</v>
      </c>
      <c r="B138" s="28"/>
      <c r="C138" s="15" t="s">
        <v>20</v>
      </c>
      <c r="D138" s="15">
        <v>5</v>
      </c>
      <c r="E138" s="13" t="s">
        <v>27</v>
      </c>
      <c r="F138" s="17" t="s">
        <v>146</v>
      </c>
      <c r="G138" s="13">
        <v>407</v>
      </c>
      <c r="H138" s="19">
        <v>26</v>
      </c>
      <c r="I138" s="19" t="str">
        <f t="shared" si="0"/>
        <v>407-26</v>
      </c>
      <c r="J138" s="17" t="s">
        <v>135</v>
      </c>
      <c r="K138" s="26"/>
      <c r="L138" s="8" t="b">
        <f t="shared" si="1"/>
        <v>1</v>
      </c>
      <c r="M138" s="8" t="b">
        <f t="shared" si="2"/>
        <v>1</v>
      </c>
      <c r="N138" s="29"/>
      <c r="O138" s="36"/>
      <c r="P138" s="18" t="s">
        <v>20</v>
      </c>
      <c r="Q138" s="31"/>
      <c r="R138" s="31" t="s">
        <v>20</v>
      </c>
      <c r="S138" s="33" t="s">
        <v>25</v>
      </c>
      <c r="T138" s="33" t="s">
        <v>25</v>
      </c>
      <c r="U138" s="31" t="s">
        <v>25</v>
      </c>
      <c r="V138" s="21" t="s">
        <v>25</v>
      </c>
      <c r="W138" s="21" t="s">
        <v>25</v>
      </c>
      <c r="X138" s="18" t="s">
        <v>20</v>
      </c>
      <c r="Y138" s="21"/>
      <c r="Z138" s="21"/>
      <c r="AA138" s="21"/>
      <c r="AB138" s="18" t="s">
        <v>20</v>
      </c>
      <c r="AC138" s="23" t="s">
        <v>27</v>
      </c>
      <c r="AD138" s="24" t="s">
        <v>146</v>
      </c>
      <c r="AE138" s="34">
        <v>407</v>
      </c>
      <c r="AF138" s="35">
        <v>26</v>
      </c>
      <c r="AG138" s="28" t="s">
        <v>152</v>
      </c>
      <c r="AH138" s="24" t="s">
        <v>135</v>
      </c>
      <c r="AI138" s="2" t="b">
        <f t="shared" si="4"/>
        <v>1</v>
      </c>
    </row>
    <row r="139" spans="1:35" ht="12.75" customHeight="1">
      <c r="A139" s="12">
        <v>138</v>
      </c>
      <c r="B139" s="28"/>
      <c r="C139" s="15" t="s">
        <v>20</v>
      </c>
      <c r="D139" s="15">
        <v>5</v>
      </c>
      <c r="E139" s="13" t="s">
        <v>27</v>
      </c>
      <c r="F139" s="17" t="s">
        <v>146</v>
      </c>
      <c r="G139" s="13">
        <v>407</v>
      </c>
      <c r="H139" s="19">
        <v>24</v>
      </c>
      <c r="I139" s="19" t="str">
        <f t="shared" si="0"/>
        <v>407-24</v>
      </c>
      <c r="J139" s="17" t="s">
        <v>30</v>
      </c>
      <c r="K139" s="26"/>
      <c r="L139" s="8" t="b">
        <f t="shared" si="1"/>
        <v>1</v>
      </c>
      <c r="M139" s="8" t="b">
        <f t="shared" si="2"/>
        <v>1</v>
      </c>
      <c r="N139" s="29"/>
      <c r="O139" s="36"/>
      <c r="P139" s="18" t="s">
        <v>20</v>
      </c>
      <c r="Q139" s="31"/>
      <c r="R139" s="31" t="s">
        <v>20</v>
      </c>
      <c r="S139" s="33" t="s">
        <v>25</v>
      </c>
      <c r="T139" s="33" t="s">
        <v>25</v>
      </c>
      <c r="U139" s="31" t="s">
        <v>25</v>
      </c>
      <c r="V139" s="21" t="s">
        <v>25</v>
      </c>
      <c r="W139" s="21" t="s">
        <v>25</v>
      </c>
      <c r="X139" s="18" t="s">
        <v>20</v>
      </c>
      <c r="Y139" s="21"/>
      <c r="Z139" s="21"/>
      <c r="AA139" s="21"/>
      <c r="AB139" s="18" t="s">
        <v>20</v>
      </c>
      <c r="AC139" s="23" t="s">
        <v>27</v>
      </c>
      <c r="AD139" s="24" t="s">
        <v>146</v>
      </c>
      <c r="AE139" s="34">
        <v>407</v>
      </c>
      <c r="AF139" s="35">
        <v>24</v>
      </c>
      <c r="AG139" s="28" t="s">
        <v>155</v>
      </c>
      <c r="AH139" s="24" t="s">
        <v>30</v>
      </c>
      <c r="AI139" s="2" t="b">
        <f t="shared" si="4"/>
        <v>1</v>
      </c>
    </row>
    <row r="140" spans="1:35" ht="12.75" customHeight="1">
      <c r="A140" s="12">
        <v>139</v>
      </c>
      <c r="B140" s="28">
        <v>79431243</v>
      </c>
      <c r="C140" s="56" t="s">
        <v>162</v>
      </c>
      <c r="D140" s="15">
        <v>5</v>
      </c>
      <c r="E140" s="13" t="s">
        <v>27</v>
      </c>
      <c r="F140" s="17" t="s">
        <v>146</v>
      </c>
      <c r="G140" s="13">
        <v>407</v>
      </c>
      <c r="H140" s="19">
        <v>20</v>
      </c>
      <c r="I140" s="19" t="str">
        <f t="shared" si="0"/>
        <v>407-20</v>
      </c>
      <c r="J140" s="17" t="s">
        <v>30</v>
      </c>
      <c r="K140" s="82" t="s">
        <v>49</v>
      </c>
      <c r="L140" s="8" t="b">
        <f t="shared" si="1"/>
        <v>1</v>
      </c>
      <c r="M140" s="8" t="b">
        <f t="shared" si="2"/>
        <v>1</v>
      </c>
      <c r="N140" s="29"/>
      <c r="O140" s="36">
        <v>79431243</v>
      </c>
      <c r="P140" s="31" t="s">
        <v>162</v>
      </c>
      <c r="Q140" s="31" t="s">
        <v>49</v>
      </c>
      <c r="R140" s="31" t="s">
        <v>49</v>
      </c>
      <c r="S140" s="33">
        <v>42585</v>
      </c>
      <c r="T140" s="33">
        <v>38443</v>
      </c>
      <c r="U140" s="31" t="s">
        <v>84</v>
      </c>
      <c r="V140" s="21">
        <v>55</v>
      </c>
      <c r="W140" s="21" t="s">
        <v>25</v>
      </c>
      <c r="X140" s="31"/>
      <c r="Y140" s="21"/>
      <c r="Z140" s="21"/>
      <c r="AA140" s="21"/>
      <c r="AB140" s="18" t="s">
        <v>53</v>
      </c>
      <c r="AC140" s="23" t="s">
        <v>27</v>
      </c>
      <c r="AD140" s="24" t="s">
        <v>146</v>
      </c>
      <c r="AE140" s="34">
        <v>407</v>
      </c>
      <c r="AF140" s="35">
        <v>20</v>
      </c>
      <c r="AG140" s="28" t="s">
        <v>168</v>
      </c>
      <c r="AH140" s="24" t="s">
        <v>30</v>
      </c>
      <c r="AI140" s="2" t="b">
        <f t="shared" si="4"/>
        <v>1</v>
      </c>
    </row>
    <row r="141" spans="1:35" ht="12.75" customHeight="1">
      <c r="A141" s="12">
        <v>140</v>
      </c>
      <c r="B141" s="28">
        <v>51628413</v>
      </c>
      <c r="C141" s="15" t="s">
        <v>173</v>
      </c>
      <c r="D141" s="15">
        <v>5</v>
      </c>
      <c r="E141" s="13" t="s">
        <v>27</v>
      </c>
      <c r="F141" s="17" t="s">
        <v>146</v>
      </c>
      <c r="G141" s="13">
        <v>407</v>
      </c>
      <c r="H141" s="19">
        <v>20</v>
      </c>
      <c r="I141" s="19" t="str">
        <f t="shared" si="0"/>
        <v>407-20</v>
      </c>
      <c r="J141" s="17" t="s">
        <v>143</v>
      </c>
      <c r="K141" s="82" t="s">
        <v>49</v>
      </c>
      <c r="L141" s="8" t="b">
        <f t="shared" si="1"/>
        <v>1</v>
      </c>
      <c r="M141" s="8" t="b">
        <f t="shared" si="2"/>
        <v>1</v>
      </c>
      <c r="N141" s="29"/>
      <c r="O141" s="36">
        <v>51628413</v>
      </c>
      <c r="P141" s="18" t="s">
        <v>173</v>
      </c>
      <c r="Q141" s="31" t="s">
        <v>49</v>
      </c>
      <c r="R141" s="31" t="s">
        <v>49</v>
      </c>
      <c r="S141" s="33">
        <v>42585</v>
      </c>
      <c r="T141" s="33">
        <v>30587</v>
      </c>
      <c r="U141" s="31" t="s">
        <v>48</v>
      </c>
      <c r="V141" s="21">
        <v>61</v>
      </c>
      <c r="W141" s="21" t="s">
        <v>25</v>
      </c>
      <c r="X141" s="31"/>
      <c r="Y141" s="21"/>
      <c r="Z141" s="21"/>
      <c r="AA141" s="21"/>
      <c r="AB141" s="18" t="s">
        <v>53</v>
      </c>
      <c r="AC141" s="23" t="s">
        <v>27</v>
      </c>
      <c r="AD141" s="24" t="s">
        <v>146</v>
      </c>
      <c r="AE141" s="34">
        <v>407</v>
      </c>
      <c r="AF141" s="35">
        <v>20</v>
      </c>
      <c r="AG141" s="28" t="s">
        <v>168</v>
      </c>
      <c r="AH141" s="24" t="s">
        <v>143</v>
      </c>
      <c r="AI141" s="2" t="b">
        <f t="shared" si="4"/>
        <v>1</v>
      </c>
    </row>
    <row r="142" spans="1:35" ht="12.75" customHeight="1">
      <c r="A142" s="12">
        <v>141</v>
      </c>
      <c r="B142" s="28">
        <v>79138328</v>
      </c>
      <c r="C142" s="56" t="s">
        <v>177</v>
      </c>
      <c r="D142" s="15">
        <v>5</v>
      </c>
      <c r="E142" s="13" t="s">
        <v>27</v>
      </c>
      <c r="F142" s="17" t="s">
        <v>146</v>
      </c>
      <c r="G142" s="13">
        <v>407</v>
      </c>
      <c r="H142" s="19">
        <v>20</v>
      </c>
      <c r="I142" s="19" t="str">
        <f t="shared" si="0"/>
        <v>407-20</v>
      </c>
      <c r="J142" s="17" t="s">
        <v>95</v>
      </c>
      <c r="K142" s="82" t="s">
        <v>49</v>
      </c>
      <c r="L142" s="8" t="b">
        <f t="shared" si="1"/>
        <v>1</v>
      </c>
      <c r="M142" s="8" t="b">
        <f t="shared" si="2"/>
        <v>1</v>
      </c>
      <c r="N142" s="29"/>
      <c r="O142" s="36">
        <v>79138328</v>
      </c>
      <c r="P142" s="31" t="s">
        <v>177</v>
      </c>
      <c r="Q142" s="31" t="s">
        <v>49</v>
      </c>
      <c r="R142" s="31" t="s">
        <v>49</v>
      </c>
      <c r="S142" s="33">
        <v>42585</v>
      </c>
      <c r="T142" s="33">
        <v>34711</v>
      </c>
      <c r="U142" s="31" t="s">
        <v>84</v>
      </c>
      <c r="V142" s="21">
        <v>50</v>
      </c>
      <c r="W142" s="21" t="s">
        <v>25</v>
      </c>
      <c r="X142" s="31"/>
      <c r="Y142" s="21"/>
      <c r="Z142" s="21"/>
      <c r="AA142" s="21"/>
      <c r="AB142" s="18" t="s">
        <v>53</v>
      </c>
      <c r="AC142" s="23" t="s">
        <v>27</v>
      </c>
      <c r="AD142" s="24" t="s">
        <v>146</v>
      </c>
      <c r="AE142" s="34">
        <v>407</v>
      </c>
      <c r="AF142" s="35">
        <v>20</v>
      </c>
      <c r="AG142" s="28" t="s">
        <v>168</v>
      </c>
      <c r="AH142" s="24" t="s">
        <v>95</v>
      </c>
      <c r="AI142" s="2" t="b">
        <f t="shared" si="4"/>
        <v>1</v>
      </c>
    </row>
    <row r="143" spans="1:35" ht="12.75" customHeight="1">
      <c r="A143" s="12">
        <v>142</v>
      </c>
      <c r="B143" s="28">
        <v>35337860</v>
      </c>
      <c r="C143" s="15" t="s">
        <v>187</v>
      </c>
      <c r="D143" s="15">
        <v>5</v>
      </c>
      <c r="E143" s="13" t="s">
        <v>27</v>
      </c>
      <c r="F143" s="17" t="s">
        <v>146</v>
      </c>
      <c r="G143" s="13">
        <v>407</v>
      </c>
      <c r="H143" s="19">
        <v>17</v>
      </c>
      <c r="I143" s="19" t="str">
        <f t="shared" si="0"/>
        <v>407-17</v>
      </c>
      <c r="J143" s="17" t="s">
        <v>30</v>
      </c>
      <c r="K143" s="37" t="s">
        <v>188</v>
      </c>
      <c r="L143" s="8" t="b">
        <f t="shared" si="1"/>
        <v>0</v>
      </c>
      <c r="M143" s="8" t="b">
        <f t="shared" si="2"/>
        <v>1</v>
      </c>
      <c r="N143" s="29"/>
      <c r="O143" s="36"/>
      <c r="P143" s="18" t="s">
        <v>20</v>
      </c>
      <c r="Q143" s="31"/>
      <c r="R143" s="31" t="s">
        <v>20</v>
      </c>
      <c r="S143" s="33" t="s">
        <v>25</v>
      </c>
      <c r="T143" s="33" t="s">
        <v>25</v>
      </c>
      <c r="U143" s="31" t="s">
        <v>25</v>
      </c>
      <c r="V143" s="21" t="s">
        <v>25</v>
      </c>
      <c r="W143" s="21" t="s">
        <v>25</v>
      </c>
      <c r="X143" s="31" t="s">
        <v>20</v>
      </c>
      <c r="Y143" s="21"/>
      <c r="Z143" s="21"/>
      <c r="AA143" s="21"/>
      <c r="AB143" s="18" t="s">
        <v>20</v>
      </c>
      <c r="AC143" s="23" t="s">
        <v>27</v>
      </c>
      <c r="AD143" s="24" t="s">
        <v>146</v>
      </c>
      <c r="AE143" s="34">
        <v>407</v>
      </c>
      <c r="AF143" s="35">
        <v>17</v>
      </c>
      <c r="AG143" s="28" t="s">
        <v>189</v>
      </c>
      <c r="AH143" s="24" t="s">
        <v>30</v>
      </c>
      <c r="AI143" s="2" t="b">
        <f t="shared" si="4"/>
        <v>1</v>
      </c>
    </row>
    <row r="144" spans="1:35" ht="12.75" customHeight="1">
      <c r="A144" s="12">
        <v>143</v>
      </c>
      <c r="B144" s="28">
        <v>80775238</v>
      </c>
      <c r="C144" s="56" t="s">
        <v>190</v>
      </c>
      <c r="D144" s="15">
        <v>5</v>
      </c>
      <c r="E144" s="13" t="s">
        <v>27</v>
      </c>
      <c r="F144" s="17" t="s">
        <v>146</v>
      </c>
      <c r="G144" s="13">
        <v>407</v>
      </c>
      <c r="H144" s="19">
        <v>16</v>
      </c>
      <c r="I144" s="19" t="str">
        <f t="shared" si="0"/>
        <v>407-16</v>
      </c>
      <c r="J144" s="17" t="s">
        <v>30</v>
      </c>
      <c r="K144" s="37" t="s">
        <v>188</v>
      </c>
      <c r="L144" s="8" t="b">
        <f t="shared" si="1"/>
        <v>1</v>
      </c>
      <c r="M144" s="8" t="b">
        <f t="shared" si="2"/>
        <v>1</v>
      </c>
      <c r="N144" s="29"/>
      <c r="O144" s="36">
        <v>80775238</v>
      </c>
      <c r="P144" s="31" t="s">
        <v>190</v>
      </c>
      <c r="Q144" s="31" t="s">
        <v>24</v>
      </c>
      <c r="R144" s="31" t="s">
        <v>192</v>
      </c>
      <c r="S144" s="33">
        <v>42585</v>
      </c>
      <c r="T144" s="33">
        <v>39892</v>
      </c>
      <c r="U144" s="31" t="s">
        <v>84</v>
      </c>
      <c r="V144" s="21">
        <v>36</v>
      </c>
      <c r="W144" s="21" t="s">
        <v>25</v>
      </c>
      <c r="X144" s="31" t="s">
        <v>20</v>
      </c>
      <c r="Y144" s="21"/>
      <c r="Z144" s="21"/>
      <c r="AA144" s="21"/>
      <c r="AB144" s="18" t="s">
        <v>53</v>
      </c>
      <c r="AC144" s="23" t="s">
        <v>27</v>
      </c>
      <c r="AD144" s="24" t="s">
        <v>146</v>
      </c>
      <c r="AE144" s="34">
        <v>407</v>
      </c>
      <c r="AF144" s="35">
        <v>16</v>
      </c>
      <c r="AG144" s="28" t="s">
        <v>193</v>
      </c>
      <c r="AH144" s="24" t="s">
        <v>30</v>
      </c>
      <c r="AI144" s="2" t="b">
        <f t="shared" si="4"/>
        <v>1</v>
      </c>
    </row>
    <row r="145" spans="1:35" ht="12.75" customHeight="1">
      <c r="A145" s="12">
        <v>144</v>
      </c>
      <c r="B145" s="13"/>
      <c r="C145" s="15" t="s">
        <v>20</v>
      </c>
      <c r="D145" s="15">
        <v>5</v>
      </c>
      <c r="E145" s="13" t="s">
        <v>27</v>
      </c>
      <c r="F145" s="17" t="s">
        <v>146</v>
      </c>
      <c r="G145" s="13">
        <v>407</v>
      </c>
      <c r="H145" s="19">
        <v>16</v>
      </c>
      <c r="I145" s="19" t="str">
        <f t="shared" si="0"/>
        <v>407-16</v>
      </c>
      <c r="J145" s="17" t="s">
        <v>115</v>
      </c>
      <c r="K145" s="26"/>
      <c r="L145" s="8" t="b">
        <f t="shared" si="1"/>
        <v>1</v>
      </c>
      <c r="M145" s="8" t="b">
        <f t="shared" si="2"/>
        <v>1</v>
      </c>
      <c r="N145" s="29"/>
      <c r="O145" s="30"/>
      <c r="P145" s="18" t="s">
        <v>20</v>
      </c>
      <c r="Q145" s="31"/>
      <c r="R145" s="31" t="s">
        <v>20</v>
      </c>
      <c r="S145" s="33" t="s">
        <v>25</v>
      </c>
      <c r="T145" s="33" t="s">
        <v>25</v>
      </c>
      <c r="U145" s="31" t="s">
        <v>25</v>
      </c>
      <c r="V145" s="21" t="s">
        <v>25</v>
      </c>
      <c r="W145" s="21" t="s">
        <v>25</v>
      </c>
      <c r="X145" s="18" t="s">
        <v>20</v>
      </c>
      <c r="Y145" s="21"/>
      <c r="Z145" s="21"/>
      <c r="AA145" s="21"/>
      <c r="AB145" s="18" t="s">
        <v>20</v>
      </c>
      <c r="AC145" s="23" t="s">
        <v>27</v>
      </c>
      <c r="AD145" s="24" t="s">
        <v>146</v>
      </c>
      <c r="AE145" s="34">
        <v>407</v>
      </c>
      <c r="AF145" s="35">
        <v>16</v>
      </c>
      <c r="AG145" s="28" t="s">
        <v>193</v>
      </c>
      <c r="AH145" s="24" t="s">
        <v>115</v>
      </c>
      <c r="AI145" s="2" t="b">
        <f t="shared" si="4"/>
        <v>1</v>
      </c>
    </row>
    <row r="146" spans="1:35" ht="12.75" customHeight="1">
      <c r="A146" s="12">
        <v>145</v>
      </c>
      <c r="B146" s="28">
        <v>19443235</v>
      </c>
      <c r="C146" s="56" t="s">
        <v>194</v>
      </c>
      <c r="D146" s="15">
        <v>5</v>
      </c>
      <c r="E146" s="13" t="s">
        <v>27</v>
      </c>
      <c r="F146" s="17" t="s">
        <v>146</v>
      </c>
      <c r="G146" s="13">
        <v>407</v>
      </c>
      <c r="H146" s="19">
        <v>15</v>
      </c>
      <c r="I146" s="19" t="str">
        <f t="shared" si="0"/>
        <v>407-15</v>
      </c>
      <c r="J146" s="17" t="s">
        <v>95</v>
      </c>
      <c r="K146" s="82" t="s">
        <v>49</v>
      </c>
      <c r="L146" s="8" t="b">
        <f t="shared" si="1"/>
        <v>1</v>
      </c>
      <c r="M146" s="8" t="b">
        <f t="shared" si="2"/>
        <v>1</v>
      </c>
      <c r="N146" s="29"/>
      <c r="O146" s="36">
        <v>19443235</v>
      </c>
      <c r="P146" s="31" t="s">
        <v>194</v>
      </c>
      <c r="Q146" s="31" t="s">
        <v>49</v>
      </c>
      <c r="R146" s="31" t="s">
        <v>49</v>
      </c>
      <c r="S146" s="33">
        <v>42585</v>
      </c>
      <c r="T146" s="33">
        <v>33462</v>
      </c>
      <c r="U146" s="31" t="s">
        <v>84</v>
      </c>
      <c r="V146" s="21">
        <v>62</v>
      </c>
      <c r="W146" s="21" t="s">
        <v>25</v>
      </c>
      <c r="X146" s="31"/>
      <c r="Y146" s="21"/>
      <c r="Z146" s="21"/>
      <c r="AA146" s="21"/>
      <c r="AB146" s="18" t="s">
        <v>53</v>
      </c>
      <c r="AC146" s="23" t="s">
        <v>27</v>
      </c>
      <c r="AD146" s="24" t="s">
        <v>146</v>
      </c>
      <c r="AE146" s="34">
        <v>407</v>
      </c>
      <c r="AF146" s="35">
        <v>15</v>
      </c>
      <c r="AG146" s="28" t="s">
        <v>195</v>
      </c>
      <c r="AH146" s="24" t="s">
        <v>95</v>
      </c>
      <c r="AI146" s="2" t="b">
        <f t="shared" si="4"/>
        <v>1</v>
      </c>
    </row>
    <row r="147" spans="1:35" ht="12.75" customHeight="1">
      <c r="A147" s="12">
        <v>146</v>
      </c>
      <c r="B147" s="28">
        <v>41713009</v>
      </c>
      <c r="C147" s="56" t="s">
        <v>196</v>
      </c>
      <c r="D147" s="15">
        <v>5</v>
      </c>
      <c r="E147" s="13" t="s">
        <v>27</v>
      </c>
      <c r="F147" s="17" t="s">
        <v>146</v>
      </c>
      <c r="G147" s="13">
        <v>407</v>
      </c>
      <c r="H147" s="19">
        <v>15</v>
      </c>
      <c r="I147" s="19" t="str">
        <f t="shared" si="0"/>
        <v>407-15</v>
      </c>
      <c r="J147" s="17" t="s">
        <v>95</v>
      </c>
      <c r="K147" s="82" t="s">
        <v>49</v>
      </c>
      <c r="L147" s="8" t="b">
        <f t="shared" si="1"/>
        <v>1</v>
      </c>
      <c r="M147" s="8" t="b">
        <f t="shared" si="2"/>
        <v>1</v>
      </c>
      <c r="N147" s="29"/>
      <c r="O147" s="36">
        <v>41713009</v>
      </c>
      <c r="P147" s="31" t="s">
        <v>196</v>
      </c>
      <c r="Q147" s="31" t="s">
        <v>49</v>
      </c>
      <c r="R147" s="31" t="s">
        <v>49</v>
      </c>
      <c r="S147" s="33">
        <v>42585</v>
      </c>
      <c r="T147" s="33">
        <v>34169</v>
      </c>
      <c r="U147" s="31" t="s">
        <v>48</v>
      </c>
      <c r="V147" s="21">
        <v>67</v>
      </c>
      <c r="W147" s="21" t="s">
        <v>25</v>
      </c>
      <c r="X147" s="31"/>
      <c r="Y147" s="21"/>
      <c r="Z147" s="21"/>
      <c r="AA147" s="21"/>
      <c r="AB147" s="18" t="s">
        <v>53</v>
      </c>
      <c r="AC147" s="23" t="s">
        <v>27</v>
      </c>
      <c r="AD147" s="24" t="s">
        <v>146</v>
      </c>
      <c r="AE147" s="34">
        <v>407</v>
      </c>
      <c r="AF147" s="35">
        <v>15</v>
      </c>
      <c r="AG147" s="28" t="s">
        <v>195</v>
      </c>
      <c r="AH147" s="24" t="s">
        <v>95</v>
      </c>
      <c r="AI147" s="2" t="b">
        <f t="shared" si="4"/>
        <v>1</v>
      </c>
    </row>
    <row r="148" spans="1:35" ht="12.75" customHeight="1">
      <c r="A148" s="12">
        <v>147</v>
      </c>
      <c r="B148" s="28">
        <v>41774744</v>
      </c>
      <c r="C148" s="56" t="s">
        <v>198</v>
      </c>
      <c r="D148" s="15">
        <v>5</v>
      </c>
      <c r="E148" s="13" t="s">
        <v>27</v>
      </c>
      <c r="F148" s="17" t="s">
        <v>146</v>
      </c>
      <c r="G148" s="13">
        <v>407</v>
      </c>
      <c r="H148" s="19">
        <v>15</v>
      </c>
      <c r="I148" s="19" t="str">
        <f t="shared" si="0"/>
        <v>407-15</v>
      </c>
      <c r="J148" s="17" t="s">
        <v>95</v>
      </c>
      <c r="K148" s="82" t="s">
        <v>49</v>
      </c>
      <c r="L148" s="8" t="b">
        <f t="shared" si="1"/>
        <v>1</v>
      </c>
      <c r="M148" s="8" t="b">
        <f t="shared" si="2"/>
        <v>1</v>
      </c>
      <c r="N148" s="29"/>
      <c r="O148" s="36">
        <v>41774744</v>
      </c>
      <c r="P148" s="31" t="s">
        <v>198</v>
      </c>
      <c r="Q148" s="31" t="s">
        <v>49</v>
      </c>
      <c r="R148" s="31" t="s">
        <v>49</v>
      </c>
      <c r="S148" s="33">
        <v>42585</v>
      </c>
      <c r="T148" s="33">
        <v>36102</v>
      </c>
      <c r="U148" s="31" t="s">
        <v>48</v>
      </c>
      <c r="V148" s="21">
        <v>65</v>
      </c>
      <c r="W148" s="21" t="s">
        <v>25</v>
      </c>
      <c r="X148" s="31"/>
      <c r="Y148" s="21"/>
      <c r="Z148" s="21"/>
      <c r="AA148" s="21"/>
      <c r="AB148" s="18" t="s">
        <v>53</v>
      </c>
      <c r="AC148" s="23" t="s">
        <v>27</v>
      </c>
      <c r="AD148" s="24" t="s">
        <v>146</v>
      </c>
      <c r="AE148" s="34">
        <v>407</v>
      </c>
      <c r="AF148" s="35">
        <v>15</v>
      </c>
      <c r="AG148" s="28" t="s">
        <v>195</v>
      </c>
      <c r="AH148" s="24" t="s">
        <v>95</v>
      </c>
      <c r="AI148" s="2" t="b">
        <f t="shared" si="4"/>
        <v>1</v>
      </c>
    </row>
    <row r="149" spans="1:35" ht="12.75" customHeight="1">
      <c r="A149" s="12">
        <v>148</v>
      </c>
      <c r="B149" s="28">
        <v>52235989</v>
      </c>
      <c r="C149" s="56" t="s">
        <v>200</v>
      </c>
      <c r="D149" s="15">
        <v>5</v>
      </c>
      <c r="E149" s="13" t="s">
        <v>27</v>
      </c>
      <c r="F149" s="17" t="s">
        <v>146</v>
      </c>
      <c r="G149" s="13">
        <v>407</v>
      </c>
      <c r="H149" s="19">
        <v>15</v>
      </c>
      <c r="I149" s="19" t="str">
        <f t="shared" si="0"/>
        <v>407-15</v>
      </c>
      <c r="J149" s="17" t="s">
        <v>135</v>
      </c>
      <c r="K149" s="82" t="s">
        <v>49</v>
      </c>
      <c r="L149" s="8" t="b">
        <f t="shared" si="1"/>
        <v>1</v>
      </c>
      <c r="M149" s="8" t="b">
        <f t="shared" si="2"/>
        <v>1</v>
      </c>
      <c r="N149" s="29"/>
      <c r="O149" s="36">
        <v>52235989</v>
      </c>
      <c r="P149" s="31" t="s">
        <v>200</v>
      </c>
      <c r="Q149" s="31" t="s">
        <v>49</v>
      </c>
      <c r="R149" s="31" t="s">
        <v>49</v>
      </c>
      <c r="S149" s="33">
        <v>42585</v>
      </c>
      <c r="T149" s="33">
        <v>38446</v>
      </c>
      <c r="U149" s="31" t="s">
        <v>48</v>
      </c>
      <c r="V149" s="21">
        <v>43</v>
      </c>
      <c r="W149" s="21" t="s">
        <v>25</v>
      </c>
      <c r="X149" s="31"/>
      <c r="Y149" s="21"/>
      <c r="Z149" s="21"/>
      <c r="AA149" s="21"/>
      <c r="AB149" s="18" t="s">
        <v>53</v>
      </c>
      <c r="AC149" s="23" t="s">
        <v>27</v>
      </c>
      <c r="AD149" s="24" t="s">
        <v>146</v>
      </c>
      <c r="AE149" s="34">
        <v>407</v>
      </c>
      <c r="AF149" s="35">
        <v>15</v>
      </c>
      <c r="AG149" s="28" t="s">
        <v>195</v>
      </c>
      <c r="AH149" s="24" t="s">
        <v>135</v>
      </c>
      <c r="AI149" s="2" t="b">
        <f t="shared" si="4"/>
        <v>1</v>
      </c>
    </row>
    <row r="150" spans="1:35" ht="12.75" customHeight="1">
      <c r="A150" s="12">
        <v>149</v>
      </c>
      <c r="B150" s="28">
        <v>51732443</v>
      </c>
      <c r="C150" s="56" t="s">
        <v>202</v>
      </c>
      <c r="D150" s="15">
        <v>5</v>
      </c>
      <c r="E150" s="13" t="s">
        <v>27</v>
      </c>
      <c r="F150" s="17" t="s">
        <v>146</v>
      </c>
      <c r="G150" s="13">
        <v>407</v>
      </c>
      <c r="H150" s="19">
        <v>15</v>
      </c>
      <c r="I150" s="19" t="str">
        <f t="shared" si="0"/>
        <v>407-15</v>
      </c>
      <c r="J150" s="17" t="s">
        <v>135</v>
      </c>
      <c r="K150" s="82" t="s">
        <v>49</v>
      </c>
      <c r="L150" s="8" t="b">
        <f t="shared" si="1"/>
        <v>1</v>
      </c>
      <c r="M150" s="8" t="b">
        <f t="shared" si="2"/>
        <v>1</v>
      </c>
      <c r="N150" s="29"/>
      <c r="O150" s="36">
        <v>51732443</v>
      </c>
      <c r="P150" s="31" t="s">
        <v>202</v>
      </c>
      <c r="Q150" s="31" t="s">
        <v>49</v>
      </c>
      <c r="R150" s="31" t="s">
        <v>49</v>
      </c>
      <c r="S150" s="33">
        <v>42585</v>
      </c>
      <c r="T150" s="33">
        <v>40672</v>
      </c>
      <c r="U150" s="31" t="s">
        <v>48</v>
      </c>
      <c r="V150" s="21">
        <v>58</v>
      </c>
      <c r="W150" s="21" t="s">
        <v>25</v>
      </c>
      <c r="X150" s="31"/>
      <c r="Y150" s="21"/>
      <c r="Z150" s="21"/>
      <c r="AA150" s="21"/>
      <c r="AB150" s="18" t="s">
        <v>53</v>
      </c>
      <c r="AC150" s="23" t="s">
        <v>27</v>
      </c>
      <c r="AD150" s="24" t="s">
        <v>146</v>
      </c>
      <c r="AE150" s="34">
        <v>407</v>
      </c>
      <c r="AF150" s="35">
        <v>15</v>
      </c>
      <c r="AG150" s="28" t="s">
        <v>195</v>
      </c>
      <c r="AH150" s="24" t="s">
        <v>135</v>
      </c>
      <c r="AI150" s="2" t="b">
        <f t="shared" si="4"/>
        <v>1</v>
      </c>
    </row>
    <row r="151" spans="1:35" ht="12.75" customHeight="1">
      <c r="A151" s="12">
        <v>150</v>
      </c>
      <c r="B151" s="91">
        <v>79262614</v>
      </c>
      <c r="C151" s="92" t="s">
        <v>204</v>
      </c>
      <c r="D151" s="15">
        <v>5</v>
      </c>
      <c r="E151" s="13" t="s">
        <v>27</v>
      </c>
      <c r="F151" s="17" t="s">
        <v>146</v>
      </c>
      <c r="G151" s="13">
        <v>407</v>
      </c>
      <c r="H151" s="19">
        <v>14</v>
      </c>
      <c r="I151" s="19" t="str">
        <f t="shared" si="0"/>
        <v>407-14</v>
      </c>
      <c r="J151" s="17" t="s">
        <v>30</v>
      </c>
      <c r="K151" s="82" t="s">
        <v>49</v>
      </c>
      <c r="L151" s="8" t="b">
        <f t="shared" si="1"/>
        <v>1</v>
      </c>
      <c r="M151" s="8" t="b">
        <f t="shared" si="2"/>
        <v>1</v>
      </c>
      <c r="N151" s="29"/>
      <c r="O151" s="36">
        <v>79262614</v>
      </c>
      <c r="P151" s="31" t="s">
        <v>204</v>
      </c>
      <c r="Q151" s="31" t="s">
        <v>49</v>
      </c>
      <c r="R151" s="31" t="s">
        <v>49</v>
      </c>
      <c r="S151" s="33">
        <v>42585</v>
      </c>
      <c r="T151" s="33">
        <v>35906</v>
      </c>
      <c r="U151" s="31" t="s">
        <v>84</v>
      </c>
      <c r="V151" s="21">
        <v>59</v>
      </c>
      <c r="W151" s="21" t="s">
        <v>25</v>
      </c>
      <c r="X151" s="31"/>
      <c r="Y151" s="21"/>
      <c r="Z151" s="21"/>
      <c r="AA151" s="21"/>
      <c r="AB151" s="18" t="s">
        <v>53</v>
      </c>
      <c r="AC151" s="23" t="s">
        <v>27</v>
      </c>
      <c r="AD151" s="24" t="s">
        <v>146</v>
      </c>
      <c r="AE151" s="34">
        <v>407</v>
      </c>
      <c r="AF151" s="35">
        <v>14</v>
      </c>
      <c r="AG151" s="28" t="s">
        <v>209</v>
      </c>
      <c r="AH151" s="24" t="s">
        <v>30</v>
      </c>
      <c r="AI151" s="2" t="b">
        <f t="shared" si="4"/>
        <v>1</v>
      </c>
    </row>
    <row r="152" spans="1:35" ht="12.75" customHeight="1">
      <c r="A152" s="12">
        <v>151</v>
      </c>
      <c r="B152" s="28">
        <v>51882380</v>
      </c>
      <c r="C152" s="56" t="s">
        <v>211</v>
      </c>
      <c r="D152" s="15">
        <v>5</v>
      </c>
      <c r="E152" s="13" t="s">
        <v>27</v>
      </c>
      <c r="F152" s="17" t="s">
        <v>146</v>
      </c>
      <c r="G152" s="13">
        <v>407</v>
      </c>
      <c r="H152" s="19">
        <v>13</v>
      </c>
      <c r="I152" s="19" t="str">
        <f t="shared" si="0"/>
        <v>407-13</v>
      </c>
      <c r="J152" s="17" t="s">
        <v>30</v>
      </c>
      <c r="K152" s="82" t="s">
        <v>49</v>
      </c>
      <c r="L152" s="8" t="b">
        <f t="shared" si="1"/>
        <v>1</v>
      </c>
      <c r="M152" s="8" t="b">
        <f t="shared" si="2"/>
        <v>1</v>
      </c>
      <c r="N152" s="29"/>
      <c r="O152" s="36">
        <v>51882380</v>
      </c>
      <c r="P152" s="31" t="s">
        <v>211</v>
      </c>
      <c r="Q152" s="31" t="s">
        <v>49</v>
      </c>
      <c r="R152" s="31" t="s">
        <v>49</v>
      </c>
      <c r="S152" s="33">
        <v>42585</v>
      </c>
      <c r="T152" s="33">
        <v>33672</v>
      </c>
      <c r="U152" s="31" t="s">
        <v>48</v>
      </c>
      <c r="V152" s="21">
        <v>56</v>
      </c>
      <c r="W152" s="21" t="s">
        <v>25</v>
      </c>
      <c r="X152" s="31"/>
      <c r="Y152" s="21"/>
      <c r="Z152" s="21"/>
      <c r="AA152" s="21"/>
      <c r="AB152" s="18" t="s">
        <v>53</v>
      </c>
      <c r="AC152" s="23" t="s">
        <v>27</v>
      </c>
      <c r="AD152" s="24" t="s">
        <v>146</v>
      </c>
      <c r="AE152" s="34">
        <v>407</v>
      </c>
      <c r="AF152" s="35">
        <v>13</v>
      </c>
      <c r="AG152" s="28" t="s">
        <v>212</v>
      </c>
      <c r="AH152" s="24" t="s">
        <v>30</v>
      </c>
      <c r="AI152" s="2" t="b">
        <f t="shared" si="4"/>
        <v>1</v>
      </c>
    </row>
    <row r="153" spans="1:35" ht="12.75" customHeight="1">
      <c r="A153" s="12">
        <v>152</v>
      </c>
      <c r="B153" s="28">
        <v>79468462</v>
      </c>
      <c r="C153" s="56" t="s">
        <v>214</v>
      </c>
      <c r="D153" s="15">
        <v>5</v>
      </c>
      <c r="E153" s="13" t="s">
        <v>27</v>
      </c>
      <c r="F153" s="17" t="s">
        <v>146</v>
      </c>
      <c r="G153" s="13">
        <v>407</v>
      </c>
      <c r="H153" s="19">
        <v>11</v>
      </c>
      <c r="I153" s="19" t="str">
        <f t="shared" si="0"/>
        <v>407-11</v>
      </c>
      <c r="J153" s="17" t="s">
        <v>30</v>
      </c>
      <c r="K153" s="82" t="s">
        <v>49</v>
      </c>
      <c r="L153" s="8" t="b">
        <f t="shared" si="1"/>
        <v>1</v>
      </c>
      <c r="M153" s="8" t="b">
        <f t="shared" si="2"/>
        <v>1</v>
      </c>
      <c r="N153" s="29"/>
      <c r="O153" s="36">
        <v>79468462</v>
      </c>
      <c r="P153" s="31" t="s">
        <v>214</v>
      </c>
      <c r="Q153" s="31" t="s">
        <v>49</v>
      </c>
      <c r="R153" s="31" t="s">
        <v>49</v>
      </c>
      <c r="S153" s="33">
        <v>42585</v>
      </c>
      <c r="T153" s="33">
        <v>35506</v>
      </c>
      <c r="U153" s="31" t="s">
        <v>84</v>
      </c>
      <c r="V153" s="21">
        <v>53</v>
      </c>
      <c r="W153" s="21" t="s">
        <v>25</v>
      </c>
      <c r="X153" s="31"/>
      <c r="Y153" s="21"/>
      <c r="Z153" s="21"/>
      <c r="AA153" s="21"/>
      <c r="AB153" s="18" t="s">
        <v>53</v>
      </c>
      <c r="AC153" s="23" t="s">
        <v>27</v>
      </c>
      <c r="AD153" s="24" t="s">
        <v>146</v>
      </c>
      <c r="AE153" s="34">
        <v>407</v>
      </c>
      <c r="AF153" s="35">
        <v>11</v>
      </c>
      <c r="AG153" s="28" t="s">
        <v>215</v>
      </c>
      <c r="AH153" s="24" t="s">
        <v>30</v>
      </c>
      <c r="AI153" s="2" t="b">
        <f t="shared" si="4"/>
        <v>1</v>
      </c>
    </row>
    <row r="154" spans="1:35" ht="12.75" customHeight="1">
      <c r="A154" s="12">
        <v>153</v>
      </c>
      <c r="B154" s="28">
        <v>41780136</v>
      </c>
      <c r="C154" s="56" t="s">
        <v>216</v>
      </c>
      <c r="D154" s="15">
        <v>5</v>
      </c>
      <c r="E154" s="13" t="s">
        <v>27</v>
      </c>
      <c r="F154" s="17" t="s">
        <v>146</v>
      </c>
      <c r="G154" s="13">
        <v>407</v>
      </c>
      <c r="H154" s="19">
        <v>11</v>
      </c>
      <c r="I154" s="19" t="str">
        <f t="shared" si="0"/>
        <v>407-11</v>
      </c>
      <c r="J154" s="17" t="s">
        <v>30</v>
      </c>
      <c r="K154" s="82" t="s">
        <v>49</v>
      </c>
      <c r="L154" s="8" t="b">
        <f t="shared" si="1"/>
        <v>1</v>
      </c>
      <c r="M154" s="8" t="b">
        <f t="shared" si="2"/>
        <v>1</v>
      </c>
      <c r="N154" s="29"/>
      <c r="O154" s="36">
        <v>41780136</v>
      </c>
      <c r="P154" s="31" t="s">
        <v>216</v>
      </c>
      <c r="Q154" s="31" t="s">
        <v>49</v>
      </c>
      <c r="R154" s="31" t="s">
        <v>49</v>
      </c>
      <c r="S154" s="33">
        <v>42585</v>
      </c>
      <c r="T154" s="33">
        <v>34872</v>
      </c>
      <c r="U154" s="31" t="s">
        <v>48</v>
      </c>
      <c r="V154" s="21">
        <v>62</v>
      </c>
      <c r="W154" s="21" t="s">
        <v>25</v>
      </c>
      <c r="X154" s="31"/>
      <c r="Y154" s="21"/>
      <c r="Z154" s="21"/>
      <c r="AA154" s="21"/>
      <c r="AB154" s="18" t="s">
        <v>53</v>
      </c>
      <c r="AC154" s="23" t="s">
        <v>27</v>
      </c>
      <c r="AD154" s="24" t="s">
        <v>146</v>
      </c>
      <c r="AE154" s="34">
        <v>407</v>
      </c>
      <c r="AF154" s="35">
        <v>11</v>
      </c>
      <c r="AG154" s="28" t="s">
        <v>215</v>
      </c>
      <c r="AH154" s="24" t="s">
        <v>30</v>
      </c>
      <c r="AI154" s="2" t="b">
        <f t="shared" si="4"/>
        <v>1</v>
      </c>
    </row>
    <row r="155" spans="1:35" ht="12.75" customHeight="1">
      <c r="A155" s="12">
        <v>154</v>
      </c>
      <c r="B155" s="28">
        <v>51623332</v>
      </c>
      <c r="C155" s="56" t="s">
        <v>220</v>
      </c>
      <c r="D155" s="15">
        <v>5</v>
      </c>
      <c r="E155" s="13" t="s">
        <v>27</v>
      </c>
      <c r="F155" s="17" t="s">
        <v>146</v>
      </c>
      <c r="G155" s="13">
        <v>407</v>
      </c>
      <c r="H155" s="19">
        <v>9</v>
      </c>
      <c r="I155" s="19" t="str">
        <f t="shared" si="0"/>
        <v>407-9</v>
      </c>
      <c r="J155" s="17" t="s">
        <v>68</v>
      </c>
      <c r="K155" s="82" t="s">
        <v>49</v>
      </c>
      <c r="L155" s="8" t="b">
        <f t="shared" si="1"/>
        <v>1</v>
      </c>
      <c r="M155" s="8" t="b">
        <f t="shared" si="2"/>
        <v>1</v>
      </c>
      <c r="N155" s="29"/>
      <c r="O155" s="36">
        <v>51623332</v>
      </c>
      <c r="P155" s="31" t="s">
        <v>220</v>
      </c>
      <c r="Q155" s="31" t="s">
        <v>49</v>
      </c>
      <c r="R155" s="31" t="s">
        <v>49</v>
      </c>
      <c r="S155" s="33">
        <v>42585</v>
      </c>
      <c r="T155" s="33">
        <v>33717</v>
      </c>
      <c r="U155" s="31" t="s">
        <v>48</v>
      </c>
      <c r="V155" s="21">
        <v>61</v>
      </c>
      <c r="W155" s="21" t="s">
        <v>25</v>
      </c>
      <c r="X155" s="31"/>
      <c r="Y155" s="21"/>
      <c r="Z155" s="21"/>
      <c r="AA155" s="21"/>
      <c r="AB155" s="18" t="s">
        <v>53</v>
      </c>
      <c r="AC155" s="23" t="s">
        <v>27</v>
      </c>
      <c r="AD155" s="24" t="s">
        <v>146</v>
      </c>
      <c r="AE155" s="34">
        <v>407</v>
      </c>
      <c r="AF155" s="35">
        <v>9</v>
      </c>
      <c r="AG155" s="28" t="s">
        <v>221</v>
      </c>
      <c r="AH155" s="24" t="s">
        <v>68</v>
      </c>
      <c r="AI155" s="2" t="b">
        <f t="shared" si="4"/>
        <v>1</v>
      </c>
    </row>
    <row r="156" spans="1:35" ht="12.75" customHeight="1">
      <c r="A156" s="12">
        <v>155</v>
      </c>
      <c r="B156" s="28">
        <v>79048737</v>
      </c>
      <c r="C156" s="15" t="s">
        <v>222</v>
      </c>
      <c r="D156" s="15">
        <v>5</v>
      </c>
      <c r="E156" s="13" t="s">
        <v>27</v>
      </c>
      <c r="F156" s="17" t="s">
        <v>223</v>
      </c>
      <c r="G156" s="13">
        <v>480</v>
      </c>
      <c r="H156" s="19">
        <v>13</v>
      </c>
      <c r="I156" s="19" t="str">
        <f t="shared" si="0"/>
        <v>480-13</v>
      </c>
      <c r="J156" s="17" t="s">
        <v>30</v>
      </c>
      <c r="K156" s="82" t="s">
        <v>49</v>
      </c>
      <c r="L156" s="8" t="b">
        <f t="shared" si="1"/>
        <v>1</v>
      </c>
      <c r="M156" s="8" t="b">
        <f t="shared" si="2"/>
        <v>1</v>
      </c>
      <c r="N156" s="29"/>
      <c r="O156" s="36">
        <v>79048737</v>
      </c>
      <c r="P156" s="18" t="s">
        <v>222</v>
      </c>
      <c r="Q156" s="31" t="s">
        <v>49</v>
      </c>
      <c r="R156" s="31" t="s">
        <v>49</v>
      </c>
      <c r="S156" s="33">
        <v>42585</v>
      </c>
      <c r="T156" s="33">
        <v>35926</v>
      </c>
      <c r="U156" s="31" t="s">
        <v>84</v>
      </c>
      <c r="V156" s="21">
        <v>57</v>
      </c>
      <c r="W156" s="21" t="s">
        <v>25</v>
      </c>
      <c r="X156" s="31"/>
      <c r="Y156" s="21"/>
      <c r="Z156" s="21"/>
      <c r="AA156" s="21"/>
      <c r="AB156" s="18" t="s">
        <v>53</v>
      </c>
      <c r="AC156" s="23" t="s">
        <v>27</v>
      </c>
      <c r="AD156" s="24" t="s">
        <v>223</v>
      </c>
      <c r="AE156" s="34">
        <v>480</v>
      </c>
      <c r="AF156" s="35">
        <v>13</v>
      </c>
      <c r="AG156" s="28" t="s">
        <v>226</v>
      </c>
      <c r="AH156" s="24" t="s">
        <v>30</v>
      </c>
      <c r="AI156" s="2" t="b">
        <f t="shared" si="4"/>
        <v>1</v>
      </c>
    </row>
    <row r="157" spans="1:35" ht="12.75" customHeight="1">
      <c r="A157" s="12">
        <v>156</v>
      </c>
      <c r="B157" s="13"/>
      <c r="C157" s="15" t="s">
        <v>20</v>
      </c>
      <c r="D157" s="15">
        <v>5</v>
      </c>
      <c r="E157" s="13" t="s">
        <v>27</v>
      </c>
      <c r="F157" s="17" t="s">
        <v>223</v>
      </c>
      <c r="G157" s="13">
        <v>480</v>
      </c>
      <c r="H157" s="19">
        <v>13</v>
      </c>
      <c r="I157" s="19" t="str">
        <f t="shared" si="0"/>
        <v>480-13</v>
      </c>
      <c r="J157" s="17" t="s">
        <v>30</v>
      </c>
      <c r="K157" s="26"/>
      <c r="L157" s="8" t="b">
        <f t="shared" si="1"/>
        <v>0</v>
      </c>
      <c r="M157" s="8" t="b">
        <f t="shared" si="2"/>
        <v>1</v>
      </c>
      <c r="N157" s="29"/>
      <c r="O157" s="30">
        <v>79271403</v>
      </c>
      <c r="P157" s="18" t="s">
        <v>231</v>
      </c>
      <c r="Q157" s="31" t="s">
        <v>24</v>
      </c>
      <c r="R157" s="31" t="s">
        <v>192</v>
      </c>
      <c r="S157" s="33">
        <v>42608</v>
      </c>
      <c r="T157" s="33">
        <v>42608</v>
      </c>
      <c r="U157" s="31" t="s">
        <v>84</v>
      </c>
      <c r="V157" s="21">
        <v>59</v>
      </c>
      <c r="W157" s="21" t="s">
        <v>25</v>
      </c>
      <c r="X157" s="18" t="s">
        <v>20</v>
      </c>
      <c r="Y157" s="21"/>
      <c r="Z157" s="21"/>
      <c r="AA157" s="21"/>
      <c r="AB157" s="18" t="s">
        <v>53</v>
      </c>
      <c r="AC157" s="23" t="s">
        <v>27</v>
      </c>
      <c r="AD157" s="24" t="s">
        <v>223</v>
      </c>
      <c r="AE157" s="34">
        <v>480</v>
      </c>
      <c r="AF157" s="35">
        <v>13</v>
      </c>
      <c r="AG157" s="28" t="s">
        <v>226</v>
      </c>
      <c r="AH157" s="24" t="s">
        <v>30</v>
      </c>
      <c r="AI157" s="2" t="b">
        <f t="shared" si="4"/>
        <v>1</v>
      </c>
    </row>
    <row r="158" spans="1:35" ht="12.75" customHeight="1">
      <c r="A158" s="12">
        <v>157</v>
      </c>
      <c r="B158" s="13"/>
      <c r="C158" s="15" t="s">
        <v>20</v>
      </c>
      <c r="D158" s="15">
        <v>5</v>
      </c>
      <c r="E158" s="13" t="s">
        <v>27</v>
      </c>
      <c r="F158" s="17" t="s">
        <v>223</v>
      </c>
      <c r="G158" s="13">
        <v>480</v>
      </c>
      <c r="H158" s="19">
        <v>13</v>
      </c>
      <c r="I158" s="19" t="str">
        <f t="shared" si="0"/>
        <v>480-13</v>
      </c>
      <c r="J158" s="17" t="s">
        <v>30</v>
      </c>
      <c r="K158" s="26"/>
      <c r="L158" s="8" t="b">
        <f t="shared" si="1"/>
        <v>0</v>
      </c>
      <c r="M158" s="8" t="b">
        <f t="shared" si="2"/>
        <v>1</v>
      </c>
      <c r="N158" s="29"/>
      <c r="O158" s="30">
        <v>79740255</v>
      </c>
      <c r="P158" s="18" t="s">
        <v>233</v>
      </c>
      <c r="Q158" s="31" t="s">
        <v>24</v>
      </c>
      <c r="R158" s="31" t="s">
        <v>192</v>
      </c>
      <c r="S158" s="33">
        <v>42608</v>
      </c>
      <c r="T158" s="33">
        <v>42608</v>
      </c>
      <c r="U158" s="31" t="s">
        <v>84</v>
      </c>
      <c r="V158" s="21">
        <v>46</v>
      </c>
      <c r="W158" s="21" t="s">
        <v>25</v>
      </c>
      <c r="X158" s="18" t="s">
        <v>20</v>
      </c>
      <c r="Y158" s="21"/>
      <c r="Z158" s="21"/>
      <c r="AA158" s="21"/>
      <c r="AB158" s="18" t="s">
        <v>53</v>
      </c>
      <c r="AC158" s="23" t="s">
        <v>27</v>
      </c>
      <c r="AD158" s="24" t="s">
        <v>223</v>
      </c>
      <c r="AE158" s="34">
        <v>480</v>
      </c>
      <c r="AF158" s="35">
        <v>13</v>
      </c>
      <c r="AG158" s="28" t="s">
        <v>226</v>
      </c>
      <c r="AH158" s="24" t="s">
        <v>30</v>
      </c>
      <c r="AI158" s="2" t="b">
        <f t="shared" si="4"/>
        <v>1</v>
      </c>
    </row>
    <row r="159" spans="1:35" ht="12.75" customHeight="1">
      <c r="A159" s="12">
        <v>158</v>
      </c>
      <c r="B159" s="28">
        <v>52557124</v>
      </c>
      <c r="C159" s="56" t="s">
        <v>234</v>
      </c>
      <c r="D159" s="15">
        <v>5</v>
      </c>
      <c r="E159" s="13" t="s">
        <v>27</v>
      </c>
      <c r="F159" s="17" t="s">
        <v>29</v>
      </c>
      <c r="G159" s="13">
        <v>440</v>
      </c>
      <c r="H159" s="19">
        <v>19</v>
      </c>
      <c r="I159" s="19" t="str">
        <f t="shared" si="0"/>
        <v>440-19</v>
      </c>
      <c r="J159" s="17" t="s">
        <v>95</v>
      </c>
      <c r="K159" s="82" t="s">
        <v>49</v>
      </c>
      <c r="L159" s="8" t="b">
        <f t="shared" si="1"/>
        <v>1</v>
      </c>
      <c r="M159" s="8" t="b">
        <f t="shared" si="2"/>
        <v>1</v>
      </c>
      <c r="N159" s="29"/>
      <c r="O159" s="36">
        <v>52557124</v>
      </c>
      <c r="P159" s="31" t="s">
        <v>234</v>
      </c>
      <c r="Q159" s="31" t="s">
        <v>49</v>
      </c>
      <c r="R159" s="31" t="s">
        <v>49</v>
      </c>
      <c r="S159" s="33">
        <v>42585</v>
      </c>
      <c r="T159" s="33">
        <v>36307</v>
      </c>
      <c r="U159" s="31" t="s">
        <v>48</v>
      </c>
      <c r="V159" s="21">
        <v>50</v>
      </c>
      <c r="W159" s="21" t="s">
        <v>25</v>
      </c>
      <c r="X159" s="31"/>
      <c r="Y159" s="21"/>
      <c r="Z159" s="21"/>
      <c r="AA159" s="21"/>
      <c r="AB159" s="18" t="s">
        <v>53</v>
      </c>
      <c r="AC159" s="23" t="s">
        <v>27</v>
      </c>
      <c r="AD159" s="24" t="s">
        <v>29</v>
      </c>
      <c r="AE159" s="34">
        <v>440</v>
      </c>
      <c r="AF159" s="35">
        <v>19</v>
      </c>
      <c r="AG159" s="28" t="s">
        <v>240</v>
      </c>
      <c r="AH159" s="24" t="s">
        <v>95</v>
      </c>
      <c r="AI159" s="2" t="b">
        <f t="shared" si="4"/>
        <v>1</v>
      </c>
    </row>
    <row r="160" spans="1:35" ht="12.75" customHeight="1">
      <c r="A160" s="12">
        <v>159</v>
      </c>
      <c r="B160" s="23">
        <v>52033959</v>
      </c>
      <c r="C160" s="15" t="s">
        <v>241</v>
      </c>
      <c r="D160" s="15">
        <v>5</v>
      </c>
      <c r="E160" s="13" t="s">
        <v>27</v>
      </c>
      <c r="F160" s="17" t="s">
        <v>29</v>
      </c>
      <c r="G160" s="13">
        <v>440</v>
      </c>
      <c r="H160" s="19">
        <v>11</v>
      </c>
      <c r="I160" s="19" t="str">
        <f t="shared" si="0"/>
        <v>440-11</v>
      </c>
      <c r="J160" s="17" t="s">
        <v>113</v>
      </c>
      <c r="K160" s="37" t="s">
        <v>188</v>
      </c>
      <c r="L160" s="8" t="b">
        <f t="shared" si="1"/>
        <v>1</v>
      </c>
      <c r="M160" s="8" t="b">
        <f t="shared" si="2"/>
        <v>1</v>
      </c>
      <c r="N160" s="29"/>
      <c r="O160" s="30">
        <v>52033959</v>
      </c>
      <c r="P160" s="18" t="s">
        <v>241</v>
      </c>
      <c r="Q160" s="31" t="s">
        <v>24</v>
      </c>
      <c r="R160" s="31" t="s">
        <v>192</v>
      </c>
      <c r="S160" s="33">
        <v>42585</v>
      </c>
      <c r="T160" s="33">
        <v>41201</v>
      </c>
      <c r="U160" s="31" t="s">
        <v>48</v>
      </c>
      <c r="V160" s="21">
        <v>50</v>
      </c>
      <c r="W160" s="21" t="s">
        <v>25</v>
      </c>
      <c r="X160" s="31" t="s">
        <v>20</v>
      </c>
      <c r="Y160" s="21"/>
      <c r="Z160" s="21"/>
      <c r="AA160" s="21"/>
      <c r="AB160" s="18" t="s">
        <v>53</v>
      </c>
      <c r="AC160" s="23" t="s">
        <v>27</v>
      </c>
      <c r="AD160" s="24" t="s">
        <v>29</v>
      </c>
      <c r="AE160" s="34">
        <v>440</v>
      </c>
      <c r="AF160" s="35">
        <v>11</v>
      </c>
      <c r="AG160" s="28" t="s">
        <v>242</v>
      </c>
      <c r="AH160" s="24" t="s">
        <v>113</v>
      </c>
      <c r="AI160" s="2" t="b">
        <f t="shared" si="4"/>
        <v>1</v>
      </c>
    </row>
    <row r="161" spans="1:35" ht="12.75" customHeight="1">
      <c r="A161" s="12">
        <v>160</v>
      </c>
      <c r="B161" s="28">
        <v>39773518</v>
      </c>
      <c r="C161" s="56" t="s">
        <v>243</v>
      </c>
      <c r="D161" s="15">
        <v>5</v>
      </c>
      <c r="E161" s="13" t="s">
        <v>27</v>
      </c>
      <c r="F161" s="17" t="s">
        <v>29</v>
      </c>
      <c r="G161" s="13">
        <v>440</v>
      </c>
      <c r="H161" s="19">
        <v>9</v>
      </c>
      <c r="I161" s="19" t="str">
        <f t="shared" si="0"/>
        <v>440-9</v>
      </c>
      <c r="J161" s="17" t="s">
        <v>138</v>
      </c>
      <c r="K161" s="104" t="s">
        <v>49</v>
      </c>
      <c r="L161" s="8" t="b">
        <f t="shared" si="1"/>
        <v>1</v>
      </c>
      <c r="M161" s="8" t="b">
        <f t="shared" si="2"/>
        <v>1</v>
      </c>
      <c r="N161" s="29"/>
      <c r="O161" s="36">
        <v>39773518</v>
      </c>
      <c r="P161" s="31" t="s">
        <v>243</v>
      </c>
      <c r="Q161" s="102" t="s">
        <v>49</v>
      </c>
      <c r="R161" s="31" t="s">
        <v>49</v>
      </c>
      <c r="S161" s="33">
        <v>42585</v>
      </c>
      <c r="T161" s="33">
        <v>33703</v>
      </c>
      <c r="U161" s="31" t="s">
        <v>48</v>
      </c>
      <c r="V161" s="21">
        <v>56</v>
      </c>
      <c r="W161" s="21" t="s">
        <v>25</v>
      </c>
      <c r="X161" s="31"/>
      <c r="Y161" s="21"/>
      <c r="Z161" s="21"/>
      <c r="AA161" s="21"/>
      <c r="AB161" s="18" t="s">
        <v>53</v>
      </c>
      <c r="AC161" s="23" t="s">
        <v>27</v>
      </c>
      <c r="AD161" s="24" t="s">
        <v>29</v>
      </c>
      <c r="AE161" s="34">
        <v>440</v>
      </c>
      <c r="AF161" s="35">
        <v>9</v>
      </c>
      <c r="AG161" s="28" t="s">
        <v>31</v>
      </c>
      <c r="AH161" s="24" t="s">
        <v>138</v>
      </c>
      <c r="AI161" s="2" t="b">
        <f t="shared" si="4"/>
        <v>1</v>
      </c>
    </row>
    <row r="162" spans="1:35" ht="12.75" customHeight="1">
      <c r="A162" s="12">
        <v>161</v>
      </c>
      <c r="B162" s="28">
        <v>1032434263</v>
      </c>
      <c r="C162" s="15" t="s">
        <v>248</v>
      </c>
      <c r="D162" s="15">
        <v>5</v>
      </c>
      <c r="E162" s="13" t="s">
        <v>27</v>
      </c>
      <c r="F162" s="17" t="s">
        <v>29</v>
      </c>
      <c r="G162" s="13">
        <v>440</v>
      </c>
      <c r="H162" s="19">
        <v>9</v>
      </c>
      <c r="I162" s="19" t="str">
        <f t="shared" si="0"/>
        <v>440-9</v>
      </c>
      <c r="J162" s="17" t="s">
        <v>32</v>
      </c>
      <c r="K162" s="37" t="s">
        <v>188</v>
      </c>
      <c r="L162" s="8" t="b">
        <f t="shared" si="1"/>
        <v>1</v>
      </c>
      <c r="M162" s="8" t="b">
        <f t="shared" si="2"/>
        <v>1</v>
      </c>
      <c r="N162" s="29"/>
      <c r="O162" s="36">
        <v>1032434263</v>
      </c>
      <c r="P162" s="18" t="s">
        <v>248</v>
      </c>
      <c r="Q162" s="31" t="s">
        <v>24</v>
      </c>
      <c r="R162" s="31" t="s">
        <v>192</v>
      </c>
      <c r="S162" s="33">
        <v>42585</v>
      </c>
      <c r="T162" s="33">
        <v>42131</v>
      </c>
      <c r="U162" s="31" t="s">
        <v>48</v>
      </c>
      <c r="V162" s="21">
        <v>33</v>
      </c>
      <c r="W162" s="21" t="s">
        <v>25</v>
      </c>
      <c r="X162" s="31" t="s">
        <v>20</v>
      </c>
      <c r="Y162" s="21"/>
      <c r="Z162" s="21"/>
      <c r="AA162" s="21"/>
      <c r="AB162" s="18" t="s">
        <v>53</v>
      </c>
      <c r="AC162" s="23" t="s">
        <v>27</v>
      </c>
      <c r="AD162" s="24" t="s">
        <v>29</v>
      </c>
      <c r="AE162" s="34">
        <v>440</v>
      </c>
      <c r="AF162" s="35">
        <v>9</v>
      </c>
      <c r="AG162" s="28" t="s">
        <v>31</v>
      </c>
      <c r="AH162" s="24" t="s">
        <v>32</v>
      </c>
      <c r="AI162" s="2" t="b">
        <f t="shared" si="4"/>
        <v>1</v>
      </c>
    </row>
    <row r="163" spans="1:35" ht="12.75" customHeight="1">
      <c r="A163" s="12">
        <v>162</v>
      </c>
      <c r="B163" s="28">
        <v>80247325</v>
      </c>
      <c r="C163" s="15" t="s">
        <v>251</v>
      </c>
      <c r="D163" s="15">
        <v>5</v>
      </c>
      <c r="E163" s="13" t="s">
        <v>27</v>
      </c>
      <c r="F163" s="17" t="s">
        <v>29</v>
      </c>
      <c r="G163" s="13">
        <v>440</v>
      </c>
      <c r="H163" s="19">
        <v>9</v>
      </c>
      <c r="I163" s="19" t="str">
        <f t="shared" si="0"/>
        <v>440-9</v>
      </c>
      <c r="J163" s="17" t="s">
        <v>30</v>
      </c>
      <c r="K163" s="37" t="s">
        <v>188</v>
      </c>
      <c r="L163" s="8" t="b">
        <f t="shared" si="1"/>
        <v>1</v>
      </c>
      <c r="M163" s="8" t="b">
        <f t="shared" si="2"/>
        <v>1</v>
      </c>
      <c r="N163" s="29"/>
      <c r="O163" s="36">
        <v>80247325</v>
      </c>
      <c r="P163" s="18" t="s">
        <v>251</v>
      </c>
      <c r="Q163" s="31" t="s">
        <v>24</v>
      </c>
      <c r="R163" s="31" t="s">
        <v>192</v>
      </c>
      <c r="S163" s="33">
        <v>42585</v>
      </c>
      <c r="T163" s="33">
        <v>42128</v>
      </c>
      <c r="U163" s="31" t="s">
        <v>84</v>
      </c>
      <c r="V163" s="21">
        <v>38</v>
      </c>
      <c r="W163" s="21" t="s">
        <v>25</v>
      </c>
      <c r="X163" s="31" t="s">
        <v>20</v>
      </c>
      <c r="Y163" s="21"/>
      <c r="Z163" s="21"/>
      <c r="AA163" s="21"/>
      <c r="AB163" s="18" t="s">
        <v>53</v>
      </c>
      <c r="AC163" s="23" t="s">
        <v>27</v>
      </c>
      <c r="AD163" s="24" t="s">
        <v>29</v>
      </c>
      <c r="AE163" s="34">
        <v>440</v>
      </c>
      <c r="AF163" s="35">
        <v>9</v>
      </c>
      <c r="AG163" s="28" t="s">
        <v>31</v>
      </c>
      <c r="AH163" s="24" t="s">
        <v>30</v>
      </c>
      <c r="AI163" s="2" t="b">
        <f t="shared" si="4"/>
        <v>1</v>
      </c>
    </row>
    <row r="164" spans="1:35" ht="12.75" customHeight="1">
      <c r="A164" s="12">
        <v>163</v>
      </c>
      <c r="B164" s="28">
        <v>51784842</v>
      </c>
      <c r="C164" s="15" t="s">
        <v>253</v>
      </c>
      <c r="D164" s="15">
        <v>5</v>
      </c>
      <c r="E164" s="13" t="s">
        <v>27</v>
      </c>
      <c r="F164" s="17" t="s">
        <v>29</v>
      </c>
      <c r="G164" s="13">
        <v>440</v>
      </c>
      <c r="H164" s="19">
        <v>9</v>
      </c>
      <c r="I164" s="19" t="str">
        <f t="shared" si="0"/>
        <v>440-9</v>
      </c>
      <c r="J164" s="17" t="s">
        <v>132</v>
      </c>
      <c r="K164" s="82" t="s">
        <v>49</v>
      </c>
      <c r="L164" s="8" t="b">
        <f t="shared" si="1"/>
        <v>1</v>
      </c>
      <c r="M164" s="8" t="b">
        <f t="shared" si="2"/>
        <v>1</v>
      </c>
      <c r="N164" s="29"/>
      <c r="O164" s="36">
        <v>51784842</v>
      </c>
      <c r="P164" s="18" t="s">
        <v>253</v>
      </c>
      <c r="Q164" s="31" t="s">
        <v>49</v>
      </c>
      <c r="R164" s="31" t="s">
        <v>49</v>
      </c>
      <c r="S164" s="33">
        <v>42585</v>
      </c>
      <c r="T164" s="33">
        <v>33702</v>
      </c>
      <c r="U164" s="31" t="s">
        <v>48</v>
      </c>
      <c r="V164" s="21">
        <v>58</v>
      </c>
      <c r="W164" s="21" t="s">
        <v>25</v>
      </c>
      <c r="X164" s="31"/>
      <c r="Y164" s="21"/>
      <c r="Z164" s="21"/>
      <c r="AA164" s="21"/>
      <c r="AB164" s="18" t="s">
        <v>53</v>
      </c>
      <c r="AC164" s="23" t="s">
        <v>27</v>
      </c>
      <c r="AD164" s="24" t="s">
        <v>29</v>
      </c>
      <c r="AE164" s="34">
        <v>440</v>
      </c>
      <c r="AF164" s="35">
        <v>9</v>
      </c>
      <c r="AG164" s="28" t="s">
        <v>31</v>
      </c>
      <c r="AH164" s="24" t="s">
        <v>132</v>
      </c>
      <c r="AI164" s="2" t="b">
        <f t="shared" si="4"/>
        <v>1</v>
      </c>
    </row>
    <row r="165" spans="1:35" ht="12.75" customHeight="1">
      <c r="A165" s="12">
        <v>164</v>
      </c>
      <c r="B165" s="28">
        <v>52146196</v>
      </c>
      <c r="C165" s="15" t="s">
        <v>254</v>
      </c>
      <c r="D165" s="15">
        <v>5</v>
      </c>
      <c r="E165" s="13" t="s">
        <v>27</v>
      </c>
      <c r="F165" s="17" t="s">
        <v>255</v>
      </c>
      <c r="G165" s="13">
        <v>425</v>
      </c>
      <c r="H165" s="19">
        <v>27</v>
      </c>
      <c r="I165" s="19" t="str">
        <f t="shared" si="0"/>
        <v>425-27</v>
      </c>
      <c r="J165" s="17" t="s">
        <v>95</v>
      </c>
      <c r="K165" s="82" t="s">
        <v>49</v>
      </c>
      <c r="L165" s="8" t="b">
        <f t="shared" si="1"/>
        <v>1</v>
      </c>
      <c r="M165" s="8" t="b">
        <f t="shared" si="2"/>
        <v>1</v>
      </c>
      <c r="N165" s="29"/>
      <c r="O165" s="36">
        <v>52146196</v>
      </c>
      <c r="P165" s="18" t="s">
        <v>254</v>
      </c>
      <c r="Q165" s="31" t="s">
        <v>49</v>
      </c>
      <c r="R165" s="31" t="s">
        <v>49</v>
      </c>
      <c r="S165" s="33">
        <v>42585</v>
      </c>
      <c r="T165" s="33">
        <v>38443</v>
      </c>
      <c r="U165" s="31" t="s">
        <v>48</v>
      </c>
      <c r="V165" s="21">
        <v>49</v>
      </c>
      <c r="W165" s="21" t="s">
        <v>25</v>
      </c>
      <c r="X165" s="31"/>
      <c r="Y165" s="21"/>
      <c r="Z165" s="21"/>
      <c r="AA165" s="21"/>
      <c r="AB165" s="18" t="s">
        <v>53</v>
      </c>
      <c r="AC165" s="23" t="s">
        <v>27</v>
      </c>
      <c r="AD165" s="24" t="s">
        <v>255</v>
      </c>
      <c r="AE165" s="34">
        <v>425</v>
      </c>
      <c r="AF165" s="35">
        <v>27</v>
      </c>
      <c r="AG165" s="28" t="s">
        <v>258</v>
      </c>
      <c r="AH165" s="24" t="s">
        <v>95</v>
      </c>
      <c r="AI165" s="2" t="b">
        <f t="shared" si="4"/>
        <v>1</v>
      </c>
    </row>
    <row r="166" spans="1:35" ht="12.75" customHeight="1">
      <c r="A166" s="12">
        <v>165</v>
      </c>
      <c r="B166" s="28"/>
      <c r="C166" s="15" t="s">
        <v>20</v>
      </c>
      <c r="D166" s="15">
        <v>5</v>
      </c>
      <c r="E166" s="13" t="s">
        <v>27</v>
      </c>
      <c r="F166" s="17" t="s">
        <v>255</v>
      </c>
      <c r="G166" s="13">
        <v>425</v>
      </c>
      <c r="H166" s="19">
        <v>24</v>
      </c>
      <c r="I166" s="19" t="str">
        <f t="shared" si="0"/>
        <v>425-24</v>
      </c>
      <c r="J166" s="17" t="s">
        <v>87</v>
      </c>
      <c r="K166" s="26"/>
      <c r="L166" s="8" t="b">
        <f t="shared" si="1"/>
        <v>1</v>
      </c>
      <c r="M166" s="8" t="b">
        <f t="shared" si="2"/>
        <v>1</v>
      </c>
      <c r="N166" s="29"/>
      <c r="O166" s="36"/>
      <c r="P166" s="18" t="s">
        <v>20</v>
      </c>
      <c r="Q166" s="31"/>
      <c r="R166" s="31" t="s">
        <v>20</v>
      </c>
      <c r="S166" s="33" t="s">
        <v>25</v>
      </c>
      <c r="T166" s="33" t="s">
        <v>25</v>
      </c>
      <c r="U166" s="31" t="s">
        <v>25</v>
      </c>
      <c r="V166" s="21" t="s">
        <v>25</v>
      </c>
      <c r="W166" s="21" t="s">
        <v>25</v>
      </c>
      <c r="X166" s="18" t="s">
        <v>20</v>
      </c>
      <c r="Y166" s="21"/>
      <c r="Z166" s="21"/>
      <c r="AA166" s="21"/>
      <c r="AB166" s="18" t="s">
        <v>20</v>
      </c>
      <c r="AC166" s="23" t="s">
        <v>27</v>
      </c>
      <c r="AD166" s="24" t="s">
        <v>255</v>
      </c>
      <c r="AE166" s="34">
        <v>425</v>
      </c>
      <c r="AF166" s="35">
        <v>24</v>
      </c>
      <c r="AG166" s="28" t="s">
        <v>263</v>
      </c>
      <c r="AH166" s="24" t="s">
        <v>87</v>
      </c>
      <c r="AI166" s="2" t="b">
        <f t="shared" si="4"/>
        <v>1</v>
      </c>
    </row>
    <row r="167" spans="1:35" ht="12.75" customHeight="1">
      <c r="A167" s="12">
        <v>166</v>
      </c>
      <c r="B167" s="28">
        <v>51731780</v>
      </c>
      <c r="C167" s="56" t="s">
        <v>265</v>
      </c>
      <c r="D167" s="15">
        <v>5</v>
      </c>
      <c r="E167" s="13" t="s">
        <v>27</v>
      </c>
      <c r="F167" s="17" t="s">
        <v>255</v>
      </c>
      <c r="G167" s="13">
        <v>425</v>
      </c>
      <c r="H167" s="19">
        <v>21</v>
      </c>
      <c r="I167" s="19" t="str">
        <f t="shared" si="0"/>
        <v>425-21</v>
      </c>
      <c r="J167" s="17" t="s">
        <v>68</v>
      </c>
      <c r="K167" s="82" t="s">
        <v>49</v>
      </c>
      <c r="L167" s="8" t="b">
        <f t="shared" si="1"/>
        <v>1</v>
      </c>
      <c r="M167" s="8" t="b">
        <f t="shared" si="2"/>
        <v>1</v>
      </c>
      <c r="N167" s="29"/>
      <c r="O167" s="36">
        <v>51731780</v>
      </c>
      <c r="P167" s="31" t="s">
        <v>265</v>
      </c>
      <c r="Q167" s="31" t="s">
        <v>49</v>
      </c>
      <c r="R167" s="31" t="s">
        <v>49</v>
      </c>
      <c r="S167" s="33">
        <v>42585</v>
      </c>
      <c r="T167" s="33">
        <v>38443</v>
      </c>
      <c r="U167" s="31" t="s">
        <v>48</v>
      </c>
      <c r="V167" s="21">
        <v>58</v>
      </c>
      <c r="W167" s="21" t="s">
        <v>25</v>
      </c>
      <c r="X167" s="31"/>
      <c r="Y167" s="21"/>
      <c r="Z167" s="21"/>
      <c r="AA167" s="21"/>
      <c r="AB167" s="18" t="s">
        <v>53</v>
      </c>
      <c r="AC167" s="23" t="s">
        <v>27</v>
      </c>
      <c r="AD167" s="24" t="s">
        <v>255</v>
      </c>
      <c r="AE167" s="34">
        <v>425</v>
      </c>
      <c r="AF167" s="35">
        <v>21</v>
      </c>
      <c r="AG167" s="28" t="s">
        <v>267</v>
      </c>
      <c r="AH167" s="24" t="s">
        <v>68</v>
      </c>
      <c r="AI167" s="2" t="b">
        <f t="shared" si="4"/>
        <v>1</v>
      </c>
    </row>
    <row r="168" spans="1:35" ht="12.75" customHeight="1">
      <c r="A168" s="12">
        <v>167</v>
      </c>
      <c r="B168" s="28">
        <v>20737393</v>
      </c>
      <c r="C168" s="56" t="s">
        <v>269</v>
      </c>
      <c r="D168" s="15">
        <v>5</v>
      </c>
      <c r="E168" s="13" t="s">
        <v>27</v>
      </c>
      <c r="F168" s="17" t="s">
        <v>255</v>
      </c>
      <c r="G168" s="13">
        <v>425</v>
      </c>
      <c r="H168" s="19">
        <v>20</v>
      </c>
      <c r="I168" s="19" t="str">
        <f t="shared" si="0"/>
        <v>425-20</v>
      </c>
      <c r="J168" s="17" t="s">
        <v>95</v>
      </c>
      <c r="K168" s="82" t="s">
        <v>49</v>
      </c>
      <c r="L168" s="8" t="b">
        <f t="shared" si="1"/>
        <v>1</v>
      </c>
      <c r="M168" s="8" t="b">
        <f t="shared" si="2"/>
        <v>1</v>
      </c>
      <c r="N168" s="29"/>
      <c r="O168" s="36">
        <v>20737393</v>
      </c>
      <c r="P168" s="31" t="s">
        <v>269</v>
      </c>
      <c r="Q168" s="31" t="s">
        <v>49</v>
      </c>
      <c r="R168" s="31" t="s">
        <v>49</v>
      </c>
      <c r="S168" s="33">
        <v>42585</v>
      </c>
      <c r="T168" s="33">
        <v>32237</v>
      </c>
      <c r="U168" s="31" t="s">
        <v>48</v>
      </c>
      <c r="V168" s="21">
        <v>59</v>
      </c>
      <c r="W168" s="21" t="s">
        <v>25</v>
      </c>
      <c r="X168" s="31"/>
      <c r="Y168" s="21"/>
      <c r="Z168" s="21"/>
      <c r="AA168" s="21"/>
      <c r="AB168" s="18" t="s">
        <v>53</v>
      </c>
      <c r="AC168" s="23" t="s">
        <v>27</v>
      </c>
      <c r="AD168" s="24" t="s">
        <v>255</v>
      </c>
      <c r="AE168" s="34">
        <v>425</v>
      </c>
      <c r="AF168" s="35">
        <v>20</v>
      </c>
      <c r="AG168" s="28" t="s">
        <v>272</v>
      </c>
      <c r="AH168" s="24" t="s">
        <v>95</v>
      </c>
      <c r="AI168" s="2" t="b">
        <f t="shared" si="4"/>
        <v>1</v>
      </c>
    </row>
    <row r="169" spans="1:35" ht="12.75" customHeight="1">
      <c r="A169" s="12">
        <v>168</v>
      </c>
      <c r="B169" s="28">
        <v>39718778</v>
      </c>
      <c r="C169" s="15" t="s">
        <v>273</v>
      </c>
      <c r="D169" s="15">
        <v>5</v>
      </c>
      <c r="E169" s="13" t="s">
        <v>27</v>
      </c>
      <c r="F169" s="17" t="s">
        <v>274</v>
      </c>
      <c r="G169" s="13">
        <v>470</v>
      </c>
      <c r="H169" s="19">
        <v>7</v>
      </c>
      <c r="I169" s="19" t="str">
        <f t="shared" si="0"/>
        <v>470-7</v>
      </c>
      <c r="J169" s="17" t="s">
        <v>30</v>
      </c>
      <c r="K169" s="82" t="s">
        <v>49</v>
      </c>
      <c r="L169" s="8" t="b">
        <f t="shared" si="1"/>
        <v>1</v>
      </c>
      <c r="M169" s="8" t="b">
        <f t="shared" si="2"/>
        <v>1</v>
      </c>
      <c r="N169" s="29"/>
      <c r="O169" s="36">
        <v>39718778</v>
      </c>
      <c r="P169" s="18" t="s">
        <v>273</v>
      </c>
      <c r="Q169" s="31" t="s">
        <v>49</v>
      </c>
      <c r="R169" s="31" t="s">
        <v>49</v>
      </c>
      <c r="S169" s="33">
        <v>42585</v>
      </c>
      <c r="T169" s="33">
        <v>34810</v>
      </c>
      <c r="U169" s="31" t="s">
        <v>48</v>
      </c>
      <c r="V169" s="21">
        <v>56</v>
      </c>
      <c r="W169" s="21" t="s">
        <v>25</v>
      </c>
      <c r="X169" s="31"/>
      <c r="Y169" s="21"/>
      <c r="Z169" s="21"/>
      <c r="AA169" s="21"/>
      <c r="AB169" s="18" t="s">
        <v>53</v>
      </c>
      <c r="AC169" s="23" t="s">
        <v>27</v>
      </c>
      <c r="AD169" s="24" t="s">
        <v>274</v>
      </c>
      <c r="AE169" s="34">
        <v>470</v>
      </c>
      <c r="AF169" s="35">
        <v>7</v>
      </c>
      <c r="AG169" s="28" t="s">
        <v>275</v>
      </c>
      <c r="AH169" s="24" t="s">
        <v>30</v>
      </c>
      <c r="AI169" s="2" t="b">
        <f t="shared" si="4"/>
        <v>1</v>
      </c>
    </row>
    <row r="170" spans="1:35" ht="12.75" customHeight="1">
      <c r="A170" s="12">
        <v>169</v>
      </c>
      <c r="B170" s="28">
        <v>41732503</v>
      </c>
      <c r="C170" s="15" t="s">
        <v>276</v>
      </c>
      <c r="D170" s="15">
        <v>5</v>
      </c>
      <c r="E170" s="13" t="s">
        <v>27</v>
      </c>
      <c r="F170" s="17" t="s">
        <v>274</v>
      </c>
      <c r="G170" s="13">
        <v>470</v>
      </c>
      <c r="H170" s="19">
        <v>7</v>
      </c>
      <c r="I170" s="19" t="str">
        <f t="shared" si="0"/>
        <v>470-7</v>
      </c>
      <c r="J170" s="17" t="s">
        <v>30</v>
      </c>
      <c r="K170" s="82" t="s">
        <v>49</v>
      </c>
      <c r="L170" s="8" t="b">
        <f t="shared" si="1"/>
        <v>1</v>
      </c>
      <c r="M170" s="8" t="b">
        <f t="shared" si="2"/>
        <v>1</v>
      </c>
      <c r="N170" s="29"/>
      <c r="O170" s="36">
        <v>41732503</v>
      </c>
      <c r="P170" s="18" t="s">
        <v>276</v>
      </c>
      <c r="Q170" s="31" t="s">
        <v>49</v>
      </c>
      <c r="R170" s="31" t="s">
        <v>49</v>
      </c>
      <c r="S170" s="33">
        <v>42585</v>
      </c>
      <c r="T170" s="33">
        <v>34731</v>
      </c>
      <c r="U170" s="31" t="s">
        <v>48</v>
      </c>
      <c r="V170" s="21">
        <v>63</v>
      </c>
      <c r="W170" s="21" t="s">
        <v>25</v>
      </c>
      <c r="X170" s="31"/>
      <c r="Y170" s="21"/>
      <c r="Z170" s="21"/>
      <c r="AA170" s="21"/>
      <c r="AB170" s="18" t="s">
        <v>53</v>
      </c>
      <c r="AC170" s="23" t="s">
        <v>27</v>
      </c>
      <c r="AD170" s="24" t="s">
        <v>274</v>
      </c>
      <c r="AE170" s="34">
        <v>470</v>
      </c>
      <c r="AF170" s="35">
        <v>7</v>
      </c>
      <c r="AG170" s="28" t="s">
        <v>275</v>
      </c>
      <c r="AH170" s="24" t="s">
        <v>30</v>
      </c>
      <c r="AI170" s="2" t="b">
        <f t="shared" si="4"/>
        <v>1</v>
      </c>
    </row>
    <row r="171" spans="1:35" ht="12.75" customHeight="1">
      <c r="A171" s="12">
        <v>170</v>
      </c>
      <c r="B171" s="28">
        <v>52124597</v>
      </c>
      <c r="C171" s="56" t="s">
        <v>277</v>
      </c>
      <c r="D171" s="15">
        <v>5</v>
      </c>
      <c r="E171" s="13" t="s">
        <v>27</v>
      </c>
      <c r="F171" s="17" t="s">
        <v>274</v>
      </c>
      <c r="G171" s="13">
        <v>470</v>
      </c>
      <c r="H171" s="19">
        <v>3</v>
      </c>
      <c r="I171" s="19" t="str">
        <f t="shared" si="0"/>
        <v>470-3</v>
      </c>
      <c r="J171" s="17" t="s">
        <v>30</v>
      </c>
      <c r="K171" s="82" t="s">
        <v>49</v>
      </c>
      <c r="L171" s="8" t="b">
        <f t="shared" si="1"/>
        <v>1</v>
      </c>
      <c r="M171" s="8" t="b">
        <f t="shared" si="2"/>
        <v>1</v>
      </c>
      <c r="N171" s="29"/>
      <c r="O171" s="36">
        <v>52124597</v>
      </c>
      <c r="P171" s="31" t="s">
        <v>277</v>
      </c>
      <c r="Q171" s="31" t="s">
        <v>49</v>
      </c>
      <c r="R171" s="31" t="s">
        <v>49</v>
      </c>
      <c r="S171" s="33">
        <v>42585</v>
      </c>
      <c r="T171" s="33">
        <v>35403</v>
      </c>
      <c r="U171" s="31" t="s">
        <v>48</v>
      </c>
      <c r="V171" s="21">
        <v>47</v>
      </c>
      <c r="W171" s="21" t="s">
        <v>25</v>
      </c>
      <c r="X171" s="31"/>
      <c r="Y171" s="21"/>
      <c r="Z171" s="21"/>
      <c r="AA171" s="21"/>
      <c r="AB171" s="18" t="s">
        <v>53</v>
      </c>
      <c r="AC171" s="23" t="s">
        <v>27</v>
      </c>
      <c r="AD171" s="24" t="s">
        <v>274</v>
      </c>
      <c r="AE171" s="34">
        <v>470</v>
      </c>
      <c r="AF171" s="35">
        <v>3</v>
      </c>
      <c r="AG171" s="28" t="s">
        <v>279</v>
      </c>
      <c r="AH171" s="24" t="s">
        <v>30</v>
      </c>
      <c r="AI171" s="2" t="b">
        <f t="shared" si="4"/>
        <v>1</v>
      </c>
    </row>
    <row r="172" spans="1:35" ht="15.75" customHeight="1"/>
    <row r="173" spans="1:35" ht="15.75" customHeight="1"/>
    <row r="174" spans="1:35" ht="15.75" customHeight="1"/>
    <row r="175" spans="1:35" ht="15.75" customHeight="1"/>
    <row r="176" spans="1:35"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I171" xr:uid="{00000000-0009-0000-0000-000001000000}"/>
  <pageMargins left="0.11811023622047245" right="0.11811023622047245" top="0.35433070866141736" bottom="0.15748031496062992" header="0" footer="0"/>
  <pageSetup paperSize="9" scale="90"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L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4.42578125" defaultRowHeight="15" customHeight="1"/>
  <cols>
    <col min="1" max="1" width="4" customWidth="1"/>
    <col min="2" max="2" width="12.7109375" customWidth="1"/>
    <col min="3" max="3" width="42.140625" customWidth="1"/>
    <col min="4" max="4" width="3.5703125" customWidth="1"/>
    <col min="5" max="5" width="14.5703125" customWidth="1"/>
    <col min="6" max="6" width="29.7109375" customWidth="1"/>
    <col min="7" max="7" width="8.42578125" customWidth="1"/>
    <col min="8" max="9" width="7.7109375" customWidth="1"/>
    <col min="10" max="10" width="87.140625" customWidth="1"/>
    <col min="11" max="11" width="26" customWidth="1"/>
    <col min="12" max="14" width="11.85546875" customWidth="1"/>
    <col min="15" max="29" width="10.7109375" customWidth="1"/>
    <col min="37" max="37" width="42.28515625" customWidth="1"/>
  </cols>
  <sheetData>
    <row r="1" spans="1:38" ht="12.75" customHeight="1">
      <c r="A1" s="2"/>
      <c r="B1" s="4" t="s">
        <v>3</v>
      </c>
      <c r="C1" s="4" t="s">
        <v>4</v>
      </c>
      <c r="D1" s="4" t="s">
        <v>5</v>
      </c>
      <c r="E1" s="4" t="s">
        <v>6</v>
      </c>
      <c r="F1" s="4" t="s">
        <v>7</v>
      </c>
      <c r="G1" s="4" t="s">
        <v>8</v>
      </c>
      <c r="H1" s="4" t="s">
        <v>9</v>
      </c>
      <c r="I1" s="4"/>
      <c r="J1" s="4" t="s">
        <v>10</v>
      </c>
      <c r="K1" s="4" t="s">
        <v>12</v>
      </c>
      <c r="N1" s="10" t="s">
        <v>19</v>
      </c>
      <c r="AK1" s="16" t="s">
        <v>14</v>
      </c>
    </row>
    <row r="2" spans="1:38" ht="12.75" customHeight="1">
      <c r="A2" s="12">
        <v>15</v>
      </c>
      <c r="B2" s="13"/>
      <c r="C2" s="15" t="s">
        <v>20</v>
      </c>
      <c r="D2" s="22">
        <v>2</v>
      </c>
      <c r="E2" s="13" t="s">
        <v>26</v>
      </c>
      <c r="F2" s="17" t="s">
        <v>28</v>
      </c>
      <c r="G2" s="13">
        <v>115</v>
      </c>
      <c r="H2" s="19">
        <v>6</v>
      </c>
      <c r="I2" s="19" t="str">
        <f t="shared" ref="I2:I171" si="0">G2&amp;"-"&amp;H2</f>
        <v>115-6</v>
      </c>
      <c r="J2" s="17" t="s">
        <v>32</v>
      </c>
      <c r="K2" s="21"/>
      <c r="L2" s="2" t="b">
        <f t="shared" ref="L2:L171" si="1">C2=P2</f>
        <v>1</v>
      </c>
      <c r="M2" s="2" t="b">
        <f t="shared" ref="M2:M171" si="2">J2=AH2</f>
        <v>1</v>
      </c>
      <c r="N2" s="29">
        <v>11</v>
      </c>
      <c r="O2" s="32"/>
      <c r="P2" s="18" t="s">
        <v>20</v>
      </c>
      <c r="Q2" s="31"/>
      <c r="R2" s="31" t="s">
        <v>20</v>
      </c>
      <c r="S2" s="33" t="s">
        <v>25</v>
      </c>
      <c r="T2" s="33" t="s">
        <v>25</v>
      </c>
      <c r="U2" s="31" t="s">
        <v>25</v>
      </c>
      <c r="V2" s="21" t="s">
        <v>25</v>
      </c>
      <c r="W2" s="21" t="s">
        <v>25</v>
      </c>
      <c r="X2" s="18" t="s">
        <v>20</v>
      </c>
      <c r="Y2" s="21"/>
      <c r="Z2" s="21"/>
      <c r="AA2" s="21"/>
      <c r="AB2" s="18" t="s">
        <v>20</v>
      </c>
      <c r="AC2" s="23" t="s">
        <v>26</v>
      </c>
      <c r="AD2" s="24" t="s">
        <v>28</v>
      </c>
      <c r="AE2" s="34">
        <v>115</v>
      </c>
      <c r="AF2" s="35">
        <v>6</v>
      </c>
      <c r="AG2" s="28" t="str">
        <f t="shared" ref="AG2:AG8" si="3">AE2&amp;"-"&amp;AF2</f>
        <v>115-6</v>
      </c>
      <c r="AH2" s="24" t="s">
        <v>32</v>
      </c>
      <c r="AI2" s="2" t="b">
        <f t="shared" ref="AI2:AI171" si="4">AG2=I2</f>
        <v>1</v>
      </c>
      <c r="AK2" s="24" t="s">
        <v>32</v>
      </c>
      <c r="AL2" s="2" t="b">
        <f t="shared" ref="AL2:AL171" si="5">J2=AK2</f>
        <v>1</v>
      </c>
    </row>
    <row r="3" spans="1:38" ht="12.75" customHeight="1">
      <c r="A3" s="12">
        <v>16</v>
      </c>
      <c r="B3" s="13"/>
      <c r="C3" s="15" t="s">
        <v>20</v>
      </c>
      <c r="D3" s="22">
        <v>2</v>
      </c>
      <c r="E3" s="13" t="s">
        <v>26</v>
      </c>
      <c r="F3" s="17" t="s">
        <v>28</v>
      </c>
      <c r="G3" s="13">
        <v>115</v>
      </c>
      <c r="H3" s="19">
        <v>6</v>
      </c>
      <c r="I3" s="19" t="str">
        <f t="shared" si="0"/>
        <v>115-6</v>
      </c>
      <c r="J3" s="17" t="s">
        <v>75</v>
      </c>
      <c r="K3" s="21"/>
      <c r="L3" s="2" t="b">
        <f t="shared" si="1"/>
        <v>0</v>
      </c>
      <c r="M3" s="2" t="b">
        <f t="shared" si="2"/>
        <v>0</v>
      </c>
      <c r="N3" s="29">
        <v>171</v>
      </c>
      <c r="O3" s="32">
        <v>19498970</v>
      </c>
      <c r="P3" s="18" t="s">
        <v>83</v>
      </c>
      <c r="Q3" s="31" t="s">
        <v>39</v>
      </c>
      <c r="R3" s="31" t="s">
        <v>43</v>
      </c>
      <c r="S3" s="33">
        <v>42622</v>
      </c>
      <c r="T3" s="33">
        <v>42622</v>
      </c>
      <c r="U3" s="31" t="s">
        <v>84</v>
      </c>
      <c r="V3" s="21">
        <v>59</v>
      </c>
      <c r="W3" s="21" t="s">
        <v>25</v>
      </c>
      <c r="X3" s="18" t="s">
        <v>20</v>
      </c>
      <c r="Y3" s="21"/>
      <c r="Z3" s="21"/>
      <c r="AA3" s="21"/>
      <c r="AB3" s="18" t="s">
        <v>53</v>
      </c>
      <c r="AC3" s="23" t="s">
        <v>26</v>
      </c>
      <c r="AD3" s="24" t="s">
        <v>28</v>
      </c>
      <c r="AE3" s="34">
        <v>115</v>
      </c>
      <c r="AF3" s="35">
        <v>6</v>
      </c>
      <c r="AG3" s="28" t="str">
        <f t="shared" si="3"/>
        <v>115-6</v>
      </c>
      <c r="AH3" s="24" t="s">
        <v>87</v>
      </c>
      <c r="AI3" s="2" t="b">
        <f t="shared" si="4"/>
        <v>1</v>
      </c>
      <c r="AK3" s="24" t="s">
        <v>75</v>
      </c>
      <c r="AL3" s="2" t="b">
        <f t="shared" si="5"/>
        <v>1</v>
      </c>
    </row>
    <row r="4" spans="1:38" ht="12.75" customHeight="1">
      <c r="A4" s="12">
        <v>10</v>
      </c>
      <c r="B4" s="28">
        <v>1085262099</v>
      </c>
      <c r="C4" s="22" t="s">
        <v>94</v>
      </c>
      <c r="D4" s="22">
        <v>2</v>
      </c>
      <c r="E4" s="13" t="s">
        <v>26</v>
      </c>
      <c r="F4" s="17" t="s">
        <v>26</v>
      </c>
      <c r="G4" s="13">
        <v>105</v>
      </c>
      <c r="H4" s="19">
        <v>5</v>
      </c>
      <c r="I4" s="19" t="str">
        <f t="shared" si="0"/>
        <v>105-5</v>
      </c>
      <c r="J4" s="17" t="s">
        <v>98</v>
      </c>
      <c r="K4" s="38" t="s">
        <v>70</v>
      </c>
      <c r="L4" s="2" t="b">
        <f t="shared" si="1"/>
        <v>0</v>
      </c>
      <c r="M4" s="2" t="b">
        <f t="shared" si="2"/>
        <v>0</v>
      </c>
      <c r="N4" s="29">
        <v>12</v>
      </c>
      <c r="O4" s="39">
        <v>79317479</v>
      </c>
      <c r="P4" s="40" t="s">
        <v>107</v>
      </c>
      <c r="Q4" s="31" t="s">
        <v>39</v>
      </c>
      <c r="R4" s="31" t="s">
        <v>43</v>
      </c>
      <c r="S4" s="33">
        <v>42632</v>
      </c>
      <c r="T4" s="33">
        <v>42632</v>
      </c>
      <c r="U4" s="31" t="s">
        <v>84</v>
      </c>
      <c r="V4" s="21">
        <v>60</v>
      </c>
      <c r="W4" s="21" t="s">
        <v>25</v>
      </c>
      <c r="X4" s="31" t="s">
        <v>20</v>
      </c>
      <c r="Y4" s="21"/>
      <c r="Z4" s="21"/>
      <c r="AA4" s="21"/>
      <c r="AB4" s="18" t="s">
        <v>53</v>
      </c>
      <c r="AC4" s="23" t="s">
        <v>26</v>
      </c>
      <c r="AD4" s="24" t="s">
        <v>26</v>
      </c>
      <c r="AE4" s="34">
        <v>105</v>
      </c>
      <c r="AF4" s="35">
        <v>5</v>
      </c>
      <c r="AG4" s="28" t="str">
        <f t="shared" si="3"/>
        <v>105-5</v>
      </c>
      <c r="AH4" s="24" t="s">
        <v>115</v>
      </c>
      <c r="AI4" s="2" t="b">
        <f t="shared" si="4"/>
        <v>1</v>
      </c>
      <c r="AK4" s="24" t="s">
        <v>98</v>
      </c>
      <c r="AL4" s="2" t="b">
        <f t="shared" si="5"/>
        <v>1</v>
      </c>
    </row>
    <row r="5" spans="1:38" ht="12.75" customHeight="1">
      <c r="A5" s="12">
        <v>11</v>
      </c>
      <c r="B5" s="28">
        <v>80040965</v>
      </c>
      <c r="C5" s="22" t="s">
        <v>119</v>
      </c>
      <c r="D5" s="22">
        <v>2</v>
      </c>
      <c r="E5" s="13" t="s">
        <v>26</v>
      </c>
      <c r="F5" s="17" t="s">
        <v>26</v>
      </c>
      <c r="G5" s="13">
        <v>105</v>
      </c>
      <c r="H5" s="19">
        <v>5</v>
      </c>
      <c r="I5" s="19" t="str">
        <f t="shared" si="0"/>
        <v>105-5</v>
      </c>
      <c r="J5" s="17" t="s">
        <v>98</v>
      </c>
      <c r="K5" s="38" t="s">
        <v>70</v>
      </c>
      <c r="L5" s="2" t="b">
        <f t="shared" si="1"/>
        <v>1</v>
      </c>
      <c r="M5" s="2" t="b">
        <f t="shared" si="2"/>
        <v>0</v>
      </c>
      <c r="N5" s="29">
        <v>13</v>
      </c>
      <c r="O5" s="32">
        <v>80040965</v>
      </c>
      <c r="P5" s="31" t="s">
        <v>119</v>
      </c>
      <c r="Q5" s="31" t="s">
        <v>39</v>
      </c>
      <c r="R5" s="31" t="s">
        <v>43</v>
      </c>
      <c r="S5" s="33">
        <v>42585</v>
      </c>
      <c r="T5" s="33">
        <v>42401</v>
      </c>
      <c r="U5" s="31" t="s">
        <v>84</v>
      </c>
      <c r="V5" s="21">
        <v>39</v>
      </c>
      <c r="W5" s="21" t="s">
        <v>25</v>
      </c>
      <c r="X5" s="31"/>
      <c r="Y5" s="21"/>
      <c r="Z5" s="21"/>
      <c r="AA5" s="21"/>
      <c r="AB5" s="18" t="s">
        <v>53</v>
      </c>
      <c r="AC5" s="23" t="s">
        <v>26</v>
      </c>
      <c r="AD5" s="24" t="s">
        <v>26</v>
      </c>
      <c r="AE5" s="34">
        <v>105</v>
      </c>
      <c r="AF5" s="35">
        <v>5</v>
      </c>
      <c r="AG5" s="28" t="str">
        <f t="shared" si="3"/>
        <v>105-5</v>
      </c>
      <c r="AH5" s="24" t="s">
        <v>115</v>
      </c>
      <c r="AI5" s="2" t="b">
        <f t="shared" si="4"/>
        <v>1</v>
      </c>
      <c r="AK5" s="24" t="s">
        <v>98</v>
      </c>
      <c r="AL5" s="2" t="b">
        <f t="shared" si="5"/>
        <v>1</v>
      </c>
    </row>
    <row r="6" spans="1:38" ht="12.75" customHeight="1">
      <c r="A6" s="12">
        <v>12</v>
      </c>
      <c r="B6" s="28">
        <v>72291125</v>
      </c>
      <c r="C6" s="22" t="s">
        <v>133</v>
      </c>
      <c r="D6" s="22">
        <v>2</v>
      </c>
      <c r="E6" s="13" t="s">
        <v>26</v>
      </c>
      <c r="F6" s="17" t="s">
        <v>26</v>
      </c>
      <c r="G6" s="13">
        <v>105</v>
      </c>
      <c r="H6" s="19">
        <v>5</v>
      </c>
      <c r="I6" s="19" t="str">
        <f t="shared" si="0"/>
        <v>105-5</v>
      </c>
      <c r="J6" s="17" t="s">
        <v>98</v>
      </c>
      <c r="K6" s="38" t="s">
        <v>70</v>
      </c>
      <c r="L6" s="2" t="b">
        <f t="shared" si="1"/>
        <v>1</v>
      </c>
      <c r="M6" s="2" t="b">
        <f t="shared" si="2"/>
        <v>0</v>
      </c>
      <c r="N6" s="29">
        <v>14</v>
      </c>
      <c r="O6" s="39">
        <v>72291125</v>
      </c>
      <c r="P6" s="40" t="s">
        <v>133</v>
      </c>
      <c r="Q6" s="31" t="s">
        <v>39</v>
      </c>
      <c r="R6" s="31" t="s">
        <v>43</v>
      </c>
      <c r="S6" s="33">
        <v>42585</v>
      </c>
      <c r="T6" s="33">
        <v>42468</v>
      </c>
      <c r="U6" s="31" t="s">
        <v>84</v>
      </c>
      <c r="V6" s="21">
        <v>38</v>
      </c>
      <c r="W6" s="21" t="s">
        <v>25</v>
      </c>
      <c r="X6" s="31"/>
      <c r="Y6" s="21"/>
      <c r="Z6" s="21"/>
      <c r="AA6" s="21"/>
      <c r="AB6" s="18" t="s">
        <v>53</v>
      </c>
      <c r="AC6" s="23" t="s">
        <v>26</v>
      </c>
      <c r="AD6" s="24" t="s">
        <v>26</v>
      </c>
      <c r="AE6" s="34">
        <v>105</v>
      </c>
      <c r="AF6" s="35">
        <v>5</v>
      </c>
      <c r="AG6" s="28" t="str">
        <f t="shared" si="3"/>
        <v>105-5</v>
      </c>
      <c r="AH6" s="24" t="s">
        <v>115</v>
      </c>
      <c r="AI6" s="2" t="b">
        <f t="shared" si="4"/>
        <v>1</v>
      </c>
      <c r="AK6" s="24" t="s">
        <v>98</v>
      </c>
      <c r="AL6" s="2" t="b">
        <f t="shared" si="5"/>
        <v>1</v>
      </c>
    </row>
    <row r="7" spans="1:38" ht="12.75" customHeight="1">
      <c r="A7" s="12">
        <v>13</v>
      </c>
      <c r="B7" s="28">
        <v>52233911</v>
      </c>
      <c r="C7" s="22" t="s">
        <v>136</v>
      </c>
      <c r="D7" s="22">
        <v>2</v>
      </c>
      <c r="E7" s="13" t="s">
        <v>26</v>
      </c>
      <c r="F7" s="17" t="s">
        <v>26</v>
      </c>
      <c r="G7" s="13">
        <v>105</v>
      </c>
      <c r="H7" s="19">
        <v>5</v>
      </c>
      <c r="I7" s="19" t="str">
        <f t="shared" si="0"/>
        <v>105-5</v>
      </c>
      <c r="J7" s="17" t="s">
        <v>98</v>
      </c>
      <c r="K7" s="38" t="s">
        <v>70</v>
      </c>
      <c r="L7" s="2" t="b">
        <f t="shared" si="1"/>
        <v>1</v>
      </c>
      <c r="M7" s="2" t="b">
        <f t="shared" si="2"/>
        <v>0</v>
      </c>
      <c r="N7" s="29">
        <v>15</v>
      </c>
      <c r="O7" s="39">
        <v>52233911</v>
      </c>
      <c r="P7" s="40" t="s">
        <v>136</v>
      </c>
      <c r="Q7" s="31" t="s">
        <v>39</v>
      </c>
      <c r="R7" s="31" t="s">
        <v>43</v>
      </c>
      <c r="S7" s="33">
        <v>42585</v>
      </c>
      <c r="T7" s="33">
        <v>35900</v>
      </c>
      <c r="U7" s="31" t="s">
        <v>48</v>
      </c>
      <c r="V7" s="21">
        <v>44</v>
      </c>
      <c r="W7" s="21" t="s">
        <v>25</v>
      </c>
      <c r="X7" s="31"/>
      <c r="Y7" s="21"/>
      <c r="Z7" s="21"/>
      <c r="AA7" s="21"/>
      <c r="AB7" s="18" t="s">
        <v>53</v>
      </c>
      <c r="AC7" s="23" t="s">
        <v>26</v>
      </c>
      <c r="AD7" s="24" t="s">
        <v>26</v>
      </c>
      <c r="AE7" s="34">
        <v>105</v>
      </c>
      <c r="AF7" s="35">
        <v>5</v>
      </c>
      <c r="AG7" s="28" t="str">
        <f t="shared" si="3"/>
        <v>105-5</v>
      </c>
      <c r="AH7" s="24" t="s">
        <v>115</v>
      </c>
      <c r="AI7" s="2" t="b">
        <f t="shared" si="4"/>
        <v>1</v>
      </c>
      <c r="AK7" s="24" t="s">
        <v>98</v>
      </c>
      <c r="AL7" s="2" t="b">
        <f t="shared" si="5"/>
        <v>1</v>
      </c>
    </row>
    <row r="8" spans="1:38" ht="12.75" customHeight="1">
      <c r="A8" s="12">
        <v>14</v>
      </c>
      <c r="B8" s="28">
        <v>52394165</v>
      </c>
      <c r="C8" s="22" t="s">
        <v>74</v>
      </c>
      <c r="D8" s="22">
        <v>2</v>
      </c>
      <c r="E8" s="13" t="s">
        <v>26</v>
      </c>
      <c r="F8" s="17" t="s">
        <v>26</v>
      </c>
      <c r="G8" s="13">
        <v>105</v>
      </c>
      <c r="H8" s="19">
        <v>5</v>
      </c>
      <c r="I8" s="19" t="str">
        <f t="shared" si="0"/>
        <v>105-5</v>
      </c>
      <c r="J8" s="17" t="s">
        <v>98</v>
      </c>
      <c r="K8" s="38" t="s">
        <v>70</v>
      </c>
      <c r="L8" s="2" t="b">
        <f t="shared" si="1"/>
        <v>0</v>
      </c>
      <c r="M8" s="2" t="b">
        <f t="shared" si="2"/>
        <v>0</v>
      </c>
      <c r="N8" s="29">
        <v>16</v>
      </c>
      <c r="O8" s="39"/>
      <c r="P8" s="40" t="s">
        <v>69</v>
      </c>
      <c r="Q8" s="31"/>
      <c r="R8" s="31" t="s">
        <v>69</v>
      </c>
      <c r="S8" s="33" t="s">
        <v>25</v>
      </c>
      <c r="T8" s="33" t="s">
        <v>25</v>
      </c>
      <c r="U8" s="31" t="s">
        <v>25</v>
      </c>
      <c r="V8" s="21" t="s">
        <v>25</v>
      </c>
      <c r="W8" s="21" t="s">
        <v>25</v>
      </c>
      <c r="X8" s="31" t="s">
        <v>74</v>
      </c>
      <c r="Y8" s="21" t="s">
        <v>82</v>
      </c>
      <c r="Z8" s="21" t="s">
        <v>144</v>
      </c>
      <c r="AA8" s="21"/>
      <c r="AB8" s="18" t="s">
        <v>53</v>
      </c>
      <c r="AC8" s="23" t="s">
        <v>26</v>
      </c>
      <c r="AD8" s="24" t="s">
        <v>26</v>
      </c>
      <c r="AE8" s="34">
        <v>105</v>
      </c>
      <c r="AF8" s="35">
        <v>5</v>
      </c>
      <c r="AG8" s="28" t="str">
        <f t="shared" si="3"/>
        <v>105-5</v>
      </c>
      <c r="AH8" s="24" t="s">
        <v>115</v>
      </c>
      <c r="AI8" s="2" t="b">
        <f t="shared" si="4"/>
        <v>1</v>
      </c>
      <c r="AK8" s="24" t="s">
        <v>98</v>
      </c>
      <c r="AL8" s="2" t="b">
        <f t="shared" si="5"/>
        <v>1</v>
      </c>
    </row>
    <row r="9" spans="1:38" ht="12.75" customHeight="1">
      <c r="A9" s="12">
        <v>136</v>
      </c>
      <c r="B9" s="28">
        <v>19209798</v>
      </c>
      <c r="C9" s="15" t="s">
        <v>145</v>
      </c>
      <c r="D9" s="15">
        <v>5</v>
      </c>
      <c r="E9" s="13" t="s">
        <v>27</v>
      </c>
      <c r="F9" s="17" t="s">
        <v>146</v>
      </c>
      <c r="G9" s="13">
        <v>407</v>
      </c>
      <c r="H9" s="19">
        <v>27</v>
      </c>
      <c r="I9" s="19" t="str">
        <f t="shared" si="0"/>
        <v>407-27</v>
      </c>
      <c r="J9" s="17" t="s">
        <v>147</v>
      </c>
      <c r="K9" s="56" t="s">
        <v>49</v>
      </c>
      <c r="L9" s="2" t="b">
        <f t="shared" si="1"/>
        <v>1</v>
      </c>
      <c r="M9" s="2" t="b">
        <f t="shared" si="2"/>
        <v>0</v>
      </c>
      <c r="N9" s="29">
        <v>137</v>
      </c>
      <c r="O9" s="39">
        <v>19209798</v>
      </c>
      <c r="P9" s="18" t="s">
        <v>145</v>
      </c>
      <c r="Q9" s="31" t="s">
        <v>49</v>
      </c>
      <c r="R9" s="31" t="s">
        <v>49</v>
      </c>
      <c r="S9" s="33">
        <v>42585</v>
      </c>
      <c r="T9" s="33">
        <v>35815</v>
      </c>
      <c r="U9" s="31" t="s">
        <v>84</v>
      </c>
      <c r="V9" s="21">
        <v>69</v>
      </c>
      <c r="W9" s="21" t="s">
        <v>25</v>
      </c>
      <c r="X9" s="31"/>
      <c r="Y9" s="21"/>
      <c r="Z9" s="21"/>
      <c r="AA9" s="21"/>
      <c r="AB9" s="18" t="s">
        <v>53</v>
      </c>
      <c r="AC9" s="23" t="s">
        <v>27</v>
      </c>
      <c r="AD9" s="24" t="s">
        <v>146</v>
      </c>
      <c r="AE9" s="34">
        <v>407</v>
      </c>
      <c r="AF9" s="35">
        <v>27</v>
      </c>
      <c r="AG9" s="28" t="s">
        <v>149</v>
      </c>
      <c r="AH9" s="24" t="s">
        <v>30</v>
      </c>
      <c r="AI9" s="2" t="b">
        <f t="shared" si="4"/>
        <v>1</v>
      </c>
      <c r="AK9" s="24" t="s">
        <v>147</v>
      </c>
      <c r="AL9" s="2" t="b">
        <f t="shared" si="5"/>
        <v>1</v>
      </c>
    </row>
    <row r="10" spans="1:38" ht="12.75" customHeight="1">
      <c r="A10" s="12">
        <v>137</v>
      </c>
      <c r="B10" s="28"/>
      <c r="C10" s="15" t="s">
        <v>20</v>
      </c>
      <c r="D10" s="15">
        <v>5</v>
      </c>
      <c r="E10" s="13" t="s">
        <v>27</v>
      </c>
      <c r="F10" s="17" t="s">
        <v>146</v>
      </c>
      <c r="G10" s="13">
        <v>407</v>
      </c>
      <c r="H10" s="19">
        <v>26</v>
      </c>
      <c r="I10" s="19" t="str">
        <f t="shared" si="0"/>
        <v>407-26</v>
      </c>
      <c r="J10" s="17" t="s">
        <v>150</v>
      </c>
      <c r="K10" s="21"/>
      <c r="L10" s="2" t="b">
        <f t="shared" si="1"/>
        <v>1</v>
      </c>
      <c r="M10" s="2" t="b">
        <f t="shared" si="2"/>
        <v>0</v>
      </c>
      <c r="N10" s="29">
        <v>165</v>
      </c>
      <c r="O10" s="39"/>
      <c r="P10" s="18" t="s">
        <v>20</v>
      </c>
      <c r="Q10" s="31"/>
      <c r="R10" s="31" t="s">
        <v>20</v>
      </c>
      <c r="S10" s="33" t="s">
        <v>25</v>
      </c>
      <c r="T10" s="33" t="s">
        <v>25</v>
      </c>
      <c r="U10" s="31" t="s">
        <v>25</v>
      </c>
      <c r="V10" s="21" t="s">
        <v>25</v>
      </c>
      <c r="W10" s="21" t="s">
        <v>25</v>
      </c>
      <c r="X10" s="18" t="s">
        <v>20</v>
      </c>
      <c r="Y10" s="21"/>
      <c r="Z10" s="21"/>
      <c r="AA10" s="21"/>
      <c r="AB10" s="18" t="s">
        <v>20</v>
      </c>
      <c r="AC10" s="23" t="s">
        <v>27</v>
      </c>
      <c r="AD10" s="24" t="s">
        <v>146</v>
      </c>
      <c r="AE10" s="34">
        <v>407</v>
      </c>
      <c r="AF10" s="35">
        <v>26</v>
      </c>
      <c r="AG10" s="28" t="s">
        <v>152</v>
      </c>
      <c r="AH10" s="24" t="s">
        <v>135</v>
      </c>
      <c r="AI10" s="2" t="b">
        <f t="shared" si="4"/>
        <v>1</v>
      </c>
      <c r="AK10" s="24" t="s">
        <v>153</v>
      </c>
      <c r="AL10" s="2" t="b">
        <f t="shared" si="5"/>
        <v>0</v>
      </c>
    </row>
    <row r="11" spans="1:38" ht="12.75" hidden="1" customHeight="1">
      <c r="A11" s="12">
        <v>138</v>
      </c>
      <c r="B11" s="28"/>
      <c r="C11" s="15" t="s">
        <v>20</v>
      </c>
      <c r="D11" s="15">
        <v>5</v>
      </c>
      <c r="E11" s="13" t="s">
        <v>27</v>
      </c>
      <c r="F11" s="17" t="s">
        <v>146</v>
      </c>
      <c r="G11" s="13">
        <v>407</v>
      </c>
      <c r="H11" s="19">
        <v>24</v>
      </c>
      <c r="I11" s="19" t="str">
        <f t="shared" si="0"/>
        <v>407-24</v>
      </c>
      <c r="J11" s="17" t="s">
        <v>147</v>
      </c>
      <c r="K11" s="21"/>
      <c r="L11" s="2" t="b">
        <f t="shared" si="1"/>
        <v>1</v>
      </c>
      <c r="M11" s="2" t="b">
        <f t="shared" si="2"/>
        <v>0</v>
      </c>
      <c r="N11" s="29">
        <v>138</v>
      </c>
      <c r="O11" s="39"/>
      <c r="P11" s="18" t="s">
        <v>20</v>
      </c>
      <c r="Q11" s="31"/>
      <c r="R11" s="31" t="s">
        <v>20</v>
      </c>
      <c r="S11" s="33" t="s">
        <v>25</v>
      </c>
      <c r="T11" s="33" t="s">
        <v>25</v>
      </c>
      <c r="U11" s="31" t="s">
        <v>25</v>
      </c>
      <c r="V11" s="21" t="s">
        <v>25</v>
      </c>
      <c r="W11" s="21" t="s">
        <v>25</v>
      </c>
      <c r="X11" s="18" t="s">
        <v>20</v>
      </c>
      <c r="Y11" s="21"/>
      <c r="Z11" s="21"/>
      <c r="AA11" s="21"/>
      <c r="AB11" s="18" t="s">
        <v>20</v>
      </c>
      <c r="AC11" s="23" t="s">
        <v>27</v>
      </c>
      <c r="AD11" s="24" t="s">
        <v>146</v>
      </c>
      <c r="AE11" s="34">
        <v>407</v>
      </c>
      <c r="AF11" s="35">
        <v>24</v>
      </c>
      <c r="AG11" s="28" t="s">
        <v>155</v>
      </c>
      <c r="AH11" s="24" t="s">
        <v>30</v>
      </c>
      <c r="AI11" s="2" t="b">
        <f t="shared" si="4"/>
        <v>1</v>
      </c>
      <c r="AK11" s="63" t="s">
        <v>68</v>
      </c>
      <c r="AL11" s="2" t="b">
        <f t="shared" si="5"/>
        <v>0</v>
      </c>
    </row>
    <row r="12" spans="1:38" ht="12.75" customHeight="1">
      <c r="A12" s="12">
        <v>139</v>
      </c>
      <c r="B12" s="28">
        <v>79431243</v>
      </c>
      <c r="C12" s="56" t="s">
        <v>162</v>
      </c>
      <c r="D12" s="15">
        <v>5</v>
      </c>
      <c r="E12" s="13" t="s">
        <v>27</v>
      </c>
      <c r="F12" s="17" t="s">
        <v>146</v>
      </c>
      <c r="G12" s="13">
        <v>407</v>
      </c>
      <c r="H12" s="19">
        <v>20</v>
      </c>
      <c r="I12" s="19" t="str">
        <f t="shared" si="0"/>
        <v>407-20</v>
      </c>
      <c r="J12" s="17" t="s">
        <v>147</v>
      </c>
      <c r="K12" s="56" t="s">
        <v>49</v>
      </c>
      <c r="L12" s="2" t="b">
        <f t="shared" si="1"/>
        <v>1</v>
      </c>
      <c r="M12" s="2" t="b">
        <f t="shared" si="2"/>
        <v>0</v>
      </c>
      <c r="N12" s="29">
        <v>166</v>
      </c>
      <c r="O12" s="39">
        <v>79431243</v>
      </c>
      <c r="P12" s="31" t="s">
        <v>162</v>
      </c>
      <c r="Q12" s="31" t="s">
        <v>49</v>
      </c>
      <c r="R12" s="31" t="s">
        <v>49</v>
      </c>
      <c r="S12" s="33">
        <v>42585</v>
      </c>
      <c r="T12" s="33">
        <v>38443</v>
      </c>
      <c r="U12" s="31" t="s">
        <v>84</v>
      </c>
      <c r="V12" s="21">
        <v>55</v>
      </c>
      <c r="W12" s="21" t="s">
        <v>25</v>
      </c>
      <c r="X12" s="31"/>
      <c r="Y12" s="21"/>
      <c r="Z12" s="21"/>
      <c r="AA12" s="21"/>
      <c r="AB12" s="18" t="s">
        <v>53</v>
      </c>
      <c r="AC12" s="23" t="s">
        <v>27</v>
      </c>
      <c r="AD12" s="24" t="s">
        <v>146</v>
      </c>
      <c r="AE12" s="34">
        <v>407</v>
      </c>
      <c r="AF12" s="35">
        <v>20</v>
      </c>
      <c r="AG12" s="28" t="s">
        <v>168</v>
      </c>
      <c r="AH12" s="24" t="s">
        <v>30</v>
      </c>
      <c r="AI12" s="2" t="b">
        <f t="shared" si="4"/>
        <v>1</v>
      </c>
      <c r="AK12" s="24" t="s">
        <v>75</v>
      </c>
      <c r="AL12" s="2" t="b">
        <f t="shared" si="5"/>
        <v>0</v>
      </c>
    </row>
    <row r="13" spans="1:38" ht="12.75" customHeight="1">
      <c r="A13" s="12">
        <v>140</v>
      </c>
      <c r="B13" s="28">
        <v>51628413</v>
      </c>
      <c r="C13" s="15" t="s">
        <v>173</v>
      </c>
      <c r="D13" s="15">
        <v>5</v>
      </c>
      <c r="E13" s="13" t="s">
        <v>27</v>
      </c>
      <c r="F13" s="17" t="s">
        <v>146</v>
      </c>
      <c r="G13" s="13">
        <v>407</v>
      </c>
      <c r="H13" s="19">
        <v>20</v>
      </c>
      <c r="I13" s="19" t="str">
        <f t="shared" si="0"/>
        <v>407-20</v>
      </c>
      <c r="J13" s="17" t="s">
        <v>174</v>
      </c>
      <c r="K13" s="56" t="s">
        <v>49</v>
      </c>
      <c r="L13" s="2" t="b">
        <f t="shared" si="1"/>
        <v>1</v>
      </c>
      <c r="M13" s="2" t="b">
        <f t="shared" si="2"/>
        <v>0</v>
      </c>
      <c r="N13" s="29">
        <v>139</v>
      </c>
      <c r="O13" s="39">
        <v>51628413</v>
      </c>
      <c r="P13" s="18" t="s">
        <v>173</v>
      </c>
      <c r="Q13" s="31" t="s">
        <v>49</v>
      </c>
      <c r="R13" s="31" t="s">
        <v>49</v>
      </c>
      <c r="S13" s="33">
        <v>42585</v>
      </c>
      <c r="T13" s="33">
        <v>30587</v>
      </c>
      <c r="U13" s="31" t="s">
        <v>48</v>
      </c>
      <c r="V13" s="21">
        <v>61</v>
      </c>
      <c r="W13" s="21" t="s">
        <v>25</v>
      </c>
      <c r="X13" s="31"/>
      <c r="Y13" s="21"/>
      <c r="Z13" s="21"/>
      <c r="AA13" s="21"/>
      <c r="AB13" s="18" t="s">
        <v>53</v>
      </c>
      <c r="AC13" s="23" t="s">
        <v>27</v>
      </c>
      <c r="AD13" s="24" t="s">
        <v>146</v>
      </c>
      <c r="AE13" s="34">
        <v>407</v>
      </c>
      <c r="AF13" s="35">
        <v>20</v>
      </c>
      <c r="AG13" s="28" t="s">
        <v>168</v>
      </c>
      <c r="AH13" s="24" t="s">
        <v>143</v>
      </c>
      <c r="AI13" s="2" t="b">
        <f t="shared" si="4"/>
        <v>1</v>
      </c>
      <c r="AK13" s="24" t="s">
        <v>147</v>
      </c>
      <c r="AL13" s="2" t="b">
        <f t="shared" si="5"/>
        <v>0</v>
      </c>
    </row>
    <row r="14" spans="1:38" ht="12.75" customHeight="1">
      <c r="A14" s="12">
        <v>141</v>
      </c>
      <c r="B14" s="28">
        <v>79138328</v>
      </c>
      <c r="C14" s="56" t="s">
        <v>177</v>
      </c>
      <c r="D14" s="15">
        <v>5</v>
      </c>
      <c r="E14" s="13" t="s">
        <v>27</v>
      </c>
      <c r="F14" s="17" t="s">
        <v>146</v>
      </c>
      <c r="G14" s="13">
        <v>407</v>
      </c>
      <c r="H14" s="19">
        <v>20</v>
      </c>
      <c r="I14" s="19" t="str">
        <f t="shared" si="0"/>
        <v>407-20</v>
      </c>
      <c r="J14" s="17" t="s">
        <v>153</v>
      </c>
      <c r="K14" s="56" t="s">
        <v>49</v>
      </c>
      <c r="L14" s="2" t="b">
        <f t="shared" si="1"/>
        <v>1</v>
      </c>
      <c r="M14" s="2" t="b">
        <f t="shared" si="2"/>
        <v>0</v>
      </c>
      <c r="N14" s="29">
        <v>167</v>
      </c>
      <c r="O14" s="39">
        <v>79138328</v>
      </c>
      <c r="P14" s="31" t="s">
        <v>177</v>
      </c>
      <c r="Q14" s="31" t="s">
        <v>49</v>
      </c>
      <c r="R14" s="31" t="s">
        <v>49</v>
      </c>
      <c r="S14" s="33">
        <v>42585</v>
      </c>
      <c r="T14" s="33">
        <v>34711</v>
      </c>
      <c r="U14" s="31" t="s">
        <v>84</v>
      </c>
      <c r="V14" s="21">
        <v>50</v>
      </c>
      <c r="W14" s="21" t="s">
        <v>25</v>
      </c>
      <c r="X14" s="31"/>
      <c r="Y14" s="21"/>
      <c r="Z14" s="21"/>
      <c r="AA14" s="21"/>
      <c r="AB14" s="18" t="s">
        <v>53</v>
      </c>
      <c r="AC14" s="23" t="s">
        <v>27</v>
      </c>
      <c r="AD14" s="24" t="s">
        <v>146</v>
      </c>
      <c r="AE14" s="34">
        <v>407</v>
      </c>
      <c r="AF14" s="35">
        <v>20</v>
      </c>
      <c r="AG14" s="28" t="s">
        <v>168</v>
      </c>
      <c r="AH14" s="24" t="s">
        <v>95</v>
      </c>
      <c r="AI14" s="2" t="b">
        <f t="shared" si="4"/>
        <v>1</v>
      </c>
      <c r="AK14" s="24" t="s">
        <v>68</v>
      </c>
      <c r="AL14" s="2" t="b">
        <f t="shared" si="5"/>
        <v>0</v>
      </c>
    </row>
    <row r="15" spans="1:38" ht="12.75" customHeight="1">
      <c r="A15" s="12">
        <v>142</v>
      </c>
      <c r="B15" s="28">
        <v>35337860</v>
      </c>
      <c r="C15" s="15" t="s">
        <v>187</v>
      </c>
      <c r="D15" s="15">
        <v>5</v>
      </c>
      <c r="E15" s="13" t="s">
        <v>27</v>
      </c>
      <c r="F15" s="17" t="s">
        <v>146</v>
      </c>
      <c r="G15" s="13">
        <v>407</v>
      </c>
      <c r="H15" s="19">
        <v>17</v>
      </c>
      <c r="I15" s="19" t="str">
        <f t="shared" si="0"/>
        <v>407-17</v>
      </c>
      <c r="J15" s="17" t="s">
        <v>147</v>
      </c>
      <c r="K15" s="38" t="s">
        <v>188</v>
      </c>
      <c r="L15" s="2" t="b">
        <f t="shared" si="1"/>
        <v>0</v>
      </c>
      <c r="M15" s="2" t="b">
        <f t="shared" si="2"/>
        <v>0</v>
      </c>
      <c r="N15" s="29">
        <v>140</v>
      </c>
      <c r="O15" s="39"/>
      <c r="P15" s="18" t="s">
        <v>20</v>
      </c>
      <c r="Q15" s="31"/>
      <c r="R15" s="31" t="s">
        <v>20</v>
      </c>
      <c r="S15" s="33" t="s">
        <v>25</v>
      </c>
      <c r="T15" s="33" t="s">
        <v>25</v>
      </c>
      <c r="U15" s="31" t="s">
        <v>25</v>
      </c>
      <c r="V15" s="21" t="s">
        <v>25</v>
      </c>
      <c r="W15" s="21" t="s">
        <v>25</v>
      </c>
      <c r="X15" s="31" t="s">
        <v>20</v>
      </c>
      <c r="Y15" s="21"/>
      <c r="Z15" s="21"/>
      <c r="AA15" s="21"/>
      <c r="AB15" s="18" t="s">
        <v>20</v>
      </c>
      <c r="AC15" s="23" t="s">
        <v>27</v>
      </c>
      <c r="AD15" s="24" t="s">
        <v>146</v>
      </c>
      <c r="AE15" s="34">
        <v>407</v>
      </c>
      <c r="AF15" s="35">
        <v>17</v>
      </c>
      <c r="AG15" s="28" t="s">
        <v>189</v>
      </c>
      <c r="AH15" s="24" t="s">
        <v>30</v>
      </c>
      <c r="AI15" s="2" t="b">
        <f t="shared" si="4"/>
        <v>1</v>
      </c>
      <c r="AK15" s="24" t="s">
        <v>147</v>
      </c>
      <c r="AL15" s="2" t="b">
        <f t="shared" si="5"/>
        <v>1</v>
      </c>
    </row>
    <row r="16" spans="1:38" ht="12.75" customHeight="1">
      <c r="A16" s="12">
        <v>143</v>
      </c>
      <c r="B16" s="28">
        <v>80775238</v>
      </c>
      <c r="C16" s="56" t="s">
        <v>190</v>
      </c>
      <c r="D16" s="15">
        <v>5</v>
      </c>
      <c r="E16" s="13" t="s">
        <v>27</v>
      </c>
      <c r="F16" s="17" t="s">
        <v>146</v>
      </c>
      <c r="G16" s="13">
        <v>407</v>
      </c>
      <c r="H16" s="19">
        <v>16</v>
      </c>
      <c r="I16" s="19" t="str">
        <f t="shared" si="0"/>
        <v>407-16</v>
      </c>
      <c r="J16" s="17" t="s">
        <v>147</v>
      </c>
      <c r="K16" s="38" t="s">
        <v>188</v>
      </c>
      <c r="L16" s="2" t="b">
        <f t="shared" si="1"/>
        <v>1</v>
      </c>
      <c r="M16" s="2" t="b">
        <f t="shared" si="2"/>
        <v>0</v>
      </c>
      <c r="N16" s="29">
        <v>141</v>
      </c>
      <c r="O16" s="39">
        <v>80775238</v>
      </c>
      <c r="P16" s="31" t="s">
        <v>190</v>
      </c>
      <c r="Q16" s="31" t="s">
        <v>24</v>
      </c>
      <c r="R16" s="31" t="s">
        <v>192</v>
      </c>
      <c r="S16" s="33">
        <v>42585</v>
      </c>
      <c r="T16" s="33">
        <v>39892</v>
      </c>
      <c r="U16" s="31" t="s">
        <v>84</v>
      </c>
      <c r="V16" s="21">
        <v>36</v>
      </c>
      <c r="W16" s="21" t="s">
        <v>25</v>
      </c>
      <c r="X16" s="31" t="s">
        <v>20</v>
      </c>
      <c r="Y16" s="21"/>
      <c r="Z16" s="21"/>
      <c r="AA16" s="21"/>
      <c r="AB16" s="18" t="s">
        <v>53</v>
      </c>
      <c r="AC16" s="23" t="s">
        <v>27</v>
      </c>
      <c r="AD16" s="24" t="s">
        <v>146</v>
      </c>
      <c r="AE16" s="34">
        <v>407</v>
      </c>
      <c r="AF16" s="35">
        <v>16</v>
      </c>
      <c r="AG16" s="28" t="s">
        <v>193</v>
      </c>
      <c r="AH16" s="24" t="s">
        <v>30</v>
      </c>
      <c r="AI16" s="2" t="b">
        <f t="shared" si="4"/>
        <v>1</v>
      </c>
      <c r="AK16" s="24" t="s">
        <v>98</v>
      </c>
      <c r="AL16" s="2" t="b">
        <f t="shared" si="5"/>
        <v>0</v>
      </c>
    </row>
    <row r="17" spans="1:38" ht="12.75" customHeight="1">
      <c r="A17" s="12">
        <v>144</v>
      </c>
      <c r="B17" s="13"/>
      <c r="C17" s="15" t="s">
        <v>20</v>
      </c>
      <c r="D17" s="15">
        <v>5</v>
      </c>
      <c r="E17" s="13" t="s">
        <v>27</v>
      </c>
      <c r="F17" s="17" t="s">
        <v>146</v>
      </c>
      <c r="G17" s="13">
        <v>407</v>
      </c>
      <c r="H17" s="19">
        <v>16</v>
      </c>
      <c r="I17" s="19" t="str">
        <f t="shared" si="0"/>
        <v>407-16</v>
      </c>
      <c r="J17" s="17" t="s">
        <v>98</v>
      </c>
      <c r="K17" s="21"/>
      <c r="L17" s="2" t="b">
        <f t="shared" si="1"/>
        <v>1</v>
      </c>
      <c r="M17" s="2" t="b">
        <f t="shared" si="2"/>
        <v>0</v>
      </c>
      <c r="N17" s="29">
        <v>142</v>
      </c>
      <c r="O17" s="32"/>
      <c r="P17" s="18" t="s">
        <v>20</v>
      </c>
      <c r="Q17" s="31"/>
      <c r="R17" s="31" t="s">
        <v>20</v>
      </c>
      <c r="S17" s="33" t="s">
        <v>25</v>
      </c>
      <c r="T17" s="33" t="s">
        <v>25</v>
      </c>
      <c r="U17" s="31" t="s">
        <v>25</v>
      </c>
      <c r="V17" s="21" t="s">
        <v>25</v>
      </c>
      <c r="W17" s="21" t="s">
        <v>25</v>
      </c>
      <c r="X17" s="18" t="s">
        <v>20</v>
      </c>
      <c r="Y17" s="21"/>
      <c r="Z17" s="21"/>
      <c r="AA17" s="21"/>
      <c r="AB17" s="18" t="s">
        <v>20</v>
      </c>
      <c r="AC17" s="23" t="s">
        <v>27</v>
      </c>
      <c r="AD17" s="24" t="s">
        <v>146</v>
      </c>
      <c r="AE17" s="34">
        <v>407</v>
      </c>
      <c r="AF17" s="35">
        <v>16</v>
      </c>
      <c r="AG17" s="28" t="s">
        <v>193</v>
      </c>
      <c r="AH17" s="24" t="s">
        <v>115</v>
      </c>
      <c r="AI17" s="2" t="b">
        <f t="shared" si="4"/>
        <v>1</v>
      </c>
      <c r="AK17" s="24" t="s">
        <v>153</v>
      </c>
      <c r="AL17" s="2" t="b">
        <f t="shared" si="5"/>
        <v>0</v>
      </c>
    </row>
    <row r="18" spans="1:38" ht="12.75" customHeight="1">
      <c r="A18" s="12">
        <v>145</v>
      </c>
      <c r="B18" s="28">
        <v>19443235</v>
      </c>
      <c r="C18" s="56" t="s">
        <v>194</v>
      </c>
      <c r="D18" s="15">
        <v>5</v>
      </c>
      <c r="E18" s="13" t="s">
        <v>27</v>
      </c>
      <c r="F18" s="17" t="s">
        <v>146</v>
      </c>
      <c r="G18" s="13">
        <v>407</v>
      </c>
      <c r="H18" s="19">
        <v>15</v>
      </c>
      <c r="I18" s="19" t="str">
        <f t="shared" si="0"/>
        <v>407-15</v>
      </c>
      <c r="J18" s="17" t="s">
        <v>153</v>
      </c>
      <c r="K18" s="56" t="s">
        <v>49</v>
      </c>
      <c r="L18" s="2" t="b">
        <f t="shared" si="1"/>
        <v>1</v>
      </c>
      <c r="M18" s="2" t="b">
        <f t="shared" si="2"/>
        <v>0</v>
      </c>
      <c r="N18" s="29">
        <v>168</v>
      </c>
      <c r="O18" s="39">
        <v>19443235</v>
      </c>
      <c r="P18" s="31" t="s">
        <v>194</v>
      </c>
      <c r="Q18" s="31" t="s">
        <v>49</v>
      </c>
      <c r="R18" s="31" t="s">
        <v>49</v>
      </c>
      <c r="S18" s="33">
        <v>42585</v>
      </c>
      <c r="T18" s="33">
        <v>33462</v>
      </c>
      <c r="U18" s="31" t="s">
        <v>84</v>
      </c>
      <c r="V18" s="21">
        <v>62</v>
      </c>
      <c r="W18" s="21" t="s">
        <v>25</v>
      </c>
      <c r="X18" s="31"/>
      <c r="Y18" s="21"/>
      <c r="Z18" s="21"/>
      <c r="AA18" s="21"/>
      <c r="AB18" s="18" t="s">
        <v>53</v>
      </c>
      <c r="AC18" s="23" t="s">
        <v>27</v>
      </c>
      <c r="AD18" s="24" t="s">
        <v>146</v>
      </c>
      <c r="AE18" s="34">
        <v>407</v>
      </c>
      <c r="AF18" s="35">
        <v>15</v>
      </c>
      <c r="AG18" s="28" t="s">
        <v>195</v>
      </c>
      <c r="AH18" s="24" t="s">
        <v>95</v>
      </c>
      <c r="AI18" s="2" t="b">
        <f t="shared" si="4"/>
        <v>1</v>
      </c>
      <c r="AK18" s="24" t="s">
        <v>150</v>
      </c>
      <c r="AL18" s="2" t="b">
        <f t="shared" si="5"/>
        <v>0</v>
      </c>
    </row>
    <row r="19" spans="1:38" ht="12.75" customHeight="1">
      <c r="A19" s="12">
        <v>146</v>
      </c>
      <c r="B19" s="28">
        <v>41713009</v>
      </c>
      <c r="C19" s="56" t="s">
        <v>196</v>
      </c>
      <c r="D19" s="15">
        <v>5</v>
      </c>
      <c r="E19" s="13" t="s">
        <v>27</v>
      </c>
      <c r="F19" s="17" t="s">
        <v>146</v>
      </c>
      <c r="G19" s="13">
        <v>407</v>
      </c>
      <c r="H19" s="19">
        <v>15</v>
      </c>
      <c r="I19" s="19" t="str">
        <f t="shared" si="0"/>
        <v>407-15</v>
      </c>
      <c r="J19" s="17" t="s">
        <v>153</v>
      </c>
      <c r="K19" s="56" t="s">
        <v>49</v>
      </c>
      <c r="L19" s="2" t="b">
        <f t="shared" si="1"/>
        <v>1</v>
      </c>
      <c r="M19" s="2" t="b">
        <f t="shared" si="2"/>
        <v>0</v>
      </c>
      <c r="N19" s="29">
        <v>159</v>
      </c>
      <c r="O19" s="39">
        <v>41713009</v>
      </c>
      <c r="P19" s="31" t="s">
        <v>196</v>
      </c>
      <c r="Q19" s="31" t="s">
        <v>49</v>
      </c>
      <c r="R19" s="31" t="s">
        <v>49</v>
      </c>
      <c r="S19" s="33">
        <v>42585</v>
      </c>
      <c r="T19" s="33">
        <v>34169</v>
      </c>
      <c r="U19" s="31" t="s">
        <v>48</v>
      </c>
      <c r="V19" s="21">
        <v>67</v>
      </c>
      <c r="W19" s="21" t="s">
        <v>25</v>
      </c>
      <c r="X19" s="31"/>
      <c r="Y19" s="21"/>
      <c r="Z19" s="21"/>
      <c r="AA19" s="21"/>
      <c r="AB19" s="18" t="s">
        <v>53</v>
      </c>
      <c r="AC19" s="23" t="s">
        <v>27</v>
      </c>
      <c r="AD19" s="24" t="s">
        <v>146</v>
      </c>
      <c r="AE19" s="34">
        <v>407</v>
      </c>
      <c r="AF19" s="35">
        <v>15</v>
      </c>
      <c r="AG19" s="28" t="s">
        <v>195</v>
      </c>
      <c r="AH19" s="24" t="s">
        <v>95</v>
      </c>
      <c r="AI19" s="2" t="b">
        <f t="shared" si="4"/>
        <v>1</v>
      </c>
      <c r="AK19" s="24" t="s">
        <v>153</v>
      </c>
      <c r="AL19" s="2" t="b">
        <f t="shared" si="5"/>
        <v>1</v>
      </c>
    </row>
    <row r="20" spans="1:38" ht="12.75" customHeight="1">
      <c r="A20" s="12">
        <v>147</v>
      </c>
      <c r="B20" s="28">
        <v>41774744</v>
      </c>
      <c r="C20" s="56" t="s">
        <v>198</v>
      </c>
      <c r="D20" s="15">
        <v>5</v>
      </c>
      <c r="E20" s="13" t="s">
        <v>27</v>
      </c>
      <c r="F20" s="17" t="s">
        <v>146</v>
      </c>
      <c r="G20" s="13">
        <v>407</v>
      </c>
      <c r="H20" s="19">
        <v>15</v>
      </c>
      <c r="I20" s="19" t="str">
        <f t="shared" si="0"/>
        <v>407-15</v>
      </c>
      <c r="J20" s="17" t="s">
        <v>153</v>
      </c>
      <c r="K20" s="56" t="s">
        <v>49</v>
      </c>
      <c r="L20" s="2" t="b">
        <f t="shared" si="1"/>
        <v>1</v>
      </c>
      <c r="M20" s="2" t="b">
        <f t="shared" si="2"/>
        <v>0</v>
      </c>
      <c r="N20" s="29">
        <v>143</v>
      </c>
      <c r="O20" s="39">
        <v>41774744</v>
      </c>
      <c r="P20" s="31" t="s">
        <v>198</v>
      </c>
      <c r="Q20" s="31" t="s">
        <v>49</v>
      </c>
      <c r="R20" s="31" t="s">
        <v>49</v>
      </c>
      <c r="S20" s="33">
        <v>42585</v>
      </c>
      <c r="T20" s="33">
        <v>36102</v>
      </c>
      <c r="U20" s="31" t="s">
        <v>48</v>
      </c>
      <c r="V20" s="21">
        <v>65</v>
      </c>
      <c r="W20" s="21" t="s">
        <v>25</v>
      </c>
      <c r="X20" s="31"/>
      <c r="Y20" s="21"/>
      <c r="Z20" s="21"/>
      <c r="AA20" s="21"/>
      <c r="AB20" s="18" t="s">
        <v>53</v>
      </c>
      <c r="AC20" s="23" t="s">
        <v>27</v>
      </c>
      <c r="AD20" s="24" t="s">
        <v>146</v>
      </c>
      <c r="AE20" s="34">
        <v>407</v>
      </c>
      <c r="AF20" s="35">
        <v>15</v>
      </c>
      <c r="AG20" s="28" t="s">
        <v>195</v>
      </c>
      <c r="AH20" s="24" t="s">
        <v>95</v>
      </c>
      <c r="AI20" s="2" t="b">
        <f t="shared" si="4"/>
        <v>1</v>
      </c>
      <c r="AK20" s="24" t="s">
        <v>147</v>
      </c>
      <c r="AL20" s="2" t="b">
        <f t="shared" si="5"/>
        <v>0</v>
      </c>
    </row>
    <row r="21" spans="1:38" ht="12.75" customHeight="1">
      <c r="A21" s="12">
        <v>148</v>
      </c>
      <c r="B21" s="28">
        <v>52235989</v>
      </c>
      <c r="C21" s="56" t="s">
        <v>200</v>
      </c>
      <c r="D21" s="15">
        <v>5</v>
      </c>
      <c r="E21" s="13" t="s">
        <v>27</v>
      </c>
      <c r="F21" s="17" t="s">
        <v>146</v>
      </c>
      <c r="G21" s="13">
        <v>407</v>
      </c>
      <c r="H21" s="19">
        <v>15</v>
      </c>
      <c r="I21" s="19" t="str">
        <f t="shared" si="0"/>
        <v>407-15</v>
      </c>
      <c r="J21" s="17" t="s">
        <v>150</v>
      </c>
      <c r="K21" s="56" t="s">
        <v>49</v>
      </c>
      <c r="L21" s="2" t="b">
        <f t="shared" si="1"/>
        <v>1</v>
      </c>
      <c r="M21" s="2" t="b">
        <f t="shared" si="2"/>
        <v>0</v>
      </c>
      <c r="N21" s="29">
        <v>144</v>
      </c>
      <c r="O21" s="39">
        <v>52235989</v>
      </c>
      <c r="P21" s="31" t="s">
        <v>200</v>
      </c>
      <c r="Q21" s="31" t="s">
        <v>49</v>
      </c>
      <c r="R21" s="31" t="s">
        <v>49</v>
      </c>
      <c r="S21" s="33">
        <v>42585</v>
      </c>
      <c r="T21" s="33">
        <v>38446</v>
      </c>
      <c r="U21" s="31" t="s">
        <v>48</v>
      </c>
      <c r="V21" s="21">
        <v>43</v>
      </c>
      <c r="W21" s="21" t="s">
        <v>25</v>
      </c>
      <c r="X21" s="31"/>
      <c r="Y21" s="21"/>
      <c r="Z21" s="21"/>
      <c r="AA21" s="21"/>
      <c r="AB21" s="18" t="s">
        <v>53</v>
      </c>
      <c r="AC21" s="23" t="s">
        <v>27</v>
      </c>
      <c r="AD21" s="24" t="s">
        <v>146</v>
      </c>
      <c r="AE21" s="34">
        <v>407</v>
      </c>
      <c r="AF21" s="35">
        <v>15</v>
      </c>
      <c r="AG21" s="28" t="s">
        <v>195</v>
      </c>
      <c r="AH21" s="24" t="s">
        <v>135</v>
      </c>
      <c r="AI21" s="2" t="b">
        <f t="shared" si="4"/>
        <v>1</v>
      </c>
      <c r="AK21" s="24" t="s">
        <v>147</v>
      </c>
      <c r="AL21" s="2" t="b">
        <f t="shared" si="5"/>
        <v>0</v>
      </c>
    </row>
    <row r="22" spans="1:38" ht="12.75" customHeight="1">
      <c r="A22" s="12">
        <v>149</v>
      </c>
      <c r="B22" s="28">
        <v>51732443</v>
      </c>
      <c r="C22" s="56" t="s">
        <v>202</v>
      </c>
      <c r="D22" s="15">
        <v>5</v>
      </c>
      <c r="E22" s="13" t="s">
        <v>27</v>
      </c>
      <c r="F22" s="17" t="s">
        <v>146</v>
      </c>
      <c r="G22" s="13">
        <v>407</v>
      </c>
      <c r="H22" s="19">
        <v>15</v>
      </c>
      <c r="I22" s="19" t="str">
        <f t="shared" si="0"/>
        <v>407-15</v>
      </c>
      <c r="J22" s="17" t="s">
        <v>150</v>
      </c>
      <c r="K22" s="56" t="s">
        <v>49</v>
      </c>
      <c r="L22" s="2" t="b">
        <f t="shared" si="1"/>
        <v>1</v>
      </c>
      <c r="M22" s="2" t="b">
        <f t="shared" si="2"/>
        <v>0</v>
      </c>
      <c r="N22" s="29">
        <v>145</v>
      </c>
      <c r="O22" s="39">
        <v>51732443</v>
      </c>
      <c r="P22" s="31" t="s">
        <v>202</v>
      </c>
      <c r="Q22" s="31" t="s">
        <v>49</v>
      </c>
      <c r="R22" s="31" t="s">
        <v>49</v>
      </c>
      <c r="S22" s="33">
        <v>42585</v>
      </c>
      <c r="T22" s="33">
        <v>40672</v>
      </c>
      <c r="U22" s="31" t="s">
        <v>48</v>
      </c>
      <c r="V22" s="21">
        <v>58</v>
      </c>
      <c r="W22" s="21" t="s">
        <v>25</v>
      </c>
      <c r="X22" s="31"/>
      <c r="Y22" s="21"/>
      <c r="Z22" s="21"/>
      <c r="AA22" s="21"/>
      <c r="AB22" s="18" t="s">
        <v>53</v>
      </c>
      <c r="AC22" s="23" t="s">
        <v>27</v>
      </c>
      <c r="AD22" s="24" t="s">
        <v>146</v>
      </c>
      <c r="AE22" s="34">
        <v>407</v>
      </c>
      <c r="AF22" s="35">
        <v>15</v>
      </c>
      <c r="AG22" s="28" t="s">
        <v>195</v>
      </c>
      <c r="AH22" s="24" t="s">
        <v>135</v>
      </c>
      <c r="AI22" s="2" t="b">
        <f t="shared" si="4"/>
        <v>1</v>
      </c>
      <c r="AK22" s="24" t="s">
        <v>147</v>
      </c>
      <c r="AL22" s="2" t="b">
        <f t="shared" si="5"/>
        <v>0</v>
      </c>
    </row>
    <row r="23" spans="1:38" ht="12.75" customHeight="1">
      <c r="A23" s="12">
        <v>150</v>
      </c>
      <c r="B23" s="91">
        <v>79262614</v>
      </c>
      <c r="C23" s="92" t="s">
        <v>204</v>
      </c>
      <c r="D23" s="15">
        <v>5</v>
      </c>
      <c r="E23" s="13" t="s">
        <v>27</v>
      </c>
      <c r="F23" s="17" t="s">
        <v>146</v>
      </c>
      <c r="G23" s="13">
        <v>407</v>
      </c>
      <c r="H23" s="19">
        <v>14</v>
      </c>
      <c r="I23" s="19" t="str">
        <f t="shared" si="0"/>
        <v>407-14</v>
      </c>
      <c r="J23" s="17" t="s">
        <v>147</v>
      </c>
      <c r="K23" s="56" t="s">
        <v>49</v>
      </c>
      <c r="L23" s="2" t="b">
        <f t="shared" si="1"/>
        <v>1</v>
      </c>
      <c r="M23" s="2" t="b">
        <f t="shared" si="2"/>
        <v>0</v>
      </c>
      <c r="N23" s="29">
        <v>146</v>
      </c>
      <c r="O23" s="39">
        <v>79262614</v>
      </c>
      <c r="P23" s="31" t="s">
        <v>204</v>
      </c>
      <c r="Q23" s="31" t="s">
        <v>49</v>
      </c>
      <c r="R23" s="31" t="s">
        <v>49</v>
      </c>
      <c r="S23" s="33">
        <v>42585</v>
      </c>
      <c r="T23" s="33">
        <v>35906</v>
      </c>
      <c r="U23" s="31" t="s">
        <v>84</v>
      </c>
      <c r="V23" s="21">
        <v>59</v>
      </c>
      <c r="W23" s="21" t="s">
        <v>25</v>
      </c>
      <c r="X23" s="31"/>
      <c r="Y23" s="21"/>
      <c r="Z23" s="21"/>
      <c r="AA23" s="21"/>
      <c r="AB23" s="18" t="s">
        <v>53</v>
      </c>
      <c r="AC23" s="23" t="s">
        <v>27</v>
      </c>
      <c r="AD23" s="24" t="s">
        <v>146</v>
      </c>
      <c r="AE23" s="34">
        <v>407</v>
      </c>
      <c r="AF23" s="35">
        <v>14</v>
      </c>
      <c r="AG23" s="28" t="s">
        <v>209</v>
      </c>
      <c r="AH23" s="24" t="s">
        <v>30</v>
      </c>
      <c r="AI23" s="2" t="b">
        <f t="shared" si="4"/>
        <v>1</v>
      </c>
      <c r="AK23" s="24" t="s">
        <v>153</v>
      </c>
      <c r="AL23" s="2" t="b">
        <f t="shared" si="5"/>
        <v>0</v>
      </c>
    </row>
    <row r="24" spans="1:38" ht="12.75" customHeight="1">
      <c r="A24" s="12">
        <v>151</v>
      </c>
      <c r="B24" s="28">
        <v>51882380</v>
      </c>
      <c r="C24" s="56" t="s">
        <v>211</v>
      </c>
      <c r="D24" s="15">
        <v>5</v>
      </c>
      <c r="E24" s="13" t="s">
        <v>27</v>
      </c>
      <c r="F24" s="17" t="s">
        <v>146</v>
      </c>
      <c r="G24" s="13">
        <v>407</v>
      </c>
      <c r="H24" s="19">
        <v>13</v>
      </c>
      <c r="I24" s="19" t="str">
        <f t="shared" si="0"/>
        <v>407-13</v>
      </c>
      <c r="J24" s="17" t="s">
        <v>147</v>
      </c>
      <c r="K24" s="56" t="s">
        <v>49</v>
      </c>
      <c r="L24" s="2" t="b">
        <f t="shared" si="1"/>
        <v>1</v>
      </c>
      <c r="M24" s="2" t="b">
        <f t="shared" si="2"/>
        <v>0</v>
      </c>
      <c r="N24" s="29">
        <v>147</v>
      </c>
      <c r="O24" s="39">
        <v>51882380</v>
      </c>
      <c r="P24" s="31" t="s">
        <v>211</v>
      </c>
      <c r="Q24" s="31" t="s">
        <v>49</v>
      </c>
      <c r="R24" s="31" t="s">
        <v>49</v>
      </c>
      <c r="S24" s="33">
        <v>42585</v>
      </c>
      <c r="T24" s="33">
        <v>33672</v>
      </c>
      <c r="U24" s="31" t="s">
        <v>48</v>
      </c>
      <c r="V24" s="21">
        <v>56</v>
      </c>
      <c r="W24" s="21" t="s">
        <v>25</v>
      </c>
      <c r="X24" s="31"/>
      <c r="Y24" s="21"/>
      <c r="Z24" s="21"/>
      <c r="AA24" s="21"/>
      <c r="AB24" s="18" t="s">
        <v>53</v>
      </c>
      <c r="AC24" s="23" t="s">
        <v>27</v>
      </c>
      <c r="AD24" s="24" t="s">
        <v>146</v>
      </c>
      <c r="AE24" s="34">
        <v>407</v>
      </c>
      <c r="AF24" s="35">
        <v>13</v>
      </c>
      <c r="AG24" s="28" t="s">
        <v>212</v>
      </c>
      <c r="AH24" s="24" t="s">
        <v>30</v>
      </c>
      <c r="AI24" s="2" t="b">
        <f t="shared" si="4"/>
        <v>1</v>
      </c>
      <c r="AK24" s="24" t="s">
        <v>213</v>
      </c>
      <c r="AL24" s="2" t="b">
        <f t="shared" si="5"/>
        <v>0</v>
      </c>
    </row>
    <row r="25" spans="1:38" ht="12.75" customHeight="1">
      <c r="A25" s="12">
        <v>152</v>
      </c>
      <c r="B25" s="28">
        <v>79468462</v>
      </c>
      <c r="C25" s="56" t="s">
        <v>214</v>
      </c>
      <c r="D25" s="15">
        <v>5</v>
      </c>
      <c r="E25" s="13" t="s">
        <v>27</v>
      </c>
      <c r="F25" s="17" t="s">
        <v>146</v>
      </c>
      <c r="G25" s="13">
        <v>407</v>
      </c>
      <c r="H25" s="19">
        <v>11</v>
      </c>
      <c r="I25" s="19" t="str">
        <f t="shared" si="0"/>
        <v>407-11</v>
      </c>
      <c r="J25" s="17" t="s">
        <v>147</v>
      </c>
      <c r="K25" s="56" t="s">
        <v>49</v>
      </c>
      <c r="L25" s="2" t="b">
        <f t="shared" si="1"/>
        <v>1</v>
      </c>
      <c r="M25" s="2" t="b">
        <f t="shared" si="2"/>
        <v>0</v>
      </c>
      <c r="N25" s="29">
        <v>148</v>
      </c>
      <c r="O25" s="39">
        <v>79468462</v>
      </c>
      <c r="P25" s="31" t="s">
        <v>214</v>
      </c>
      <c r="Q25" s="31" t="s">
        <v>49</v>
      </c>
      <c r="R25" s="31" t="s">
        <v>49</v>
      </c>
      <c r="S25" s="33">
        <v>42585</v>
      </c>
      <c r="T25" s="33">
        <v>35506</v>
      </c>
      <c r="U25" s="31" t="s">
        <v>84</v>
      </c>
      <c r="V25" s="21">
        <v>53</v>
      </c>
      <c r="W25" s="21" t="s">
        <v>25</v>
      </c>
      <c r="X25" s="31"/>
      <c r="Y25" s="21"/>
      <c r="Z25" s="21"/>
      <c r="AA25" s="21"/>
      <c r="AB25" s="18" t="s">
        <v>53</v>
      </c>
      <c r="AC25" s="23" t="s">
        <v>27</v>
      </c>
      <c r="AD25" s="24" t="s">
        <v>146</v>
      </c>
      <c r="AE25" s="34">
        <v>407</v>
      </c>
      <c r="AF25" s="35">
        <v>11</v>
      </c>
      <c r="AG25" s="28" t="s">
        <v>215</v>
      </c>
      <c r="AH25" s="24" t="s">
        <v>30</v>
      </c>
      <c r="AI25" s="2" t="b">
        <f t="shared" si="4"/>
        <v>1</v>
      </c>
      <c r="AK25" s="24" t="s">
        <v>147</v>
      </c>
      <c r="AL25" s="2" t="b">
        <f t="shared" si="5"/>
        <v>1</v>
      </c>
    </row>
    <row r="26" spans="1:38" ht="12.75" customHeight="1">
      <c r="A26" s="12">
        <v>153</v>
      </c>
      <c r="B26" s="28">
        <v>41780136</v>
      </c>
      <c r="C26" s="56" t="s">
        <v>216</v>
      </c>
      <c r="D26" s="15">
        <v>5</v>
      </c>
      <c r="E26" s="13" t="s">
        <v>27</v>
      </c>
      <c r="F26" s="17" t="s">
        <v>146</v>
      </c>
      <c r="G26" s="13">
        <v>407</v>
      </c>
      <c r="H26" s="19">
        <v>11</v>
      </c>
      <c r="I26" s="19" t="str">
        <f t="shared" si="0"/>
        <v>407-11</v>
      </c>
      <c r="J26" s="17" t="s">
        <v>147</v>
      </c>
      <c r="K26" s="56" t="s">
        <v>49</v>
      </c>
      <c r="L26" s="2" t="b">
        <f t="shared" si="1"/>
        <v>1</v>
      </c>
      <c r="M26" s="2" t="b">
        <f t="shared" si="2"/>
        <v>0</v>
      </c>
      <c r="N26" s="29">
        <v>149</v>
      </c>
      <c r="O26" s="39">
        <v>41780136</v>
      </c>
      <c r="P26" s="31" t="s">
        <v>216</v>
      </c>
      <c r="Q26" s="31" t="s">
        <v>49</v>
      </c>
      <c r="R26" s="31" t="s">
        <v>49</v>
      </c>
      <c r="S26" s="33">
        <v>42585</v>
      </c>
      <c r="T26" s="33">
        <v>34872</v>
      </c>
      <c r="U26" s="31" t="s">
        <v>48</v>
      </c>
      <c r="V26" s="21">
        <v>62</v>
      </c>
      <c r="W26" s="21" t="s">
        <v>25</v>
      </c>
      <c r="X26" s="31"/>
      <c r="Y26" s="21"/>
      <c r="Z26" s="21"/>
      <c r="AA26" s="21"/>
      <c r="AB26" s="18" t="s">
        <v>53</v>
      </c>
      <c r="AC26" s="23" t="s">
        <v>27</v>
      </c>
      <c r="AD26" s="24" t="s">
        <v>146</v>
      </c>
      <c r="AE26" s="34">
        <v>407</v>
      </c>
      <c r="AF26" s="35">
        <v>11</v>
      </c>
      <c r="AG26" s="28" t="s">
        <v>215</v>
      </c>
      <c r="AH26" s="24" t="s">
        <v>30</v>
      </c>
      <c r="AI26" s="2" t="b">
        <f t="shared" si="4"/>
        <v>1</v>
      </c>
      <c r="AK26" s="24" t="s">
        <v>147</v>
      </c>
      <c r="AL26" s="2" t="b">
        <f t="shared" si="5"/>
        <v>1</v>
      </c>
    </row>
    <row r="27" spans="1:38" ht="12.75" customHeight="1">
      <c r="A27" s="12">
        <v>154</v>
      </c>
      <c r="B27" s="28">
        <v>51623332</v>
      </c>
      <c r="C27" s="56" t="s">
        <v>220</v>
      </c>
      <c r="D27" s="15">
        <v>5</v>
      </c>
      <c r="E27" s="13" t="s">
        <v>27</v>
      </c>
      <c r="F27" s="17" t="s">
        <v>146</v>
      </c>
      <c r="G27" s="13">
        <v>407</v>
      </c>
      <c r="H27" s="19">
        <v>9</v>
      </c>
      <c r="I27" s="19" t="str">
        <f t="shared" si="0"/>
        <v>407-9</v>
      </c>
      <c r="J27" s="17" t="s">
        <v>68</v>
      </c>
      <c r="K27" s="56" t="s">
        <v>49</v>
      </c>
      <c r="L27" s="2" t="b">
        <f t="shared" si="1"/>
        <v>1</v>
      </c>
      <c r="M27" s="2" t="b">
        <f t="shared" si="2"/>
        <v>1</v>
      </c>
      <c r="N27" s="29">
        <v>150</v>
      </c>
      <c r="O27" s="39">
        <v>51623332</v>
      </c>
      <c r="P27" s="31" t="s">
        <v>220</v>
      </c>
      <c r="Q27" s="31" t="s">
        <v>49</v>
      </c>
      <c r="R27" s="31" t="s">
        <v>49</v>
      </c>
      <c r="S27" s="33">
        <v>42585</v>
      </c>
      <c r="T27" s="33">
        <v>33717</v>
      </c>
      <c r="U27" s="31" t="s">
        <v>48</v>
      </c>
      <c r="V27" s="21">
        <v>61</v>
      </c>
      <c r="W27" s="21" t="s">
        <v>25</v>
      </c>
      <c r="X27" s="31"/>
      <c r="Y27" s="21"/>
      <c r="Z27" s="21"/>
      <c r="AA27" s="21"/>
      <c r="AB27" s="18" t="s">
        <v>53</v>
      </c>
      <c r="AC27" s="23" t="s">
        <v>27</v>
      </c>
      <c r="AD27" s="24" t="s">
        <v>146</v>
      </c>
      <c r="AE27" s="34">
        <v>407</v>
      </c>
      <c r="AF27" s="35">
        <v>9</v>
      </c>
      <c r="AG27" s="28" t="s">
        <v>221</v>
      </c>
      <c r="AH27" s="24" t="s">
        <v>68</v>
      </c>
      <c r="AI27" s="2" t="b">
        <f t="shared" si="4"/>
        <v>1</v>
      </c>
      <c r="AK27" s="24" t="s">
        <v>150</v>
      </c>
      <c r="AL27" s="2" t="b">
        <f t="shared" si="5"/>
        <v>0</v>
      </c>
    </row>
    <row r="28" spans="1:38" ht="12.75" customHeight="1">
      <c r="A28" s="12">
        <v>155</v>
      </c>
      <c r="B28" s="28">
        <v>79048737</v>
      </c>
      <c r="C28" s="15" t="s">
        <v>222</v>
      </c>
      <c r="D28" s="15">
        <v>5</v>
      </c>
      <c r="E28" s="13" t="s">
        <v>27</v>
      </c>
      <c r="F28" s="17" t="s">
        <v>223</v>
      </c>
      <c r="G28" s="13">
        <v>480</v>
      </c>
      <c r="H28" s="19">
        <v>13</v>
      </c>
      <c r="I28" s="19" t="str">
        <f t="shared" si="0"/>
        <v>480-13</v>
      </c>
      <c r="J28" s="17" t="s">
        <v>147</v>
      </c>
      <c r="K28" s="56" t="s">
        <v>49</v>
      </c>
      <c r="L28" s="2" t="b">
        <f t="shared" si="1"/>
        <v>1</v>
      </c>
      <c r="M28" s="2" t="b">
        <f t="shared" si="2"/>
        <v>0</v>
      </c>
      <c r="N28" s="29">
        <v>151</v>
      </c>
      <c r="O28" s="39">
        <v>79048737</v>
      </c>
      <c r="P28" s="18" t="s">
        <v>222</v>
      </c>
      <c r="Q28" s="31" t="s">
        <v>49</v>
      </c>
      <c r="R28" s="31" t="s">
        <v>49</v>
      </c>
      <c r="S28" s="33">
        <v>42585</v>
      </c>
      <c r="T28" s="33">
        <v>35926</v>
      </c>
      <c r="U28" s="31" t="s">
        <v>84</v>
      </c>
      <c r="V28" s="21">
        <v>57</v>
      </c>
      <c r="W28" s="21" t="s">
        <v>25</v>
      </c>
      <c r="X28" s="31"/>
      <c r="Y28" s="21"/>
      <c r="Z28" s="21"/>
      <c r="AA28" s="21"/>
      <c r="AB28" s="18" t="s">
        <v>53</v>
      </c>
      <c r="AC28" s="23" t="s">
        <v>27</v>
      </c>
      <c r="AD28" s="24" t="s">
        <v>223</v>
      </c>
      <c r="AE28" s="34">
        <v>480</v>
      </c>
      <c r="AF28" s="35">
        <v>13</v>
      </c>
      <c r="AG28" s="28" t="s">
        <v>226</v>
      </c>
      <c r="AH28" s="24" t="s">
        <v>30</v>
      </c>
      <c r="AI28" s="2" t="b">
        <f t="shared" si="4"/>
        <v>1</v>
      </c>
      <c r="AK28" s="24" t="s">
        <v>147</v>
      </c>
      <c r="AL28" s="2" t="b">
        <f t="shared" si="5"/>
        <v>1</v>
      </c>
    </row>
    <row r="29" spans="1:38" ht="12.75" customHeight="1">
      <c r="A29" s="12">
        <v>156</v>
      </c>
      <c r="B29" s="13"/>
      <c r="C29" s="15" t="s">
        <v>20</v>
      </c>
      <c r="D29" s="15">
        <v>5</v>
      </c>
      <c r="E29" s="13" t="s">
        <v>27</v>
      </c>
      <c r="F29" s="17" t="s">
        <v>223</v>
      </c>
      <c r="G29" s="13">
        <v>480</v>
      </c>
      <c r="H29" s="19">
        <v>13</v>
      </c>
      <c r="I29" s="19" t="str">
        <f t="shared" si="0"/>
        <v>480-13</v>
      </c>
      <c r="J29" s="17" t="s">
        <v>147</v>
      </c>
      <c r="K29" s="21"/>
      <c r="L29" s="2" t="b">
        <f t="shared" si="1"/>
        <v>0</v>
      </c>
      <c r="M29" s="2" t="b">
        <f t="shared" si="2"/>
        <v>0</v>
      </c>
      <c r="N29" s="29">
        <v>152</v>
      </c>
      <c r="O29" s="32">
        <v>79271403</v>
      </c>
      <c r="P29" s="18" t="s">
        <v>231</v>
      </c>
      <c r="Q29" s="31" t="s">
        <v>24</v>
      </c>
      <c r="R29" s="31" t="s">
        <v>192</v>
      </c>
      <c r="S29" s="33">
        <v>42608</v>
      </c>
      <c r="T29" s="33">
        <v>42608</v>
      </c>
      <c r="U29" s="31" t="s">
        <v>84</v>
      </c>
      <c r="V29" s="21">
        <v>59</v>
      </c>
      <c r="W29" s="21" t="s">
        <v>25</v>
      </c>
      <c r="X29" s="18" t="s">
        <v>20</v>
      </c>
      <c r="Y29" s="21"/>
      <c r="Z29" s="21"/>
      <c r="AA29" s="21"/>
      <c r="AB29" s="18" t="s">
        <v>53</v>
      </c>
      <c r="AC29" s="23" t="s">
        <v>27</v>
      </c>
      <c r="AD29" s="24" t="s">
        <v>223</v>
      </c>
      <c r="AE29" s="34">
        <v>480</v>
      </c>
      <c r="AF29" s="35">
        <v>13</v>
      </c>
      <c r="AG29" s="28" t="s">
        <v>226</v>
      </c>
      <c r="AH29" s="24" t="s">
        <v>30</v>
      </c>
      <c r="AI29" s="2" t="b">
        <f t="shared" si="4"/>
        <v>1</v>
      </c>
      <c r="AK29" s="24" t="s">
        <v>174</v>
      </c>
      <c r="AL29" s="2" t="b">
        <f t="shared" si="5"/>
        <v>0</v>
      </c>
    </row>
    <row r="30" spans="1:38" ht="12.75" customHeight="1">
      <c r="A30" s="12">
        <v>157</v>
      </c>
      <c r="B30" s="13"/>
      <c r="C30" s="15" t="s">
        <v>20</v>
      </c>
      <c r="D30" s="15">
        <v>5</v>
      </c>
      <c r="E30" s="13" t="s">
        <v>27</v>
      </c>
      <c r="F30" s="17" t="s">
        <v>223</v>
      </c>
      <c r="G30" s="13">
        <v>480</v>
      </c>
      <c r="H30" s="19">
        <v>13</v>
      </c>
      <c r="I30" s="19" t="str">
        <f t="shared" si="0"/>
        <v>480-13</v>
      </c>
      <c r="J30" s="17" t="s">
        <v>147</v>
      </c>
      <c r="K30" s="21"/>
      <c r="L30" s="2" t="b">
        <f t="shared" si="1"/>
        <v>0</v>
      </c>
      <c r="M30" s="2" t="b">
        <f t="shared" si="2"/>
        <v>0</v>
      </c>
      <c r="N30" s="29">
        <v>156</v>
      </c>
      <c r="O30" s="32">
        <v>79740255</v>
      </c>
      <c r="P30" s="18" t="s">
        <v>233</v>
      </c>
      <c r="Q30" s="31" t="s">
        <v>24</v>
      </c>
      <c r="R30" s="31" t="s">
        <v>192</v>
      </c>
      <c r="S30" s="33">
        <v>42608</v>
      </c>
      <c r="T30" s="33">
        <v>42608</v>
      </c>
      <c r="U30" s="31" t="s">
        <v>84</v>
      </c>
      <c r="V30" s="21">
        <v>46</v>
      </c>
      <c r="W30" s="21" t="s">
        <v>25</v>
      </c>
      <c r="X30" s="18" t="s">
        <v>20</v>
      </c>
      <c r="Y30" s="21"/>
      <c r="Z30" s="21"/>
      <c r="AA30" s="21"/>
      <c r="AB30" s="18" t="s">
        <v>53</v>
      </c>
      <c r="AC30" s="23" t="s">
        <v>27</v>
      </c>
      <c r="AD30" s="24" t="s">
        <v>223</v>
      </c>
      <c r="AE30" s="34">
        <v>480</v>
      </c>
      <c r="AF30" s="35">
        <v>13</v>
      </c>
      <c r="AG30" s="28" t="s">
        <v>226</v>
      </c>
      <c r="AH30" s="24" t="s">
        <v>30</v>
      </c>
      <c r="AI30" s="2" t="b">
        <f t="shared" si="4"/>
        <v>1</v>
      </c>
      <c r="AK30" s="24" t="s">
        <v>147</v>
      </c>
      <c r="AL30" s="2" t="b">
        <f t="shared" si="5"/>
        <v>1</v>
      </c>
    </row>
    <row r="31" spans="1:38" ht="12.75" hidden="1" customHeight="1">
      <c r="A31" s="12">
        <v>158</v>
      </c>
      <c r="B31" s="28">
        <v>52557124</v>
      </c>
      <c r="C31" s="56" t="s">
        <v>234</v>
      </c>
      <c r="D31" s="15">
        <v>5</v>
      </c>
      <c r="E31" s="13" t="s">
        <v>27</v>
      </c>
      <c r="F31" s="17" t="s">
        <v>29</v>
      </c>
      <c r="G31" s="13">
        <v>440</v>
      </c>
      <c r="H31" s="19">
        <v>19</v>
      </c>
      <c r="I31" s="19" t="str">
        <f t="shared" si="0"/>
        <v>440-19</v>
      </c>
      <c r="J31" s="17" t="s">
        <v>153</v>
      </c>
      <c r="K31" s="56" t="s">
        <v>49</v>
      </c>
      <c r="L31" s="2" t="b">
        <f t="shared" si="1"/>
        <v>1</v>
      </c>
      <c r="M31" s="2" t="b">
        <f t="shared" si="2"/>
        <v>0</v>
      </c>
      <c r="N31" s="29">
        <v>158</v>
      </c>
      <c r="O31" s="39">
        <v>52557124</v>
      </c>
      <c r="P31" s="31" t="s">
        <v>234</v>
      </c>
      <c r="Q31" s="31" t="s">
        <v>49</v>
      </c>
      <c r="R31" s="31" t="s">
        <v>49</v>
      </c>
      <c r="S31" s="33">
        <v>42585</v>
      </c>
      <c r="T31" s="33">
        <v>36307</v>
      </c>
      <c r="U31" s="31" t="s">
        <v>48</v>
      </c>
      <c r="V31" s="21">
        <v>50</v>
      </c>
      <c r="W31" s="21" t="s">
        <v>25</v>
      </c>
      <c r="X31" s="31"/>
      <c r="Y31" s="21"/>
      <c r="Z31" s="21"/>
      <c r="AA31" s="21"/>
      <c r="AB31" s="18" t="s">
        <v>53</v>
      </c>
      <c r="AC31" s="23" t="s">
        <v>27</v>
      </c>
      <c r="AD31" s="24" t="s">
        <v>29</v>
      </c>
      <c r="AE31" s="34">
        <v>440</v>
      </c>
      <c r="AF31" s="35">
        <v>19</v>
      </c>
      <c r="AG31" s="28" t="s">
        <v>240</v>
      </c>
      <c r="AH31" s="24" t="s">
        <v>95</v>
      </c>
      <c r="AI31" s="2" t="b">
        <f t="shared" si="4"/>
        <v>1</v>
      </c>
      <c r="AK31" s="24" t="s">
        <v>147</v>
      </c>
      <c r="AL31" s="2" t="b">
        <f t="shared" si="5"/>
        <v>0</v>
      </c>
    </row>
    <row r="32" spans="1:38" ht="12.75" hidden="1" customHeight="1">
      <c r="A32" s="12">
        <v>159</v>
      </c>
      <c r="B32" s="23">
        <v>52033959</v>
      </c>
      <c r="C32" s="15" t="s">
        <v>241</v>
      </c>
      <c r="D32" s="15">
        <v>5</v>
      </c>
      <c r="E32" s="13" t="s">
        <v>27</v>
      </c>
      <c r="F32" s="17" t="s">
        <v>29</v>
      </c>
      <c r="G32" s="13">
        <v>440</v>
      </c>
      <c r="H32" s="19">
        <v>11</v>
      </c>
      <c r="I32" s="19" t="str">
        <f t="shared" si="0"/>
        <v>440-11</v>
      </c>
      <c r="J32" s="17" t="s">
        <v>213</v>
      </c>
      <c r="K32" s="38" t="s">
        <v>188</v>
      </c>
      <c r="L32" s="2" t="b">
        <f t="shared" si="1"/>
        <v>1</v>
      </c>
      <c r="M32" s="2" t="b">
        <f t="shared" si="2"/>
        <v>0</v>
      </c>
      <c r="N32" s="29">
        <v>157</v>
      </c>
      <c r="O32" s="32">
        <v>52033959</v>
      </c>
      <c r="P32" s="18" t="s">
        <v>241</v>
      </c>
      <c r="Q32" s="31" t="s">
        <v>24</v>
      </c>
      <c r="R32" s="31" t="s">
        <v>192</v>
      </c>
      <c r="S32" s="33">
        <v>42585</v>
      </c>
      <c r="T32" s="33">
        <v>41201</v>
      </c>
      <c r="U32" s="31" t="s">
        <v>48</v>
      </c>
      <c r="V32" s="21">
        <v>50</v>
      </c>
      <c r="W32" s="21" t="s">
        <v>25</v>
      </c>
      <c r="X32" s="31" t="s">
        <v>20</v>
      </c>
      <c r="Y32" s="21"/>
      <c r="Z32" s="21"/>
      <c r="AA32" s="21"/>
      <c r="AB32" s="18" t="s">
        <v>53</v>
      </c>
      <c r="AC32" s="23" t="s">
        <v>27</v>
      </c>
      <c r="AD32" s="24" t="s">
        <v>29</v>
      </c>
      <c r="AE32" s="34">
        <v>440</v>
      </c>
      <c r="AF32" s="35">
        <v>11</v>
      </c>
      <c r="AG32" s="28" t="s">
        <v>242</v>
      </c>
      <c r="AH32" s="24" t="s">
        <v>113</v>
      </c>
      <c r="AI32" s="2" t="b">
        <f t="shared" si="4"/>
        <v>1</v>
      </c>
      <c r="AK32" s="24" t="s">
        <v>147</v>
      </c>
      <c r="AL32" s="2" t="b">
        <f t="shared" si="5"/>
        <v>0</v>
      </c>
    </row>
    <row r="33" spans="1:38" ht="12.75" hidden="1" customHeight="1">
      <c r="A33" s="12">
        <v>160</v>
      </c>
      <c r="B33" s="28">
        <v>39773518</v>
      </c>
      <c r="C33" s="56" t="s">
        <v>243</v>
      </c>
      <c r="D33" s="15">
        <v>5</v>
      </c>
      <c r="E33" s="13" t="s">
        <v>27</v>
      </c>
      <c r="F33" s="17" t="s">
        <v>29</v>
      </c>
      <c r="G33" s="13">
        <v>440</v>
      </c>
      <c r="H33" s="19">
        <v>9</v>
      </c>
      <c r="I33" s="19" t="str">
        <f t="shared" si="0"/>
        <v>440-9</v>
      </c>
      <c r="J33" s="17" t="s">
        <v>138</v>
      </c>
      <c r="K33" s="101" t="s">
        <v>49</v>
      </c>
      <c r="L33" s="2" t="b">
        <f t="shared" si="1"/>
        <v>1</v>
      </c>
      <c r="M33" s="2" t="b">
        <f t="shared" si="2"/>
        <v>1</v>
      </c>
      <c r="N33" s="29">
        <v>153</v>
      </c>
      <c r="O33" s="39">
        <v>39773518</v>
      </c>
      <c r="P33" s="31" t="s">
        <v>243</v>
      </c>
      <c r="Q33" s="102" t="s">
        <v>49</v>
      </c>
      <c r="R33" s="31" t="s">
        <v>49</v>
      </c>
      <c r="S33" s="33">
        <v>42585</v>
      </c>
      <c r="T33" s="33">
        <v>33703</v>
      </c>
      <c r="U33" s="31" t="s">
        <v>48</v>
      </c>
      <c r="V33" s="21">
        <v>56</v>
      </c>
      <c r="W33" s="21" t="s">
        <v>25</v>
      </c>
      <c r="X33" s="31"/>
      <c r="Y33" s="21"/>
      <c r="Z33" s="21"/>
      <c r="AA33" s="21"/>
      <c r="AB33" s="18" t="s">
        <v>53</v>
      </c>
      <c r="AC33" s="23" t="s">
        <v>27</v>
      </c>
      <c r="AD33" s="24" t="s">
        <v>29</v>
      </c>
      <c r="AE33" s="34">
        <v>440</v>
      </c>
      <c r="AF33" s="35">
        <v>9</v>
      </c>
      <c r="AG33" s="28" t="s">
        <v>31</v>
      </c>
      <c r="AH33" s="24" t="s">
        <v>138</v>
      </c>
      <c r="AI33" s="2" t="b">
        <f t="shared" si="4"/>
        <v>1</v>
      </c>
      <c r="AK33" s="24" t="s">
        <v>147</v>
      </c>
      <c r="AL33" s="2" t="b">
        <f t="shared" si="5"/>
        <v>0</v>
      </c>
    </row>
    <row r="34" spans="1:38" ht="12.75" hidden="1" customHeight="1">
      <c r="A34" s="12">
        <v>161</v>
      </c>
      <c r="B34" s="28">
        <v>1032434263</v>
      </c>
      <c r="C34" s="15" t="s">
        <v>248</v>
      </c>
      <c r="D34" s="15">
        <v>5</v>
      </c>
      <c r="E34" s="13" t="s">
        <v>27</v>
      </c>
      <c r="F34" s="17" t="s">
        <v>29</v>
      </c>
      <c r="G34" s="13">
        <v>440</v>
      </c>
      <c r="H34" s="19">
        <v>9</v>
      </c>
      <c r="I34" s="19" t="str">
        <f t="shared" si="0"/>
        <v>440-9</v>
      </c>
      <c r="J34" s="17" t="s">
        <v>32</v>
      </c>
      <c r="K34" s="38" t="s">
        <v>188</v>
      </c>
      <c r="L34" s="2" t="b">
        <f t="shared" si="1"/>
        <v>1</v>
      </c>
      <c r="M34" s="2" t="b">
        <f t="shared" si="2"/>
        <v>1</v>
      </c>
      <c r="N34" s="29">
        <v>154</v>
      </c>
      <c r="O34" s="39">
        <v>1032434263</v>
      </c>
      <c r="P34" s="18" t="s">
        <v>248</v>
      </c>
      <c r="Q34" s="31" t="s">
        <v>24</v>
      </c>
      <c r="R34" s="31" t="s">
        <v>192</v>
      </c>
      <c r="S34" s="33">
        <v>42585</v>
      </c>
      <c r="T34" s="33">
        <v>42131</v>
      </c>
      <c r="U34" s="31" t="s">
        <v>48</v>
      </c>
      <c r="V34" s="21">
        <v>33</v>
      </c>
      <c r="W34" s="21" t="s">
        <v>25</v>
      </c>
      <c r="X34" s="31" t="s">
        <v>20</v>
      </c>
      <c r="Y34" s="21"/>
      <c r="Z34" s="21"/>
      <c r="AA34" s="21"/>
      <c r="AB34" s="18" t="s">
        <v>53</v>
      </c>
      <c r="AC34" s="23" t="s">
        <v>27</v>
      </c>
      <c r="AD34" s="24" t="s">
        <v>29</v>
      </c>
      <c r="AE34" s="34">
        <v>440</v>
      </c>
      <c r="AF34" s="35">
        <v>9</v>
      </c>
      <c r="AG34" s="28" t="s">
        <v>31</v>
      </c>
      <c r="AH34" s="24" t="s">
        <v>32</v>
      </c>
      <c r="AI34" s="2" t="b">
        <f t="shared" si="4"/>
        <v>1</v>
      </c>
      <c r="AK34" s="24" t="s">
        <v>147</v>
      </c>
      <c r="AL34" s="2" t="b">
        <f t="shared" si="5"/>
        <v>0</v>
      </c>
    </row>
    <row r="35" spans="1:38" ht="12.75" hidden="1" customHeight="1">
      <c r="A35" s="12">
        <v>162</v>
      </c>
      <c r="B35" s="28">
        <v>80247325</v>
      </c>
      <c r="C35" s="15" t="s">
        <v>251</v>
      </c>
      <c r="D35" s="15">
        <v>5</v>
      </c>
      <c r="E35" s="13" t="s">
        <v>27</v>
      </c>
      <c r="F35" s="17" t="s">
        <v>29</v>
      </c>
      <c r="G35" s="13">
        <v>440</v>
      </c>
      <c r="H35" s="19">
        <v>9</v>
      </c>
      <c r="I35" s="19" t="str">
        <f t="shared" si="0"/>
        <v>440-9</v>
      </c>
      <c r="J35" s="17" t="s">
        <v>147</v>
      </c>
      <c r="K35" s="38" t="s">
        <v>188</v>
      </c>
      <c r="L35" s="2" t="b">
        <f t="shared" si="1"/>
        <v>1</v>
      </c>
      <c r="M35" s="2" t="b">
        <f t="shared" si="2"/>
        <v>0</v>
      </c>
      <c r="N35" s="29">
        <v>160</v>
      </c>
      <c r="O35" s="39">
        <v>80247325</v>
      </c>
      <c r="P35" s="18" t="s">
        <v>251</v>
      </c>
      <c r="Q35" s="31" t="s">
        <v>24</v>
      </c>
      <c r="R35" s="31" t="s">
        <v>192</v>
      </c>
      <c r="S35" s="33">
        <v>42585</v>
      </c>
      <c r="T35" s="33">
        <v>42128</v>
      </c>
      <c r="U35" s="31" t="s">
        <v>84</v>
      </c>
      <c r="V35" s="21">
        <v>38</v>
      </c>
      <c r="W35" s="21" t="s">
        <v>25</v>
      </c>
      <c r="X35" s="31" t="s">
        <v>20</v>
      </c>
      <c r="Y35" s="21"/>
      <c r="Z35" s="21"/>
      <c r="AA35" s="21"/>
      <c r="AB35" s="18" t="s">
        <v>53</v>
      </c>
      <c r="AC35" s="23" t="s">
        <v>27</v>
      </c>
      <c r="AD35" s="24" t="s">
        <v>29</v>
      </c>
      <c r="AE35" s="34">
        <v>440</v>
      </c>
      <c r="AF35" s="35">
        <v>9</v>
      </c>
      <c r="AG35" s="28" t="s">
        <v>31</v>
      </c>
      <c r="AH35" s="24" t="s">
        <v>30</v>
      </c>
      <c r="AI35" s="2" t="b">
        <f t="shared" si="4"/>
        <v>1</v>
      </c>
      <c r="AK35" s="24" t="s">
        <v>32</v>
      </c>
      <c r="AL35" s="2" t="b">
        <f t="shared" si="5"/>
        <v>0</v>
      </c>
    </row>
    <row r="36" spans="1:38" ht="12.75" hidden="1" customHeight="1">
      <c r="A36" s="12">
        <v>163</v>
      </c>
      <c r="B36" s="28">
        <v>51784842</v>
      </c>
      <c r="C36" s="15" t="s">
        <v>253</v>
      </c>
      <c r="D36" s="15">
        <v>5</v>
      </c>
      <c r="E36" s="13" t="s">
        <v>27</v>
      </c>
      <c r="F36" s="17" t="s">
        <v>29</v>
      </c>
      <c r="G36" s="13">
        <v>440</v>
      </c>
      <c r="H36" s="19">
        <v>9</v>
      </c>
      <c r="I36" s="19" t="str">
        <f t="shared" si="0"/>
        <v>440-9</v>
      </c>
      <c r="J36" s="17" t="s">
        <v>33</v>
      </c>
      <c r="K36" s="56" t="s">
        <v>49</v>
      </c>
      <c r="L36" s="2" t="b">
        <f t="shared" si="1"/>
        <v>1</v>
      </c>
      <c r="M36" s="2" t="b">
        <f t="shared" si="2"/>
        <v>0</v>
      </c>
      <c r="N36" s="29">
        <v>161</v>
      </c>
      <c r="O36" s="39">
        <v>51784842</v>
      </c>
      <c r="P36" s="18" t="s">
        <v>253</v>
      </c>
      <c r="Q36" s="31" t="s">
        <v>49</v>
      </c>
      <c r="R36" s="31" t="s">
        <v>49</v>
      </c>
      <c r="S36" s="33">
        <v>42585</v>
      </c>
      <c r="T36" s="33">
        <v>33702</v>
      </c>
      <c r="U36" s="31" t="s">
        <v>48</v>
      </c>
      <c r="V36" s="21">
        <v>58</v>
      </c>
      <c r="W36" s="21" t="s">
        <v>25</v>
      </c>
      <c r="X36" s="31"/>
      <c r="Y36" s="21"/>
      <c r="Z36" s="21"/>
      <c r="AA36" s="21"/>
      <c r="AB36" s="18" t="s">
        <v>53</v>
      </c>
      <c r="AC36" s="23" t="s">
        <v>27</v>
      </c>
      <c r="AD36" s="24" t="s">
        <v>29</v>
      </c>
      <c r="AE36" s="34">
        <v>440</v>
      </c>
      <c r="AF36" s="35">
        <v>9</v>
      </c>
      <c r="AG36" s="28" t="s">
        <v>31</v>
      </c>
      <c r="AH36" s="24" t="s">
        <v>132</v>
      </c>
      <c r="AI36" s="2" t="b">
        <f t="shared" si="4"/>
        <v>1</v>
      </c>
      <c r="AK36" s="63" t="s">
        <v>138</v>
      </c>
      <c r="AL36" s="2" t="b">
        <f t="shared" si="5"/>
        <v>0</v>
      </c>
    </row>
    <row r="37" spans="1:38" ht="12.75" customHeight="1">
      <c r="A37" s="12">
        <v>164</v>
      </c>
      <c r="B37" s="28">
        <v>52146196</v>
      </c>
      <c r="C37" s="15" t="s">
        <v>254</v>
      </c>
      <c r="D37" s="15">
        <v>5</v>
      </c>
      <c r="E37" s="13" t="s">
        <v>27</v>
      </c>
      <c r="F37" s="17" t="s">
        <v>255</v>
      </c>
      <c r="G37" s="13">
        <v>425</v>
      </c>
      <c r="H37" s="19">
        <v>27</v>
      </c>
      <c r="I37" s="19" t="str">
        <f t="shared" si="0"/>
        <v>425-27</v>
      </c>
      <c r="J37" s="17" t="s">
        <v>153</v>
      </c>
      <c r="K37" s="56" t="s">
        <v>49</v>
      </c>
      <c r="L37" s="2" t="b">
        <f t="shared" si="1"/>
        <v>1</v>
      </c>
      <c r="M37" s="2" t="b">
        <f t="shared" si="2"/>
        <v>0</v>
      </c>
      <c r="N37" s="29">
        <v>162</v>
      </c>
      <c r="O37" s="39">
        <v>52146196</v>
      </c>
      <c r="P37" s="18" t="s">
        <v>254</v>
      </c>
      <c r="Q37" s="31" t="s">
        <v>49</v>
      </c>
      <c r="R37" s="31" t="s">
        <v>49</v>
      </c>
      <c r="S37" s="33">
        <v>42585</v>
      </c>
      <c r="T37" s="33">
        <v>38443</v>
      </c>
      <c r="U37" s="31" t="s">
        <v>48</v>
      </c>
      <c r="V37" s="21">
        <v>49</v>
      </c>
      <c r="W37" s="21" t="s">
        <v>25</v>
      </c>
      <c r="X37" s="31"/>
      <c r="Y37" s="21"/>
      <c r="Z37" s="21"/>
      <c r="AA37" s="21"/>
      <c r="AB37" s="18" t="s">
        <v>53</v>
      </c>
      <c r="AC37" s="23" t="s">
        <v>27</v>
      </c>
      <c r="AD37" s="24" t="s">
        <v>255</v>
      </c>
      <c r="AE37" s="34">
        <v>425</v>
      </c>
      <c r="AF37" s="35">
        <v>27</v>
      </c>
      <c r="AG37" s="28" t="s">
        <v>258</v>
      </c>
      <c r="AH37" s="24" t="s">
        <v>95</v>
      </c>
      <c r="AI37" s="2" t="b">
        <f t="shared" si="4"/>
        <v>1</v>
      </c>
      <c r="AK37" s="24" t="s">
        <v>147</v>
      </c>
      <c r="AL37" s="2" t="b">
        <f t="shared" si="5"/>
        <v>0</v>
      </c>
    </row>
    <row r="38" spans="1:38" ht="12.75" hidden="1" customHeight="1">
      <c r="A38" s="12">
        <v>165</v>
      </c>
      <c r="B38" s="28"/>
      <c r="C38" s="15" t="s">
        <v>20</v>
      </c>
      <c r="D38" s="15">
        <v>5</v>
      </c>
      <c r="E38" s="13" t="s">
        <v>27</v>
      </c>
      <c r="F38" s="17" t="s">
        <v>255</v>
      </c>
      <c r="G38" s="13">
        <v>425</v>
      </c>
      <c r="H38" s="19">
        <v>24</v>
      </c>
      <c r="I38" s="19" t="str">
        <f t="shared" si="0"/>
        <v>425-24</v>
      </c>
      <c r="J38" s="17" t="s">
        <v>75</v>
      </c>
      <c r="K38" s="21"/>
      <c r="L38" s="2" t="b">
        <f t="shared" si="1"/>
        <v>1</v>
      </c>
      <c r="M38" s="2" t="b">
        <f t="shared" si="2"/>
        <v>0</v>
      </c>
      <c r="N38" s="29">
        <v>163</v>
      </c>
      <c r="O38" s="39"/>
      <c r="P38" s="18" t="s">
        <v>20</v>
      </c>
      <c r="Q38" s="31"/>
      <c r="R38" s="31" t="s">
        <v>20</v>
      </c>
      <c r="S38" s="33" t="s">
        <v>25</v>
      </c>
      <c r="T38" s="33" t="s">
        <v>25</v>
      </c>
      <c r="U38" s="31" t="s">
        <v>25</v>
      </c>
      <c r="V38" s="21" t="s">
        <v>25</v>
      </c>
      <c r="W38" s="21" t="s">
        <v>25</v>
      </c>
      <c r="X38" s="18" t="s">
        <v>20</v>
      </c>
      <c r="Y38" s="21"/>
      <c r="Z38" s="21"/>
      <c r="AA38" s="21"/>
      <c r="AB38" s="18" t="s">
        <v>20</v>
      </c>
      <c r="AC38" s="23" t="s">
        <v>27</v>
      </c>
      <c r="AD38" s="24" t="s">
        <v>255</v>
      </c>
      <c r="AE38" s="34">
        <v>425</v>
      </c>
      <c r="AF38" s="35">
        <v>24</v>
      </c>
      <c r="AG38" s="28" t="s">
        <v>263</v>
      </c>
      <c r="AH38" s="24" t="s">
        <v>87</v>
      </c>
      <c r="AI38" s="2" t="b">
        <f t="shared" si="4"/>
        <v>1</v>
      </c>
      <c r="AK38" s="24" t="s">
        <v>213</v>
      </c>
      <c r="AL38" s="2" t="b">
        <f t="shared" si="5"/>
        <v>0</v>
      </c>
    </row>
    <row r="39" spans="1:38" ht="12.75" hidden="1" customHeight="1">
      <c r="A39" s="12">
        <v>166</v>
      </c>
      <c r="B39" s="28">
        <v>51731780</v>
      </c>
      <c r="C39" s="56" t="s">
        <v>265</v>
      </c>
      <c r="D39" s="15">
        <v>5</v>
      </c>
      <c r="E39" s="13" t="s">
        <v>27</v>
      </c>
      <c r="F39" s="17" t="s">
        <v>255</v>
      </c>
      <c r="G39" s="13">
        <v>425</v>
      </c>
      <c r="H39" s="19">
        <v>21</v>
      </c>
      <c r="I39" s="19" t="str">
        <f t="shared" si="0"/>
        <v>425-21</v>
      </c>
      <c r="J39" s="17" t="s">
        <v>68</v>
      </c>
      <c r="K39" s="56" t="s">
        <v>49</v>
      </c>
      <c r="L39" s="2" t="b">
        <f t="shared" si="1"/>
        <v>1</v>
      </c>
      <c r="M39" s="2" t="b">
        <f t="shared" si="2"/>
        <v>1</v>
      </c>
      <c r="N39" s="29">
        <v>155</v>
      </c>
      <c r="O39" s="39">
        <v>51731780</v>
      </c>
      <c r="P39" s="31" t="s">
        <v>265</v>
      </c>
      <c r="Q39" s="31" t="s">
        <v>49</v>
      </c>
      <c r="R39" s="31" t="s">
        <v>49</v>
      </c>
      <c r="S39" s="33">
        <v>42585</v>
      </c>
      <c r="T39" s="33">
        <v>38443</v>
      </c>
      <c r="U39" s="31" t="s">
        <v>48</v>
      </c>
      <c r="V39" s="21">
        <v>58</v>
      </c>
      <c r="W39" s="21" t="s">
        <v>25</v>
      </c>
      <c r="X39" s="31"/>
      <c r="Y39" s="21"/>
      <c r="Z39" s="21"/>
      <c r="AA39" s="21"/>
      <c r="AB39" s="18" t="s">
        <v>53</v>
      </c>
      <c r="AC39" s="23" t="s">
        <v>27</v>
      </c>
      <c r="AD39" s="24" t="s">
        <v>255</v>
      </c>
      <c r="AE39" s="34">
        <v>425</v>
      </c>
      <c r="AF39" s="35">
        <v>21</v>
      </c>
      <c r="AG39" s="28" t="s">
        <v>267</v>
      </c>
      <c r="AH39" s="24" t="s">
        <v>68</v>
      </c>
      <c r="AI39" s="2" t="b">
        <f t="shared" si="4"/>
        <v>1</v>
      </c>
      <c r="AK39" s="24" t="s">
        <v>150</v>
      </c>
      <c r="AL39" s="2" t="b">
        <f t="shared" si="5"/>
        <v>0</v>
      </c>
    </row>
    <row r="40" spans="1:38" ht="12.75" customHeight="1">
      <c r="A40" s="12">
        <v>167</v>
      </c>
      <c r="B40" s="28">
        <v>20737393</v>
      </c>
      <c r="C40" s="56" t="s">
        <v>269</v>
      </c>
      <c r="D40" s="15">
        <v>5</v>
      </c>
      <c r="E40" s="13" t="s">
        <v>27</v>
      </c>
      <c r="F40" s="17" t="s">
        <v>255</v>
      </c>
      <c r="G40" s="13">
        <v>425</v>
      </c>
      <c r="H40" s="19">
        <v>20</v>
      </c>
      <c r="I40" s="19" t="str">
        <f t="shared" si="0"/>
        <v>425-20</v>
      </c>
      <c r="J40" s="17" t="s">
        <v>153</v>
      </c>
      <c r="K40" s="56" t="s">
        <v>49</v>
      </c>
      <c r="L40" s="2" t="b">
        <f t="shared" si="1"/>
        <v>1</v>
      </c>
      <c r="M40" s="2" t="b">
        <f t="shared" si="2"/>
        <v>0</v>
      </c>
      <c r="N40" s="29">
        <v>164</v>
      </c>
      <c r="O40" s="39">
        <v>20737393</v>
      </c>
      <c r="P40" s="31" t="s">
        <v>269</v>
      </c>
      <c r="Q40" s="31" t="s">
        <v>49</v>
      </c>
      <c r="R40" s="31" t="s">
        <v>49</v>
      </c>
      <c r="S40" s="33">
        <v>42585</v>
      </c>
      <c r="T40" s="33">
        <v>32237</v>
      </c>
      <c r="U40" s="31" t="s">
        <v>48</v>
      </c>
      <c r="V40" s="21">
        <v>59</v>
      </c>
      <c r="W40" s="21" t="s">
        <v>25</v>
      </c>
      <c r="X40" s="31"/>
      <c r="Y40" s="21"/>
      <c r="Z40" s="21"/>
      <c r="AA40" s="21"/>
      <c r="AB40" s="18" t="s">
        <v>53</v>
      </c>
      <c r="AC40" s="23" t="s">
        <v>27</v>
      </c>
      <c r="AD40" s="24" t="s">
        <v>255</v>
      </c>
      <c r="AE40" s="34">
        <v>425</v>
      </c>
      <c r="AF40" s="35">
        <v>20</v>
      </c>
      <c r="AG40" s="28" t="s">
        <v>272</v>
      </c>
      <c r="AH40" s="24" t="s">
        <v>95</v>
      </c>
      <c r="AI40" s="2" t="b">
        <f t="shared" si="4"/>
        <v>1</v>
      </c>
      <c r="AK40" s="24" t="s">
        <v>147</v>
      </c>
      <c r="AL40" s="2" t="b">
        <f t="shared" si="5"/>
        <v>0</v>
      </c>
    </row>
    <row r="41" spans="1:38" ht="12.75" customHeight="1">
      <c r="A41" s="12">
        <v>168</v>
      </c>
      <c r="B41" s="28">
        <v>39718778</v>
      </c>
      <c r="C41" s="15" t="s">
        <v>273</v>
      </c>
      <c r="D41" s="15">
        <v>5</v>
      </c>
      <c r="E41" s="13" t="s">
        <v>27</v>
      </c>
      <c r="F41" s="17" t="s">
        <v>274</v>
      </c>
      <c r="G41" s="13">
        <v>470</v>
      </c>
      <c r="H41" s="19">
        <v>7</v>
      </c>
      <c r="I41" s="19" t="str">
        <f t="shared" si="0"/>
        <v>470-7</v>
      </c>
      <c r="J41" s="17" t="s">
        <v>147</v>
      </c>
      <c r="K41" s="56" t="s">
        <v>49</v>
      </c>
      <c r="L41" s="2" t="b">
        <f t="shared" si="1"/>
        <v>1</v>
      </c>
      <c r="M41" s="2" t="b">
        <f t="shared" si="2"/>
        <v>0</v>
      </c>
      <c r="N41" s="29">
        <v>169</v>
      </c>
      <c r="O41" s="39">
        <v>39718778</v>
      </c>
      <c r="P41" s="18" t="s">
        <v>273</v>
      </c>
      <c r="Q41" s="31" t="s">
        <v>49</v>
      </c>
      <c r="R41" s="31" t="s">
        <v>49</v>
      </c>
      <c r="S41" s="33">
        <v>42585</v>
      </c>
      <c r="T41" s="33">
        <v>34810</v>
      </c>
      <c r="U41" s="31" t="s">
        <v>48</v>
      </c>
      <c r="V41" s="21">
        <v>56</v>
      </c>
      <c r="W41" s="21" t="s">
        <v>25</v>
      </c>
      <c r="X41" s="31"/>
      <c r="Y41" s="21"/>
      <c r="Z41" s="21"/>
      <c r="AA41" s="21"/>
      <c r="AB41" s="18" t="s">
        <v>53</v>
      </c>
      <c r="AC41" s="23" t="s">
        <v>27</v>
      </c>
      <c r="AD41" s="24" t="s">
        <v>274</v>
      </c>
      <c r="AE41" s="34">
        <v>470</v>
      </c>
      <c r="AF41" s="35">
        <v>7</v>
      </c>
      <c r="AG41" s="28" t="s">
        <v>275</v>
      </c>
      <c r="AH41" s="24" t="s">
        <v>30</v>
      </c>
      <c r="AI41" s="2" t="b">
        <f t="shared" si="4"/>
        <v>1</v>
      </c>
      <c r="AK41" s="24" t="s">
        <v>147</v>
      </c>
      <c r="AL41" s="2" t="b">
        <f t="shared" si="5"/>
        <v>1</v>
      </c>
    </row>
    <row r="42" spans="1:38" ht="12.75" customHeight="1">
      <c r="A42" s="12">
        <v>169</v>
      </c>
      <c r="B42" s="28">
        <v>41732503</v>
      </c>
      <c r="C42" s="15" t="s">
        <v>276</v>
      </c>
      <c r="D42" s="15">
        <v>5</v>
      </c>
      <c r="E42" s="13" t="s">
        <v>27</v>
      </c>
      <c r="F42" s="17" t="s">
        <v>274</v>
      </c>
      <c r="G42" s="13">
        <v>470</v>
      </c>
      <c r="H42" s="19">
        <v>7</v>
      </c>
      <c r="I42" s="19" t="str">
        <f t="shared" si="0"/>
        <v>470-7</v>
      </c>
      <c r="J42" s="17" t="s">
        <v>147</v>
      </c>
      <c r="K42" s="56" t="s">
        <v>49</v>
      </c>
      <c r="L42" s="2" t="b">
        <f t="shared" si="1"/>
        <v>1</v>
      </c>
      <c r="M42" s="2" t="b">
        <f t="shared" si="2"/>
        <v>0</v>
      </c>
      <c r="N42" s="29">
        <v>27</v>
      </c>
      <c r="O42" s="39">
        <v>41732503</v>
      </c>
      <c r="P42" s="18" t="s">
        <v>276</v>
      </c>
      <c r="Q42" s="31" t="s">
        <v>49</v>
      </c>
      <c r="R42" s="31" t="s">
        <v>49</v>
      </c>
      <c r="S42" s="33">
        <v>42585</v>
      </c>
      <c r="T42" s="33">
        <v>34731</v>
      </c>
      <c r="U42" s="31" t="s">
        <v>48</v>
      </c>
      <c r="V42" s="21">
        <v>63</v>
      </c>
      <c r="W42" s="21" t="s">
        <v>25</v>
      </c>
      <c r="X42" s="31"/>
      <c r="Y42" s="21"/>
      <c r="Z42" s="21"/>
      <c r="AA42" s="21"/>
      <c r="AB42" s="18" t="s">
        <v>53</v>
      </c>
      <c r="AC42" s="23" t="s">
        <v>27</v>
      </c>
      <c r="AD42" s="24" t="s">
        <v>274</v>
      </c>
      <c r="AE42" s="34">
        <v>470</v>
      </c>
      <c r="AF42" s="35">
        <v>7</v>
      </c>
      <c r="AG42" s="28" t="s">
        <v>275</v>
      </c>
      <c r="AH42" s="24" t="s">
        <v>30</v>
      </c>
      <c r="AI42" s="2" t="b">
        <f t="shared" si="4"/>
        <v>1</v>
      </c>
      <c r="AK42" s="24" t="s">
        <v>147</v>
      </c>
      <c r="AL42" s="2" t="b">
        <f t="shared" si="5"/>
        <v>1</v>
      </c>
    </row>
    <row r="43" spans="1:38" ht="12.75" customHeight="1">
      <c r="A43" s="12">
        <v>170</v>
      </c>
      <c r="B43" s="28">
        <v>52124597</v>
      </c>
      <c r="C43" s="56" t="s">
        <v>277</v>
      </c>
      <c r="D43" s="15">
        <v>5</v>
      </c>
      <c r="E43" s="13" t="s">
        <v>27</v>
      </c>
      <c r="F43" s="17" t="s">
        <v>274</v>
      </c>
      <c r="G43" s="13">
        <v>470</v>
      </c>
      <c r="H43" s="19">
        <v>3</v>
      </c>
      <c r="I43" s="19" t="str">
        <f t="shared" si="0"/>
        <v>470-3</v>
      </c>
      <c r="J43" s="17" t="s">
        <v>147</v>
      </c>
      <c r="K43" s="56" t="s">
        <v>49</v>
      </c>
      <c r="L43" s="2" t="b">
        <f t="shared" si="1"/>
        <v>1</v>
      </c>
      <c r="M43" s="2" t="b">
        <f t="shared" si="2"/>
        <v>0</v>
      </c>
      <c r="N43" s="29">
        <v>170</v>
      </c>
      <c r="O43" s="39">
        <v>52124597</v>
      </c>
      <c r="P43" s="31" t="s">
        <v>277</v>
      </c>
      <c r="Q43" s="31" t="s">
        <v>49</v>
      </c>
      <c r="R43" s="31" t="s">
        <v>49</v>
      </c>
      <c r="S43" s="33">
        <v>42585</v>
      </c>
      <c r="T43" s="33">
        <v>35403</v>
      </c>
      <c r="U43" s="31" t="s">
        <v>48</v>
      </c>
      <c r="V43" s="21">
        <v>47</v>
      </c>
      <c r="W43" s="21" t="s">
        <v>25</v>
      </c>
      <c r="X43" s="31"/>
      <c r="Y43" s="21"/>
      <c r="Z43" s="21"/>
      <c r="AA43" s="21"/>
      <c r="AB43" s="18" t="s">
        <v>53</v>
      </c>
      <c r="AC43" s="23" t="s">
        <v>27</v>
      </c>
      <c r="AD43" s="24" t="s">
        <v>274</v>
      </c>
      <c r="AE43" s="34">
        <v>470</v>
      </c>
      <c r="AF43" s="35">
        <v>3</v>
      </c>
      <c r="AG43" s="28" t="s">
        <v>279</v>
      </c>
      <c r="AH43" s="24" t="s">
        <v>30</v>
      </c>
      <c r="AI43" s="2" t="b">
        <f t="shared" si="4"/>
        <v>1</v>
      </c>
      <c r="AK43" s="24" t="s">
        <v>147</v>
      </c>
      <c r="AL43" s="2" t="b">
        <f t="shared" si="5"/>
        <v>1</v>
      </c>
    </row>
    <row r="44" spans="1:38" ht="12.75" customHeight="1">
      <c r="A44" s="12">
        <v>8</v>
      </c>
      <c r="B44" s="13">
        <v>51740995</v>
      </c>
      <c r="C44" s="15" t="s">
        <v>139</v>
      </c>
      <c r="D44" s="15">
        <v>1</v>
      </c>
      <c r="E44" s="13" t="s">
        <v>22</v>
      </c>
      <c r="F44" s="17" t="s">
        <v>140</v>
      </c>
      <c r="G44" s="13">
        <v>20</v>
      </c>
      <c r="H44" s="19">
        <v>9</v>
      </c>
      <c r="I44" s="19" t="str">
        <f t="shared" si="0"/>
        <v>20-9</v>
      </c>
      <c r="J44" s="17" t="s">
        <v>98</v>
      </c>
      <c r="K44" s="38" t="s">
        <v>70</v>
      </c>
      <c r="L44" s="2" t="b">
        <f t="shared" si="1"/>
        <v>1</v>
      </c>
      <c r="M44" s="2" t="b">
        <f t="shared" si="2"/>
        <v>0</v>
      </c>
      <c r="N44" s="29">
        <v>1</v>
      </c>
      <c r="O44" s="32">
        <v>51740995</v>
      </c>
      <c r="P44" s="18" t="s">
        <v>139</v>
      </c>
      <c r="Q44" s="31" t="s">
        <v>39</v>
      </c>
      <c r="R44" s="31" t="s">
        <v>43</v>
      </c>
      <c r="S44" s="33">
        <v>42585</v>
      </c>
      <c r="T44" s="33">
        <v>42394</v>
      </c>
      <c r="U44" s="31" t="s">
        <v>48</v>
      </c>
      <c r="V44" s="21">
        <v>57</v>
      </c>
      <c r="W44" s="21" t="s">
        <v>25</v>
      </c>
      <c r="X44" s="31"/>
      <c r="Y44" s="21"/>
      <c r="Z44" s="21"/>
      <c r="AA44" s="21"/>
      <c r="AB44" s="18" t="s">
        <v>53</v>
      </c>
      <c r="AC44" s="23" t="s">
        <v>22</v>
      </c>
      <c r="AD44" s="24" t="s">
        <v>140</v>
      </c>
      <c r="AE44" s="34">
        <v>20</v>
      </c>
      <c r="AF44" s="35">
        <v>9</v>
      </c>
      <c r="AG44" s="28" t="str">
        <f t="shared" ref="AG44:AG171" si="6">AE44&amp;"-"&amp;AF44</f>
        <v>20-9</v>
      </c>
      <c r="AH44" s="24" t="s">
        <v>115</v>
      </c>
      <c r="AI44" s="2" t="b">
        <f t="shared" si="4"/>
        <v>1</v>
      </c>
      <c r="AK44" s="24" t="s">
        <v>98</v>
      </c>
      <c r="AL44" s="2" t="b">
        <f t="shared" si="5"/>
        <v>1</v>
      </c>
    </row>
    <row r="45" spans="1:38" ht="12.75" customHeight="1">
      <c r="A45" s="12">
        <v>9</v>
      </c>
      <c r="B45" s="13">
        <v>79543049</v>
      </c>
      <c r="C45" s="15" t="s">
        <v>141</v>
      </c>
      <c r="D45" s="15">
        <v>1</v>
      </c>
      <c r="E45" s="13" t="s">
        <v>22</v>
      </c>
      <c r="F45" s="17" t="s">
        <v>142</v>
      </c>
      <c r="G45" s="13">
        <v>45</v>
      </c>
      <c r="H45" s="19">
        <v>8</v>
      </c>
      <c r="I45" s="19" t="str">
        <f t="shared" si="0"/>
        <v>45-8</v>
      </c>
      <c r="J45" s="17" t="s">
        <v>174</v>
      </c>
      <c r="K45" s="38" t="s">
        <v>70</v>
      </c>
      <c r="L45" s="2" t="b">
        <f t="shared" si="1"/>
        <v>1</v>
      </c>
      <c r="M45" s="2" t="b">
        <f t="shared" si="2"/>
        <v>0</v>
      </c>
      <c r="N45" s="29">
        <v>2</v>
      </c>
      <c r="O45" s="32">
        <v>79543049</v>
      </c>
      <c r="P45" s="18" t="s">
        <v>141</v>
      </c>
      <c r="Q45" s="31" t="s">
        <v>39</v>
      </c>
      <c r="R45" s="31" t="s">
        <v>43</v>
      </c>
      <c r="S45" s="33">
        <v>42585</v>
      </c>
      <c r="T45" s="33">
        <v>42403</v>
      </c>
      <c r="U45" s="31" t="s">
        <v>84</v>
      </c>
      <c r="V45" s="21">
        <v>51</v>
      </c>
      <c r="W45" s="21" t="s">
        <v>25</v>
      </c>
      <c r="X45" s="31"/>
      <c r="Y45" s="21"/>
      <c r="Z45" s="21"/>
      <c r="AA45" s="21"/>
      <c r="AB45" s="18" t="s">
        <v>53</v>
      </c>
      <c r="AC45" s="23" t="s">
        <v>22</v>
      </c>
      <c r="AD45" s="24" t="s">
        <v>142</v>
      </c>
      <c r="AE45" s="34">
        <v>45</v>
      </c>
      <c r="AF45" s="35">
        <v>8</v>
      </c>
      <c r="AG45" s="28" t="str">
        <f t="shared" si="6"/>
        <v>45-8</v>
      </c>
      <c r="AH45" s="24" t="s">
        <v>143</v>
      </c>
      <c r="AI45" s="2" t="b">
        <f t="shared" si="4"/>
        <v>1</v>
      </c>
      <c r="AK45" s="24" t="s">
        <v>174</v>
      </c>
      <c r="AL45" s="2" t="b">
        <f t="shared" si="5"/>
        <v>1</v>
      </c>
    </row>
    <row r="46" spans="1:38" ht="12.75" hidden="1" customHeight="1">
      <c r="A46" s="12">
        <v>1</v>
      </c>
      <c r="B46" s="13"/>
      <c r="C46" s="15" t="s">
        <v>20</v>
      </c>
      <c r="D46" s="15">
        <v>1</v>
      </c>
      <c r="E46" s="13" t="s">
        <v>22</v>
      </c>
      <c r="F46" s="17" t="s">
        <v>23</v>
      </c>
      <c r="G46" s="13">
        <v>9</v>
      </c>
      <c r="H46" s="19">
        <v>7</v>
      </c>
      <c r="I46" s="19" t="str">
        <f t="shared" si="0"/>
        <v>9-7</v>
      </c>
      <c r="J46" s="17" t="s">
        <v>147</v>
      </c>
      <c r="K46" s="21"/>
      <c r="L46" s="2" t="b">
        <f t="shared" si="1"/>
        <v>0</v>
      </c>
      <c r="M46" s="2" t="b">
        <f t="shared" si="2"/>
        <v>0</v>
      </c>
      <c r="N46" s="29">
        <v>8</v>
      </c>
      <c r="O46" s="32">
        <v>39546837</v>
      </c>
      <c r="P46" s="18" t="s">
        <v>42</v>
      </c>
      <c r="Q46" s="31" t="s">
        <v>39</v>
      </c>
      <c r="R46" s="31" t="s">
        <v>43</v>
      </c>
      <c r="S46" s="33">
        <v>42621</v>
      </c>
      <c r="T46" s="33">
        <v>42622</v>
      </c>
      <c r="U46" s="31" t="s">
        <v>48</v>
      </c>
      <c r="V46" s="21">
        <v>53</v>
      </c>
      <c r="W46" s="21" t="s">
        <v>25</v>
      </c>
      <c r="X46" s="18" t="s">
        <v>20</v>
      </c>
      <c r="Y46" s="21"/>
      <c r="Z46" s="21"/>
      <c r="AA46" s="21"/>
      <c r="AB46" s="18" t="s">
        <v>53</v>
      </c>
      <c r="AC46" s="23" t="s">
        <v>22</v>
      </c>
      <c r="AD46" s="24" t="s">
        <v>23</v>
      </c>
      <c r="AE46" s="34">
        <v>9</v>
      </c>
      <c r="AF46" s="35">
        <v>7</v>
      </c>
      <c r="AG46" s="28" t="str">
        <f t="shared" si="6"/>
        <v>9-7</v>
      </c>
      <c r="AH46" s="24" t="s">
        <v>30</v>
      </c>
      <c r="AI46" s="2" t="b">
        <f t="shared" si="4"/>
        <v>1</v>
      </c>
      <c r="AK46" s="24" t="s">
        <v>147</v>
      </c>
      <c r="AL46" s="2" t="b">
        <f t="shared" si="5"/>
        <v>1</v>
      </c>
    </row>
    <row r="47" spans="1:38" ht="12.75" hidden="1" customHeight="1">
      <c r="A47" s="12">
        <v>2</v>
      </c>
      <c r="B47" s="28"/>
      <c r="C47" s="15" t="s">
        <v>20</v>
      </c>
      <c r="D47" s="15">
        <v>1</v>
      </c>
      <c r="E47" s="19" t="s">
        <v>22</v>
      </c>
      <c r="F47" s="17" t="s">
        <v>23</v>
      </c>
      <c r="G47" s="13">
        <v>9</v>
      </c>
      <c r="H47" s="19">
        <v>7</v>
      </c>
      <c r="I47" s="19" t="str">
        <f t="shared" si="0"/>
        <v>9-7</v>
      </c>
      <c r="J47" s="17" t="s">
        <v>68</v>
      </c>
      <c r="K47" s="21" t="s">
        <v>70</v>
      </c>
      <c r="L47" s="2" t="b">
        <f t="shared" si="1"/>
        <v>0</v>
      </c>
      <c r="M47" s="2" t="b">
        <f t="shared" si="2"/>
        <v>1</v>
      </c>
      <c r="N47" s="29">
        <v>5</v>
      </c>
      <c r="O47" s="39">
        <v>52394165</v>
      </c>
      <c r="P47" s="18" t="s">
        <v>74</v>
      </c>
      <c r="Q47" s="31" t="s">
        <v>39</v>
      </c>
      <c r="R47" s="31" t="s">
        <v>76</v>
      </c>
      <c r="S47" s="33">
        <v>42585</v>
      </c>
      <c r="T47" s="33">
        <v>42404</v>
      </c>
      <c r="U47" s="31" t="s">
        <v>48</v>
      </c>
      <c r="V47" s="21">
        <v>43</v>
      </c>
      <c r="W47" s="21" t="s">
        <v>79</v>
      </c>
      <c r="X47" s="18" t="s">
        <v>20</v>
      </c>
      <c r="Y47" s="21" t="s">
        <v>82</v>
      </c>
      <c r="Z47" s="21">
        <v>1</v>
      </c>
      <c r="AA47" s="21"/>
      <c r="AB47" s="18" t="s">
        <v>53</v>
      </c>
      <c r="AC47" s="28" t="s">
        <v>22</v>
      </c>
      <c r="AD47" s="24" t="s">
        <v>23</v>
      </c>
      <c r="AE47" s="34">
        <v>9</v>
      </c>
      <c r="AF47" s="35">
        <v>7</v>
      </c>
      <c r="AG47" s="28" t="str">
        <f t="shared" si="6"/>
        <v>9-7</v>
      </c>
      <c r="AH47" s="24" t="s">
        <v>68</v>
      </c>
      <c r="AI47" s="2" t="b">
        <f t="shared" si="4"/>
        <v>1</v>
      </c>
      <c r="AK47" s="24" t="s">
        <v>68</v>
      </c>
      <c r="AL47" s="2" t="b">
        <f t="shared" si="5"/>
        <v>1</v>
      </c>
    </row>
    <row r="48" spans="1:38" ht="12.75" hidden="1" customHeight="1">
      <c r="A48" s="12">
        <v>3</v>
      </c>
      <c r="B48" s="13">
        <v>28915546</v>
      </c>
      <c r="C48" s="15" t="s">
        <v>89</v>
      </c>
      <c r="D48" s="15">
        <v>1</v>
      </c>
      <c r="E48" s="13" t="s">
        <v>22</v>
      </c>
      <c r="F48" s="17" t="s">
        <v>23</v>
      </c>
      <c r="G48" s="13">
        <v>9</v>
      </c>
      <c r="H48" s="19">
        <v>7</v>
      </c>
      <c r="I48" s="19" t="str">
        <f t="shared" si="0"/>
        <v>9-7</v>
      </c>
      <c r="J48" s="17" t="s">
        <v>153</v>
      </c>
      <c r="K48" s="38" t="s">
        <v>70</v>
      </c>
      <c r="L48" s="2" t="b">
        <f t="shared" si="1"/>
        <v>1</v>
      </c>
      <c r="M48" s="2" t="b">
        <f t="shared" si="2"/>
        <v>0</v>
      </c>
      <c r="N48" s="29">
        <v>7</v>
      </c>
      <c r="O48" s="32">
        <v>28915546</v>
      </c>
      <c r="P48" s="18" t="s">
        <v>89</v>
      </c>
      <c r="Q48" s="31" t="s">
        <v>39</v>
      </c>
      <c r="R48" s="31" t="s">
        <v>43</v>
      </c>
      <c r="S48" s="33">
        <v>42585</v>
      </c>
      <c r="T48" s="33">
        <v>42493</v>
      </c>
      <c r="U48" s="31" t="s">
        <v>48</v>
      </c>
      <c r="V48" s="21">
        <v>52</v>
      </c>
      <c r="W48" s="21" t="s">
        <v>25</v>
      </c>
      <c r="X48" s="31"/>
      <c r="Y48" s="21"/>
      <c r="Z48" s="21"/>
      <c r="AA48" s="21"/>
      <c r="AB48" s="18" t="s">
        <v>53</v>
      </c>
      <c r="AC48" s="23" t="s">
        <v>22</v>
      </c>
      <c r="AD48" s="24" t="s">
        <v>23</v>
      </c>
      <c r="AE48" s="34">
        <v>9</v>
      </c>
      <c r="AF48" s="35">
        <v>7</v>
      </c>
      <c r="AG48" s="28" t="str">
        <f t="shared" si="6"/>
        <v>9-7</v>
      </c>
      <c r="AH48" s="24" t="s">
        <v>95</v>
      </c>
      <c r="AI48" s="2" t="b">
        <f t="shared" si="4"/>
        <v>1</v>
      </c>
      <c r="AK48" s="24" t="s">
        <v>153</v>
      </c>
      <c r="AL48" s="2" t="b">
        <f t="shared" si="5"/>
        <v>1</v>
      </c>
    </row>
    <row r="49" spans="1:38" ht="12.75" hidden="1" customHeight="1">
      <c r="A49" s="12">
        <v>4</v>
      </c>
      <c r="B49" s="13"/>
      <c r="C49" s="15" t="s">
        <v>20</v>
      </c>
      <c r="D49" s="15">
        <v>1</v>
      </c>
      <c r="E49" s="13" t="s">
        <v>22</v>
      </c>
      <c r="F49" s="17" t="s">
        <v>23</v>
      </c>
      <c r="G49" s="13">
        <v>9</v>
      </c>
      <c r="H49" s="19">
        <v>7</v>
      </c>
      <c r="I49" s="19" t="str">
        <f t="shared" si="0"/>
        <v>9-7</v>
      </c>
      <c r="J49" s="17" t="s">
        <v>213</v>
      </c>
      <c r="K49" s="38"/>
      <c r="L49" s="2" t="b">
        <f t="shared" si="1"/>
        <v>0</v>
      </c>
      <c r="M49" s="2" t="b">
        <f t="shared" si="2"/>
        <v>0</v>
      </c>
      <c r="N49" s="29">
        <v>6</v>
      </c>
      <c r="O49" s="32">
        <v>51743499</v>
      </c>
      <c r="P49" s="18" t="s">
        <v>118</v>
      </c>
      <c r="Q49" s="31" t="s">
        <v>39</v>
      </c>
      <c r="R49" s="31" t="s">
        <v>43</v>
      </c>
      <c r="S49" s="33">
        <v>42607</v>
      </c>
      <c r="T49" s="33">
        <v>42461</v>
      </c>
      <c r="U49" s="31" t="s">
        <v>48</v>
      </c>
      <c r="V49" s="21">
        <v>58</v>
      </c>
      <c r="W49" s="21" t="s">
        <v>25</v>
      </c>
      <c r="X49" s="18"/>
      <c r="Y49" s="21"/>
      <c r="Z49" s="21"/>
      <c r="AA49" s="21"/>
      <c r="AB49" s="18" t="s">
        <v>53</v>
      </c>
      <c r="AC49" s="23" t="s">
        <v>22</v>
      </c>
      <c r="AD49" s="24" t="s">
        <v>23</v>
      </c>
      <c r="AE49" s="34">
        <v>9</v>
      </c>
      <c r="AF49" s="35">
        <v>7</v>
      </c>
      <c r="AG49" s="28" t="str">
        <f t="shared" si="6"/>
        <v>9-7</v>
      </c>
      <c r="AH49" s="24" t="s">
        <v>113</v>
      </c>
      <c r="AI49" s="2" t="b">
        <f t="shared" si="4"/>
        <v>1</v>
      </c>
      <c r="AK49" s="24" t="s">
        <v>213</v>
      </c>
      <c r="AL49" s="2" t="b">
        <f t="shared" si="5"/>
        <v>1</v>
      </c>
    </row>
    <row r="50" spans="1:38" ht="12.75" hidden="1" customHeight="1">
      <c r="A50" s="12">
        <v>5</v>
      </c>
      <c r="B50" s="13">
        <v>35521959</v>
      </c>
      <c r="C50" s="15" t="s">
        <v>129</v>
      </c>
      <c r="D50" s="15">
        <v>1</v>
      </c>
      <c r="E50" s="13" t="s">
        <v>22</v>
      </c>
      <c r="F50" s="17" t="s">
        <v>23</v>
      </c>
      <c r="G50" s="13">
        <v>9</v>
      </c>
      <c r="H50" s="19">
        <v>7</v>
      </c>
      <c r="I50" s="19" t="str">
        <f t="shared" si="0"/>
        <v>9-7</v>
      </c>
      <c r="J50" s="17" t="s">
        <v>33</v>
      </c>
      <c r="K50" s="38" t="s">
        <v>70</v>
      </c>
      <c r="L50" s="2" t="b">
        <f t="shared" si="1"/>
        <v>1</v>
      </c>
      <c r="M50" s="2" t="b">
        <f t="shared" si="2"/>
        <v>0</v>
      </c>
      <c r="N50" s="29">
        <v>3</v>
      </c>
      <c r="O50" s="32">
        <v>35521959</v>
      </c>
      <c r="P50" s="18" t="s">
        <v>129</v>
      </c>
      <c r="Q50" s="31" t="s">
        <v>39</v>
      </c>
      <c r="R50" s="31" t="s">
        <v>43</v>
      </c>
      <c r="S50" s="33">
        <v>42585</v>
      </c>
      <c r="T50" s="33">
        <v>42461</v>
      </c>
      <c r="U50" s="31" t="s">
        <v>48</v>
      </c>
      <c r="V50" s="21">
        <v>53</v>
      </c>
      <c r="W50" s="21" t="s">
        <v>25</v>
      </c>
      <c r="X50" s="31"/>
      <c r="Y50" s="21"/>
      <c r="Z50" s="21"/>
      <c r="AA50" s="21"/>
      <c r="AB50" s="18" t="s">
        <v>53</v>
      </c>
      <c r="AC50" s="23" t="s">
        <v>22</v>
      </c>
      <c r="AD50" s="24" t="s">
        <v>23</v>
      </c>
      <c r="AE50" s="34">
        <v>9</v>
      </c>
      <c r="AF50" s="35">
        <v>7</v>
      </c>
      <c r="AG50" s="28" t="str">
        <f t="shared" si="6"/>
        <v>9-7</v>
      </c>
      <c r="AH50" s="24" t="s">
        <v>132</v>
      </c>
      <c r="AI50" s="2" t="b">
        <f t="shared" si="4"/>
        <v>1</v>
      </c>
      <c r="AK50" s="24" t="s">
        <v>33</v>
      </c>
      <c r="AL50" s="2" t="b">
        <f t="shared" si="5"/>
        <v>1</v>
      </c>
    </row>
    <row r="51" spans="1:38" ht="12.75" hidden="1" customHeight="1">
      <c r="A51" s="12">
        <v>6</v>
      </c>
      <c r="B51" s="13">
        <v>39742375</v>
      </c>
      <c r="C51" s="15" t="s">
        <v>134</v>
      </c>
      <c r="D51" s="15">
        <v>1</v>
      </c>
      <c r="E51" s="13" t="s">
        <v>22</v>
      </c>
      <c r="F51" s="17" t="s">
        <v>23</v>
      </c>
      <c r="G51" s="13">
        <v>9</v>
      </c>
      <c r="H51" s="19">
        <v>7</v>
      </c>
      <c r="I51" s="19" t="str">
        <f t="shared" si="0"/>
        <v>9-7</v>
      </c>
      <c r="J51" s="17" t="s">
        <v>150</v>
      </c>
      <c r="K51" s="38" t="s">
        <v>70</v>
      </c>
      <c r="L51" s="2" t="b">
        <f t="shared" si="1"/>
        <v>1</v>
      </c>
      <c r="M51" s="2" t="b">
        <f t="shared" si="2"/>
        <v>0</v>
      </c>
      <c r="N51" s="29">
        <v>4</v>
      </c>
      <c r="O51" s="32">
        <v>39742375</v>
      </c>
      <c r="P51" s="18" t="s">
        <v>134</v>
      </c>
      <c r="Q51" s="31" t="s">
        <v>39</v>
      </c>
      <c r="R51" s="31" t="s">
        <v>43</v>
      </c>
      <c r="S51" s="33">
        <v>42585</v>
      </c>
      <c r="T51" s="33">
        <v>42523</v>
      </c>
      <c r="U51" s="31" t="s">
        <v>48</v>
      </c>
      <c r="V51" s="21">
        <v>45</v>
      </c>
      <c r="W51" s="21" t="s">
        <v>25</v>
      </c>
      <c r="X51" s="31"/>
      <c r="Y51" s="21"/>
      <c r="Z51" s="21"/>
      <c r="AA51" s="21"/>
      <c r="AB51" s="18" t="s">
        <v>53</v>
      </c>
      <c r="AC51" s="23" t="s">
        <v>22</v>
      </c>
      <c r="AD51" s="24" t="s">
        <v>23</v>
      </c>
      <c r="AE51" s="34">
        <v>9</v>
      </c>
      <c r="AF51" s="35">
        <v>7</v>
      </c>
      <c r="AG51" s="28" t="str">
        <f t="shared" si="6"/>
        <v>9-7</v>
      </c>
      <c r="AH51" s="24" t="s">
        <v>135</v>
      </c>
      <c r="AI51" s="2" t="b">
        <f t="shared" si="4"/>
        <v>1</v>
      </c>
      <c r="AK51" s="24" t="s">
        <v>150</v>
      </c>
      <c r="AL51" s="2" t="b">
        <f t="shared" si="5"/>
        <v>1</v>
      </c>
    </row>
    <row r="52" spans="1:38" ht="12.75" customHeight="1">
      <c r="A52" s="12">
        <v>7</v>
      </c>
      <c r="B52" s="13"/>
      <c r="C52" s="15" t="s">
        <v>20</v>
      </c>
      <c r="D52" s="15">
        <v>1</v>
      </c>
      <c r="E52" s="13" t="s">
        <v>22</v>
      </c>
      <c r="F52" s="17" t="s">
        <v>28</v>
      </c>
      <c r="G52" s="13">
        <v>6</v>
      </c>
      <c r="H52" s="19">
        <v>6</v>
      </c>
      <c r="I52" s="19" t="str">
        <f t="shared" si="0"/>
        <v>6-6</v>
      </c>
      <c r="J52" s="17" t="s">
        <v>138</v>
      </c>
      <c r="K52" s="21"/>
      <c r="L52" s="2" t="b">
        <f t="shared" si="1"/>
        <v>1</v>
      </c>
      <c r="M52" s="2" t="b">
        <f t="shared" si="2"/>
        <v>1</v>
      </c>
      <c r="N52" s="29">
        <v>10</v>
      </c>
      <c r="O52" s="32"/>
      <c r="P52" s="18" t="s">
        <v>20</v>
      </c>
      <c r="Q52" s="31"/>
      <c r="R52" s="31" t="s">
        <v>20</v>
      </c>
      <c r="S52" s="33" t="s">
        <v>25</v>
      </c>
      <c r="T52" s="33" t="s">
        <v>25</v>
      </c>
      <c r="U52" s="31" t="s">
        <v>25</v>
      </c>
      <c r="V52" s="21" t="s">
        <v>25</v>
      </c>
      <c r="W52" s="21" t="s">
        <v>25</v>
      </c>
      <c r="X52" s="18" t="s">
        <v>20</v>
      </c>
      <c r="Y52" s="21"/>
      <c r="Z52" s="21"/>
      <c r="AA52" s="21"/>
      <c r="AB52" s="18" t="s">
        <v>20</v>
      </c>
      <c r="AC52" s="23" t="s">
        <v>22</v>
      </c>
      <c r="AD52" s="24" t="s">
        <v>28</v>
      </c>
      <c r="AE52" s="34">
        <v>6</v>
      </c>
      <c r="AF52" s="35">
        <v>6</v>
      </c>
      <c r="AG52" s="28" t="str">
        <f t="shared" si="6"/>
        <v>6-6</v>
      </c>
      <c r="AH52" s="24" t="s">
        <v>138</v>
      </c>
      <c r="AI52" s="2" t="b">
        <f t="shared" si="4"/>
        <v>1</v>
      </c>
      <c r="AK52" s="24" t="s">
        <v>138</v>
      </c>
      <c r="AL52" s="2" t="b">
        <f t="shared" si="5"/>
        <v>1</v>
      </c>
    </row>
    <row r="53" spans="1:38" ht="12.75" customHeight="1">
      <c r="A53" s="12">
        <v>17</v>
      </c>
      <c r="B53" s="28">
        <v>79299847</v>
      </c>
      <c r="C53" s="15" t="s">
        <v>183</v>
      </c>
      <c r="D53" s="15">
        <v>3</v>
      </c>
      <c r="E53" s="13" t="s">
        <v>50</v>
      </c>
      <c r="F53" s="17" t="s">
        <v>51</v>
      </c>
      <c r="G53" s="13">
        <v>222</v>
      </c>
      <c r="H53" s="19">
        <v>27</v>
      </c>
      <c r="I53" s="19" t="str">
        <f t="shared" si="0"/>
        <v>222-27</v>
      </c>
      <c r="J53" s="17" t="s">
        <v>147</v>
      </c>
      <c r="K53" s="56" t="s">
        <v>49</v>
      </c>
      <c r="L53" s="2" t="b">
        <f t="shared" si="1"/>
        <v>1</v>
      </c>
      <c r="M53" s="2" t="b">
        <f t="shared" si="2"/>
        <v>0</v>
      </c>
      <c r="N53" s="29">
        <v>17</v>
      </c>
      <c r="O53" s="39">
        <v>79299847</v>
      </c>
      <c r="P53" s="18" t="s">
        <v>183</v>
      </c>
      <c r="Q53" s="31" t="s">
        <v>49</v>
      </c>
      <c r="R53" s="31" t="s">
        <v>49</v>
      </c>
      <c r="S53" s="33">
        <v>42585</v>
      </c>
      <c r="T53" s="33">
        <v>33724</v>
      </c>
      <c r="U53" s="31" t="s">
        <v>84</v>
      </c>
      <c r="V53" s="21">
        <v>60</v>
      </c>
      <c r="W53" s="21" t="s">
        <v>25</v>
      </c>
      <c r="X53" s="31"/>
      <c r="Y53" s="21"/>
      <c r="Z53" s="21"/>
      <c r="AA53" s="21"/>
      <c r="AB53" s="18" t="s">
        <v>53</v>
      </c>
      <c r="AC53" s="23" t="s">
        <v>50</v>
      </c>
      <c r="AD53" s="24" t="s">
        <v>51</v>
      </c>
      <c r="AE53" s="34">
        <v>222</v>
      </c>
      <c r="AF53" s="35">
        <v>27</v>
      </c>
      <c r="AG53" s="28" t="str">
        <f t="shared" si="6"/>
        <v>222-27</v>
      </c>
      <c r="AH53" s="24" t="s">
        <v>30</v>
      </c>
      <c r="AI53" s="2" t="b">
        <f t="shared" si="4"/>
        <v>1</v>
      </c>
      <c r="AK53" s="24" t="s">
        <v>147</v>
      </c>
      <c r="AL53" s="2" t="b">
        <f t="shared" si="5"/>
        <v>1</v>
      </c>
    </row>
    <row r="54" spans="1:38" ht="12.75" customHeight="1">
      <c r="A54" s="12">
        <v>18</v>
      </c>
      <c r="B54" s="28"/>
      <c r="C54" s="15" t="s">
        <v>20</v>
      </c>
      <c r="D54" s="15">
        <v>3</v>
      </c>
      <c r="E54" s="13" t="s">
        <v>50</v>
      </c>
      <c r="F54" s="17" t="s">
        <v>51</v>
      </c>
      <c r="G54" s="13">
        <v>222</v>
      </c>
      <c r="H54" s="19">
        <v>27</v>
      </c>
      <c r="I54" s="19" t="str">
        <f t="shared" si="0"/>
        <v>222-27</v>
      </c>
      <c r="J54" s="17" t="s">
        <v>147</v>
      </c>
      <c r="K54" s="21"/>
      <c r="L54" s="2" t="b">
        <f t="shared" si="1"/>
        <v>1</v>
      </c>
      <c r="M54" s="2" t="b">
        <f t="shared" si="2"/>
        <v>0</v>
      </c>
      <c r="N54" s="29">
        <v>18</v>
      </c>
      <c r="O54" s="39"/>
      <c r="P54" s="18" t="s">
        <v>20</v>
      </c>
      <c r="Q54" s="31"/>
      <c r="R54" s="31" t="s">
        <v>20</v>
      </c>
      <c r="S54" s="33" t="s">
        <v>25</v>
      </c>
      <c r="T54" s="33" t="s">
        <v>25</v>
      </c>
      <c r="U54" s="31" t="s">
        <v>25</v>
      </c>
      <c r="V54" s="21" t="s">
        <v>25</v>
      </c>
      <c r="W54" s="21" t="s">
        <v>25</v>
      </c>
      <c r="X54" s="18" t="s">
        <v>20</v>
      </c>
      <c r="Y54" s="21"/>
      <c r="Z54" s="21"/>
      <c r="AA54" s="21"/>
      <c r="AB54" s="18" t="s">
        <v>20</v>
      </c>
      <c r="AC54" s="23" t="s">
        <v>50</v>
      </c>
      <c r="AD54" s="24" t="s">
        <v>51</v>
      </c>
      <c r="AE54" s="34">
        <v>222</v>
      </c>
      <c r="AF54" s="35">
        <v>27</v>
      </c>
      <c r="AG54" s="28" t="str">
        <f t="shared" si="6"/>
        <v>222-27</v>
      </c>
      <c r="AH54" s="24" t="s">
        <v>30</v>
      </c>
      <c r="AI54" s="2" t="b">
        <f t="shared" si="4"/>
        <v>1</v>
      </c>
      <c r="AK54" s="24" t="s">
        <v>147</v>
      </c>
      <c r="AL54" s="2" t="b">
        <f t="shared" si="5"/>
        <v>1</v>
      </c>
    </row>
    <row r="55" spans="1:38" ht="12.75" customHeight="1">
      <c r="A55" s="12">
        <v>19</v>
      </c>
      <c r="B55" s="28">
        <v>52236487</v>
      </c>
      <c r="C55" s="15" t="s">
        <v>191</v>
      </c>
      <c r="D55" s="15">
        <v>3</v>
      </c>
      <c r="E55" s="13" t="s">
        <v>50</v>
      </c>
      <c r="F55" s="17" t="s">
        <v>51</v>
      </c>
      <c r="G55" s="13">
        <v>222</v>
      </c>
      <c r="H55" s="19">
        <v>27</v>
      </c>
      <c r="I55" s="19" t="str">
        <f t="shared" si="0"/>
        <v>222-27</v>
      </c>
      <c r="J55" s="17" t="s">
        <v>68</v>
      </c>
      <c r="K55" s="56" t="s">
        <v>49</v>
      </c>
      <c r="L55" s="2" t="b">
        <f t="shared" si="1"/>
        <v>1</v>
      </c>
      <c r="M55" s="2" t="b">
        <f t="shared" si="2"/>
        <v>1</v>
      </c>
      <c r="N55" s="29">
        <v>28</v>
      </c>
      <c r="O55" s="39">
        <v>52236487</v>
      </c>
      <c r="P55" s="18" t="s">
        <v>191</v>
      </c>
      <c r="Q55" s="31" t="s">
        <v>49</v>
      </c>
      <c r="R55" s="31" t="s">
        <v>49</v>
      </c>
      <c r="S55" s="33">
        <v>42585</v>
      </c>
      <c r="T55" s="33">
        <v>38093</v>
      </c>
      <c r="U55" s="31" t="s">
        <v>48</v>
      </c>
      <c r="V55" s="21">
        <v>44</v>
      </c>
      <c r="W55" s="21" t="s">
        <v>25</v>
      </c>
      <c r="X55" s="31"/>
      <c r="Y55" s="21"/>
      <c r="Z55" s="21"/>
      <c r="AA55" s="21"/>
      <c r="AB55" s="18" t="s">
        <v>53</v>
      </c>
      <c r="AC55" s="23" t="s">
        <v>50</v>
      </c>
      <c r="AD55" s="24" t="s">
        <v>51</v>
      </c>
      <c r="AE55" s="34">
        <v>222</v>
      </c>
      <c r="AF55" s="35">
        <v>27</v>
      </c>
      <c r="AG55" s="28" t="str">
        <f t="shared" si="6"/>
        <v>222-27</v>
      </c>
      <c r="AH55" s="24" t="s">
        <v>68</v>
      </c>
      <c r="AI55" s="2" t="b">
        <f t="shared" si="4"/>
        <v>1</v>
      </c>
      <c r="AK55" s="24" t="s">
        <v>68</v>
      </c>
      <c r="AL55" s="2" t="b">
        <f t="shared" si="5"/>
        <v>1</v>
      </c>
    </row>
    <row r="56" spans="1:38" ht="12.75" customHeight="1">
      <c r="A56" s="12">
        <v>20</v>
      </c>
      <c r="B56" s="28"/>
      <c r="C56" s="15" t="s">
        <v>20</v>
      </c>
      <c r="D56" s="15">
        <v>3</v>
      </c>
      <c r="E56" s="13" t="s">
        <v>50</v>
      </c>
      <c r="F56" s="17" t="s">
        <v>51</v>
      </c>
      <c r="G56" s="13">
        <v>222</v>
      </c>
      <c r="H56" s="19">
        <v>27</v>
      </c>
      <c r="I56" s="19" t="str">
        <f t="shared" si="0"/>
        <v>222-27</v>
      </c>
      <c r="J56" s="17" t="s">
        <v>174</v>
      </c>
      <c r="K56" s="21"/>
      <c r="L56" s="2" t="b">
        <f t="shared" si="1"/>
        <v>1</v>
      </c>
      <c r="M56" s="2" t="b">
        <f t="shared" si="2"/>
        <v>0</v>
      </c>
      <c r="N56" s="29">
        <v>29</v>
      </c>
      <c r="O56" s="39"/>
      <c r="P56" s="18" t="s">
        <v>20</v>
      </c>
      <c r="Q56" s="31"/>
      <c r="R56" s="31" t="s">
        <v>20</v>
      </c>
      <c r="S56" s="33" t="s">
        <v>25</v>
      </c>
      <c r="T56" s="33" t="s">
        <v>25</v>
      </c>
      <c r="U56" s="31" t="s">
        <v>25</v>
      </c>
      <c r="V56" s="21" t="s">
        <v>25</v>
      </c>
      <c r="W56" s="21" t="s">
        <v>25</v>
      </c>
      <c r="X56" s="18" t="s">
        <v>20</v>
      </c>
      <c r="Y56" s="21"/>
      <c r="Z56" s="21"/>
      <c r="AA56" s="21"/>
      <c r="AB56" s="18" t="s">
        <v>20</v>
      </c>
      <c r="AC56" s="23" t="s">
        <v>50</v>
      </c>
      <c r="AD56" s="24" t="s">
        <v>51</v>
      </c>
      <c r="AE56" s="34">
        <v>222</v>
      </c>
      <c r="AF56" s="35">
        <v>27</v>
      </c>
      <c r="AG56" s="28" t="str">
        <f t="shared" si="6"/>
        <v>222-27</v>
      </c>
      <c r="AH56" s="24" t="s">
        <v>143</v>
      </c>
      <c r="AI56" s="2" t="b">
        <f t="shared" si="4"/>
        <v>1</v>
      </c>
      <c r="AK56" s="24" t="s">
        <v>174</v>
      </c>
      <c r="AL56" s="2" t="b">
        <f t="shared" si="5"/>
        <v>1</v>
      </c>
    </row>
    <row r="57" spans="1:38" ht="12.75" customHeight="1">
      <c r="A57" s="12">
        <v>21</v>
      </c>
      <c r="B57" s="28"/>
      <c r="C57" s="15" t="s">
        <v>20</v>
      </c>
      <c r="D57" s="15">
        <v>3</v>
      </c>
      <c r="E57" s="13" t="s">
        <v>50</v>
      </c>
      <c r="F57" s="17" t="s">
        <v>51</v>
      </c>
      <c r="G57" s="13">
        <v>222</v>
      </c>
      <c r="H57" s="19">
        <v>27</v>
      </c>
      <c r="I57" s="19" t="str">
        <f t="shared" si="0"/>
        <v>222-27</v>
      </c>
      <c r="J57" s="17" t="s">
        <v>174</v>
      </c>
      <c r="K57" s="21"/>
      <c r="L57" s="2" t="b">
        <f t="shared" si="1"/>
        <v>1</v>
      </c>
      <c r="M57" s="2" t="b">
        <f t="shared" si="2"/>
        <v>0</v>
      </c>
      <c r="N57" s="29">
        <v>30</v>
      </c>
      <c r="O57" s="39"/>
      <c r="P57" s="18" t="s">
        <v>20</v>
      </c>
      <c r="Q57" s="31"/>
      <c r="R57" s="31" t="s">
        <v>20</v>
      </c>
      <c r="S57" s="33" t="s">
        <v>25</v>
      </c>
      <c r="T57" s="33" t="s">
        <v>25</v>
      </c>
      <c r="U57" s="31" t="s">
        <v>25</v>
      </c>
      <c r="V57" s="21" t="s">
        <v>25</v>
      </c>
      <c r="W57" s="21" t="s">
        <v>25</v>
      </c>
      <c r="X57" s="18" t="s">
        <v>20</v>
      </c>
      <c r="Y57" s="21"/>
      <c r="Z57" s="21"/>
      <c r="AA57" s="21"/>
      <c r="AB57" s="18" t="s">
        <v>20</v>
      </c>
      <c r="AC57" s="23" t="s">
        <v>50</v>
      </c>
      <c r="AD57" s="24" t="s">
        <v>51</v>
      </c>
      <c r="AE57" s="34">
        <v>222</v>
      </c>
      <c r="AF57" s="35">
        <v>27</v>
      </c>
      <c r="AG57" s="28" t="str">
        <f t="shared" si="6"/>
        <v>222-27</v>
      </c>
      <c r="AH57" s="24" t="s">
        <v>143</v>
      </c>
      <c r="AI57" s="2" t="b">
        <f t="shared" si="4"/>
        <v>1</v>
      </c>
      <c r="AK57" s="24" t="s">
        <v>174</v>
      </c>
      <c r="AL57" s="2" t="b">
        <f t="shared" si="5"/>
        <v>1</v>
      </c>
    </row>
    <row r="58" spans="1:38" ht="12.75" customHeight="1">
      <c r="A58" s="12">
        <v>22</v>
      </c>
      <c r="B58" s="28"/>
      <c r="C58" s="15" t="s">
        <v>20</v>
      </c>
      <c r="D58" s="15">
        <v>3</v>
      </c>
      <c r="E58" s="13" t="s">
        <v>50</v>
      </c>
      <c r="F58" s="17" t="s">
        <v>51</v>
      </c>
      <c r="G58" s="13">
        <v>222</v>
      </c>
      <c r="H58" s="19">
        <v>27</v>
      </c>
      <c r="I58" s="19" t="str">
        <f t="shared" si="0"/>
        <v>222-27</v>
      </c>
      <c r="J58" s="17" t="s">
        <v>174</v>
      </c>
      <c r="K58" s="21"/>
      <c r="L58" s="2" t="b">
        <f t="shared" si="1"/>
        <v>1</v>
      </c>
      <c r="M58" s="2" t="b">
        <f t="shared" si="2"/>
        <v>0</v>
      </c>
      <c r="N58" s="29">
        <v>31</v>
      </c>
      <c r="O58" s="39"/>
      <c r="P58" s="18" t="s">
        <v>20</v>
      </c>
      <c r="Q58" s="31"/>
      <c r="R58" s="31" t="s">
        <v>20</v>
      </c>
      <c r="S58" s="33" t="s">
        <v>25</v>
      </c>
      <c r="T58" s="33" t="s">
        <v>25</v>
      </c>
      <c r="U58" s="31" t="s">
        <v>25</v>
      </c>
      <c r="V58" s="21" t="s">
        <v>25</v>
      </c>
      <c r="W58" s="21" t="s">
        <v>25</v>
      </c>
      <c r="X58" s="18" t="s">
        <v>20</v>
      </c>
      <c r="Y58" s="21"/>
      <c r="Z58" s="21"/>
      <c r="AA58" s="21"/>
      <c r="AB58" s="18" t="s">
        <v>20</v>
      </c>
      <c r="AC58" s="23" t="s">
        <v>50</v>
      </c>
      <c r="AD58" s="24" t="s">
        <v>51</v>
      </c>
      <c r="AE58" s="34">
        <v>222</v>
      </c>
      <c r="AF58" s="35">
        <v>27</v>
      </c>
      <c r="AG58" s="28" t="str">
        <f t="shared" si="6"/>
        <v>222-27</v>
      </c>
      <c r="AH58" s="24" t="s">
        <v>143</v>
      </c>
      <c r="AI58" s="2" t="b">
        <f t="shared" si="4"/>
        <v>1</v>
      </c>
      <c r="AK58" s="24" t="s">
        <v>174</v>
      </c>
      <c r="AL58" s="2" t="b">
        <f t="shared" si="5"/>
        <v>1</v>
      </c>
    </row>
    <row r="59" spans="1:38" ht="12.75" customHeight="1">
      <c r="A59" s="12">
        <v>23</v>
      </c>
      <c r="B59" s="28">
        <v>51798311</v>
      </c>
      <c r="C59" s="15" t="s">
        <v>197</v>
      </c>
      <c r="D59" s="15">
        <v>3</v>
      </c>
      <c r="E59" s="13" t="s">
        <v>50</v>
      </c>
      <c r="F59" s="17" t="s">
        <v>51</v>
      </c>
      <c r="G59" s="13">
        <v>222</v>
      </c>
      <c r="H59" s="19">
        <v>27</v>
      </c>
      <c r="I59" s="19" t="str">
        <f t="shared" si="0"/>
        <v>222-27</v>
      </c>
      <c r="J59" s="17" t="s">
        <v>153</v>
      </c>
      <c r="K59" s="56" t="s">
        <v>49</v>
      </c>
      <c r="L59" s="2" t="b">
        <f t="shared" si="1"/>
        <v>1</v>
      </c>
      <c r="M59" s="2" t="b">
        <f t="shared" si="2"/>
        <v>0</v>
      </c>
      <c r="N59" s="29">
        <v>32</v>
      </c>
      <c r="O59" s="39">
        <v>51798311</v>
      </c>
      <c r="P59" s="18" t="s">
        <v>197</v>
      </c>
      <c r="Q59" s="31" t="s">
        <v>49</v>
      </c>
      <c r="R59" s="31" t="s">
        <v>49</v>
      </c>
      <c r="S59" s="33">
        <v>42585</v>
      </c>
      <c r="T59" s="33">
        <v>34457</v>
      </c>
      <c r="U59" s="31" t="s">
        <v>48</v>
      </c>
      <c r="V59" s="21">
        <v>57</v>
      </c>
      <c r="W59" s="21" t="s">
        <v>25</v>
      </c>
      <c r="X59" s="31"/>
      <c r="Y59" s="21"/>
      <c r="Z59" s="21"/>
      <c r="AA59" s="21"/>
      <c r="AB59" s="18" t="s">
        <v>53</v>
      </c>
      <c r="AC59" s="23" t="s">
        <v>50</v>
      </c>
      <c r="AD59" s="24" t="s">
        <v>51</v>
      </c>
      <c r="AE59" s="34">
        <v>222</v>
      </c>
      <c r="AF59" s="35">
        <v>27</v>
      </c>
      <c r="AG59" s="28" t="str">
        <f t="shared" si="6"/>
        <v>222-27</v>
      </c>
      <c r="AH59" s="24" t="s">
        <v>95</v>
      </c>
      <c r="AI59" s="2" t="b">
        <f t="shared" si="4"/>
        <v>1</v>
      </c>
      <c r="AK59" s="24" t="s">
        <v>153</v>
      </c>
      <c r="AL59" s="2" t="b">
        <f t="shared" si="5"/>
        <v>1</v>
      </c>
    </row>
    <row r="60" spans="1:38" ht="12.75" customHeight="1">
      <c r="A60" s="12">
        <v>24</v>
      </c>
      <c r="B60" s="28">
        <v>79153811</v>
      </c>
      <c r="C60" s="15" t="s">
        <v>199</v>
      </c>
      <c r="D60" s="15">
        <v>3</v>
      </c>
      <c r="E60" s="13" t="s">
        <v>50</v>
      </c>
      <c r="F60" s="17" t="s">
        <v>51</v>
      </c>
      <c r="G60" s="13">
        <v>222</v>
      </c>
      <c r="H60" s="19">
        <v>27</v>
      </c>
      <c r="I60" s="19" t="str">
        <f t="shared" si="0"/>
        <v>222-27</v>
      </c>
      <c r="J60" s="17" t="s">
        <v>153</v>
      </c>
      <c r="K60" s="56" t="s">
        <v>49</v>
      </c>
      <c r="L60" s="2" t="b">
        <f t="shared" si="1"/>
        <v>1</v>
      </c>
      <c r="M60" s="2" t="b">
        <f t="shared" si="2"/>
        <v>0</v>
      </c>
      <c r="N60" s="29">
        <v>33</v>
      </c>
      <c r="O60" s="39">
        <v>79153811</v>
      </c>
      <c r="P60" s="18" t="s">
        <v>199</v>
      </c>
      <c r="Q60" s="31" t="s">
        <v>49</v>
      </c>
      <c r="R60" s="31" t="s">
        <v>49</v>
      </c>
      <c r="S60" s="33">
        <v>42585</v>
      </c>
      <c r="T60" s="33">
        <v>34256</v>
      </c>
      <c r="U60" s="31" t="s">
        <v>84</v>
      </c>
      <c r="V60" s="21">
        <v>60</v>
      </c>
      <c r="W60" s="21" t="s">
        <v>25</v>
      </c>
      <c r="X60" s="31"/>
      <c r="Y60" s="21"/>
      <c r="Z60" s="21"/>
      <c r="AA60" s="21"/>
      <c r="AB60" s="18" t="s">
        <v>53</v>
      </c>
      <c r="AC60" s="23" t="s">
        <v>50</v>
      </c>
      <c r="AD60" s="24" t="s">
        <v>51</v>
      </c>
      <c r="AE60" s="34">
        <v>222</v>
      </c>
      <c r="AF60" s="35">
        <v>27</v>
      </c>
      <c r="AG60" s="28" t="str">
        <f t="shared" si="6"/>
        <v>222-27</v>
      </c>
      <c r="AH60" s="24" t="s">
        <v>95</v>
      </c>
      <c r="AI60" s="2" t="b">
        <f t="shared" si="4"/>
        <v>1</v>
      </c>
      <c r="AK60" s="24" t="s">
        <v>153</v>
      </c>
      <c r="AL60" s="2" t="b">
        <f t="shared" si="5"/>
        <v>1</v>
      </c>
    </row>
    <row r="61" spans="1:38" ht="12.75" customHeight="1">
      <c r="A61" s="12">
        <v>25</v>
      </c>
      <c r="B61" s="28">
        <v>51569861</v>
      </c>
      <c r="C61" s="15" t="s">
        <v>201</v>
      </c>
      <c r="D61" s="15">
        <v>3</v>
      </c>
      <c r="E61" s="13" t="s">
        <v>50</v>
      </c>
      <c r="F61" s="17" t="s">
        <v>51</v>
      </c>
      <c r="G61" s="13">
        <v>222</v>
      </c>
      <c r="H61" s="19">
        <v>27</v>
      </c>
      <c r="I61" s="19" t="str">
        <f t="shared" si="0"/>
        <v>222-27</v>
      </c>
      <c r="J61" s="17" t="s">
        <v>153</v>
      </c>
      <c r="K61" s="56" t="s">
        <v>49</v>
      </c>
      <c r="L61" s="2" t="b">
        <f t="shared" si="1"/>
        <v>1</v>
      </c>
      <c r="M61" s="2" t="b">
        <f t="shared" si="2"/>
        <v>0</v>
      </c>
      <c r="N61" s="29">
        <v>34</v>
      </c>
      <c r="O61" s="39">
        <v>51569861</v>
      </c>
      <c r="P61" s="18" t="s">
        <v>201</v>
      </c>
      <c r="Q61" s="31" t="s">
        <v>49</v>
      </c>
      <c r="R61" s="31" t="s">
        <v>49</v>
      </c>
      <c r="S61" s="33">
        <v>42585</v>
      </c>
      <c r="T61" s="33">
        <v>34684</v>
      </c>
      <c r="U61" s="31" t="s">
        <v>48</v>
      </c>
      <c r="V61" s="21">
        <v>63</v>
      </c>
      <c r="W61" s="21" t="s">
        <v>25</v>
      </c>
      <c r="X61" s="31"/>
      <c r="Y61" s="21"/>
      <c r="Z61" s="21"/>
      <c r="AA61" s="21"/>
      <c r="AB61" s="18" t="s">
        <v>53</v>
      </c>
      <c r="AC61" s="23" t="s">
        <v>50</v>
      </c>
      <c r="AD61" s="24" t="s">
        <v>51</v>
      </c>
      <c r="AE61" s="34">
        <v>222</v>
      </c>
      <c r="AF61" s="35">
        <v>27</v>
      </c>
      <c r="AG61" s="28" t="str">
        <f t="shared" si="6"/>
        <v>222-27</v>
      </c>
      <c r="AH61" s="24" t="s">
        <v>95</v>
      </c>
      <c r="AI61" s="2" t="b">
        <f t="shared" si="4"/>
        <v>1</v>
      </c>
      <c r="AK61" s="24" t="s">
        <v>153</v>
      </c>
      <c r="AL61" s="2" t="b">
        <f t="shared" si="5"/>
        <v>1</v>
      </c>
    </row>
    <row r="62" spans="1:38" ht="12.75" customHeight="1">
      <c r="A62" s="12">
        <v>26</v>
      </c>
      <c r="B62" s="13"/>
      <c r="C62" s="15" t="s">
        <v>20</v>
      </c>
      <c r="D62" s="15">
        <v>3</v>
      </c>
      <c r="E62" s="13" t="s">
        <v>50</v>
      </c>
      <c r="F62" s="17" t="s">
        <v>51</v>
      </c>
      <c r="G62" s="13">
        <v>222</v>
      </c>
      <c r="H62" s="19">
        <v>27</v>
      </c>
      <c r="I62" s="19" t="str">
        <f t="shared" si="0"/>
        <v>222-27</v>
      </c>
      <c r="J62" s="17" t="s">
        <v>153</v>
      </c>
      <c r="K62" s="21"/>
      <c r="L62" s="2" t="b">
        <f t="shared" si="1"/>
        <v>1</v>
      </c>
      <c r="M62" s="2" t="b">
        <f t="shared" si="2"/>
        <v>0</v>
      </c>
      <c r="N62" s="29">
        <v>39</v>
      </c>
      <c r="O62" s="32"/>
      <c r="P62" s="18" t="s">
        <v>20</v>
      </c>
      <c r="Q62" s="31"/>
      <c r="R62" s="31" t="s">
        <v>20</v>
      </c>
      <c r="S62" s="33" t="s">
        <v>25</v>
      </c>
      <c r="T62" s="33" t="s">
        <v>25</v>
      </c>
      <c r="U62" s="31" t="s">
        <v>25</v>
      </c>
      <c r="V62" s="21" t="s">
        <v>25</v>
      </c>
      <c r="W62" s="21" t="s">
        <v>25</v>
      </c>
      <c r="X62" s="18" t="s">
        <v>20</v>
      </c>
      <c r="Y62" s="21"/>
      <c r="Z62" s="21"/>
      <c r="AA62" s="21"/>
      <c r="AB62" s="18" t="s">
        <v>20</v>
      </c>
      <c r="AC62" s="23" t="s">
        <v>50</v>
      </c>
      <c r="AD62" s="24" t="s">
        <v>51</v>
      </c>
      <c r="AE62" s="34">
        <v>222</v>
      </c>
      <c r="AF62" s="35">
        <v>27</v>
      </c>
      <c r="AG62" s="28" t="str">
        <f t="shared" si="6"/>
        <v>222-27</v>
      </c>
      <c r="AH62" s="24" t="s">
        <v>95</v>
      </c>
      <c r="AI62" s="2" t="b">
        <f t="shared" si="4"/>
        <v>1</v>
      </c>
      <c r="AK62" s="24" t="s">
        <v>147</v>
      </c>
      <c r="AL62" s="2" t="b">
        <f t="shared" si="5"/>
        <v>0</v>
      </c>
    </row>
    <row r="63" spans="1:38" ht="12.75" customHeight="1">
      <c r="A63" s="12">
        <v>27</v>
      </c>
      <c r="B63" s="13"/>
      <c r="C63" s="15" t="s">
        <v>20</v>
      </c>
      <c r="D63" s="15">
        <v>3</v>
      </c>
      <c r="E63" s="13" t="s">
        <v>50</v>
      </c>
      <c r="F63" s="17" t="s">
        <v>51</v>
      </c>
      <c r="G63" s="13">
        <v>222</v>
      </c>
      <c r="H63" s="19">
        <v>27</v>
      </c>
      <c r="I63" s="19" t="str">
        <f t="shared" si="0"/>
        <v>222-27</v>
      </c>
      <c r="J63" s="17" t="s">
        <v>153</v>
      </c>
      <c r="K63" s="21"/>
      <c r="L63" s="2" t="b">
        <f t="shared" si="1"/>
        <v>1</v>
      </c>
      <c r="M63" s="2" t="b">
        <f t="shared" si="2"/>
        <v>0</v>
      </c>
      <c r="N63" s="29">
        <v>35</v>
      </c>
      <c r="O63" s="32"/>
      <c r="P63" s="18" t="s">
        <v>20</v>
      </c>
      <c r="Q63" s="31"/>
      <c r="R63" s="31" t="s">
        <v>20</v>
      </c>
      <c r="S63" s="33" t="s">
        <v>25</v>
      </c>
      <c r="T63" s="33" t="s">
        <v>25</v>
      </c>
      <c r="U63" s="31" t="s">
        <v>25</v>
      </c>
      <c r="V63" s="21" t="s">
        <v>25</v>
      </c>
      <c r="W63" s="21" t="s">
        <v>25</v>
      </c>
      <c r="X63" s="18" t="s">
        <v>20</v>
      </c>
      <c r="Y63" s="21"/>
      <c r="Z63" s="21"/>
      <c r="AA63" s="21"/>
      <c r="AB63" s="18" t="s">
        <v>20</v>
      </c>
      <c r="AC63" s="23" t="s">
        <v>50</v>
      </c>
      <c r="AD63" s="24" t="s">
        <v>51</v>
      </c>
      <c r="AE63" s="34">
        <v>222</v>
      </c>
      <c r="AF63" s="35">
        <v>27</v>
      </c>
      <c r="AG63" s="28" t="str">
        <f t="shared" si="6"/>
        <v>222-27</v>
      </c>
      <c r="AH63" s="24" t="s">
        <v>95</v>
      </c>
      <c r="AI63" s="2" t="b">
        <f t="shared" si="4"/>
        <v>1</v>
      </c>
      <c r="AK63" s="24" t="s">
        <v>153</v>
      </c>
      <c r="AL63" s="2" t="b">
        <f t="shared" si="5"/>
        <v>1</v>
      </c>
    </row>
    <row r="64" spans="1:38" ht="12.75" customHeight="1">
      <c r="A64" s="12">
        <v>28</v>
      </c>
      <c r="B64" s="28"/>
      <c r="C64" s="15" t="s">
        <v>20</v>
      </c>
      <c r="D64" s="15">
        <v>3</v>
      </c>
      <c r="E64" s="13" t="s">
        <v>50</v>
      </c>
      <c r="F64" s="17" t="s">
        <v>51</v>
      </c>
      <c r="G64" s="13">
        <v>222</v>
      </c>
      <c r="H64" s="19">
        <v>27</v>
      </c>
      <c r="I64" s="19" t="str">
        <f t="shared" si="0"/>
        <v>222-27</v>
      </c>
      <c r="J64" s="17" t="s">
        <v>153</v>
      </c>
      <c r="K64" s="21"/>
      <c r="L64" s="2" t="b">
        <f t="shared" si="1"/>
        <v>1</v>
      </c>
      <c r="M64" s="2" t="b">
        <f t="shared" si="2"/>
        <v>0</v>
      </c>
      <c r="N64" s="29">
        <v>40</v>
      </c>
      <c r="O64" s="39"/>
      <c r="P64" s="18" t="s">
        <v>20</v>
      </c>
      <c r="Q64" s="31"/>
      <c r="R64" s="31" t="s">
        <v>20</v>
      </c>
      <c r="S64" s="33" t="s">
        <v>25</v>
      </c>
      <c r="T64" s="33" t="s">
        <v>25</v>
      </c>
      <c r="U64" s="31" t="s">
        <v>25</v>
      </c>
      <c r="V64" s="21" t="s">
        <v>25</v>
      </c>
      <c r="W64" s="21" t="s">
        <v>25</v>
      </c>
      <c r="X64" s="18" t="s">
        <v>20</v>
      </c>
      <c r="Y64" s="21"/>
      <c r="Z64" s="21"/>
      <c r="AA64" s="21"/>
      <c r="AB64" s="18" t="s">
        <v>20</v>
      </c>
      <c r="AC64" s="23" t="s">
        <v>50</v>
      </c>
      <c r="AD64" s="24" t="s">
        <v>51</v>
      </c>
      <c r="AE64" s="34">
        <v>222</v>
      </c>
      <c r="AF64" s="35">
        <v>27</v>
      </c>
      <c r="AG64" s="28" t="str">
        <f t="shared" si="6"/>
        <v>222-27</v>
      </c>
      <c r="AH64" s="24" t="s">
        <v>95</v>
      </c>
      <c r="AI64" s="2" t="b">
        <f t="shared" si="4"/>
        <v>1</v>
      </c>
      <c r="AK64" s="24" t="s">
        <v>153</v>
      </c>
      <c r="AL64" s="2" t="b">
        <f t="shared" si="5"/>
        <v>1</v>
      </c>
    </row>
    <row r="65" spans="1:38" ht="12.75" customHeight="1">
      <c r="A65" s="12">
        <v>29</v>
      </c>
      <c r="B65" s="28"/>
      <c r="C65" s="15" t="s">
        <v>20</v>
      </c>
      <c r="D65" s="15">
        <v>3</v>
      </c>
      <c r="E65" s="13" t="s">
        <v>50</v>
      </c>
      <c r="F65" s="17" t="s">
        <v>51</v>
      </c>
      <c r="G65" s="13">
        <v>222</v>
      </c>
      <c r="H65" s="19">
        <v>27</v>
      </c>
      <c r="I65" s="19" t="str">
        <f t="shared" si="0"/>
        <v>222-27</v>
      </c>
      <c r="J65" s="17" t="s">
        <v>153</v>
      </c>
      <c r="K65" s="21"/>
      <c r="L65" s="2" t="b">
        <f t="shared" si="1"/>
        <v>1</v>
      </c>
      <c r="M65" s="2" t="b">
        <f t="shared" si="2"/>
        <v>0</v>
      </c>
      <c r="N65" s="29">
        <v>37</v>
      </c>
      <c r="O65" s="39"/>
      <c r="P65" s="18" t="s">
        <v>20</v>
      </c>
      <c r="Q65" s="31"/>
      <c r="R65" s="31" t="s">
        <v>20</v>
      </c>
      <c r="S65" s="33" t="s">
        <v>25</v>
      </c>
      <c r="T65" s="33" t="s">
        <v>25</v>
      </c>
      <c r="U65" s="31" t="s">
        <v>25</v>
      </c>
      <c r="V65" s="21" t="s">
        <v>25</v>
      </c>
      <c r="W65" s="21" t="s">
        <v>25</v>
      </c>
      <c r="X65" s="18" t="s">
        <v>20</v>
      </c>
      <c r="Y65" s="21"/>
      <c r="Z65" s="21"/>
      <c r="AA65" s="21"/>
      <c r="AB65" s="18" t="s">
        <v>20</v>
      </c>
      <c r="AC65" s="23" t="s">
        <v>50</v>
      </c>
      <c r="AD65" s="24" t="s">
        <v>51</v>
      </c>
      <c r="AE65" s="34">
        <v>222</v>
      </c>
      <c r="AF65" s="35">
        <v>27</v>
      </c>
      <c r="AG65" s="28" t="str">
        <f t="shared" si="6"/>
        <v>222-27</v>
      </c>
      <c r="AH65" s="24" t="s">
        <v>95</v>
      </c>
      <c r="AI65" s="2" t="b">
        <f t="shared" si="4"/>
        <v>1</v>
      </c>
      <c r="AK65" s="24" t="s">
        <v>153</v>
      </c>
      <c r="AL65" s="2" t="b">
        <f t="shared" si="5"/>
        <v>1</v>
      </c>
    </row>
    <row r="66" spans="1:38" ht="12.75" customHeight="1">
      <c r="A66" s="12">
        <v>30</v>
      </c>
      <c r="B66" s="28"/>
      <c r="C66" s="15" t="s">
        <v>20</v>
      </c>
      <c r="D66" s="15">
        <v>3</v>
      </c>
      <c r="E66" s="13" t="s">
        <v>50</v>
      </c>
      <c r="F66" s="17" t="s">
        <v>51</v>
      </c>
      <c r="G66" s="13">
        <v>222</v>
      </c>
      <c r="H66" s="19">
        <v>27</v>
      </c>
      <c r="I66" s="19" t="str">
        <f t="shared" si="0"/>
        <v>222-27</v>
      </c>
      <c r="J66" s="17" t="s">
        <v>153</v>
      </c>
      <c r="K66" s="21"/>
      <c r="L66" s="2" t="b">
        <f t="shared" si="1"/>
        <v>1</v>
      </c>
      <c r="M66" s="2" t="b">
        <f t="shared" si="2"/>
        <v>0</v>
      </c>
      <c r="N66" s="29">
        <v>38</v>
      </c>
      <c r="O66" s="39"/>
      <c r="P66" s="18" t="s">
        <v>20</v>
      </c>
      <c r="Q66" s="31"/>
      <c r="R66" s="31" t="s">
        <v>20</v>
      </c>
      <c r="S66" s="33" t="s">
        <v>25</v>
      </c>
      <c r="T66" s="33" t="s">
        <v>25</v>
      </c>
      <c r="U66" s="31" t="s">
        <v>25</v>
      </c>
      <c r="V66" s="21" t="s">
        <v>25</v>
      </c>
      <c r="W66" s="21" t="s">
        <v>25</v>
      </c>
      <c r="X66" s="18" t="s">
        <v>20</v>
      </c>
      <c r="Y66" s="21"/>
      <c r="Z66" s="21"/>
      <c r="AA66" s="21"/>
      <c r="AB66" s="18" t="s">
        <v>20</v>
      </c>
      <c r="AC66" s="23" t="s">
        <v>50</v>
      </c>
      <c r="AD66" s="24" t="s">
        <v>51</v>
      </c>
      <c r="AE66" s="34">
        <v>222</v>
      </c>
      <c r="AF66" s="35">
        <v>27</v>
      </c>
      <c r="AG66" s="28" t="str">
        <f t="shared" si="6"/>
        <v>222-27</v>
      </c>
      <c r="AH66" s="24" t="s">
        <v>95</v>
      </c>
      <c r="AI66" s="2" t="b">
        <f t="shared" si="4"/>
        <v>1</v>
      </c>
      <c r="AK66" s="24" t="s">
        <v>153</v>
      </c>
      <c r="AL66" s="2" t="b">
        <f t="shared" si="5"/>
        <v>1</v>
      </c>
    </row>
    <row r="67" spans="1:38" ht="12.75" customHeight="1">
      <c r="A67" s="12">
        <v>31</v>
      </c>
      <c r="B67" s="28"/>
      <c r="C67" s="15" t="s">
        <v>20</v>
      </c>
      <c r="D67" s="15">
        <v>3</v>
      </c>
      <c r="E67" s="13" t="s">
        <v>50</v>
      </c>
      <c r="F67" s="17" t="s">
        <v>51</v>
      </c>
      <c r="G67" s="13">
        <v>222</v>
      </c>
      <c r="H67" s="19">
        <v>27</v>
      </c>
      <c r="I67" s="19" t="str">
        <f t="shared" si="0"/>
        <v>222-27</v>
      </c>
      <c r="J67" s="17" t="s">
        <v>153</v>
      </c>
      <c r="K67" s="21"/>
      <c r="L67" s="2" t="b">
        <f t="shared" si="1"/>
        <v>1</v>
      </c>
      <c r="M67" s="2" t="b">
        <f t="shared" si="2"/>
        <v>0</v>
      </c>
      <c r="N67" s="29">
        <v>36</v>
      </c>
      <c r="O67" s="39"/>
      <c r="P67" s="18" t="s">
        <v>20</v>
      </c>
      <c r="Q67" s="31"/>
      <c r="R67" s="31" t="s">
        <v>20</v>
      </c>
      <c r="S67" s="33" t="s">
        <v>25</v>
      </c>
      <c r="T67" s="33" t="s">
        <v>25</v>
      </c>
      <c r="U67" s="31" t="s">
        <v>25</v>
      </c>
      <c r="V67" s="21" t="s">
        <v>25</v>
      </c>
      <c r="W67" s="21" t="s">
        <v>25</v>
      </c>
      <c r="X67" s="18" t="s">
        <v>20</v>
      </c>
      <c r="Y67" s="21"/>
      <c r="Z67" s="21"/>
      <c r="AA67" s="21"/>
      <c r="AB67" s="18" t="s">
        <v>20</v>
      </c>
      <c r="AC67" s="23" t="s">
        <v>50</v>
      </c>
      <c r="AD67" s="24" t="s">
        <v>51</v>
      </c>
      <c r="AE67" s="34">
        <v>222</v>
      </c>
      <c r="AF67" s="35">
        <v>27</v>
      </c>
      <c r="AG67" s="28" t="str">
        <f t="shared" si="6"/>
        <v>222-27</v>
      </c>
      <c r="AH67" s="24" t="s">
        <v>95</v>
      </c>
      <c r="AI67" s="2" t="b">
        <f t="shared" si="4"/>
        <v>1</v>
      </c>
      <c r="AK67" s="24" t="s">
        <v>153</v>
      </c>
      <c r="AL67" s="2" t="b">
        <f t="shared" si="5"/>
        <v>1</v>
      </c>
    </row>
    <row r="68" spans="1:38" ht="12.75" customHeight="1">
      <c r="A68" s="12">
        <v>32</v>
      </c>
      <c r="B68" s="21">
        <v>52363895</v>
      </c>
      <c r="C68" s="56" t="s">
        <v>219</v>
      </c>
      <c r="D68" s="15">
        <v>3</v>
      </c>
      <c r="E68" s="13" t="s">
        <v>50</v>
      </c>
      <c r="F68" s="17" t="s">
        <v>51</v>
      </c>
      <c r="G68" s="13">
        <v>222</v>
      </c>
      <c r="H68" s="19">
        <v>27</v>
      </c>
      <c r="I68" s="19" t="str">
        <f t="shared" si="0"/>
        <v>222-27</v>
      </c>
      <c r="J68" s="17" t="s">
        <v>213</v>
      </c>
      <c r="K68" s="56" t="s">
        <v>49</v>
      </c>
      <c r="L68" s="2" t="b">
        <f t="shared" si="1"/>
        <v>1</v>
      </c>
      <c r="M68" s="2" t="b">
        <f t="shared" si="2"/>
        <v>0</v>
      </c>
      <c r="N68" s="29">
        <v>41</v>
      </c>
      <c r="O68" s="124">
        <v>52363895</v>
      </c>
      <c r="P68" s="31" t="s">
        <v>219</v>
      </c>
      <c r="Q68" s="31" t="s">
        <v>49</v>
      </c>
      <c r="R68" s="31" t="s">
        <v>49</v>
      </c>
      <c r="S68" s="33">
        <v>42585</v>
      </c>
      <c r="T68" s="33">
        <v>37994</v>
      </c>
      <c r="U68" s="31" t="s">
        <v>48</v>
      </c>
      <c r="V68" s="21">
        <v>46</v>
      </c>
      <c r="W68" s="21" t="s">
        <v>25</v>
      </c>
      <c r="X68" s="31"/>
      <c r="Y68" s="21"/>
      <c r="Z68" s="21"/>
      <c r="AA68" s="21"/>
      <c r="AB68" s="18" t="s">
        <v>53</v>
      </c>
      <c r="AC68" s="23" t="s">
        <v>50</v>
      </c>
      <c r="AD68" s="24" t="s">
        <v>51</v>
      </c>
      <c r="AE68" s="34">
        <v>222</v>
      </c>
      <c r="AF68" s="35">
        <v>27</v>
      </c>
      <c r="AG68" s="28" t="str">
        <f t="shared" si="6"/>
        <v>222-27</v>
      </c>
      <c r="AH68" s="24" t="s">
        <v>113</v>
      </c>
      <c r="AI68" s="2" t="b">
        <f t="shared" si="4"/>
        <v>1</v>
      </c>
      <c r="AK68" s="24" t="s">
        <v>33</v>
      </c>
      <c r="AL68" s="2" t="b">
        <f t="shared" si="5"/>
        <v>0</v>
      </c>
    </row>
    <row r="69" spans="1:38" ht="12.75" customHeight="1">
      <c r="A69" s="12">
        <v>33</v>
      </c>
      <c r="B69" s="28">
        <v>52009661</v>
      </c>
      <c r="C69" s="56" t="s">
        <v>224</v>
      </c>
      <c r="D69" s="15">
        <v>3</v>
      </c>
      <c r="E69" s="13" t="s">
        <v>50</v>
      </c>
      <c r="F69" s="17" t="s">
        <v>51</v>
      </c>
      <c r="G69" s="13">
        <v>222</v>
      </c>
      <c r="H69" s="19">
        <v>27</v>
      </c>
      <c r="I69" s="19" t="str">
        <f t="shared" si="0"/>
        <v>222-27</v>
      </c>
      <c r="J69" s="17" t="s">
        <v>213</v>
      </c>
      <c r="K69" s="56" t="s">
        <v>49</v>
      </c>
      <c r="L69" s="2" t="b">
        <f t="shared" si="1"/>
        <v>1</v>
      </c>
      <c r="M69" s="2" t="b">
        <f t="shared" si="2"/>
        <v>0</v>
      </c>
      <c r="N69" s="29">
        <v>42</v>
      </c>
      <c r="O69" s="39">
        <v>52009661</v>
      </c>
      <c r="P69" s="31" t="s">
        <v>224</v>
      </c>
      <c r="Q69" s="31" t="s">
        <v>49</v>
      </c>
      <c r="R69" s="31" t="s">
        <v>227</v>
      </c>
      <c r="S69" s="33">
        <v>42585</v>
      </c>
      <c r="T69" s="33">
        <v>35387</v>
      </c>
      <c r="U69" s="31" t="s">
        <v>48</v>
      </c>
      <c r="V69" s="21">
        <v>50</v>
      </c>
      <c r="W69" s="21" t="s">
        <v>228</v>
      </c>
      <c r="X69" s="31"/>
      <c r="Y69" s="21"/>
      <c r="Z69" s="21"/>
      <c r="AA69" s="21" t="s">
        <v>229</v>
      </c>
      <c r="AB69" s="18" t="s">
        <v>53</v>
      </c>
      <c r="AC69" s="23" t="s">
        <v>50</v>
      </c>
      <c r="AD69" s="24" t="s">
        <v>51</v>
      </c>
      <c r="AE69" s="34">
        <v>222</v>
      </c>
      <c r="AF69" s="35">
        <v>27</v>
      </c>
      <c r="AG69" s="28" t="str">
        <f t="shared" si="6"/>
        <v>222-27</v>
      </c>
      <c r="AH69" s="24" t="s">
        <v>113</v>
      </c>
      <c r="AI69" s="2" t="b">
        <f t="shared" si="4"/>
        <v>1</v>
      </c>
      <c r="AK69" s="24" t="s">
        <v>213</v>
      </c>
      <c r="AL69" s="2" t="b">
        <f t="shared" si="5"/>
        <v>1</v>
      </c>
    </row>
    <row r="70" spans="1:38" ht="12.75" customHeight="1">
      <c r="A70" s="12">
        <v>34</v>
      </c>
      <c r="B70" s="28"/>
      <c r="C70" s="15" t="s">
        <v>20</v>
      </c>
      <c r="D70" s="15">
        <v>3</v>
      </c>
      <c r="E70" s="13" t="s">
        <v>50</v>
      </c>
      <c r="F70" s="17" t="s">
        <v>51</v>
      </c>
      <c r="G70" s="13">
        <v>222</v>
      </c>
      <c r="H70" s="19">
        <v>27</v>
      </c>
      <c r="I70" s="19" t="str">
        <f t="shared" si="0"/>
        <v>222-27</v>
      </c>
      <c r="J70" s="17" t="s">
        <v>213</v>
      </c>
      <c r="K70" s="21"/>
      <c r="L70" s="2" t="b">
        <f t="shared" si="1"/>
        <v>1</v>
      </c>
      <c r="M70" s="2" t="b">
        <f t="shared" si="2"/>
        <v>0</v>
      </c>
      <c r="N70" s="29">
        <v>43</v>
      </c>
      <c r="O70" s="39"/>
      <c r="P70" s="18" t="s">
        <v>20</v>
      </c>
      <c r="Q70" s="31"/>
      <c r="R70" s="31" t="s">
        <v>20</v>
      </c>
      <c r="S70" s="33" t="s">
        <v>25</v>
      </c>
      <c r="T70" s="33" t="s">
        <v>25</v>
      </c>
      <c r="U70" s="31" t="s">
        <v>25</v>
      </c>
      <c r="V70" s="21" t="s">
        <v>25</v>
      </c>
      <c r="W70" s="21" t="s">
        <v>25</v>
      </c>
      <c r="X70" s="18" t="s">
        <v>20</v>
      </c>
      <c r="Y70" s="21"/>
      <c r="Z70" s="21"/>
      <c r="AA70" s="21"/>
      <c r="AB70" s="18" t="s">
        <v>20</v>
      </c>
      <c r="AC70" s="23" t="s">
        <v>50</v>
      </c>
      <c r="AD70" s="24" t="s">
        <v>51</v>
      </c>
      <c r="AE70" s="34">
        <v>222</v>
      </c>
      <c r="AF70" s="35">
        <v>27</v>
      </c>
      <c r="AG70" s="28" t="str">
        <f t="shared" si="6"/>
        <v>222-27</v>
      </c>
      <c r="AH70" s="24" t="s">
        <v>113</v>
      </c>
      <c r="AI70" s="2" t="b">
        <f t="shared" si="4"/>
        <v>1</v>
      </c>
      <c r="AK70" s="24" t="s">
        <v>213</v>
      </c>
      <c r="AL70" s="2" t="b">
        <f t="shared" si="5"/>
        <v>1</v>
      </c>
    </row>
    <row r="71" spans="1:38" ht="12.75" customHeight="1">
      <c r="A71" s="12">
        <v>35</v>
      </c>
      <c r="B71" s="28">
        <v>24179106</v>
      </c>
      <c r="C71" s="56" t="s">
        <v>232</v>
      </c>
      <c r="D71" s="15">
        <v>3</v>
      </c>
      <c r="E71" s="13" t="s">
        <v>50</v>
      </c>
      <c r="F71" s="17" t="s">
        <v>51</v>
      </c>
      <c r="G71" s="13">
        <v>222</v>
      </c>
      <c r="H71" s="19">
        <v>27</v>
      </c>
      <c r="I71" s="19" t="str">
        <f t="shared" si="0"/>
        <v>222-27</v>
      </c>
      <c r="J71" s="17" t="s">
        <v>33</v>
      </c>
      <c r="K71" s="56" t="s">
        <v>49</v>
      </c>
      <c r="L71" s="2" t="b">
        <f t="shared" si="1"/>
        <v>1</v>
      </c>
      <c r="M71" s="2" t="b">
        <f t="shared" si="2"/>
        <v>0</v>
      </c>
      <c r="N71" s="29">
        <v>44</v>
      </c>
      <c r="O71" s="39">
        <v>24179106</v>
      </c>
      <c r="P71" s="31" t="s">
        <v>232</v>
      </c>
      <c r="Q71" s="31" t="s">
        <v>49</v>
      </c>
      <c r="R71" s="31" t="s">
        <v>49</v>
      </c>
      <c r="S71" s="33">
        <v>42585</v>
      </c>
      <c r="T71" s="33">
        <v>38316</v>
      </c>
      <c r="U71" s="31" t="s">
        <v>48</v>
      </c>
      <c r="V71" s="21">
        <v>45</v>
      </c>
      <c r="W71" s="21" t="s">
        <v>25</v>
      </c>
      <c r="X71" s="31"/>
      <c r="Y71" s="21"/>
      <c r="Z71" s="21"/>
      <c r="AA71" s="21"/>
      <c r="AB71" s="18" t="s">
        <v>53</v>
      </c>
      <c r="AC71" s="23" t="s">
        <v>50</v>
      </c>
      <c r="AD71" s="24" t="s">
        <v>51</v>
      </c>
      <c r="AE71" s="34">
        <v>222</v>
      </c>
      <c r="AF71" s="35">
        <v>27</v>
      </c>
      <c r="AG71" s="28" t="str">
        <f t="shared" si="6"/>
        <v>222-27</v>
      </c>
      <c r="AH71" s="24" t="s">
        <v>132</v>
      </c>
      <c r="AI71" s="2" t="b">
        <f t="shared" si="4"/>
        <v>1</v>
      </c>
      <c r="AK71" s="24" t="s">
        <v>33</v>
      </c>
      <c r="AL71" s="2" t="b">
        <f t="shared" si="5"/>
        <v>1</v>
      </c>
    </row>
    <row r="72" spans="1:38" ht="12.75" customHeight="1">
      <c r="A72" s="12">
        <v>36</v>
      </c>
      <c r="B72" s="28"/>
      <c r="C72" s="15" t="s">
        <v>20</v>
      </c>
      <c r="D72" s="15">
        <v>3</v>
      </c>
      <c r="E72" s="13" t="s">
        <v>50</v>
      </c>
      <c r="F72" s="17" t="s">
        <v>51</v>
      </c>
      <c r="G72" s="13">
        <v>222</v>
      </c>
      <c r="H72" s="19">
        <v>27</v>
      </c>
      <c r="I72" s="19" t="str">
        <f t="shared" si="0"/>
        <v>222-27</v>
      </c>
      <c r="J72" s="17" t="s">
        <v>33</v>
      </c>
      <c r="K72" s="21"/>
      <c r="L72" s="2" t="b">
        <f t="shared" si="1"/>
        <v>1</v>
      </c>
      <c r="M72" s="2" t="b">
        <f t="shared" si="2"/>
        <v>0</v>
      </c>
      <c r="N72" s="29">
        <v>45</v>
      </c>
      <c r="O72" s="39"/>
      <c r="P72" s="18" t="s">
        <v>20</v>
      </c>
      <c r="Q72" s="31"/>
      <c r="R72" s="31" t="s">
        <v>20</v>
      </c>
      <c r="S72" s="33" t="s">
        <v>25</v>
      </c>
      <c r="T72" s="33" t="s">
        <v>25</v>
      </c>
      <c r="U72" s="31" t="s">
        <v>25</v>
      </c>
      <c r="V72" s="21" t="s">
        <v>25</v>
      </c>
      <c r="W72" s="21" t="s">
        <v>25</v>
      </c>
      <c r="X72" s="18" t="s">
        <v>20</v>
      </c>
      <c r="Y72" s="21"/>
      <c r="Z72" s="21"/>
      <c r="AA72" s="21"/>
      <c r="AB72" s="18" t="s">
        <v>20</v>
      </c>
      <c r="AC72" s="23" t="s">
        <v>50</v>
      </c>
      <c r="AD72" s="24" t="s">
        <v>51</v>
      </c>
      <c r="AE72" s="34">
        <v>222</v>
      </c>
      <c r="AF72" s="35">
        <v>27</v>
      </c>
      <c r="AG72" s="28" t="str">
        <f t="shared" si="6"/>
        <v>222-27</v>
      </c>
      <c r="AH72" s="24" t="s">
        <v>132</v>
      </c>
      <c r="AI72" s="2" t="b">
        <f t="shared" si="4"/>
        <v>1</v>
      </c>
      <c r="AK72" s="24" t="s">
        <v>33</v>
      </c>
      <c r="AL72" s="2" t="b">
        <f t="shared" si="5"/>
        <v>1</v>
      </c>
    </row>
    <row r="73" spans="1:38" ht="12.75" customHeight="1">
      <c r="A73" s="12">
        <v>37</v>
      </c>
      <c r="B73" s="28">
        <v>19347862</v>
      </c>
      <c r="C73" s="56" t="s">
        <v>236</v>
      </c>
      <c r="D73" s="15">
        <v>3</v>
      </c>
      <c r="E73" s="13" t="s">
        <v>50</v>
      </c>
      <c r="F73" s="17" t="s">
        <v>51</v>
      </c>
      <c r="G73" s="13">
        <v>222</v>
      </c>
      <c r="H73" s="19">
        <v>27</v>
      </c>
      <c r="I73" s="19" t="str">
        <f t="shared" si="0"/>
        <v>222-27</v>
      </c>
      <c r="J73" s="17" t="s">
        <v>150</v>
      </c>
      <c r="K73" s="56" t="s">
        <v>49</v>
      </c>
      <c r="L73" s="2" t="b">
        <f t="shared" si="1"/>
        <v>1</v>
      </c>
      <c r="M73" s="2" t="b">
        <f t="shared" si="2"/>
        <v>0</v>
      </c>
      <c r="N73" s="29">
        <v>46</v>
      </c>
      <c r="O73" s="39">
        <v>19347862</v>
      </c>
      <c r="P73" s="31" t="s">
        <v>236</v>
      </c>
      <c r="Q73" s="31" t="s">
        <v>49</v>
      </c>
      <c r="R73" s="31" t="s">
        <v>49</v>
      </c>
      <c r="S73" s="33">
        <v>42585</v>
      </c>
      <c r="T73" s="33">
        <v>34464</v>
      </c>
      <c r="U73" s="31" t="s">
        <v>84</v>
      </c>
      <c r="V73" s="21">
        <v>65</v>
      </c>
      <c r="W73" s="21" t="s">
        <v>25</v>
      </c>
      <c r="X73" s="31"/>
      <c r="Y73" s="21"/>
      <c r="Z73" s="21"/>
      <c r="AA73" s="21"/>
      <c r="AB73" s="18" t="s">
        <v>53</v>
      </c>
      <c r="AC73" s="23" t="s">
        <v>50</v>
      </c>
      <c r="AD73" s="24" t="s">
        <v>51</v>
      </c>
      <c r="AE73" s="34">
        <v>222</v>
      </c>
      <c r="AF73" s="35">
        <v>27</v>
      </c>
      <c r="AG73" s="28" t="str">
        <f t="shared" si="6"/>
        <v>222-27</v>
      </c>
      <c r="AH73" s="24" t="s">
        <v>135</v>
      </c>
      <c r="AI73" s="2" t="b">
        <f t="shared" si="4"/>
        <v>1</v>
      </c>
      <c r="AK73" s="24" t="s">
        <v>150</v>
      </c>
      <c r="AL73" s="2" t="b">
        <f t="shared" si="5"/>
        <v>1</v>
      </c>
    </row>
    <row r="74" spans="1:38" ht="12.75" customHeight="1">
      <c r="A74" s="12">
        <v>38</v>
      </c>
      <c r="B74" s="28"/>
      <c r="C74" s="15" t="s">
        <v>20</v>
      </c>
      <c r="D74" s="15">
        <v>3</v>
      </c>
      <c r="E74" s="13" t="s">
        <v>50</v>
      </c>
      <c r="F74" s="17" t="s">
        <v>51</v>
      </c>
      <c r="G74" s="13">
        <v>222</v>
      </c>
      <c r="H74" s="19">
        <v>27</v>
      </c>
      <c r="I74" s="19" t="str">
        <f t="shared" si="0"/>
        <v>222-27</v>
      </c>
      <c r="J74" s="17" t="s">
        <v>150</v>
      </c>
      <c r="K74" s="21"/>
      <c r="L74" s="2" t="b">
        <f t="shared" si="1"/>
        <v>1</v>
      </c>
      <c r="M74" s="2" t="b">
        <f t="shared" si="2"/>
        <v>0</v>
      </c>
      <c r="N74" s="29">
        <v>47</v>
      </c>
      <c r="O74" s="39"/>
      <c r="P74" s="18" t="s">
        <v>20</v>
      </c>
      <c r="Q74" s="31"/>
      <c r="R74" s="31" t="s">
        <v>20</v>
      </c>
      <c r="S74" s="33" t="s">
        <v>25</v>
      </c>
      <c r="T74" s="33" t="s">
        <v>25</v>
      </c>
      <c r="U74" s="31" t="s">
        <v>25</v>
      </c>
      <c r="V74" s="21" t="s">
        <v>25</v>
      </c>
      <c r="W74" s="21" t="s">
        <v>25</v>
      </c>
      <c r="X74" s="18" t="s">
        <v>20</v>
      </c>
      <c r="Y74" s="21"/>
      <c r="Z74" s="21"/>
      <c r="AA74" s="21"/>
      <c r="AB74" s="18" t="s">
        <v>20</v>
      </c>
      <c r="AC74" s="23" t="s">
        <v>50</v>
      </c>
      <c r="AD74" s="24" t="s">
        <v>51</v>
      </c>
      <c r="AE74" s="34">
        <v>222</v>
      </c>
      <c r="AF74" s="35">
        <v>27</v>
      </c>
      <c r="AG74" s="28" t="str">
        <f t="shared" si="6"/>
        <v>222-27</v>
      </c>
      <c r="AH74" s="24" t="s">
        <v>135</v>
      </c>
      <c r="AI74" s="2" t="b">
        <f t="shared" si="4"/>
        <v>1</v>
      </c>
      <c r="AK74" s="24" t="s">
        <v>150</v>
      </c>
      <c r="AL74" s="2" t="b">
        <f t="shared" si="5"/>
        <v>1</v>
      </c>
    </row>
    <row r="75" spans="1:38" ht="12.75" customHeight="1">
      <c r="A75" s="12">
        <v>39</v>
      </c>
      <c r="B75" s="28"/>
      <c r="C75" s="15" t="s">
        <v>20</v>
      </c>
      <c r="D75" s="15">
        <v>3</v>
      </c>
      <c r="E75" s="13" t="s">
        <v>50</v>
      </c>
      <c r="F75" s="17" t="s">
        <v>51</v>
      </c>
      <c r="G75" s="13">
        <v>222</v>
      </c>
      <c r="H75" s="19">
        <v>27</v>
      </c>
      <c r="I75" s="19" t="str">
        <f t="shared" si="0"/>
        <v>222-27</v>
      </c>
      <c r="J75" s="17" t="s">
        <v>150</v>
      </c>
      <c r="K75" s="21"/>
      <c r="L75" s="2" t="b">
        <f t="shared" si="1"/>
        <v>1</v>
      </c>
      <c r="M75" s="2" t="b">
        <f t="shared" si="2"/>
        <v>0</v>
      </c>
      <c r="N75" s="29">
        <v>49</v>
      </c>
      <c r="O75" s="39"/>
      <c r="P75" s="18" t="s">
        <v>20</v>
      </c>
      <c r="Q75" s="31"/>
      <c r="R75" s="31" t="s">
        <v>20</v>
      </c>
      <c r="S75" s="33" t="s">
        <v>25</v>
      </c>
      <c r="T75" s="33" t="s">
        <v>25</v>
      </c>
      <c r="U75" s="31" t="s">
        <v>25</v>
      </c>
      <c r="V75" s="21" t="s">
        <v>25</v>
      </c>
      <c r="W75" s="21" t="s">
        <v>25</v>
      </c>
      <c r="X75" s="18" t="s">
        <v>20</v>
      </c>
      <c r="Y75" s="21"/>
      <c r="Z75" s="21"/>
      <c r="AA75" s="21"/>
      <c r="AB75" s="18" t="s">
        <v>20</v>
      </c>
      <c r="AC75" s="23" t="s">
        <v>50</v>
      </c>
      <c r="AD75" s="24" t="s">
        <v>51</v>
      </c>
      <c r="AE75" s="34">
        <v>222</v>
      </c>
      <c r="AF75" s="35">
        <v>27</v>
      </c>
      <c r="AG75" s="28" t="str">
        <f t="shared" si="6"/>
        <v>222-27</v>
      </c>
      <c r="AH75" s="24" t="s">
        <v>135</v>
      </c>
      <c r="AI75" s="2" t="b">
        <f t="shared" si="4"/>
        <v>1</v>
      </c>
      <c r="AK75" s="24" t="s">
        <v>150</v>
      </c>
      <c r="AL75" s="2" t="b">
        <f t="shared" si="5"/>
        <v>1</v>
      </c>
    </row>
    <row r="76" spans="1:38" ht="12.75" customHeight="1">
      <c r="A76" s="12">
        <v>40</v>
      </c>
      <c r="B76" s="28"/>
      <c r="C76" s="15" t="s">
        <v>20</v>
      </c>
      <c r="D76" s="15">
        <v>3</v>
      </c>
      <c r="E76" s="13" t="s">
        <v>50</v>
      </c>
      <c r="F76" s="17" t="s">
        <v>51</v>
      </c>
      <c r="G76" s="13">
        <v>222</v>
      </c>
      <c r="H76" s="19">
        <v>27</v>
      </c>
      <c r="I76" s="19" t="str">
        <f t="shared" si="0"/>
        <v>222-27</v>
      </c>
      <c r="J76" s="17" t="s">
        <v>150</v>
      </c>
      <c r="K76" s="21"/>
      <c r="L76" s="2" t="b">
        <f t="shared" si="1"/>
        <v>1</v>
      </c>
      <c r="M76" s="2" t="b">
        <f t="shared" si="2"/>
        <v>0</v>
      </c>
      <c r="N76" s="29">
        <v>48</v>
      </c>
      <c r="O76" s="39"/>
      <c r="P76" s="18" t="s">
        <v>20</v>
      </c>
      <c r="Q76" s="31"/>
      <c r="R76" s="31" t="s">
        <v>20</v>
      </c>
      <c r="S76" s="33" t="s">
        <v>25</v>
      </c>
      <c r="T76" s="33" t="s">
        <v>25</v>
      </c>
      <c r="U76" s="31" t="s">
        <v>25</v>
      </c>
      <c r="V76" s="21" t="s">
        <v>25</v>
      </c>
      <c r="W76" s="21" t="s">
        <v>25</v>
      </c>
      <c r="X76" s="18" t="s">
        <v>20</v>
      </c>
      <c r="Y76" s="21"/>
      <c r="Z76" s="21"/>
      <c r="AA76" s="21"/>
      <c r="AB76" s="18" t="s">
        <v>20</v>
      </c>
      <c r="AC76" s="23" t="s">
        <v>50</v>
      </c>
      <c r="AD76" s="24" t="s">
        <v>51</v>
      </c>
      <c r="AE76" s="34">
        <v>222</v>
      </c>
      <c r="AF76" s="35">
        <v>27</v>
      </c>
      <c r="AG76" s="28" t="str">
        <f t="shared" si="6"/>
        <v>222-27</v>
      </c>
      <c r="AH76" s="24" t="s">
        <v>135</v>
      </c>
      <c r="AI76" s="2" t="b">
        <f t="shared" si="4"/>
        <v>1</v>
      </c>
      <c r="AK76" s="24" t="s">
        <v>150</v>
      </c>
      <c r="AL76" s="2" t="b">
        <f t="shared" si="5"/>
        <v>1</v>
      </c>
    </row>
    <row r="77" spans="1:38" ht="12.75" customHeight="1">
      <c r="A77" s="12">
        <v>41</v>
      </c>
      <c r="B77" s="23">
        <v>28891891</v>
      </c>
      <c r="C77" s="15" t="s">
        <v>250</v>
      </c>
      <c r="D77" s="15">
        <v>3</v>
      </c>
      <c r="E77" s="13" t="s">
        <v>50</v>
      </c>
      <c r="F77" s="17" t="s">
        <v>51</v>
      </c>
      <c r="G77" s="13">
        <v>222</v>
      </c>
      <c r="H77" s="19">
        <v>26</v>
      </c>
      <c r="I77" s="19" t="str">
        <f t="shared" si="0"/>
        <v>222-26</v>
      </c>
      <c r="J77" s="17" t="s">
        <v>153</v>
      </c>
      <c r="K77" s="56" t="s">
        <v>49</v>
      </c>
      <c r="L77" s="2" t="b">
        <f t="shared" si="1"/>
        <v>1</v>
      </c>
      <c r="M77" s="2" t="b">
        <f t="shared" si="2"/>
        <v>0</v>
      </c>
      <c r="N77" s="29">
        <v>50</v>
      </c>
      <c r="O77" s="32">
        <v>28891891</v>
      </c>
      <c r="P77" s="18" t="s">
        <v>250</v>
      </c>
      <c r="Q77" s="31" t="s">
        <v>49</v>
      </c>
      <c r="R77" s="31" t="s">
        <v>49</v>
      </c>
      <c r="S77" s="33">
        <v>42585</v>
      </c>
      <c r="T77" s="33">
        <v>33171</v>
      </c>
      <c r="U77" s="31" t="s">
        <v>48</v>
      </c>
      <c r="V77" s="21">
        <v>64</v>
      </c>
      <c r="W77" s="21" t="s">
        <v>25</v>
      </c>
      <c r="X77" s="31"/>
      <c r="Y77" s="21"/>
      <c r="Z77" s="21"/>
      <c r="AA77" s="21"/>
      <c r="AB77" s="18" t="s">
        <v>53</v>
      </c>
      <c r="AC77" s="23" t="s">
        <v>50</v>
      </c>
      <c r="AD77" s="24" t="s">
        <v>51</v>
      </c>
      <c r="AE77" s="34">
        <v>222</v>
      </c>
      <c r="AF77" s="35">
        <v>26</v>
      </c>
      <c r="AG77" s="28" t="str">
        <f t="shared" si="6"/>
        <v>222-26</v>
      </c>
      <c r="AH77" s="24" t="s">
        <v>95</v>
      </c>
      <c r="AI77" s="2" t="b">
        <f t="shared" si="4"/>
        <v>1</v>
      </c>
      <c r="AK77" s="24" t="s">
        <v>153</v>
      </c>
      <c r="AL77" s="2" t="b">
        <f t="shared" si="5"/>
        <v>1</v>
      </c>
    </row>
    <row r="78" spans="1:38" ht="12.75" customHeight="1">
      <c r="A78" s="12">
        <v>42</v>
      </c>
      <c r="B78" s="28">
        <v>6761621</v>
      </c>
      <c r="C78" s="15" t="s">
        <v>252</v>
      </c>
      <c r="D78" s="15">
        <v>3</v>
      </c>
      <c r="E78" s="13" t="s">
        <v>50</v>
      </c>
      <c r="F78" s="17" t="s">
        <v>51</v>
      </c>
      <c r="G78" s="13">
        <v>222</v>
      </c>
      <c r="H78" s="19">
        <v>26</v>
      </c>
      <c r="I78" s="19" t="str">
        <f t="shared" si="0"/>
        <v>222-26</v>
      </c>
      <c r="J78" s="17" t="s">
        <v>150</v>
      </c>
      <c r="K78" s="56" t="s">
        <v>49</v>
      </c>
      <c r="L78" s="2" t="b">
        <f t="shared" si="1"/>
        <v>1</v>
      </c>
      <c r="M78" s="2" t="b">
        <f t="shared" si="2"/>
        <v>0</v>
      </c>
      <c r="N78" s="29">
        <v>51</v>
      </c>
      <c r="O78" s="39">
        <v>6761621</v>
      </c>
      <c r="P78" s="18" t="s">
        <v>252</v>
      </c>
      <c r="Q78" s="31" t="s">
        <v>49</v>
      </c>
      <c r="R78" s="31" t="s">
        <v>49</v>
      </c>
      <c r="S78" s="33">
        <v>42585</v>
      </c>
      <c r="T78" s="33">
        <v>33730</v>
      </c>
      <c r="U78" s="31" t="s">
        <v>84</v>
      </c>
      <c r="V78" s="21">
        <v>63</v>
      </c>
      <c r="W78" s="21" t="s">
        <v>25</v>
      </c>
      <c r="X78" s="31"/>
      <c r="Y78" s="21"/>
      <c r="Z78" s="21"/>
      <c r="AA78" s="21"/>
      <c r="AB78" s="18" t="s">
        <v>53</v>
      </c>
      <c r="AC78" s="23" t="s">
        <v>50</v>
      </c>
      <c r="AD78" s="24" t="s">
        <v>51</v>
      </c>
      <c r="AE78" s="34">
        <v>222</v>
      </c>
      <c r="AF78" s="35">
        <v>26</v>
      </c>
      <c r="AG78" s="28" t="str">
        <f t="shared" si="6"/>
        <v>222-26</v>
      </c>
      <c r="AH78" s="24" t="s">
        <v>135</v>
      </c>
      <c r="AI78" s="2" t="b">
        <f t="shared" si="4"/>
        <v>1</v>
      </c>
      <c r="AK78" s="24" t="s">
        <v>147</v>
      </c>
      <c r="AL78" s="2" t="b">
        <f t="shared" si="5"/>
        <v>0</v>
      </c>
    </row>
    <row r="79" spans="1:38" ht="12.75" customHeight="1">
      <c r="A79" s="12">
        <v>43</v>
      </c>
      <c r="B79" s="28"/>
      <c r="C79" s="15" t="s">
        <v>20</v>
      </c>
      <c r="D79" s="15">
        <v>3</v>
      </c>
      <c r="E79" s="13" t="s">
        <v>50</v>
      </c>
      <c r="F79" s="17" t="s">
        <v>51</v>
      </c>
      <c r="G79" s="13">
        <v>222</v>
      </c>
      <c r="H79" s="19">
        <v>25</v>
      </c>
      <c r="I79" s="19" t="str">
        <f t="shared" si="0"/>
        <v>222-25</v>
      </c>
      <c r="J79" s="17" t="s">
        <v>150</v>
      </c>
      <c r="K79" s="21"/>
      <c r="L79" s="2" t="b">
        <f t="shared" si="1"/>
        <v>1</v>
      </c>
      <c r="M79" s="2" t="b">
        <f t="shared" si="2"/>
        <v>0</v>
      </c>
      <c r="N79" s="29">
        <v>52</v>
      </c>
      <c r="O79" s="39"/>
      <c r="P79" s="18" t="s">
        <v>20</v>
      </c>
      <c r="Q79" s="31"/>
      <c r="R79" s="31" t="s">
        <v>20</v>
      </c>
      <c r="S79" s="33" t="s">
        <v>25</v>
      </c>
      <c r="T79" s="33" t="s">
        <v>25</v>
      </c>
      <c r="U79" s="31" t="s">
        <v>25</v>
      </c>
      <c r="V79" s="21" t="s">
        <v>25</v>
      </c>
      <c r="W79" s="21" t="s">
        <v>25</v>
      </c>
      <c r="X79" s="18" t="s">
        <v>20</v>
      </c>
      <c r="Y79" s="21"/>
      <c r="Z79" s="21"/>
      <c r="AA79" s="21"/>
      <c r="AB79" s="18" t="s">
        <v>20</v>
      </c>
      <c r="AC79" s="23" t="s">
        <v>50</v>
      </c>
      <c r="AD79" s="24" t="s">
        <v>51</v>
      </c>
      <c r="AE79" s="34">
        <v>222</v>
      </c>
      <c r="AF79" s="35">
        <v>25</v>
      </c>
      <c r="AG79" s="28" t="str">
        <f t="shared" si="6"/>
        <v>222-25</v>
      </c>
      <c r="AH79" s="24" t="s">
        <v>135</v>
      </c>
      <c r="AI79" s="2" t="b">
        <f t="shared" si="4"/>
        <v>1</v>
      </c>
      <c r="AK79" s="24" t="s">
        <v>150</v>
      </c>
      <c r="AL79" s="2" t="b">
        <f t="shared" si="5"/>
        <v>1</v>
      </c>
    </row>
    <row r="80" spans="1:38" ht="12.75" hidden="1" customHeight="1">
      <c r="A80" s="12">
        <v>44</v>
      </c>
      <c r="B80" s="13"/>
      <c r="C80" s="15" t="s">
        <v>20</v>
      </c>
      <c r="D80" s="15">
        <v>3</v>
      </c>
      <c r="E80" s="13" t="s">
        <v>50</v>
      </c>
      <c r="F80" s="17" t="s">
        <v>51</v>
      </c>
      <c r="G80" s="13">
        <v>222</v>
      </c>
      <c r="H80" s="19">
        <v>24</v>
      </c>
      <c r="I80" s="19" t="str">
        <f t="shared" si="0"/>
        <v>222-24</v>
      </c>
      <c r="J80" s="17" t="s">
        <v>75</v>
      </c>
      <c r="K80" s="21"/>
      <c r="L80" s="2" t="b">
        <f t="shared" si="1"/>
        <v>1</v>
      </c>
      <c r="M80" s="2" t="b">
        <f t="shared" si="2"/>
        <v>0</v>
      </c>
      <c r="N80" s="29">
        <v>54</v>
      </c>
      <c r="O80" s="32"/>
      <c r="P80" s="18" t="s">
        <v>20</v>
      </c>
      <c r="Q80" s="31"/>
      <c r="R80" s="31" t="s">
        <v>20</v>
      </c>
      <c r="S80" s="33" t="s">
        <v>25</v>
      </c>
      <c r="T80" s="33" t="s">
        <v>25</v>
      </c>
      <c r="U80" s="31" t="s">
        <v>25</v>
      </c>
      <c r="V80" s="21" t="s">
        <v>25</v>
      </c>
      <c r="W80" s="21" t="s">
        <v>25</v>
      </c>
      <c r="X80" s="18" t="s">
        <v>20</v>
      </c>
      <c r="Y80" s="21"/>
      <c r="Z80" s="21"/>
      <c r="AA80" s="21"/>
      <c r="AB80" s="18" t="s">
        <v>20</v>
      </c>
      <c r="AC80" s="23" t="s">
        <v>50</v>
      </c>
      <c r="AD80" s="24" t="s">
        <v>51</v>
      </c>
      <c r="AE80" s="34">
        <v>222</v>
      </c>
      <c r="AF80" s="35">
        <v>24</v>
      </c>
      <c r="AG80" s="28" t="str">
        <f t="shared" si="6"/>
        <v>222-24</v>
      </c>
      <c r="AH80" s="24" t="s">
        <v>87</v>
      </c>
      <c r="AI80" s="2" t="b">
        <f t="shared" si="4"/>
        <v>1</v>
      </c>
      <c r="AK80" s="24" t="s">
        <v>75</v>
      </c>
      <c r="AL80" s="2" t="b">
        <f t="shared" si="5"/>
        <v>1</v>
      </c>
    </row>
    <row r="81" spans="1:38" ht="12.75" hidden="1" customHeight="1">
      <c r="A81" s="12">
        <v>45</v>
      </c>
      <c r="B81" s="28">
        <v>79349710</v>
      </c>
      <c r="C81" s="15" t="s">
        <v>259</v>
      </c>
      <c r="D81" s="15">
        <v>3</v>
      </c>
      <c r="E81" s="13" t="s">
        <v>50</v>
      </c>
      <c r="F81" s="17" t="s">
        <v>51</v>
      </c>
      <c r="G81" s="13">
        <v>222</v>
      </c>
      <c r="H81" s="19">
        <v>24</v>
      </c>
      <c r="I81" s="19" t="str">
        <f t="shared" si="0"/>
        <v>222-24</v>
      </c>
      <c r="J81" s="17" t="s">
        <v>75</v>
      </c>
      <c r="K81" s="101" t="s">
        <v>49</v>
      </c>
      <c r="L81" s="2" t="b">
        <f t="shared" si="1"/>
        <v>1</v>
      </c>
      <c r="M81" s="2" t="b">
        <f t="shared" si="2"/>
        <v>0</v>
      </c>
      <c r="N81" s="29">
        <v>53</v>
      </c>
      <c r="O81" s="39">
        <v>79349710</v>
      </c>
      <c r="P81" s="18" t="s">
        <v>259</v>
      </c>
      <c r="Q81" s="102" t="s">
        <v>49</v>
      </c>
      <c r="R81" s="31" t="s">
        <v>49</v>
      </c>
      <c r="S81" s="33">
        <v>42585</v>
      </c>
      <c r="T81" s="33">
        <v>35786</v>
      </c>
      <c r="U81" s="31" t="s">
        <v>84</v>
      </c>
      <c r="V81" s="21">
        <v>57</v>
      </c>
      <c r="W81" s="21" t="s">
        <v>25</v>
      </c>
      <c r="X81" s="31"/>
      <c r="Y81" s="21"/>
      <c r="Z81" s="21"/>
      <c r="AA81" s="21"/>
      <c r="AB81" s="18" t="s">
        <v>53</v>
      </c>
      <c r="AC81" s="23" t="s">
        <v>50</v>
      </c>
      <c r="AD81" s="24" t="s">
        <v>51</v>
      </c>
      <c r="AE81" s="34">
        <v>222</v>
      </c>
      <c r="AF81" s="35">
        <v>24</v>
      </c>
      <c r="AG81" s="28" t="str">
        <f t="shared" si="6"/>
        <v>222-24</v>
      </c>
      <c r="AH81" s="24" t="s">
        <v>87</v>
      </c>
      <c r="AI81" s="2" t="b">
        <f t="shared" si="4"/>
        <v>1</v>
      </c>
      <c r="AK81" s="24" t="s">
        <v>75</v>
      </c>
      <c r="AL81" s="2" t="b">
        <f t="shared" si="5"/>
        <v>1</v>
      </c>
    </row>
    <row r="82" spans="1:38" ht="12.75" hidden="1" customHeight="1">
      <c r="A82" s="12">
        <v>46</v>
      </c>
      <c r="B82" s="28">
        <v>28963444</v>
      </c>
      <c r="C82" s="17" t="s">
        <v>264</v>
      </c>
      <c r="D82" s="15">
        <v>3</v>
      </c>
      <c r="E82" s="13" t="s">
        <v>50</v>
      </c>
      <c r="F82" s="17" t="s">
        <v>51</v>
      </c>
      <c r="G82" s="13">
        <v>222</v>
      </c>
      <c r="H82" s="19">
        <v>24</v>
      </c>
      <c r="I82" s="19" t="str">
        <f t="shared" si="0"/>
        <v>222-24</v>
      </c>
      <c r="J82" s="17" t="s">
        <v>147</v>
      </c>
      <c r="K82" s="56" t="s">
        <v>49</v>
      </c>
      <c r="L82" s="2" t="b">
        <f t="shared" si="1"/>
        <v>1</v>
      </c>
      <c r="M82" s="2" t="b">
        <f t="shared" si="2"/>
        <v>0</v>
      </c>
      <c r="N82" s="29">
        <v>21</v>
      </c>
      <c r="O82" s="39">
        <v>28963444</v>
      </c>
      <c r="P82" s="24" t="s">
        <v>264</v>
      </c>
      <c r="Q82" s="31" t="s">
        <v>49</v>
      </c>
      <c r="R82" s="31" t="s">
        <v>49</v>
      </c>
      <c r="S82" s="33">
        <v>42585</v>
      </c>
      <c r="T82" s="33">
        <v>34257</v>
      </c>
      <c r="U82" s="31" t="s">
        <v>48</v>
      </c>
      <c r="V82" s="21">
        <v>58</v>
      </c>
      <c r="W82" s="21" t="s">
        <v>25</v>
      </c>
      <c r="X82" s="31"/>
      <c r="Y82" s="21"/>
      <c r="Z82" s="21"/>
      <c r="AA82" s="21"/>
      <c r="AB82" s="18" t="s">
        <v>53</v>
      </c>
      <c r="AC82" s="23" t="s">
        <v>50</v>
      </c>
      <c r="AD82" s="24" t="s">
        <v>51</v>
      </c>
      <c r="AE82" s="34">
        <v>222</v>
      </c>
      <c r="AF82" s="35">
        <v>24</v>
      </c>
      <c r="AG82" s="28" t="str">
        <f t="shared" si="6"/>
        <v>222-24</v>
      </c>
      <c r="AH82" s="24" t="s">
        <v>30</v>
      </c>
      <c r="AI82" s="2" t="b">
        <f t="shared" si="4"/>
        <v>1</v>
      </c>
      <c r="AK82" s="24" t="s">
        <v>147</v>
      </c>
      <c r="AL82" s="2" t="b">
        <f t="shared" si="5"/>
        <v>1</v>
      </c>
    </row>
    <row r="83" spans="1:38" ht="12.75" hidden="1" customHeight="1">
      <c r="A83" s="12">
        <v>47</v>
      </c>
      <c r="B83" s="28">
        <v>42497241</v>
      </c>
      <c r="C83" s="15" t="s">
        <v>266</v>
      </c>
      <c r="D83" s="15">
        <v>3</v>
      </c>
      <c r="E83" s="13" t="s">
        <v>50</v>
      </c>
      <c r="F83" s="17" t="s">
        <v>51</v>
      </c>
      <c r="G83" s="13">
        <v>222</v>
      </c>
      <c r="H83" s="19">
        <v>24</v>
      </c>
      <c r="I83" s="19" t="str">
        <f t="shared" si="0"/>
        <v>222-24</v>
      </c>
      <c r="J83" s="17" t="s">
        <v>213</v>
      </c>
      <c r="K83" s="56" t="s">
        <v>49</v>
      </c>
      <c r="L83" s="2" t="b">
        <f t="shared" si="1"/>
        <v>1</v>
      </c>
      <c r="M83" s="2" t="b">
        <f t="shared" si="2"/>
        <v>0</v>
      </c>
      <c r="N83" s="29">
        <v>55</v>
      </c>
      <c r="O83" s="39">
        <v>42497241</v>
      </c>
      <c r="P83" s="18" t="s">
        <v>266</v>
      </c>
      <c r="Q83" s="31" t="s">
        <v>49</v>
      </c>
      <c r="R83" s="31" t="s">
        <v>49</v>
      </c>
      <c r="S83" s="33">
        <v>42585</v>
      </c>
      <c r="T83" s="33">
        <v>34687</v>
      </c>
      <c r="U83" s="31" t="s">
        <v>48</v>
      </c>
      <c r="V83" s="21">
        <v>63</v>
      </c>
      <c r="W83" s="21" t="s">
        <v>25</v>
      </c>
      <c r="X83" s="31"/>
      <c r="Y83" s="21"/>
      <c r="Z83" s="21"/>
      <c r="AA83" s="21"/>
      <c r="AB83" s="18" t="s">
        <v>53</v>
      </c>
      <c r="AC83" s="23" t="s">
        <v>50</v>
      </c>
      <c r="AD83" s="24" t="s">
        <v>51</v>
      </c>
      <c r="AE83" s="34">
        <v>222</v>
      </c>
      <c r="AF83" s="35">
        <v>24</v>
      </c>
      <c r="AG83" s="28" t="str">
        <f t="shared" si="6"/>
        <v>222-24</v>
      </c>
      <c r="AH83" s="24" t="s">
        <v>113</v>
      </c>
      <c r="AI83" s="2" t="b">
        <f t="shared" si="4"/>
        <v>1</v>
      </c>
      <c r="AK83" s="63" t="s">
        <v>213</v>
      </c>
      <c r="AL83" s="2" t="b">
        <f t="shared" si="5"/>
        <v>1</v>
      </c>
    </row>
    <row r="84" spans="1:38" ht="12.75" hidden="1" customHeight="1">
      <c r="A84" s="12">
        <v>48</v>
      </c>
      <c r="B84" s="13"/>
      <c r="C84" s="15" t="s">
        <v>20</v>
      </c>
      <c r="D84" s="15">
        <v>3</v>
      </c>
      <c r="E84" s="13" t="s">
        <v>50</v>
      </c>
      <c r="F84" s="17" t="s">
        <v>51</v>
      </c>
      <c r="G84" s="13">
        <v>222</v>
      </c>
      <c r="H84" s="19">
        <v>24</v>
      </c>
      <c r="I84" s="19" t="str">
        <f t="shared" si="0"/>
        <v>222-24</v>
      </c>
      <c r="J84" s="17" t="s">
        <v>213</v>
      </c>
      <c r="K84" s="21"/>
      <c r="L84" s="2" t="b">
        <f t="shared" si="1"/>
        <v>1</v>
      </c>
      <c r="M84" s="2" t="b">
        <f t="shared" si="2"/>
        <v>0</v>
      </c>
      <c r="N84" s="29">
        <v>57</v>
      </c>
      <c r="O84" s="32"/>
      <c r="P84" s="18" t="s">
        <v>20</v>
      </c>
      <c r="Q84" s="31"/>
      <c r="R84" s="31" t="s">
        <v>20</v>
      </c>
      <c r="S84" s="33" t="s">
        <v>25</v>
      </c>
      <c r="T84" s="33" t="s">
        <v>25</v>
      </c>
      <c r="U84" s="31" t="s">
        <v>25</v>
      </c>
      <c r="V84" s="21" t="s">
        <v>25</v>
      </c>
      <c r="W84" s="21" t="s">
        <v>25</v>
      </c>
      <c r="X84" s="18" t="s">
        <v>20</v>
      </c>
      <c r="Y84" s="21"/>
      <c r="Z84" s="21"/>
      <c r="AA84" s="21"/>
      <c r="AB84" s="18" t="s">
        <v>20</v>
      </c>
      <c r="AC84" s="23" t="s">
        <v>50</v>
      </c>
      <c r="AD84" s="24" t="s">
        <v>51</v>
      </c>
      <c r="AE84" s="34">
        <v>222</v>
      </c>
      <c r="AF84" s="35">
        <v>24</v>
      </c>
      <c r="AG84" s="28" t="str">
        <f t="shared" si="6"/>
        <v>222-24</v>
      </c>
      <c r="AH84" s="24" t="s">
        <v>113</v>
      </c>
      <c r="AI84" s="2" t="b">
        <f t="shared" si="4"/>
        <v>1</v>
      </c>
      <c r="AK84" s="63" t="s">
        <v>213</v>
      </c>
      <c r="AL84" s="2" t="b">
        <f t="shared" si="5"/>
        <v>1</v>
      </c>
    </row>
    <row r="85" spans="1:38" ht="12.75" hidden="1" customHeight="1">
      <c r="A85" s="12">
        <v>49</v>
      </c>
      <c r="B85" s="28"/>
      <c r="C85" s="15" t="s">
        <v>20</v>
      </c>
      <c r="D85" s="15">
        <v>3</v>
      </c>
      <c r="E85" s="13" t="s">
        <v>50</v>
      </c>
      <c r="F85" s="17" t="s">
        <v>51</v>
      </c>
      <c r="G85" s="13">
        <v>222</v>
      </c>
      <c r="H85" s="19">
        <v>24</v>
      </c>
      <c r="I85" s="19" t="str">
        <f t="shared" si="0"/>
        <v>222-24</v>
      </c>
      <c r="J85" s="17" t="s">
        <v>213</v>
      </c>
      <c r="K85" s="21"/>
      <c r="L85" s="2" t="b">
        <f t="shared" si="1"/>
        <v>1</v>
      </c>
      <c r="M85" s="2" t="b">
        <f t="shared" si="2"/>
        <v>0</v>
      </c>
      <c r="N85" s="29">
        <v>58</v>
      </c>
      <c r="O85" s="39"/>
      <c r="P85" s="18" t="s">
        <v>20</v>
      </c>
      <c r="Q85" s="31"/>
      <c r="R85" s="31" t="s">
        <v>20</v>
      </c>
      <c r="S85" s="33" t="s">
        <v>25</v>
      </c>
      <c r="T85" s="33" t="s">
        <v>25</v>
      </c>
      <c r="U85" s="31" t="s">
        <v>25</v>
      </c>
      <c r="V85" s="21" t="s">
        <v>25</v>
      </c>
      <c r="W85" s="21" t="s">
        <v>25</v>
      </c>
      <c r="X85" s="18" t="s">
        <v>20</v>
      </c>
      <c r="Y85" s="21"/>
      <c r="Z85" s="21"/>
      <c r="AA85" s="21"/>
      <c r="AB85" s="18" t="s">
        <v>20</v>
      </c>
      <c r="AC85" s="23" t="s">
        <v>50</v>
      </c>
      <c r="AD85" s="24" t="s">
        <v>51</v>
      </c>
      <c r="AE85" s="34">
        <v>222</v>
      </c>
      <c r="AF85" s="35">
        <v>24</v>
      </c>
      <c r="AG85" s="28" t="str">
        <f t="shared" si="6"/>
        <v>222-24</v>
      </c>
      <c r="AH85" s="24" t="s">
        <v>113</v>
      </c>
      <c r="AI85" s="2" t="b">
        <f t="shared" si="4"/>
        <v>1</v>
      </c>
      <c r="AK85" s="63" t="s">
        <v>213</v>
      </c>
      <c r="AL85" s="2" t="b">
        <f t="shared" si="5"/>
        <v>1</v>
      </c>
    </row>
    <row r="86" spans="1:38" ht="12.75" hidden="1" customHeight="1">
      <c r="A86" s="12">
        <v>50</v>
      </c>
      <c r="B86" s="28"/>
      <c r="C86" s="15" t="s">
        <v>20</v>
      </c>
      <c r="D86" s="15">
        <v>3</v>
      </c>
      <c r="E86" s="13" t="s">
        <v>50</v>
      </c>
      <c r="F86" s="17" t="s">
        <v>51</v>
      </c>
      <c r="G86" s="13">
        <v>222</v>
      </c>
      <c r="H86" s="19">
        <v>24</v>
      </c>
      <c r="I86" s="19" t="str">
        <f t="shared" si="0"/>
        <v>222-24</v>
      </c>
      <c r="J86" s="17" t="s">
        <v>213</v>
      </c>
      <c r="K86" s="21"/>
      <c r="L86" s="2" t="b">
        <f t="shared" si="1"/>
        <v>1</v>
      </c>
      <c r="M86" s="2" t="b">
        <f t="shared" si="2"/>
        <v>0</v>
      </c>
      <c r="N86" s="29">
        <v>59</v>
      </c>
      <c r="O86" s="39"/>
      <c r="P86" s="18" t="s">
        <v>20</v>
      </c>
      <c r="Q86" s="31"/>
      <c r="R86" s="31" t="s">
        <v>20</v>
      </c>
      <c r="S86" s="33" t="s">
        <v>25</v>
      </c>
      <c r="T86" s="33" t="s">
        <v>25</v>
      </c>
      <c r="U86" s="31" t="s">
        <v>25</v>
      </c>
      <c r="V86" s="21" t="s">
        <v>25</v>
      </c>
      <c r="W86" s="21" t="s">
        <v>25</v>
      </c>
      <c r="X86" s="18" t="s">
        <v>20</v>
      </c>
      <c r="Y86" s="21"/>
      <c r="Z86" s="21"/>
      <c r="AA86" s="21"/>
      <c r="AB86" s="18" t="s">
        <v>20</v>
      </c>
      <c r="AC86" s="23" t="s">
        <v>50</v>
      </c>
      <c r="AD86" s="24" t="s">
        <v>51</v>
      </c>
      <c r="AE86" s="34">
        <v>222</v>
      </c>
      <c r="AF86" s="35">
        <v>24</v>
      </c>
      <c r="AG86" s="28" t="str">
        <f t="shared" si="6"/>
        <v>222-24</v>
      </c>
      <c r="AH86" s="24" t="s">
        <v>113</v>
      </c>
      <c r="AI86" s="2" t="b">
        <f t="shared" si="4"/>
        <v>1</v>
      </c>
      <c r="AK86" s="63" t="s">
        <v>213</v>
      </c>
      <c r="AL86" s="2" t="b">
        <f t="shared" si="5"/>
        <v>1</v>
      </c>
    </row>
    <row r="87" spans="1:38" ht="12.75" hidden="1" customHeight="1">
      <c r="A87" s="12">
        <v>51</v>
      </c>
      <c r="B87" s="13"/>
      <c r="C87" s="15" t="s">
        <v>20</v>
      </c>
      <c r="D87" s="15">
        <v>3</v>
      </c>
      <c r="E87" s="13" t="s">
        <v>50</v>
      </c>
      <c r="F87" s="17" t="s">
        <v>51</v>
      </c>
      <c r="G87" s="13">
        <v>222</v>
      </c>
      <c r="H87" s="19">
        <v>24</v>
      </c>
      <c r="I87" s="19" t="str">
        <f t="shared" si="0"/>
        <v>222-24</v>
      </c>
      <c r="J87" s="17" t="s">
        <v>150</v>
      </c>
      <c r="K87" s="21"/>
      <c r="L87" s="2" t="b">
        <f t="shared" si="1"/>
        <v>1</v>
      </c>
      <c r="M87" s="2" t="b">
        <f t="shared" si="2"/>
        <v>0</v>
      </c>
      <c r="N87" s="29">
        <v>56</v>
      </c>
      <c r="O87" s="32"/>
      <c r="P87" s="18" t="s">
        <v>20</v>
      </c>
      <c r="Q87" s="31"/>
      <c r="R87" s="31" t="s">
        <v>20</v>
      </c>
      <c r="S87" s="33" t="s">
        <v>25</v>
      </c>
      <c r="T87" s="33" t="s">
        <v>25</v>
      </c>
      <c r="U87" s="31" t="s">
        <v>25</v>
      </c>
      <c r="V87" s="21" t="s">
        <v>25</v>
      </c>
      <c r="W87" s="21" t="s">
        <v>25</v>
      </c>
      <c r="X87" s="18" t="s">
        <v>20</v>
      </c>
      <c r="Y87" s="21"/>
      <c r="Z87" s="21"/>
      <c r="AA87" s="21"/>
      <c r="AB87" s="18" t="s">
        <v>20</v>
      </c>
      <c r="AC87" s="23" t="s">
        <v>50</v>
      </c>
      <c r="AD87" s="24" t="s">
        <v>51</v>
      </c>
      <c r="AE87" s="34">
        <v>222</v>
      </c>
      <c r="AF87" s="35">
        <v>24</v>
      </c>
      <c r="AG87" s="28" t="str">
        <f t="shared" si="6"/>
        <v>222-24</v>
      </c>
      <c r="AH87" s="24" t="s">
        <v>135</v>
      </c>
      <c r="AI87" s="2" t="b">
        <f t="shared" si="4"/>
        <v>1</v>
      </c>
      <c r="AK87" s="24" t="s">
        <v>138</v>
      </c>
      <c r="AL87" s="2" t="b">
        <f t="shared" si="5"/>
        <v>0</v>
      </c>
    </row>
    <row r="88" spans="1:38" ht="12.75" hidden="1" customHeight="1">
      <c r="A88" s="12">
        <v>52</v>
      </c>
      <c r="B88" s="28">
        <v>35312719</v>
      </c>
      <c r="C88" s="56" t="s">
        <v>278</v>
      </c>
      <c r="D88" s="15">
        <v>3</v>
      </c>
      <c r="E88" s="13" t="s">
        <v>50</v>
      </c>
      <c r="F88" s="17" t="s">
        <v>51</v>
      </c>
      <c r="G88" s="13">
        <v>222</v>
      </c>
      <c r="H88" s="19">
        <v>24</v>
      </c>
      <c r="I88" s="19" t="str">
        <f t="shared" si="0"/>
        <v>222-24</v>
      </c>
      <c r="J88" s="17" t="s">
        <v>150</v>
      </c>
      <c r="K88" s="56" t="s">
        <v>49</v>
      </c>
      <c r="L88" s="2" t="b">
        <f t="shared" si="1"/>
        <v>1</v>
      </c>
      <c r="M88" s="2" t="b">
        <f t="shared" si="2"/>
        <v>0</v>
      </c>
      <c r="N88" s="29">
        <v>60</v>
      </c>
      <c r="O88" s="39">
        <v>35312719</v>
      </c>
      <c r="P88" s="31" t="s">
        <v>278</v>
      </c>
      <c r="Q88" s="31" t="s">
        <v>49</v>
      </c>
      <c r="R88" s="31" t="s">
        <v>49</v>
      </c>
      <c r="S88" s="33">
        <v>42585</v>
      </c>
      <c r="T88" s="33">
        <v>34250</v>
      </c>
      <c r="U88" s="31" t="s">
        <v>48</v>
      </c>
      <c r="V88" s="21">
        <v>65</v>
      </c>
      <c r="W88" s="21" t="s">
        <v>25</v>
      </c>
      <c r="X88" s="31"/>
      <c r="Y88" s="21"/>
      <c r="Z88" s="21"/>
      <c r="AA88" s="21"/>
      <c r="AB88" s="18" t="s">
        <v>53</v>
      </c>
      <c r="AC88" s="23" t="s">
        <v>50</v>
      </c>
      <c r="AD88" s="24" t="s">
        <v>51</v>
      </c>
      <c r="AE88" s="34">
        <v>222</v>
      </c>
      <c r="AF88" s="35">
        <v>24</v>
      </c>
      <c r="AG88" s="28" t="str">
        <f t="shared" si="6"/>
        <v>222-24</v>
      </c>
      <c r="AH88" s="24" t="s">
        <v>135</v>
      </c>
      <c r="AI88" s="2" t="b">
        <f t="shared" si="4"/>
        <v>1</v>
      </c>
      <c r="AK88" s="24" t="s">
        <v>150</v>
      </c>
      <c r="AL88" s="2" t="b">
        <f t="shared" si="5"/>
        <v>1</v>
      </c>
    </row>
    <row r="89" spans="1:38" ht="12.75" customHeight="1">
      <c r="A89" s="12">
        <v>53</v>
      </c>
      <c r="B89" s="28"/>
      <c r="C89" s="15" t="s">
        <v>20</v>
      </c>
      <c r="D89" s="15">
        <v>3</v>
      </c>
      <c r="E89" s="13" t="s">
        <v>50</v>
      </c>
      <c r="F89" s="17" t="s">
        <v>51</v>
      </c>
      <c r="G89" s="13">
        <v>222</v>
      </c>
      <c r="H89" s="19">
        <v>22</v>
      </c>
      <c r="I89" s="19" t="str">
        <f t="shared" si="0"/>
        <v>222-22</v>
      </c>
      <c r="J89" s="17" t="s">
        <v>33</v>
      </c>
      <c r="K89" s="21"/>
      <c r="L89" s="2" t="b">
        <f t="shared" si="1"/>
        <v>1</v>
      </c>
      <c r="M89" s="2" t="b">
        <f t="shared" si="2"/>
        <v>0</v>
      </c>
      <c r="N89" s="29">
        <v>61</v>
      </c>
      <c r="O89" s="39"/>
      <c r="P89" s="18" t="s">
        <v>20</v>
      </c>
      <c r="Q89" s="31"/>
      <c r="R89" s="31" t="s">
        <v>20</v>
      </c>
      <c r="S89" s="33" t="s">
        <v>25</v>
      </c>
      <c r="T89" s="33" t="s">
        <v>25</v>
      </c>
      <c r="U89" s="31" t="s">
        <v>25</v>
      </c>
      <c r="V89" s="21" t="s">
        <v>25</v>
      </c>
      <c r="W89" s="21" t="s">
        <v>25</v>
      </c>
      <c r="X89" s="18" t="s">
        <v>20</v>
      </c>
      <c r="Y89" s="21"/>
      <c r="Z89" s="21"/>
      <c r="AA89" s="21"/>
      <c r="AB89" s="18" t="s">
        <v>20</v>
      </c>
      <c r="AC89" s="23" t="s">
        <v>50</v>
      </c>
      <c r="AD89" s="24" t="s">
        <v>51</v>
      </c>
      <c r="AE89" s="34">
        <v>222</v>
      </c>
      <c r="AF89" s="35">
        <v>22</v>
      </c>
      <c r="AG89" s="28" t="str">
        <f t="shared" si="6"/>
        <v>222-22</v>
      </c>
      <c r="AH89" s="24" t="s">
        <v>132</v>
      </c>
      <c r="AI89" s="2" t="b">
        <f t="shared" si="4"/>
        <v>1</v>
      </c>
      <c r="AK89" s="24" t="s">
        <v>33</v>
      </c>
      <c r="AL89" s="2" t="b">
        <f t="shared" si="5"/>
        <v>1</v>
      </c>
    </row>
    <row r="90" spans="1:38" ht="12.75" hidden="1" customHeight="1">
      <c r="A90" s="12">
        <v>54</v>
      </c>
      <c r="B90" s="28">
        <v>79569642</v>
      </c>
      <c r="C90" s="15" t="s">
        <v>280</v>
      </c>
      <c r="D90" s="15">
        <v>3</v>
      </c>
      <c r="E90" s="13" t="s">
        <v>50</v>
      </c>
      <c r="F90" s="17" t="s">
        <v>51</v>
      </c>
      <c r="G90" s="13">
        <v>222</v>
      </c>
      <c r="H90" s="19">
        <v>21</v>
      </c>
      <c r="I90" s="19" t="str">
        <f t="shared" si="0"/>
        <v>222-21</v>
      </c>
      <c r="J90" s="17" t="s">
        <v>32</v>
      </c>
      <c r="K90" s="101" t="s">
        <v>49</v>
      </c>
      <c r="L90" s="2" t="b">
        <f t="shared" si="1"/>
        <v>1</v>
      </c>
      <c r="M90" s="2" t="b">
        <f t="shared" si="2"/>
        <v>1</v>
      </c>
      <c r="N90" s="29">
        <v>62</v>
      </c>
      <c r="O90" s="39">
        <v>79569642</v>
      </c>
      <c r="P90" s="18" t="s">
        <v>280</v>
      </c>
      <c r="Q90" s="102" t="s">
        <v>49</v>
      </c>
      <c r="R90" s="31" t="s">
        <v>49</v>
      </c>
      <c r="S90" s="33">
        <v>42585</v>
      </c>
      <c r="T90" s="33">
        <v>36271</v>
      </c>
      <c r="U90" s="31" t="s">
        <v>84</v>
      </c>
      <c r="V90" s="21">
        <v>50</v>
      </c>
      <c r="W90" s="21" t="s">
        <v>25</v>
      </c>
      <c r="X90" s="31"/>
      <c r="Y90" s="21"/>
      <c r="Z90" s="21"/>
      <c r="AA90" s="21"/>
      <c r="AB90" s="18" t="s">
        <v>53</v>
      </c>
      <c r="AC90" s="23" t="s">
        <v>50</v>
      </c>
      <c r="AD90" s="24" t="s">
        <v>51</v>
      </c>
      <c r="AE90" s="34">
        <v>222</v>
      </c>
      <c r="AF90" s="35">
        <v>21</v>
      </c>
      <c r="AG90" s="28" t="str">
        <f t="shared" si="6"/>
        <v>222-21</v>
      </c>
      <c r="AH90" s="24" t="s">
        <v>32</v>
      </c>
      <c r="AI90" s="2" t="b">
        <f t="shared" si="4"/>
        <v>1</v>
      </c>
      <c r="AK90" s="24" t="s">
        <v>32</v>
      </c>
      <c r="AL90" s="2" t="b">
        <f t="shared" si="5"/>
        <v>1</v>
      </c>
    </row>
    <row r="91" spans="1:38" ht="12.75" hidden="1" customHeight="1">
      <c r="A91" s="12">
        <v>55</v>
      </c>
      <c r="B91" s="28">
        <v>51748267</v>
      </c>
      <c r="C91" s="15" t="s">
        <v>281</v>
      </c>
      <c r="D91" s="15">
        <v>3</v>
      </c>
      <c r="E91" s="13" t="s">
        <v>50</v>
      </c>
      <c r="F91" s="17" t="s">
        <v>51</v>
      </c>
      <c r="G91" s="13">
        <v>222</v>
      </c>
      <c r="H91" s="19">
        <v>21</v>
      </c>
      <c r="I91" s="19" t="str">
        <f t="shared" si="0"/>
        <v>222-21</v>
      </c>
      <c r="J91" s="17" t="s">
        <v>147</v>
      </c>
      <c r="K91" s="38" t="s">
        <v>188</v>
      </c>
      <c r="L91" s="2" t="b">
        <f t="shared" si="1"/>
        <v>1</v>
      </c>
      <c r="M91" s="2" t="b">
        <f t="shared" si="2"/>
        <v>0</v>
      </c>
      <c r="N91" s="29">
        <v>22</v>
      </c>
      <c r="O91" s="39">
        <v>51748267</v>
      </c>
      <c r="P91" s="18" t="s">
        <v>281</v>
      </c>
      <c r="Q91" s="31" t="s">
        <v>24</v>
      </c>
      <c r="R91" s="31" t="s">
        <v>192</v>
      </c>
      <c r="S91" s="33">
        <v>42585</v>
      </c>
      <c r="T91" s="33">
        <v>40426</v>
      </c>
      <c r="U91" s="31" t="s">
        <v>48</v>
      </c>
      <c r="V91" s="21">
        <v>59</v>
      </c>
      <c r="W91" s="21" t="s">
        <v>25</v>
      </c>
      <c r="X91" s="31" t="s">
        <v>20</v>
      </c>
      <c r="Y91" s="21"/>
      <c r="Z91" s="21"/>
      <c r="AA91" s="21"/>
      <c r="AB91" s="18" t="s">
        <v>53</v>
      </c>
      <c r="AC91" s="23" t="s">
        <v>50</v>
      </c>
      <c r="AD91" s="24" t="s">
        <v>51</v>
      </c>
      <c r="AE91" s="34">
        <v>222</v>
      </c>
      <c r="AF91" s="35">
        <v>21</v>
      </c>
      <c r="AG91" s="28" t="str">
        <f t="shared" si="6"/>
        <v>222-21</v>
      </c>
      <c r="AH91" s="24" t="s">
        <v>30</v>
      </c>
      <c r="AI91" s="2" t="b">
        <f t="shared" si="4"/>
        <v>1</v>
      </c>
      <c r="AK91" s="24" t="s">
        <v>147</v>
      </c>
      <c r="AL91" s="2" t="b">
        <f t="shared" si="5"/>
        <v>1</v>
      </c>
    </row>
    <row r="92" spans="1:38" ht="12.75" hidden="1" customHeight="1">
      <c r="A92" s="12">
        <v>56</v>
      </c>
      <c r="B92" s="28">
        <v>51649014</v>
      </c>
      <c r="C92" s="56" t="s">
        <v>283</v>
      </c>
      <c r="D92" s="15">
        <v>3</v>
      </c>
      <c r="E92" s="13" t="s">
        <v>50</v>
      </c>
      <c r="F92" s="17" t="s">
        <v>51</v>
      </c>
      <c r="G92" s="13">
        <v>222</v>
      </c>
      <c r="H92" s="19">
        <v>21</v>
      </c>
      <c r="I92" s="19" t="str">
        <f t="shared" si="0"/>
        <v>222-21</v>
      </c>
      <c r="J92" s="17" t="s">
        <v>147</v>
      </c>
      <c r="K92" s="56" t="s">
        <v>49</v>
      </c>
      <c r="L92" s="2" t="b">
        <f t="shared" si="1"/>
        <v>1</v>
      </c>
      <c r="M92" s="2" t="b">
        <f t="shared" si="2"/>
        <v>0</v>
      </c>
      <c r="N92" s="29">
        <v>23</v>
      </c>
      <c r="O92" s="39">
        <v>51649014</v>
      </c>
      <c r="P92" s="31" t="s">
        <v>283</v>
      </c>
      <c r="Q92" s="31" t="s">
        <v>49</v>
      </c>
      <c r="R92" s="31" t="s">
        <v>49</v>
      </c>
      <c r="S92" s="33">
        <v>42585</v>
      </c>
      <c r="T92" s="33">
        <v>34870</v>
      </c>
      <c r="U92" s="31" t="s">
        <v>48</v>
      </c>
      <c r="V92" s="21">
        <v>60</v>
      </c>
      <c r="W92" s="21" t="s">
        <v>25</v>
      </c>
      <c r="X92" s="31"/>
      <c r="Y92" s="21"/>
      <c r="Z92" s="21"/>
      <c r="AA92" s="21"/>
      <c r="AB92" s="18" t="s">
        <v>53</v>
      </c>
      <c r="AC92" s="23" t="s">
        <v>50</v>
      </c>
      <c r="AD92" s="24" t="s">
        <v>51</v>
      </c>
      <c r="AE92" s="34">
        <v>222</v>
      </c>
      <c r="AF92" s="35">
        <v>21</v>
      </c>
      <c r="AG92" s="28" t="str">
        <f t="shared" si="6"/>
        <v>222-21</v>
      </c>
      <c r="AH92" s="24" t="s">
        <v>30</v>
      </c>
      <c r="AI92" s="2" t="b">
        <f t="shared" si="4"/>
        <v>1</v>
      </c>
      <c r="AK92" s="24" t="s">
        <v>147</v>
      </c>
      <c r="AL92" s="2" t="b">
        <f t="shared" si="5"/>
        <v>1</v>
      </c>
    </row>
    <row r="93" spans="1:38" ht="12.75" hidden="1" customHeight="1">
      <c r="A93" s="12">
        <v>57</v>
      </c>
      <c r="B93" s="28">
        <v>52352995</v>
      </c>
      <c r="C93" s="15" t="s">
        <v>284</v>
      </c>
      <c r="D93" s="15">
        <v>3</v>
      </c>
      <c r="E93" s="13" t="s">
        <v>50</v>
      </c>
      <c r="F93" s="17" t="s">
        <v>51</v>
      </c>
      <c r="G93" s="13">
        <v>222</v>
      </c>
      <c r="H93" s="19">
        <v>21</v>
      </c>
      <c r="I93" s="19" t="str">
        <f t="shared" si="0"/>
        <v>222-21</v>
      </c>
      <c r="J93" s="17" t="s">
        <v>147</v>
      </c>
      <c r="K93" s="38" t="s">
        <v>188</v>
      </c>
      <c r="L93" s="2" t="b">
        <f t="shared" si="1"/>
        <v>1</v>
      </c>
      <c r="M93" s="2" t="b">
        <f t="shared" si="2"/>
        <v>0</v>
      </c>
      <c r="N93" s="29">
        <v>19</v>
      </c>
      <c r="O93" s="39">
        <v>52352995</v>
      </c>
      <c r="P93" s="18" t="s">
        <v>284</v>
      </c>
      <c r="Q93" s="31" t="s">
        <v>24</v>
      </c>
      <c r="R93" s="31" t="s">
        <v>192</v>
      </c>
      <c r="S93" s="33">
        <v>42585</v>
      </c>
      <c r="T93" s="33">
        <v>42051</v>
      </c>
      <c r="U93" s="31" t="s">
        <v>48</v>
      </c>
      <c r="V93" s="21">
        <v>43</v>
      </c>
      <c r="W93" s="21" t="s">
        <v>25</v>
      </c>
      <c r="X93" s="31" t="s">
        <v>20</v>
      </c>
      <c r="Y93" s="21"/>
      <c r="Z93" s="21"/>
      <c r="AA93" s="21"/>
      <c r="AB93" s="18" t="s">
        <v>53</v>
      </c>
      <c r="AC93" s="23" t="s">
        <v>50</v>
      </c>
      <c r="AD93" s="24" t="s">
        <v>51</v>
      </c>
      <c r="AE93" s="34">
        <v>222</v>
      </c>
      <c r="AF93" s="35">
        <v>21</v>
      </c>
      <c r="AG93" s="28" t="str">
        <f t="shared" si="6"/>
        <v>222-21</v>
      </c>
      <c r="AH93" s="24" t="s">
        <v>30</v>
      </c>
      <c r="AI93" s="2" t="b">
        <f t="shared" si="4"/>
        <v>1</v>
      </c>
      <c r="AK93" s="24" t="s">
        <v>147</v>
      </c>
      <c r="AL93" s="2" t="b">
        <f t="shared" si="5"/>
        <v>1</v>
      </c>
    </row>
    <row r="94" spans="1:38" ht="12.75" hidden="1" customHeight="1">
      <c r="A94" s="12">
        <v>58</v>
      </c>
      <c r="B94" s="28"/>
      <c r="C94" s="15" t="s">
        <v>20</v>
      </c>
      <c r="D94" s="15">
        <v>3</v>
      </c>
      <c r="E94" s="13" t="s">
        <v>50</v>
      </c>
      <c r="F94" s="17" t="s">
        <v>51</v>
      </c>
      <c r="G94" s="13">
        <v>222</v>
      </c>
      <c r="H94" s="19">
        <v>21</v>
      </c>
      <c r="I94" s="19" t="str">
        <f t="shared" si="0"/>
        <v>222-21</v>
      </c>
      <c r="J94" s="17" t="s">
        <v>147</v>
      </c>
      <c r="K94" s="21"/>
      <c r="L94" s="2" t="b">
        <f t="shared" si="1"/>
        <v>1</v>
      </c>
      <c r="M94" s="2" t="b">
        <f t="shared" si="2"/>
        <v>0</v>
      </c>
      <c r="N94" s="29">
        <v>20</v>
      </c>
      <c r="O94" s="39"/>
      <c r="P94" s="18" t="s">
        <v>20</v>
      </c>
      <c r="Q94" s="31"/>
      <c r="R94" s="31" t="s">
        <v>20</v>
      </c>
      <c r="S94" s="33" t="s">
        <v>25</v>
      </c>
      <c r="T94" s="33" t="s">
        <v>25</v>
      </c>
      <c r="U94" s="31" t="s">
        <v>25</v>
      </c>
      <c r="V94" s="21" t="s">
        <v>25</v>
      </c>
      <c r="W94" s="21" t="s">
        <v>25</v>
      </c>
      <c r="X94" s="18" t="s">
        <v>20</v>
      </c>
      <c r="Y94" s="21"/>
      <c r="Z94" s="21"/>
      <c r="AA94" s="21"/>
      <c r="AB94" s="18" t="s">
        <v>20</v>
      </c>
      <c r="AC94" s="23" t="s">
        <v>50</v>
      </c>
      <c r="AD94" s="24" t="s">
        <v>51</v>
      </c>
      <c r="AE94" s="34">
        <v>222</v>
      </c>
      <c r="AF94" s="35">
        <v>21</v>
      </c>
      <c r="AG94" s="28" t="str">
        <f t="shared" si="6"/>
        <v>222-21</v>
      </c>
      <c r="AH94" s="24" t="s">
        <v>30</v>
      </c>
      <c r="AI94" s="2" t="b">
        <f t="shared" si="4"/>
        <v>1</v>
      </c>
      <c r="AK94" s="24" t="s">
        <v>147</v>
      </c>
      <c r="AL94" s="2" t="b">
        <f t="shared" si="5"/>
        <v>1</v>
      </c>
    </row>
    <row r="95" spans="1:38" ht="12.75" hidden="1" customHeight="1">
      <c r="A95" s="12">
        <v>59</v>
      </c>
      <c r="B95" s="23">
        <v>3085860</v>
      </c>
      <c r="C95" s="15" t="s">
        <v>285</v>
      </c>
      <c r="D95" s="15">
        <v>3</v>
      </c>
      <c r="E95" s="13" t="s">
        <v>50</v>
      </c>
      <c r="F95" s="17" t="s">
        <v>51</v>
      </c>
      <c r="G95" s="13">
        <v>222</v>
      </c>
      <c r="H95" s="19">
        <v>21</v>
      </c>
      <c r="I95" s="19" t="str">
        <f t="shared" si="0"/>
        <v>222-21</v>
      </c>
      <c r="J95" s="17" t="s">
        <v>153</v>
      </c>
      <c r="K95" s="56" t="s">
        <v>49</v>
      </c>
      <c r="L95" s="2" t="b">
        <f t="shared" si="1"/>
        <v>1</v>
      </c>
      <c r="M95" s="2" t="b">
        <f t="shared" si="2"/>
        <v>0</v>
      </c>
      <c r="N95" s="29">
        <v>63</v>
      </c>
      <c r="O95" s="32">
        <v>3085860</v>
      </c>
      <c r="P95" s="18" t="s">
        <v>285</v>
      </c>
      <c r="Q95" s="31" t="s">
        <v>49</v>
      </c>
      <c r="R95" s="31" t="s">
        <v>49</v>
      </c>
      <c r="S95" s="33">
        <v>42585</v>
      </c>
      <c r="T95" s="33">
        <v>38443</v>
      </c>
      <c r="U95" s="31" t="s">
        <v>84</v>
      </c>
      <c r="V95" s="21">
        <v>54</v>
      </c>
      <c r="W95" s="21" t="s">
        <v>25</v>
      </c>
      <c r="X95" s="31"/>
      <c r="Y95" s="21"/>
      <c r="Z95" s="21"/>
      <c r="AA95" s="21"/>
      <c r="AB95" s="18" t="s">
        <v>53</v>
      </c>
      <c r="AC95" s="23" t="s">
        <v>50</v>
      </c>
      <c r="AD95" s="24" t="s">
        <v>51</v>
      </c>
      <c r="AE95" s="34">
        <v>222</v>
      </c>
      <c r="AF95" s="35">
        <v>21</v>
      </c>
      <c r="AG95" s="28" t="str">
        <f t="shared" si="6"/>
        <v>222-21</v>
      </c>
      <c r="AH95" s="24" t="s">
        <v>95</v>
      </c>
      <c r="AI95" s="2" t="b">
        <f t="shared" si="4"/>
        <v>1</v>
      </c>
      <c r="AK95" s="24" t="s">
        <v>153</v>
      </c>
      <c r="AL95" s="2" t="b">
        <f t="shared" si="5"/>
        <v>1</v>
      </c>
    </row>
    <row r="96" spans="1:38" ht="12.75" hidden="1" customHeight="1">
      <c r="A96" s="12">
        <v>60</v>
      </c>
      <c r="B96" s="28"/>
      <c r="C96" s="15" t="s">
        <v>20</v>
      </c>
      <c r="D96" s="15">
        <v>3</v>
      </c>
      <c r="E96" s="13" t="s">
        <v>50</v>
      </c>
      <c r="F96" s="17" t="s">
        <v>51</v>
      </c>
      <c r="G96" s="13">
        <v>222</v>
      </c>
      <c r="H96" s="19">
        <v>21</v>
      </c>
      <c r="I96" s="19" t="str">
        <f t="shared" si="0"/>
        <v>222-21</v>
      </c>
      <c r="J96" s="17" t="s">
        <v>213</v>
      </c>
      <c r="K96" s="21"/>
      <c r="L96" s="2" t="b">
        <f t="shared" si="1"/>
        <v>1</v>
      </c>
      <c r="M96" s="2" t="b">
        <f t="shared" si="2"/>
        <v>0</v>
      </c>
      <c r="N96" s="29">
        <v>64</v>
      </c>
      <c r="O96" s="39"/>
      <c r="P96" s="18" t="s">
        <v>20</v>
      </c>
      <c r="Q96" s="31"/>
      <c r="R96" s="31" t="s">
        <v>20</v>
      </c>
      <c r="S96" s="33" t="s">
        <v>25</v>
      </c>
      <c r="T96" s="33" t="s">
        <v>25</v>
      </c>
      <c r="U96" s="31" t="s">
        <v>25</v>
      </c>
      <c r="V96" s="21" t="s">
        <v>25</v>
      </c>
      <c r="W96" s="21" t="s">
        <v>25</v>
      </c>
      <c r="X96" s="18" t="s">
        <v>20</v>
      </c>
      <c r="Y96" s="21"/>
      <c r="Z96" s="21"/>
      <c r="AA96" s="21"/>
      <c r="AB96" s="18" t="s">
        <v>20</v>
      </c>
      <c r="AC96" s="23" t="s">
        <v>50</v>
      </c>
      <c r="AD96" s="24" t="s">
        <v>51</v>
      </c>
      <c r="AE96" s="34">
        <v>222</v>
      </c>
      <c r="AF96" s="35">
        <v>21</v>
      </c>
      <c r="AG96" s="28" t="str">
        <f t="shared" si="6"/>
        <v>222-21</v>
      </c>
      <c r="AH96" s="24" t="s">
        <v>113</v>
      </c>
      <c r="AI96" s="2" t="b">
        <f t="shared" si="4"/>
        <v>1</v>
      </c>
      <c r="AK96" s="63" t="s">
        <v>213</v>
      </c>
      <c r="AL96" s="2" t="b">
        <f t="shared" si="5"/>
        <v>1</v>
      </c>
    </row>
    <row r="97" spans="1:38" ht="12.75" hidden="1" customHeight="1">
      <c r="A97" s="12">
        <v>61</v>
      </c>
      <c r="B97" s="28"/>
      <c r="C97" s="15" t="s">
        <v>20</v>
      </c>
      <c r="D97" s="15">
        <v>3</v>
      </c>
      <c r="E97" s="13" t="s">
        <v>50</v>
      </c>
      <c r="F97" s="17" t="s">
        <v>51</v>
      </c>
      <c r="G97" s="13">
        <v>222</v>
      </c>
      <c r="H97" s="19">
        <v>21</v>
      </c>
      <c r="I97" s="19" t="str">
        <f t="shared" si="0"/>
        <v>222-21</v>
      </c>
      <c r="J97" s="17" t="s">
        <v>150</v>
      </c>
      <c r="K97" s="21"/>
      <c r="L97" s="2" t="b">
        <f t="shared" si="1"/>
        <v>1</v>
      </c>
      <c r="M97" s="2" t="b">
        <f t="shared" si="2"/>
        <v>0</v>
      </c>
      <c r="N97" s="29">
        <v>66</v>
      </c>
      <c r="O97" s="39"/>
      <c r="P97" s="18" t="s">
        <v>20</v>
      </c>
      <c r="Q97" s="31"/>
      <c r="R97" s="31" t="s">
        <v>20</v>
      </c>
      <c r="S97" s="33" t="s">
        <v>25</v>
      </c>
      <c r="T97" s="33" t="s">
        <v>25</v>
      </c>
      <c r="U97" s="31" t="s">
        <v>25</v>
      </c>
      <c r="V97" s="21" t="s">
        <v>25</v>
      </c>
      <c r="W97" s="21" t="s">
        <v>25</v>
      </c>
      <c r="X97" s="18" t="s">
        <v>20</v>
      </c>
      <c r="Y97" s="21"/>
      <c r="Z97" s="21"/>
      <c r="AA97" s="21"/>
      <c r="AB97" s="18" t="s">
        <v>20</v>
      </c>
      <c r="AC97" s="23" t="s">
        <v>50</v>
      </c>
      <c r="AD97" s="24" t="s">
        <v>51</v>
      </c>
      <c r="AE97" s="34">
        <v>222</v>
      </c>
      <c r="AF97" s="35">
        <v>21</v>
      </c>
      <c r="AG97" s="28" t="str">
        <f t="shared" si="6"/>
        <v>222-21</v>
      </c>
      <c r="AH97" s="24" t="s">
        <v>135</v>
      </c>
      <c r="AI97" s="2" t="b">
        <f t="shared" si="4"/>
        <v>1</v>
      </c>
      <c r="AK97" s="24" t="s">
        <v>150</v>
      </c>
      <c r="AL97" s="2" t="b">
        <f t="shared" si="5"/>
        <v>1</v>
      </c>
    </row>
    <row r="98" spans="1:38" ht="12.75" hidden="1" customHeight="1">
      <c r="A98" s="12">
        <v>62</v>
      </c>
      <c r="B98" s="28"/>
      <c r="C98" s="15" t="s">
        <v>20</v>
      </c>
      <c r="D98" s="15">
        <v>3</v>
      </c>
      <c r="E98" s="13" t="s">
        <v>50</v>
      </c>
      <c r="F98" s="17" t="s">
        <v>51</v>
      </c>
      <c r="G98" s="13">
        <v>222</v>
      </c>
      <c r="H98" s="19">
        <v>21</v>
      </c>
      <c r="I98" s="19" t="str">
        <f t="shared" si="0"/>
        <v>222-21</v>
      </c>
      <c r="J98" s="17" t="s">
        <v>150</v>
      </c>
      <c r="K98" s="21"/>
      <c r="L98" s="2" t="b">
        <f t="shared" si="1"/>
        <v>1</v>
      </c>
      <c r="M98" s="2" t="b">
        <f t="shared" si="2"/>
        <v>0</v>
      </c>
      <c r="N98" s="29">
        <v>65</v>
      </c>
      <c r="O98" s="39"/>
      <c r="P98" s="18" t="s">
        <v>20</v>
      </c>
      <c r="Q98" s="31"/>
      <c r="R98" s="31" t="s">
        <v>20</v>
      </c>
      <c r="S98" s="33" t="s">
        <v>25</v>
      </c>
      <c r="T98" s="33" t="s">
        <v>25</v>
      </c>
      <c r="U98" s="31" t="s">
        <v>25</v>
      </c>
      <c r="V98" s="21" t="s">
        <v>25</v>
      </c>
      <c r="W98" s="21" t="s">
        <v>25</v>
      </c>
      <c r="X98" s="18" t="s">
        <v>20</v>
      </c>
      <c r="Y98" s="21"/>
      <c r="Z98" s="21"/>
      <c r="AA98" s="21"/>
      <c r="AB98" s="18" t="s">
        <v>20</v>
      </c>
      <c r="AC98" s="23" t="s">
        <v>50</v>
      </c>
      <c r="AD98" s="24" t="s">
        <v>51</v>
      </c>
      <c r="AE98" s="34">
        <v>222</v>
      </c>
      <c r="AF98" s="35">
        <v>21</v>
      </c>
      <c r="AG98" s="28" t="str">
        <f t="shared" si="6"/>
        <v>222-21</v>
      </c>
      <c r="AH98" s="24" t="s">
        <v>135</v>
      </c>
      <c r="AI98" s="2" t="b">
        <f t="shared" si="4"/>
        <v>1</v>
      </c>
      <c r="AK98" s="24" t="s">
        <v>150</v>
      </c>
      <c r="AL98" s="2" t="b">
        <f t="shared" si="5"/>
        <v>1</v>
      </c>
    </row>
    <row r="99" spans="1:38" ht="12.75" customHeight="1">
      <c r="A99" s="12">
        <v>63</v>
      </c>
      <c r="B99" s="28">
        <v>79450267</v>
      </c>
      <c r="C99" s="56" t="s">
        <v>287</v>
      </c>
      <c r="D99" s="15">
        <v>3</v>
      </c>
      <c r="E99" s="13" t="s">
        <v>50</v>
      </c>
      <c r="F99" s="17" t="s">
        <v>51</v>
      </c>
      <c r="G99" s="13">
        <v>222</v>
      </c>
      <c r="H99" s="19">
        <v>20</v>
      </c>
      <c r="I99" s="19" t="str">
        <f t="shared" si="0"/>
        <v>222-20</v>
      </c>
      <c r="J99" s="17" t="s">
        <v>153</v>
      </c>
      <c r="K99" s="56" t="s">
        <v>49</v>
      </c>
      <c r="L99" s="2" t="b">
        <f t="shared" si="1"/>
        <v>1</v>
      </c>
      <c r="M99" s="2" t="b">
        <f t="shared" si="2"/>
        <v>0</v>
      </c>
      <c r="N99" s="29">
        <v>68</v>
      </c>
      <c r="O99" s="39">
        <v>79450267</v>
      </c>
      <c r="P99" s="31" t="s">
        <v>287</v>
      </c>
      <c r="Q99" s="31" t="s">
        <v>49</v>
      </c>
      <c r="R99" s="31" t="s">
        <v>49</v>
      </c>
      <c r="S99" s="33">
        <v>42585</v>
      </c>
      <c r="T99" s="33">
        <v>35062</v>
      </c>
      <c r="U99" s="31" t="s">
        <v>84</v>
      </c>
      <c r="V99" s="21">
        <v>55</v>
      </c>
      <c r="W99" s="21" t="s">
        <v>25</v>
      </c>
      <c r="X99" s="31"/>
      <c r="Y99" s="21"/>
      <c r="Z99" s="21"/>
      <c r="AA99" s="21"/>
      <c r="AB99" s="18" t="s">
        <v>53</v>
      </c>
      <c r="AC99" s="23" t="s">
        <v>50</v>
      </c>
      <c r="AD99" s="24" t="s">
        <v>51</v>
      </c>
      <c r="AE99" s="34">
        <v>222</v>
      </c>
      <c r="AF99" s="35">
        <v>20</v>
      </c>
      <c r="AG99" s="28" t="str">
        <f t="shared" si="6"/>
        <v>222-20</v>
      </c>
      <c r="AH99" s="24" t="s">
        <v>95</v>
      </c>
      <c r="AI99" s="2" t="b">
        <f t="shared" si="4"/>
        <v>1</v>
      </c>
      <c r="AK99" s="24" t="s">
        <v>153</v>
      </c>
      <c r="AL99" s="2" t="b">
        <f t="shared" si="5"/>
        <v>1</v>
      </c>
    </row>
    <row r="100" spans="1:38" ht="12.75" customHeight="1">
      <c r="A100" s="12">
        <v>64</v>
      </c>
      <c r="B100" s="28"/>
      <c r="C100" s="15" t="s">
        <v>20</v>
      </c>
      <c r="D100" s="15">
        <v>3</v>
      </c>
      <c r="E100" s="13" t="s">
        <v>50</v>
      </c>
      <c r="F100" s="17" t="s">
        <v>51</v>
      </c>
      <c r="G100" s="13">
        <v>222</v>
      </c>
      <c r="H100" s="19">
        <v>20</v>
      </c>
      <c r="I100" s="19" t="str">
        <f t="shared" si="0"/>
        <v>222-20</v>
      </c>
      <c r="J100" s="17" t="s">
        <v>153</v>
      </c>
      <c r="K100" s="21"/>
      <c r="L100" s="2" t="b">
        <f t="shared" si="1"/>
        <v>1</v>
      </c>
      <c r="M100" s="2" t="b">
        <f t="shared" si="2"/>
        <v>0</v>
      </c>
      <c r="N100" s="29">
        <v>67</v>
      </c>
      <c r="O100" s="39"/>
      <c r="P100" s="18" t="s">
        <v>20</v>
      </c>
      <c r="Q100" s="31"/>
      <c r="R100" s="31" t="s">
        <v>20</v>
      </c>
      <c r="S100" s="33" t="s">
        <v>25</v>
      </c>
      <c r="T100" s="33" t="s">
        <v>25</v>
      </c>
      <c r="U100" s="31" t="s">
        <v>25</v>
      </c>
      <c r="V100" s="21" t="s">
        <v>25</v>
      </c>
      <c r="W100" s="21" t="s">
        <v>25</v>
      </c>
      <c r="X100" s="18" t="s">
        <v>20</v>
      </c>
      <c r="Y100" s="21"/>
      <c r="Z100" s="21"/>
      <c r="AA100" s="21"/>
      <c r="AB100" s="18" t="s">
        <v>20</v>
      </c>
      <c r="AC100" s="23" t="s">
        <v>50</v>
      </c>
      <c r="AD100" s="24" t="s">
        <v>51</v>
      </c>
      <c r="AE100" s="34">
        <v>222</v>
      </c>
      <c r="AF100" s="35">
        <v>20</v>
      </c>
      <c r="AG100" s="28" t="str">
        <f t="shared" si="6"/>
        <v>222-20</v>
      </c>
      <c r="AH100" s="24" t="s">
        <v>95</v>
      </c>
      <c r="AI100" s="2" t="b">
        <f t="shared" si="4"/>
        <v>1</v>
      </c>
      <c r="AK100" s="24" t="s">
        <v>153</v>
      </c>
      <c r="AL100" s="2" t="b">
        <f t="shared" si="5"/>
        <v>1</v>
      </c>
    </row>
    <row r="101" spans="1:38" ht="12.75" hidden="1" customHeight="1">
      <c r="A101" s="12">
        <v>65</v>
      </c>
      <c r="B101" s="28"/>
      <c r="C101" s="15" t="s">
        <v>20</v>
      </c>
      <c r="D101" s="15">
        <v>3</v>
      </c>
      <c r="E101" s="13" t="s">
        <v>50</v>
      </c>
      <c r="F101" s="17" t="s">
        <v>51</v>
      </c>
      <c r="G101" s="13">
        <v>222</v>
      </c>
      <c r="H101" s="19">
        <v>19</v>
      </c>
      <c r="I101" s="19" t="str">
        <f t="shared" si="0"/>
        <v>222-19</v>
      </c>
      <c r="J101" s="17" t="s">
        <v>68</v>
      </c>
      <c r="K101" s="21"/>
      <c r="L101" s="2" t="b">
        <f t="shared" si="1"/>
        <v>1</v>
      </c>
      <c r="M101" s="2" t="b">
        <f t="shared" si="2"/>
        <v>1</v>
      </c>
      <c r="N101" s="29">
        <v>69</v>
      </c>
      <c r="O101" s="39"/>
      <c r="P101" s="18" t="s">
        <v>20</v>
      </c>
      <c r="Q101" s="31"/>
      <c r="R101" s="31" t="s">
        <v>20</v>
      </c>
      <c r="S101" s="33" t="s">
        <v>25</v>
      </c>
      <c r="T101" s="33" t="s">
        <v>25</v>
      </c>
      <c r="U101" s="31" t="s">
        <v>25</v>
      </c>
      <c r="V101" s="21" t="s">
        <v>25</v>
      </c>
      <c r="W101" s="21" t="s">
        <v>25</v>
      </c>
      <c r="X101" s="18" t="s">
        <v>20</v>
      </c>
      <c r="Y101" s="21"/>
      <c r="Z101" s="21"/>
      <c r="AA101" s="21"/>
      <c r="AB101" s="18" t="s">
        <v>20</v>
      </c>
      <c r="AC101" s="23" t="s">
        <v>50</v>
      </c>
      <c r="AD101" s="24" t="s">
        <v>51</v>
      </c>
      <c r="AE101" s="34">
        <v>222</v>
      </c>
      <c r="AF101" s="35">
        <v>19</v>
      </c>
      <c r="AG101" s="28" t="str">
        <f t="shared" si="6"/>
        <v>222-19</v>
      </c>
      <c r="AH101" s="24" t="s">
        <v>68</v>
      </c>
      <c r="AI101" s="2" t="b">
        <f t="shared" si="4"/>
        <v>1</v>
      </c>
      <c r="AK101" s="63" t="s">
        <v>68</v>
      </c>
      <c r="AL101" s="2" t="b">
        <f t="shared" si="5"/>
        <v>1</v>
      </c>
    </row>
    <row r="102" spans="1:38" ht="12.75" hidden="1" customHeight="1">
      <c r="A102" s="12">
        <v>66</v>
      </c>
      <c r="B102" s="28"/>
      <c r="C102" s="15" t="s">
        <v>20</v>
      </c>
      <c r="D102" s="15">
        <v>3</v>
      </c>
      <c r="E102" s="13" t="s">
        <v>50</v>
      </c>
      <c r="F102" s="17" t="s">
        <v>51</v>
      </c>
      <c r="G102" s="13">
        <v>222</v>
      </c>
      <c r="H102" s="19">
        <v>19</v>
      </c>
      <c r="I102" s="19" t="str">
        <f t="shared" si="0"/>
        <v>222-19</v>
      </c>
      <c r="J102" s="17" t="s">
        <v>68</v>
      </c>
      <c r="K102" s="21"/>
      <c r="L102" s="2" t="b">
        <f t="shared" si="1"/>
        <v>1</v>
      </c>
      <c r="M102" s="2" t="b">
        <f t="shared" si="2"/>
        <v>1</v>
      </c>
      <c r="N102" s="29">
        <v>70</v>
      </c>
      <c r="O102" s="39"/>
      <c r="P102" s="18" t="s">
        <v>20</v>
      </c>
      <c r="Q102" s="31"/>
      <c r="R102" s="31" t="s">
        <v>20</v>
      </c>
      <c r="S102" s="33" t="s">
        <v>25</v>
      </c>
      <c r="T102" s="33" t="s">
        <v>25</v>
      </c>
      <c r="U102" s="31" t="s">
        <v>25</v>
      </c>
      <c r="V102" s="21" t="s">
        <v>25</v>
      </c>
      <c r="W102" s="21" t="s">
        <v>25</v>
      </c>
      <c r="X102" s="18" t="s">
        <v>20</v>
      </c>
      <c r="Y102" s="21"/>
      <c r="Z102" s="21"/>
      <c r="AA102" s="21"/>
      <c r="AB102" s="18" t="s">
        <v>20</v>
      </c>
      <c r="AC102" s="23" t="s">
        <v>50</v>
      </c>
      <c r="AD102" s="24" t="s">
        <v>51</v>
      </c>
      <c r="AE102" s="34">
        <v>222</v>
      </c>
      <c r="AF102" s="35">
        <v>19</v>
      </c>
      <c r="AG102" s="28" t="str">
        <f t="shared" si="6"/>
        <v>222-19</v>
      </c>
      <c r="AH102" s="24" t="s">
        <v>68</v>
      </c>
      <c r="AI102" s="2" t="b">
        <f t="shared" si="4"/>
        <v>1</v>
      </c>
      <c r="AK102" s="63" t="s">
        <v>68</v>
      </c>
      <c r="AL102" s="2" t="b">
        <f t="shared" si="5"/>
        <v>1</v>
      </c>
    </row>
    <row r="103" spans="1:38" ht="12.75" hidden="1" customHeight="1">
      <c r="A103" s="12">
        <v>67</v>
      </c>
      <c r="B103" s="13"/>
      <c r="C103" s="15" t="s">
        <v>20</v>
      </c>
      <c r="D103" s="15">
        <v>3</v>
      </c>
      <c r="E103" s="13" t="s">
        <v>50</v>
      </c>
      <c r="F103" s="17" t="s">
        <v>51</v>
      </c>
      <c r="G103" s="13">
        <v>222</v>
      </c>
      <c r="H103" s="19">
        <v>19</v>
      </c>
      <c r="I103" s="19" t="str">
        <f t="shared" si="0"/>
        <v>222-19</v>
      </c>
      <c r="J103" s="17" t="s">
        <v>213</v>
      </c>
      <c r="K103" s="21"/>
      <c r="L103" s="2" t="b">
        <f t="shared" si="1"/>
        <v>1</v>
      </c>
      <c r="M103" s="2" t="b">
        <f t="shared" si="2"/>
        <v>0</v>
      </c>
      <c r="N103" s="29">
        <v>71</v>
      </c>
      <c r="O103" s="32"/>
      <c r="P103" s="18" t="s">
        <v>20</v>
      </c>
      <c r="Q103" s="31"/>
      <c r="R103" s="31" t="s">
        <v>20</v>
      </c>
      <c r="S103" s="33" t="s">
        <v>25</v>
      </c>
      <c r="T103" s="33" t="s">
        <v>25</v>
      </c>
      <c r="U103" s="31" t="s">
        <v>25</v>
      </c>
      <c r="V103" s="21" t="s">
        <v>25</v>
      </c>
      <c r="W103" s="21" t="s">
        <v>25</v>
      </c>
      <c r="X103" s="18" t="s">
        <v>20</v>
      </c>
      <c r="Y103" s="21"/>
      <c r="Z103" s="21"/>
      <c r="AA103" s="21"/>
      <c r="AB103" s="18" t="s">
        <v>20</v>
      </c>
      <c r="AC103" s="23" t="s">
        <v>50</v>
      </c>
      <c r="AD103" s="24" t="s">
        <v>51</v>
      </c>
      <c r="AE103" s="34">
        <v>222</v>
      </c>
      <c r="AF103" s="35">
        <v>19</v>
      </c>
      <c r="AG103" s="28" t="str">
        <f t="shared" si="6"/>
        <v>222-19</v>
      </c>
      <c r="AH103" s="24" t="s">
        <v>113</v>
      </c>
      <c r="AI103" s="2" t="b">
        <f t="shared" si="4"/>
        <v>1</v>
      </c>
      <c r="AK103" s="63" t="s">
        <v>213</v>
      </c>
      <c r="AL103" s="2" t="b">
        <f t="shared" si="5"/>
        <v>1</v>
      </c>
    </row>
    <row r="104" spans="1:38" ht="12.75" hidden="1" customHeight="1">
      <c r="A104" s="12">
        <v>68</v>
      </c>
      <c r="B104" s="28">
        <v>51772038</v>
      </c>
      <c r="C104" s="56" t="s">
        <v>291</v>
      </c>
      <c r="D104" s="15">
        <v>3</v>
      </c>
      <c r="E104" s="13" t="s">
        <v>50</v>
      </c>
      <c r="F104" s="17" t="s">
        <v>51</v>
      </c>
      <c r="G104" s="13">
        <v>222</v>
      </c>
      <c r="H104" s="19">
        <v>19</v>
      </c>
      <c r="I104" s="19" t="str">
        <f t="shared" si="0"/>
        <v>222-19</v>
      </c>
      <c r="J104" s="17" t="s">
        <v>150</v>
      </c>
      <c r="K104" s="56" t="s">
        <v>49</v>
      </c>
      <c r="L104" s="2" t="b">
        <f t="shared" si="1"/>
        <v>1</v>
      </c>
      <c r="M104" s="2" t="b">
        <f t="shared" si="2"/>
        <v>0</v>
      </c>
      <c r="N104" s="29">
        <v>72</v>
      </c>
      <c r="O104" s="39">
        <v>51772038</v>
      </c>
      <c r="P104" s="31" t="s">
        <v>291</v>
      </c>
      <c r="Q104" s="31" t="s">
        <v>49</v>
      </c>
      <c r="R104" s="31" t="s">
        <v>49</v>
      </c>
      <c r="S104" s="33">
        <v>42585</v>
      </c>
      <c r="T104" s="33">
        <v>34555</v>
      </c>
      <c r="U104" s="31" t="s">
        <v>48</v>
      </c>
      <c r="V104" s="21">
        <v>57</v>
      </c>
      <c r="W104" s="21" t="s">
        <v>25</v>
      </c>
      <c r="X104" s="31"/>
      <c r="Y104" s="21"/>
      <c r="Z104" s="21"/>
      <c r="AA104" s="21"/>
      <c r="AB104" s="18" t="s">
        <v>53</v>
      </c>
      <c r="AC104" s="23" t="s">
        <v>50</v>
      </c>
      <c r="AD104" s="24" t="s">
        <v>51</v>
      </c>
      <c r="AE104" s="34">
        <v>222</v>
      </c>
      <c r="AF104" s="35">
        <v>19</v>
      </c>
      <c r="AG104" s="28" t="str">
        <f t="shared" si="6"/>
        <v>222-19</v>
      </c>
      <c r="AH104" s="24" t="s">
        <v>135</v>
      </c>
      <c r="AI104" s="2" t="b">
        <f t="shared" si="4"/>
        <v>1</v>
      </c>
      <c r="AK104" s="24" t="s">
        <v>150</v>
      </c>
      <c r="AL104" s="2" t="b">
        <f t="shared" si="5"/>
        <v>1</v>
      </c>
    </row>
    <row r="105" spans="1:38" ht="12.75" hidden="1" customHeight="1">
      <c r="A105" s="12">
        <v>69</v>
      </c>
      <c r="B105" s="13"/>
      <c r="C105" s="15" t="s">
        <v>20</v>
      </c>
      <c r="D105" s="15">
        <v>3</v>
      </c>
      <c r="E105" s="13" t="s">
        <v>50</v>
      </c>
      <c r="F105" s="17" t="s">
        <v>72</v>
      </c>
      <c r="G105" s="13">
        <v>219</v>
      </c>
      <c r="H105" s="19">
        <v>18</v>
      </c>
      <c r="I105" s="19" t="str">
        <f t="shared" si="0"/>
        <v>219-18</v>
      </c>
      <c r="J105" s="17" t="s">
        <v>98</v>
      </c>
      <c r="K105" s="21"/>
      <c r="L105" s="2" t="b">
        <f t="shared" si="1"/>
        <v>1</v>
      </c>
      <c r="M105" s="2" t="b">
        <f t="shared" si="2"/>
        <v>0</v>
      </c>
      <c r="N105" s="29">
        <v>73</v>
      </c>
      <c r="O105" s="32"/>
      <c r="P105" s="18" t="s">
        <v>20</v>
      </c>
      <c r="Q105" s="31"/>
      <c r="R105" s="31" t="s">
        <v>20</v>
      </c>
      <c r="S105" s="33" t="s">
        <v>25</v>
      </c>
      <c r="T105" s="33" t="s">
        <v>25</v>
      </c>
      <c r="U105" s="31" t="s">
        <v>25</v>
      </c>
      <c r="V105" s="21" t="s">
        <v>25</v>
      </c>
      <c r="W105" s="21" t="s">
        <v>25</v>
      </c>
      <c r="X105" s="18" t="s">
        <v>20</v>
      </c>
      <c r="Y105" s="21"/>
      <c r="Z105" s="21"/>
      <c r="AA105" s="21"/>
      <c r="AB105" s="18" t="s">
        <v>20</v>
      </c>
      <c r="AC105" s="23" t="s">
        <v>50</v>
      </c>
      <c r="AD105" s="24" t="s">
        <v>72</v>
      </c>
      <c r="AE105" s="34">
        <v>219</v>
      </c>
      <c r="AF105" s="35">
        <v>18</v>
      </c>
      <c r="AG105" s="28" t="str">
        <f t="shared" si="6"/>
        <v>219-18</v>
      </c>
      <c r="AH105" s="24" t="s">
        <v>115</v>
      </c>
      <c r="AI105" s="2" t="b">
        <f t="shared" si="4"/>
        <v>1</v>
      </c>
      <c r="AK105" s="63" t="s">
        <v>98</v>
      </c>
      <c r="AL105" s="2" t="b">
        <f t="shared" si="5"/>
        <v>1</v>
      </c>
    </row>
    <row r="106" spans="1:38" ht="12.75" hidden="1" customHeight="1">
      <c r="A106" s="12">
        <v>70</v>
      </c>
      <c r="B106" s="13"/>
      <c r="C106" s="15" t="s">
        <v>20</v>
      </c>
      <c r="D106" s="15">
        <v>3</v>
      </c>
      <c r="E106" s="13" t="s">
        <v>50</v>
      </c>
      <c r="F106" s="17" t="s">
        <v>72</v>
      </c>
      <c r="G106" s="13">
        <v>219</v>
      </c>
      <c r="H106" s="19">
        <v>18</v>
      </c>
      <c r="I106" s="19" t="str">
        <f t="shared" si="0"/>
        <v>219-18</v>
      </c>
      <c r="J106" s="17" t="s">
        <v>32</v>
      </c>
      <c r="K106" s="21"/>
      <c r="L106" s="2" t="b">
        <f t="shared" si="1"/>
        <v>1</v>
      </c>
      <c r="M106" s="2" t="b">
        <f t="shared" si="2"/>
        <v>1</v>
      </c>
      <c r="N106" s="29">
        <v>74</v>
      </c>
      <c r="O106" s="32"/>
      <c r="P106" s="18" t="s">
        <v>20</v>
      </c>
      <c r="Q106" s="31"/>
      <c r="R106" s="31" t="s">
        <v>20</v>
      </c>
      <c r="S106" s="33" t="s">
        <v>25</v>
      </c>
      <c r="T106" s="33" t="s">
        <v>25</v>
      </c>
      <c r="U106" s="31" t="s">
        <v>25</v>
      </c>
      <c r="V106" s="21" t="s">
        <v>25</v>
      </c>
      <c r="W106" s="21" t="s">
        <v>25</v>
      </c>
      <c r="X106" s="18" t="s">
        <v>20</v>
      </c>
      <c r="Y106" s="21"/>
      <c r="Z106" s="21"/>
      <c r="AA106" s="21"/>
      <c r="AB106" s="18" t="s">
        <v>20</v>
      </c>
      <c r="AC106" s="23" t="s">
        <v>50</v>
      </c>
      <c r="AD106" s="24" t="s">
        <v>72</v>
      </c>
      <c r="AE106" s="34">
        <v>219</v>
      </c>
      <c r="AF106" s="35">
        <v>18</v>
      </c>
      <c r="AG106" s="28" t="str">
        <f t="shared" si="6"/>
        <v>219-18</v>
      </c>
      <c r="AH106" s="24" t="s">
        <v>32</v>
      </c>
      <c r="AI106" s="2" t="b">
        <f t="shared" si="4"/>
        <v>1</v>
      </c>
      <c r="AK106" s="63" t="s">
        <v>32</v>
      </c>
      <c r="AL106" s="2" t="b">
        <f t="shared" si="5"/>
        <v>1</v>
      </c>
    </row>
    <row r="107" spans="1:38" ht="12.75" hidden="1" customHeight="1">
      <c r="A107" s="12">
        <v>71</v>
      </c>
      <c r="B107" s="28">
        <v>80022321</v>
      </c>
      <c r="C107" s="15" t="s">
        <v>293</v>
      </c>
      <c r="D107" s="15">
        <v>3</v>
      </c>
      <c r="E107" s="13" t="s">
        <v>50</v>
      </c>
      <c r="F107" s="17" t="s">
        <v>72</v>
      </c>
      <c r="G107" s="13">
        <v>219</v>
      </c>
      <c r="H107" s="19">
        <v>18</v>
      </c>
      <c r="I107" s="19" t="str">
        <f t="shared" si="0"/>
        <v>219-18</v>
      </c>
      <c r="J107" s="17" t="s">
        <v>147</v>
      </c>
      <c r="K107" s="38" t="s">
        <v>188</v>
      </c>
      <c r="L107" s="2" t="b">
        <f t="shared" si="1"/>
        <v>1</v>
      </c>
      <c r="M107" s="2" t="b">
        <f t="shared" si="2"/>
        <v>0</v>
      </c>
      <c r="N107" s="29">
        <v>75</v>
      </c>
      <c r="O107" s="39">
        <v>80022321</v>
      </c>
      <c r="P107" s="18" t="s">
        <v>293</v>
      </c>
      <c r="Q107" s="31" t="s">
        <v>24</v>
      </c>
      <c r="R107" s="31" t="s">
        <v>192</v>
      </c>
      <c r="S107" s="33">
        <v>42585</v>
      </c>
      <c r="T107" s="33">
        <v>40408</v>
      </c>
      <c r="U107" s="31" t="s">
        <v>84</v>
      </c>
      <c r="V107" s="21">
        <v>43</v>
      </c>
      <c r="W107" s="21" t="s">
        <v>25</v>
      </c>
      <c r="X107" s="31" t="s">
        <v>20</v>
      </c>
      <c r="Y107" s="21"/>
      <c r="Z107" s="21"/>
      <c r="AA107" s="21"/>
      <c r="AB107" s="18" t="s">
        <v>53</v>
      </c>
      <c r="AC107" s="23" t="s">
        <v>50</v>
      </c>
      <c r="AD107" s="24" t="s">
        <v>72</v>
      </c>
      <c r="AE107" s="34">
        <v>219</v>
      </c>
      <c r="AF107" s="35">
        <v>18</v>
      </c>
      <c r="AG107" s="28" t="str">
        <f t="shared" si="6"/>
        <v>219-18</v>
      </c>
      <c r="AH107" s="24" t="s">
        <v>30</v>
      </c>
      <c r="AI107" s="2" t="b">
        <f t="shared" si="4"/>
        <v>1</v>
      </c>
      <c r="AK107" s="24" t="s">
        <v>147</v>
      </c>
      <c r="AL107" s="2" t="b">
        <f t="shared" si="5"/>
        <v>1</v>
      </c>
    </row>
    <row r="108" spans="1:38" ht="12.75" hidden="1" customHeight="1">
      <c r="A108" s="12">
        <v>72</v>
      </c>
      <c r="B108" s="28">
        <v>51657823</v>
      </c>
      <c r="C108" s="15" t="s">
        <v>294</v>
      </c>
      <c r="D108" s="15">
        <v>3</v>
      </c>
      <c r="E108" s="13" t="s">
        <v>50</v>
      </c>
      <c r="F108" s="17" t="s">
        <v>72</v>
      </c>
      <c r="G108" s="13">
        <v>219</v>
      </c>
      <c r="H108" s="19">
        <v>18</v>
      </c>
      <c r="I108" s="19" t="str">
        <f t="shared" si="0"/>
        <v>219-18</v>
      </c>
      <c r="J108" s="17" t="s">
        <v>147</v>
      </c>
      <c r="K108" s="56" t="s">
        <v>49</v>
      </c>
      <c r="L108" s="2" t="b">
        <f t="shared" si="1"/>
        <v>1</v>
      </c>
      <c r="M108" s="2" t="b">
        <f t="shared" si="2"/>
        <v>0</v>
      </c>
      <c r="N108" s="29">
        <v>76</v>
      </c>
      <c r="O108" s="39">
        <v>51657823</v>
      </c>
      <c r="P108" s="18" t="s">
        <v>294</v>
      </c>
      <c r="Q108" s="31" t="s">
        <v>49</v>
      </c>
      <c r="R108" s="31" t="s">
        <v>49</v>
      </c>
      <c r="S108" s="33">
        <v>42585</v>
      </c>
      <c r="T108" s="33">
        <v>33696</v>
      </c>
      <c r="U108" s="31" t="s">
        <v>48</v>
      </c>
      <c r="V108" s="21">
        <v>61</v>
      </c>
      <c r="W108" s="21" t="s">
        <v>25</v>
      </c>
      <c r="X108" s="31"/>
      <c r="Y108" s="21"/>
      <c r="Z108" s="21"/>
      <c r="AA108" s="21"/>
      <c r="AB108" s="18" t="s">
        <v>53</v>
      </c>
      <c r="AC108" s="23" t="s">
        <v>50</v>
      </c>
      <c r="AD108" s="24" t="s">
        <v>72</v>
      </c>
      <c r="AE108" s="34">
        <v>219</v>
      </c>
      <c r="AF108" s="35">
        <v>18</v>
      </c>
      <c r="AG108" s="28" t="str">
        <f t="shared" si="6"/>
        <v>219-18</v>
      </c>
      <c r="AH108" s="24" t="s">
        <v>30</v>
      </c>
      <c r="AI108" s="2" t="b">
        <f t="shared" si="4"/>
        <v>1</v>
      </c>
      <c r="AK108" s="24" t="s">
        <v>147</v>
      </c>
      <c r="AL108" s="2" t="b">
        <f t="shared" si="5"/>
        <v>1</v>
      </c>
    </row>
    <row r="109" spans="1:38" ht="12.75" hidden="1" customHeight="1">
      <c r="A109" s="12">
        <v>73</v>
      </c>
      <c r="B109" s="28"/>
      <c r="C109" s="15" t="s">
        <v>20</v>
      </c>
      <c r="D109" s="15">
        <v>3</v>
      </c>
      <c r="E109" s="13" t="s">
        <v>50</v>
      </c>
      <c r="F109" s="17" t="s">
        <v>72</v>
      </c>
      <c r="G109" s="13">
        <v>219</v>
      </c>
      <c r="H109" s="19">
        <v>18</v>
      </c>
      <c r="I109" s="19" t="str">
        <f t="shared" si="0"/>
        <v>219-18</v>
      </c>
      <c r="J109" s="17" t="s">
        <v>147</v>
      </c>
      <c r="K109" s="21"/>
      <c r="L109" s="2" t="b">
        <f t="shared" si="1"/>
        <v>1</v>
      </c>
      <c r="M109" s="2" t="b">
        <f t="shared" si="2"/>
        <v>0</v>
      </c>
      <c r="N109" s="29">
        <v>24</v>
      </c>
      <c r="O109" s="39"/>
      <c r="P109" s="18" t="s">
        <v>20</v>
      </c>
      <c r="Q109" s="31"/>
      <c r="R109" s="31" t="s">
        <v>20</v>
      </c>
      <c r="S109" s="33" t="s">
        <v>25</v>
      </c>
      <c r="T109" s="33" t="s">
        <v>25</v>
      </c>
      <c r="U109" s="31" t="s">
        <v>25</v>
      </c>
      <c r="V109" s="21" t="s">
        <v>25</v>
      </c>
      <c r="W109" s="21" t="s">
        <v>25</v>
      </c>
      <c r="X109" s="18" t="s">
        <v>20</v>
      </c>
      <c r="Y109" s="21"/>
      <c r="Z109" s="21"/>
      <c r="AA109" s="21"/>
      <c r="AB109" s="18" t="s">
        <v>20</v>
      </c>
      <c r="AC109" s="23" t="s">
        <v>50</v>
      </c>
      <c r="AD109" s="24" t="s">
        <v>72</v>
      </c>
      <c r="AE109" s="34">
        <v>219</v>
      </c>
      <c r="AF109" s="35">
        <v>18</v>
      </c>
      <c r="AG109" s="28" t="str">
        <f t="shared" si="6"/>
        <v>219-18</v>
      </c>
      <c r="AH109" s="24" t="s">
        <v>30</v>
      </c>
      <c r="AI109" s="2" t="b">
        <f t="shared" si="4"/>
        <v>1</v>
      </c>
      <c r="AK109" s="24" t="s">
        <v>147</v>
      </c>
      <c r="AL109" s="2" t="b">
        <f t="shared" si="5"/>
        <v>1</v>
      </c>
    </row>
    <row r="110" spans="1:38" ht="12.75" hidden="1" customHeight="1">
      <c r="A110" s="12">
        <v>74</v>
      </c>
      <c r="B110" s="28"/>
      <c r="C110" s="15" t="s">
        <v>20</v>
      </c>
      <c r="D110" s="15">
        <v>3</v>
      </c>
      <c r="E110" s="13" t="s">
        <v>50</v>
      </c>
      <c r="F110" s="17" t="s">
        <v>72</v>
      </c>
      <c r="G110" s="13">
        <v>219</v>
      </c>
      <c r="H110" s="19">
        <v>18</v>
      </c>
      <c r="I110" s="19" t="str">
        <f t="shared" si="0"/>
        <v>219-18</v>
      </c>
      <c r="J110" s="17" t="s">
        <v>147</v>
      </c>
      <c r="K110" s="21"/>
      <c r="L110" s="2" t="b">
        <f t="shared" si="1"/>
        <v>1</v>
      </c>
      <c r="M110" s="2" t="b">
        <f t="shared" si="2"/>
        <v>0</v>
      </c>
      <c r="N110" s="29">
        <v>25</v>
      </c>
      <c r="O110" s="39"/>
      <c r="P110" s="18" t="s">
        <v>20</v>
      </c>
      <c r="Q110" s="31"/>
      <c r="R110" s="31" t="s">
        <v>20</v>
      </c>
      <c r="S110" s="33" t="s">
        <v>25</v>
      </c>
      <c r="T110" s="33" t="s">
        <v>25</v>
      </c>
      <c r="U110" s="31" t="s">
        <v>25</v>
      </c>
      <c r="V110" s="21" t="s">
        <v>25</v>
      </c>
      <c r="W110" s="21" t="s">
        <v>25</v>
      </c>
      <c r="X110" s="18" t="s">
        <v>20</v>
      </c>
      <c r="Y110" s="21"/>
      <c r="Z110" s="21"/>
      <c r="AA110" s="21"/>
      <c r="AB110" s="18" t="s">
        <v>20</v>
      </c>
      <c r="AC110" s="23" t="s">
        <v>50</v>
      </c>
      <c r="AD110" s="24" t="s">
        <v>72</v>
      </c>
      <c r="AE110" s="34">
        <v>219</v>
      </c>
      <c r="AF110" s="35">
        <v>18</v>
      </c>
      <c r="AG110" s="28" t="str">
        <f t="shared" si="6"/>
        <v>219-18</v>
      </c>
      <c r="AH110" s="24" t="s">
        <v>30</v>
      </c>
      <c r="AI110" s="2" t="b">
        <f t="shared" si="4"/>
        <v>1</v>
      </c>
      <c r="AK110" s="24" t="s">
        <v>147</v>
      </c>
      <c r="AL110" s="2" t="b">
        <f t="shared" si="5"/>
        <v>1</v>
      </c>
    </row>
    <row r="111" spans="1:38" ht="12.75" hidden="1" customHeight="1">
      <c r="A111" s="12">
        <v>75</v>
      </c>
      <c r="B111" s="28"/>
      <c r="C111" s="15" t="s">
        <v>20</v>
      </c>
      <c r="D111" s="15">
        <v>3</v>
      </c>
      <c r="E111" s="13" t="s">
        <v>50</v>
      </c>
      <c r="F111" s="17" t="s">
        <v>72</v>
      </c>
      <c r="G111" s="13">
        <v>219</v>
      </c>
      <c r="H111" s="19">
        <v>18</v>
      </c>
      <c r="I111" s="19" t="str">
        <f t="shared" si="0"/>
        <v>219-18</v>
      </c>
      <c r="J111" s="17" t="s">
        <v>147</v>
      </c>
      <c r="K111" s="21"/>
      <c r="L111" s="2" t="b">
        <f t="shared" si="1"/>
        <v>1</v>
      </c>
      <c r="M111" s="2" t="b">
        <f t="shared" si="2"/>
        <v>0</v>
      </c>
      <c r="N111" s="29">
        <v>26</v>
      </c>
      <c r="O111" s="39"/>
      <c r="P111" s="18" t="s">
        <v>20</v>
      </c>
      <c r="Q111" s="31"/>
      <c r="R111" s="31" t="s">
        <v>20</v>
      </c>
      <c r="S111" s="33" t="s">
        <v>25</v>
      </c>
      <c r="T111" s="33" t="s">
        <v>25</v>
      </c>
      <c r="U111" s="31" t="s">
        <v>25</v>
      </c>
      <c r="V111" s="21" t="s">
        <v>25</v>
      </c>
      <c r="W111" s="21" t="s">
        <v>25</v>
      </c>
      <c r="X111" s="18" t="s">
        <v>20</v>
      </c>
      <c r="Y111" s="21"/>
      <c r="Z111" s="21"/>
      <c r="AA111" s="21"/>
      <c r="AB111" s="18" t="s">
        <v>20</v>
      </c>
      <c r="AC111" s="23" t="s">
        <v>50</v>
      </c>
      <c r="AD111" s="24" t="s">
        <v>72</v>
      </c>
      <c r="AE111" s="34">
        <v>219</v>
      </c>
      <c r="AF111" s="35">
        <v>18</v>
      </c>
      <c r="AG111" s="28" t="str">
        <f t="shared" si="6"/>
        <v>219-18</v>
      </c>
      <c r="AH111" s="24" t="s">
        <v>30</v>
      </c>
      <c r="AI111" s="2" t="b">
        <f t="shared" si="4"/>
        <v>1</v>
      </c>
      <c r="AK111" s="24" t="s">
        <v>147</v>
      </c>
      <c r="AL111" s="2" t="b">
        <f t="shared" si="5"/>
        <v>1</v>
      </c>
    </row>
    <row r="112" spans="1:38" ht="12.75" hidden="1" customHeight="1">
      <c r="A112" s="12">
        <v>76</v>
      </c>
      <c r="B112" s="28">
        <v>38263037</v>
      </c>
      <c r="C112" s="56" t="s">
        <v>295</v>
      </c>
      <c r="D112" s="15">
        <v>3</v>
      </c>
      <c r="E112" s="13" t="s">
        <v>50</v>
      </c>
      <c r="F112" s="17" t="s">
        <v>72</v>
      </c>
      <c r="G112" s="13">
        <v>219</v>
      </c>
      <c r="H112" s="19">
        <v>18</v>
      </c>
      <c r="I112" s="19" t="str">
        <f t="shared" si="0"/>
        <v>219-18</v>
      </c>
      <c r="J112" s="17" t="s">
        <v>153</v>
      </c>
      <c r="K112" s="56" t="s">
        <v>49</v>
      </c>
      <c r="L112" s="2" t="b">
        <f t="shared" si="1"/>
        <v>1</v>
      </c>
      <c r="M112" s="2" t="b">
        <f t="shared" si="2"/>
        <v>0</v>
      </c>
      <c r="N112" s="29">
        <v>77</v>
      </c>
      <c r="O112" s="39">
        <v>38263037</v>
      </c>
      <c r="P112" s="31" t="s">
        <v>295</v>
      </c>
      <c r="Q112" s="31" t="s">
        <v>49</v>
      </c>
      <c r="R112" s="31" t="s">
        <v>49</v>
      </c>
      <c r="S112" s="33">
        <v>42585</v>
      </c>
      <c r="T112" s="33">
        <v>35327</v>
      </c>
      <c r="U112" s="31" t="s">
        <v>48</v>
      </c>
      <c r="V112" s="21">
        <v>58</v>
      </c>
      <c r="W112" s="21" t="s">
        <v>25</v>
      </c>
      <c r="X112" s="31"/>
      <c r="Y112" s="21"/>
      <c r="Z112" s="21"/>
      <c r="AA112" s="21"/>
      <c r="AB112" s="18" t="s">
        <v>53</v>
      </c>
      <c r="AC112" s="23" t="s">
        <v>50</v>
      </c>
      <c r="AD112" s="24" t="s">
        <v>72</v>
      </c>
      <c r="AE112" s="34">
        <v>219</v>
      </c>
      <c r="AF112" s="35">
        <v>18</v>
      </c>
      <c r="AG112" s="28" t="str">
        <f t="shared" si="6"/>
        <v>219-18</v>
      </c>
      <c r="AH112" s="24" t="s">
        <v>95</v>
      </c>
      <c r="AI112" s="2" t="b">
        <f t="shared" si="4"/>
        <v>1</v>
      </c>
      <c r="AK112" s="24" t="s">
        <v>153</v>
      </c>
      <c r="AL112" s="2" t="b">
        <f t="shared" si="5"/>
        <v>1</v>
      </c>
    </row>
    <row r="113" spans="1:38" ht="12.75" hidden="1" customHeight="1">
      <c r="A113" s="12">
        <v>77</v>
      </c>
      <c r="B113" s="28">
        <v>7630834</v>
      </c>
      <c r="C113" s="15" t="s">
        <v>296</v>
      </c>
      <c r="D113" s="15">
        <v>3</v>
      </c>
      <c r="E113" s="13" t="s">
        <v>50</v>
      </c>
      <c r="F113" s="17" t="s">
        <v>72</v>
      </c>
      <c r="G113" s="13">
        <v>219</v>
      </c>
      <c r="H113" s="19">
        <v>18</v>
      </c>
      <c r="I113" s="19" t="str">
        <f t="shared" si="0"/>
        <v>219-18</v>
      </c>
      <c r="J113" s="17" t="s">
        <v>153</v>
      </c>
      <c r="K113" s="38" t="s">
        <v>188</v>
      </c>
      <c r="L113" s="2" t="b">
        <f t="shared" si="1"/>
        <v>1</v>
      </c>
      <c r="M113" s="2" t="b">
        <f t="shared" si="2"/>
        <v>0</v>
      </c>
      <c r="N113" s="29">
        <v>82</v>
      </c>
      <c r="O113" s="39">
        <v>7630834</v>
      </c>
      <c r="P113" s="18" t="s">
        <v>296</v>
      </c>
      <c r="Q113" s="31" t="s">
        <v>24</v>
      </c>
      <c r="R113" s="31" t="s">
        <v>192</v>
      </c>
      <c r="S113" s="33">
        <v>42585</v>
      </c>
      <c r="T113" s="33">
        <v>41106</v>
      </c>
      <c r="U113" s="31" t="s">
        <v>84</v>
      </c>
      <c r="V113" s="21">
        <v>42</v>
      </c>
      <c r="W113" s="21" t="s">
        <v>25</v>
      </c>
      <c r="X113" s="31" t="s">
        <v>20</v>
      </c>
      <c r="Y113" s="21"/>
      <c r="Z113" s="21"/>
      <c r="AA113" s="21"/>
      <c r="AB113" s="18" t="s">
        <v>53</v>
      </c>
      <c r="AC113" s="23" t="s">
        <v>50</v>
      </c>
      <c r="AD113" s="24" t="s">
        <v>72</v>
      </c>
      <c r="AE113" s="34">
        <v>219</v>
      </c>
      <c r="AF113" s="35">
        <v>18</v>
      </c>
      <c r="AG113" s="28" t="str">
        <f t="shared" si="6"/>
        <v>219-18</v>
      </c>
      <c r="AH113" s="24" t="s">
        <v>95</v>
      </c>
      <c r="AI113" s="2" t="b">
        <f t="shared" si="4"/>
        <v>1</v>
      </c>
      <c r="AK113" s="24" t="s">
        <v>153</v>
      </c>
      <c r="AL113" s="2" t="b">
        <f t="shared" si="5"/>
        <v>1</v>
      </c>
    </row>
    <row r="114" spans="1:38" ht="12.75" hidden="1" customHeight="1">
      <c r="A114" s="12">
        <v>78</v>
      </c>
      <c r="B114" s="28"/>
      <c r="C114" s="15" t="s">
        <v>20</v>
      </c>
      <c r="D114" s="15">
        <v>3</v>
      </c>
      <c r="E114" s="13" t="s">
        <v>50</v>
      </c>
      <c r="F114" s="17" t="s">
        <v>72</v>
      </c>
      <c r="G114" s="13">
        <v>219</v>
      </c>
      <c r="H114" s="19">
        <v>18</v>
      </c>
      <c r="I114" s="19" t="str">
        <f t="shared" si="0"/>
        <v>219-18</v>
      </c>
      <c r="J114" s="17" t="s">
        <v>153</v>
      </c>
      <c r="K114" s="21"/>
      <c r="L114" s="2" t="b">
        <f t="shared" si="1"/>
        <v>1</v>
      </c>
      <c r="M114" s="2" t="b">
        <f t="shared" si="2"/>
        <v>0</v>
      </c>
      <c r="N114" s="29">
        <v>79</v>
      </c>
      <c r="O114" s="39"/>
      <c r="P114" s="18" t="s">
        <v>20</v>
      </c>
      <c r="Q114" s="31"/>
      <c r="R114" s="31" t="s">
        <v>20</v>
      </c>
      <c r="S114" s="33" t="s">
        <v>25</v>
      </c>
      <c r="T114" s="33" t="s">
        <v>25</v>
      </c>
      <c r="U114" s="31" t="s">
        <v>25</v>
      </c>
      <c r="V114" s="21" t="s">
        <v>25</v>
      </c>
      <c r="W114" s="21" t="s">
        <v>25</v>
      </c>
      <c r="X114" s="18" t="s">
        <v>20</v>
      </c>
      <c r="Y114" s="21"/>
      <c r="Z114" s="21"/>
      <c r="AA114" s="21"/>
      <c r="AB114" s="18" t="s">
        <v>20</v>
      </c>
      <c r="AC114" s="23" t="s">
        <v>50</v>
      </c>
      <c r="AD114" s="24" t="s">
        <v>72</v>
      </c>
      <c r="AE114" s="34">
        <v>219</v>
      </c>
      <c r="AF114" s="35">
        <v>18</v>
      </c>
      <c r="AG114" s="28" t="str">
        <f t="shared" si="6"/>
        <v>219-18</v>
      </c>
      <c r="AH114" s="24" t="s">
        <v>95</v>
      </c>
      <c r="AI114" s="2" t="b">
        <f t="shared" si="4"/>
        <v>1</v>
      </c>
      <c r="AK114" s="24" t="s">
        <v>153</v>
      </c>
      <c r="AL114" s="2" t="b">
        <f t="shared" si="5"/>
        <v>1</v>
      </c>
    </row>
    <row r="115" spans="1:38" ht="12.75" hidden="1" customHeight="1">
      <c r="A115" s="12">
        <v>79</v>
      </c>
      <c r="B115" s="28"/>
      <c r="C115" s="15" t="s">
        <v>20</v>
      </c>
      <c r="D115" s="15">
        <v>3</v>
      </c>
      <c r="E115" s="13" t="s">
        <v>50</v>
      </c>
      <c r="F115" s="17" t="s">
        <v>72</v>
      </c>
      <c r="G115" s="13">
        <v>219</v>
      </c>
      <c r="H115" s="19">
        <v>18</v>
      </c>
      <c r="I115" s="19" t="str">
        <f t="shared" si="0"/>
        <v>219-18</v>
      </c>
      <c r="J115" s="17" t="s">
        <v>153</v>
      </c>
      <c r="K115" s="21"/>
      <c r="L115" s="2" t="b">
        <f t="shared" si="1"/>
        <v>1</v>
      </c>
      <c r="M115" s="2" t="b">
        <f t="shared" si="2"/>
        <v>0</v>
      </c>
      <c r="N115" s="29">
        <v>80</v>
      </c>
      <c r="O115" s="39"/>
      <c r="P115" s="18" t="s">
        <v>20</v>
      </c>
      <c r="Q115" s="31"/>
      <c r="R115" s="31" t="s">
        <v>20</v>
      </c>
      <c r="S115" s="33" t="s">
        <v>25</v>
      </c>
      <c r="T115" s="33" t="s">
        <v>25</v>
      </c>
      <c r="U115" s="31" t="s">
        <v>25</v>
      </c>
      <c r="V115" s="21" t="s">
        <v>25</v>
      </c>
      <c r="W115" s="21" t="s">
        <v>25</v>
      </c>
      <c r="X115" s="18" t="s">
        <v>20</v>
      </c>
      <c r="Y115" s="21"/>
      <c r="Z115" s="21"/>
      <c r="AA115" s="21"/>
      <c r="AB115" s="18" t="s">
        <v>20</v>
      </c>
      <c r="AC115" s="23" t="s">
        <v>50</v>
      </c>
      <c r="AD115" s="24" t="s">
        <v>72</v>
      </c>
      <c r="AE115" s="34">
        <v>219</v>
      </c>
      <c r="AF115" s="35">
        <v>18</v>
      </c>
      <c r="AG115" s="28" t="str">
        <f t="shared" si="6"/>
        <v>219-18</v>
      </c>
      <c r="AH115" s="24" t="s">
        <v>95</v>
      </c>
      <c r="AI115" s="2" t="b">
        <f t="shared" si="4"/>
        <v>1</v>
      </c>
      <c r="AK115" s="24" t="s">
        <v>153</v>
      </c>
      <c r="AL115" s="2" t="b">
        <f t="shared" si="5"/>
        <v>1</v>
      </c>
    </row>
    <row r="116" spans="1:38" ht="12.75" hidden="1" customHeight="1">
      <c r="A116" s="12">
        <v>80</v>
      </c>
      <c r="B116" s="28"/>
      <c r="C116" s="15" t="s">
        <v>20</v>
      </c>
      <c r="D116" s="15">
        <v>3</v>
      </c>
      <c r="E116" s="13" t="s">
        <v>50</v>
      </c>
      <c r="F116" s="17" t="s">
        <v>72</v>
      </c>
      <c r="G116" s="13">
        <v>219</v>
      </c>
      <c r="H116" s="19">
        <v>18</v>
      </c>
      <c r="I116" s="19" t="str">
        <f t="shared" si="0"/>
        <v>219-18</v>
      </c>
      <c r="J116" s="17" t="s">
        <v>153</v>
      </c>
      <c r="K116" s="21"/>
      <c r="L116" s="2" t="b">
        <f t="shared" si="1"/>
        <v>1</v>
      </c>
      <c r="M116" s="2" t="b">
        <f t="shared" si="2"/>
        <v>0</v>
      </c>
      <c r="N116" s="29">
        <v>81</v>
      </c>
      <c r="O116" s="39"/>
      <c r="P116" s="18" t="s">
        <v>20</v>
      </c>
      <c r="Q116" s="31"/>
      <c r="R116" s="31" t="s">
        <v>20</v>
      </c>
      <c r="S116" s="33" t="s">
        <v>25</v>
      </c>
      <c r="T116" s="33" t="s">
        <v>25</v>
      </c>
      <c r="U116" s="31" t="s">
        <v>25</v>
      </c>
      <c r="V116" s="21" t="s">
        <v>25</v>
      </c>
      <c r="W116" s="21" t="s">
        <v>25</v>
      </c>
      <c r="X116" s="18" t="s">
        <v>20</v>
      </c>
      <c r="Y116" s="21"/>
      <c r="Z116" s="21"/>
      <c r="AA116" s="21"/>
      <c r="AB116" s="18" t="s">
        <v>20</v>
      </c>
      <c r="AC116" s="23" t="s">
        <v>50</v>
      </c>
      <c r="AD116" s="24" t="s">
        <v>72</v>
      </c>
      <c r="AE116" s="34">
        <v>219</v>
      </c>
      <c r="AF116" s="35">
        <v>18</v>
      </c>
      <c r="AG116" s="28" t="str">
        <f t="shared" si="6"/>
        <v>219-18</v>
      </c>
      <c r="AH116" s="24" t="s">
        <v>95</v>
      </c>
      <c r="AI116" s="2" t="b">
        <f t="shared" si="4"/>
        <v>1</v>
      </c>
      <c r="AK116" s="24" t="s">
        <v>153</v>
      </c>
      <c r="AL116" s="2" t="b">
        <f t="shared" si="5"/>
        <v>1</v>
      </c>
    </row>
    <row r="117" spans="1:38" ht="12.75" hidden="1" customHeight="1">
      <c r="A117" s="12">
        <v>81</v>
      </c>
      <c r="B117" s="28"/>
      <c r="C117" s="15" t="s">
        <v>20</v>
      </c>
      <c r="D117" s="15">
        <v>3</v>
      </c>
      <c r="E117" s="13" t="s">
        <v>50</v>
      </c>
      <c r="F117" s="17" t="s">
        <v>72</v>
      </c>
      <c r="G117" s="13">
        <v>219</v>
      </c>
      <c r="H117" s="19">
        <v>18</v>
      </c>
      <c r="I117" s="19" t="str">
        <f t="shared" si="0"/>
        <v>219-18</v>
      </c>
      <c r="J117" s="17" t="s">
        <v>153</v>
      </c>
      <c r="K117" s="21"/>
      <c r="L117" s="2" t="b">
        <f t="shared" si="1"/>
        <v>1</v>
      </c>
      <c r="M117" s="2" t="b">
        <f t="shared" si="2"/>
        <v>0</v>
      </c>
      <c r="N117" s="29">
        <v>78</v>
      </c>
      <c r="O117" s="39"/>
      <c r="P117" s="18" t="s">
        <v>20</v>
      </c>
      <c r="Q117" s="31"/>
      <c r="R117" s="31" t="s">
        <v>20</v>
      </c>
      <c r="S117" s="33" t="s">
        <v>25</v>
      </c>
      <c r="T117" s="33" t="s">
        <v>25</v>
      </c>
      <c r="U117" s="31" t="s">
        <v>25</v>
      </c>
      <c r="V117" s="21" t="s">
        <v>25</v>
      </c>
      <c r="W117" s="21" t="s">
        <v>25</v>
      </c>
      <c r="X117" s="18" t="s">
        <v>20</v>
      </c>
      <c r="Y117" s="21"/>
      <c r="Z117" s="21"/>
      <c r="AA117" s="21"/>
      <c r="AB117" s="18" t="s">
        <v>20</v>
      </c>
      <c r="AC117" s="23" t="s">
        <v>50</v>
      </c>
      <c r="AD117" s="24" t="s">
        <v>72</v>
      </c>
      <c r="AE117" s="34">
        <v>219</v>
      </c>
      <c r="AF117" s="35">
        <v>18</v>
      </c>
      <c r="AG117" s="28" t="str">
        <f t="shared" si="6"/>
        <v>219-18</v>
      </c>
      <c r="AH117" s="24" t="s">
        <v>95</v>
      </c>
      <c r="AI117" s="2" t="b">
        <f t="shared" si="4"/>
        <v>1</v>
      </c>
      <c r="AK117" s="24" t="s">
        <v>153</v>
      </c>
      <c r="AL117" s="2" t="b">
        <f t="shared" si="5"/>
        <v>1</v>
      </c>
    </row>
    <row r="118" spans="1:38" ht="12.75" hidden="1" customHeight="1">
      <c r="A118" s="12">
        <v>82</v>
      </c>
      <c r="B118" s="28">
        <v>79567977</v>
      </c>
      <c r="C118" s="56" t="s">
        <v>298</v>
      </c>
      <c r="D118" s="15">
        <v>3</v>
      </c>
      <c r="E118" s="13" t="s">
        <v>50</v>
      </c>
      <c r="F118" s="17" t="s">
        <v>72</v>
      </c>
      <c r="G118" s="13">
        <v>219</v>
      </c>
      <c r="H118" s="19">
        <v>18</v>
      </c>
      <c r="I118" s="19" t="str">
        <f t="shared" si="0"/>
        <v>219-18</v>
      </c>
      <c r="J118" s="17" t="s">
        <v>213</v>
      </c>
      <c r="K118" s="56" t="s">
        <v>49</v>
      </c>
      <c r="L118" s="2" t="b">
        <f t="shared" si="1"/>
        <v>1</v>
      </c>
      <c r="M118" s="2" t="b">
        <f t="shared" si="2"/>
        <v>0</v>
      </c>
      <c r="N118" s="29">
        <v>83</v>
      </c>
      <c r="O118" s="39">
        <v>79567977</v>
      </c>
      <c r="P118" s="31" t="s">
        <v>298</v>
      </c>
      <c r="Q118" s="31" t="s">
        <v>49</v>
      </c>
      <c r="R118" s="31" t="s">
        <v>49</v>
      </c>
      <c r="S118" s="33">
        <v>42585</v>
      </c>
      <c r="T118" s="33">
        <v>40260</v>
      </c>
      <c r="U118" s="31" t="s">
        <v>84</v>
      </c>
      <c r="V118" s="21">
        <v>49</v>
      </c>
      <c r="W118" s="21" t="s">
        <v>25</v>
      </c>
      <c r="X118" s="31"/>
      <c r="Y118" s="21"/>
      <c r="Z118" s="21"/>
      <c r="AA118" s="21"/>
      <c r="AB118" s="18" t="s">
        <v>53</v>
      </c>
      <c r="AC118" s="23" t="s">
        <v>50</v>
      </c>
      <c r="AD118" s="24" t="s">
        <v>72</v>
      </c>
      <c r="AE118" s="34">
        <v>219</v>
      </c>
      <c r="AF118" s="35">
        <v>18</v>
      </c>
      <c r="AG118" s="28" t="str">
        <f t="shared" si="6"/>
        <v>219-18</v>
      </c>
      <c r="AH118" s="24" t="s">
        <v>113</v>
      </c>
      <c r="AI118" s="2" t="b">
        <f t="shared" si="4"/>
        <v>1</v>
      </c>
      <c r="AK118" s="63" t="s">
        <v>213</v>
      </c>
      <c r="AL118" s="2" t="b">
        <f t="shared" si="5"/>
        <v>1</v>
      </c>
    </row>
    <row r="119" spans="1:38" ht="12.75" hidden="1" customHeight="1">
      <c r="A119" s="12">
        <v>83</v>
      </c>
      <c r="B119" s="28"/>
      <c r="C119" s="15" t="s">
        <v>20</v>
      </c>
      <c r="D119" s="15">
        <v>3</v>
      </c>
      <c r="E119" s="13" t="s">
        <v>50</v>
      </c>
      <c r="F119" s="17" t="s">
        <v>72</v>
      </c>
      <c r="G119" s="13">
        <v>219</v>
      </c>
      <c r="H119" s="19">
        <v>18</v>
      </c>
      <c r="I119" s="19" t="str">
        <f t="shared" si="0"/>
        <v>219-18</v>
      </c>
      <c r="J119" s="17" t="s">
        <v>213</v>
      </c>
      <c r="K119" s="21"/>
      <c r="L119" s="2" t="b">
        <f t="shared" si="1"/>
        <v>1</v>
      </c>
      <c r="M119" s="2" t="b">
        <f t="shared" si="2"/>
        <v>0</v>
      </c>
      <c r="N119" s="29">
        <v>85</v>
      </c>
      <c r="O119" s="39"/>
      <c r="P119" s="18" t="s">
        <v>20</v>
      </c>
      <c r="Q119" s="31"/>
      <c r="R119" s="31" t="s">
        <v>20</v>
      </c>
      <c r="S119" s="33" t="s">
        <v>25</v>
      </c>
      <c r="T119" s="33" t="s">
        <v>25</v>
      </c>
      <c r="U119" s="31" t="s">
        <v>25</v>
      </c>
      <c r="V119" s="21" t="s">
        <v>25</v>
      </c>
      <c r="W119" s="21" t="s">
        <v>25</v>
      </c>
      <c r="X119" s="18" t="s">
        <v>20</v>
      </c>
      <c r="Y119" s="21"/>
      <c r="Z119" s="21"/>
      <c r="AA119" s="21"/>
      <c r="AB119" s="18" t="s">
        <v>20</v>
      </c>
      <c r="AC119" s="23" t="s">
        <v>50</v>
      </c>
      <c r="AD119" s="24" t="s">
        <v>72</v>
      </c>
      <c r="AE119" s="34">
        <v>219</v>
      </c>
      <c r="AF119" s="35">
        <v>18</v>
      </c>
      <c r="AG119" s="28" t="str">
        <f t="shared" si="6"/>
        <v>219-18</v>
      </c>
      <c r="AH119" s="24" t="s">
        <v>113</v>
      </c>
      <c r="AI119" s="2" t="b">
        <f t="shared" si="4"/>
        <v>1</v>
      </c>
      <c r="AK119" s="63" t="s">
        <v>213</v>
      </c>
      <c r="AL119" s="2" t="b">
        <f t="shared" si="5"/>
        <v>1</v>
      </c>
    </row>
    <row r="120" spans="1:38" ht="12.75" hidden="1" customHeight="1">
      <c r="A120" s="12">
        <v>84</v>
      </c>
      <c r="B120" s="28">
        <v>93371977</v>
      </c>
      <c r="C120" s="56" t="s">
        <v>299</v>
      </c>
      <c r="D120" s="15">
        <v>3</v>
      </c>
      <c r="E120" s="13" t="s">
        <v>50</v>
      </c>
      <c r="F120" s="17" t="s">
        <v>72</v>
      </c>
      <c r="G120" s="13">
        <v>219</v>
      </c>
      <c r="H120" s="19">
        <v>18</v>
      </c>
      <c r="I120" s="19" t="str">
        <f t="shared" si="0"/>
        <v>219-18</v>
      </c>
      <c r="J120" s="17" t="s">
        <v>213</v>
      </c>
      <c r="K120" s="56" t="s">
        <v>49</v>
      </c>
      <c r="L120" s="2" t="b">
        <f t="shared" si="1"/>
        <v>1</v>
      </c>
      <c r="M120" s="2" t="b">
        <f t="shared" si="2"/>
        <v>0</v>
      </c>
      <c r="N120" s="29">
        <v>84</v>
      </c>
      <c r="O120" s="39">
        <v>93371977</v>
      </c>
      <c r="P120" s="31" t="s">
        <v>299</v>
      </c>
      <c r="Q120" s="31" t="s">
        <v>49</v>
      </c>
      <c r="R120" s="31" t="s">
        <v>49</v>
      </c>
      <c r="S120" s="33">
        <v>42585</v>
      </c>
      <c r="T120" s="33">
        <v>40267</v>
      </c>
      <c r="U120" s="31" t="s">
        <v>84</v>
      </c>
      <c r="V120" s="21">
        <v>54</v>
      </c>
      <c r="W120" s="21" t="s">
        <v>25</v>
      </c>
      <c r="X120" s="31"/>
      <c r="Y120" s="21"/>
      <c r="Z120" s="21"/>
      <c r="AA120" s="21"/>
      <c r="AB120" s="18" t="s">
        <v>53</v>
      </c>
      <c r="AC120" s="23" t="s">
        <v>50</v>
      </c>
      <c r="AD120" s="24" t="s">
        <v>72</v>
      </c>
      <c r="AE120" s="34">
        <v>219</v>
      </c>
      <c r="AF120" s="35">
        <v>18</v>
      </c>
      <c r="AG120" s="28" t="str">
        <f t="shared" si="6"/>
        <v>219-18</v>
      </c>
      <c r="AH120" s="24" t="s">
        <v>113</v>
      </c>
      <c r="AI120" s="2" t="b">
        <f t="shared" si="4"/>
        <v>1</v>
      </c>
      <c r="AK120" s="127" t="s">
        <v>153</v>
      </c>
      <c r="AL120" s="2" t="b">
        <f t="shared" si="5"/>
        <v>0</v>
      </c>
    </row>
    <row r="121" spans="1:38" ht="12.75" hidden="1" customHeight="1">
      <c r="A121" s="12">
        <v>85</v>
      </c>
      <c r="B121" s="28">
        <v>79802044</v>
      </c>
      <c r="C121" s="15" t="s">
        <v>300</v>
      </c>
      <c r="D121" s="15">
        <v>3</v>
      </c>
      <c r="E121" s="13" t="s">
        <v>50</v>
      </c>
      <c r="F121" s="17" t="s">
        <v>72</v>
      </c>
      <c r="G121" s="13">
        <v>219</v>
      </c>
      <c r="H121" s="19">
        <v>18</v>
      </c>
      <c r="I121" s="19" t="str">
        <f t="shared" si="0"/>
        <v>219-18</v>
      </c>
      <c r="J121" s="17" t="s">
        <v>33</v>
      </c>
      <c r="K121" s="56" t="s">
        <v>49</v>
      </c>
      <c r="L121" s="2" t="b">
        <f t="shared" si="1"/>
        <v>1</v>
      </c>
      <c r="M121" s="2" t="b">
        <f t="shared" si="2"/>
        <v>0</v>
      </c>
      <c r="N121" s="29">
        <v>86</v>
      </c>
      <c r="O121" s="39">
        <v>79802044</v>
      </c>
      <c r="P121" s="18" t="s">
        <v>300</v>
      </c>
      <c r="Q121" s="31" t="s">
        <v>49</v>
      </c>
      <c r="R121" s="31" t="s">
        <v>49</v>
      </c>
      <c r="S121" s="33">
        <v>42585</v>
      </c>
      <c r="T121" s="33">
        <v>38294</v>
      </c>
      <c r="U121" s="31" t="s">
        <v>84</v>
      </c>
      <c r="V121" s="21">
        <v>46</v>
      </c>
      <c r="W121" s="21" t="s">
        <v>25</v>
      </c>
      <c r="X121" s="31"/>
      <c r="Y121" s="21"/>
      <c r="Z121" s="21"/>
      <c r="AA121" s="21"/>
      <c r="AB121" s="18" t="s">
        <v>53</v>
      </c>
      <c r="AC121" s="23" t="s">
        <v>50</v>
      </c>
      <c r="AD121" s="24" t="s">
        <v>72</v>
      </c>
      <c r="AE121" s="34">
        <v>219</v>
      </c>
      <c r="AF121" s="35">
        <v>18</v>
      </c>
      <c r="AG121" s="28" t="str">
        <f t="shared" si="6"/>
        <v>219-18</v>
      </c>
      <c r="AH121" s="24" t="s">
        <v>132</v>
      </c>
      <c r="AI121" s="2" t="b">
        <f t="shared" si="4"/>
        <v>1</v>
      </c>
      <c r="AK121" s="127" t="s">
        <v>33</v>
      </c>
      <c r="AL121" s="2" t="b">
        <f t="shared" si="5"/>
        <v>1</v>
      </c>
    </row>
    <row r="122" spans="1:38" ht="12.75" hidden="1" customHeight="1">
      <c r="A122" s="12">
        <v>86</v>
      </c>
      <c r="B122" s="28"/>
      <c r="C122" s="15" t="s">
        <v>20</v>
      </c>
      <c r="D122" s="15">
        <v>3</v>
      </c>
      <c r="E122" s="13" t="s">
        <v>50</v>
      </c>
      <c r="F122" s="17" t="s">
        <v>72</v>
      </c>
      <c r="G122" s="13">
        <v>219</v>
      </c>
      <c r="H122" s="19">
        <v>18</v>
      </c>
      <c r="I122" s="19" t="str">
        <f t="shared" si="0"/>
        <v>219-18</v>
      </c>
      <c r="J122" s="17" t="s">
        <v>33</v>
      </c>
      <c r="K122" s="21"/>
      <c r="L122" s="2" t="b">
        <f t="shared" si="1"/>
        <v>1</v>
      </c>
      <c r="M122" s="2" t="b">
        <f t="shared" si="2"/>
        <v>0</v>
      </c>
      <c r="N122" s="29">
        <v>87</v>
      </c>
      <c r="O122" s="39"/>
      <c r="P122" s="18" t="s">
        <v>20</v>
      </c>
      <c r="Q122" s="31"/>
      <c r="R122" s="31" t="s">
        <v>20</v>
      </c>
      <c r="S122" s="33" t="s">
        <v>25</v>
      </c>
      <c r="T122" s="33" t="s">
        <v>25</v>
      </c>
      <c r="U122" s="31" t="s">
        <v>25</v>
      </c>
      <c r="V122" s="21" t="s">
        <v>25</v>
      </c>
      <c r="W122" s="21" t="s">
        <v>25</v>
      </c>
      <c r="X122" s="18" t="s">
        <v>20</v>
      </c>
      <c r="Y122" s="21"/>
      <c r="Z122" s="21"/>
      <c r="AA122" s="21"/>
      <c r="AB122" s="18" t="s">
        <v>20</v>
      </c>
      <c r="AC122" s="23" t="s">
        <v>50</v>
      </c>
      <c r="AD122" s="24" t="s">
        <v>72</v>
      </c>
      <c r="AE122" s="34">
        <v>219</v>
      </c>
      <c r="AF122" s="35">
        <v>18</v>
      </c>
      <c r="AG122" s="28" t="str">
        <f t="shared" si="6"/>
        <v>219-18</v>
      </c>
      <c r="AH122" s="24" t="s">
        <v>132</v>
      </c>
      <c r="AI122" s="2" t="b">
        <f t="shared" si="4"/>
        <v>1</v>
      </c>
      <c r="AK122" s="24" t="s">
        <v>33</v>
      </c>
      <c r="AL122" s="2" t="b">
        <f t="shared" si="5"/>
        <v>1</v>
      </c>
    </row>
    <row r="123" spans="1:38" ht="12.75" hidden="1" customHeight="1">
      <c r="A123" s="12">
        <v>87</v>
      </c>
      <c r="B123" s="23">
        <v>6758776</v>
      </c>
      <c r="C123" s="15" t="s">
        <v>305</v>
      </c>
      <c r="D123" s="15">
        <v>3</v>
      </c>
      <c r="E123" s="13" t="s">
        <v>50</v>
      </c>
      <c r="F123" s="17" t="s">
        <v>72</v>
      </c>
      <c r="G123" s="13">
        <v>219</v>
      </c>
      <c r="H123" s="19">
        <v>18</v>
      </c>
      <c r="I123" s="19" t="str">
        <f t="shared" si="0"/>
        <v>219-18</v>
      </c>
      <c r="J123" s="17" t="s">
        <v>150</v>
      </c>
      <c r="K123" s="56" t="s">
        <v>49</v>
      </c>
      <c r="L123" s="2" t="b">
        <f t="shared" si="1"/>
        <v>1</v>
      </c>
      <c r="M123" s="2" t="b">
        <f t="shared" si="2"/>
        <v>0</v>
      </c>
      <c r="N123" s="29">
        <v>88</v>
      </c>
      <c r="O123" s="32">
        <v>6758776</v>
      </c>
      <c r="P123" s="18" t="s">
        <v>305</v>
      </c>
      <c r="Q123" s="31" t="s">
        <v>49</v>
      </c>
      <c r="R123" s="31" t="s">
        <v>49</v>
      </c>
      <c r="S123" s="33">
        <v>42585</v>
      </c>
      <c r="T123" s="33">
        <v>31944</v>
      </c>
      <c r="U123" s="31" t="s">
        <v>84</v>
      </c>
      <c r="V123" s="21">
        <v>69</v>
      </c>
      <c r="W123" s="21" t="s">
        <v>25</v>
      </c>
      <c r="X123" s="31"/>
      <c r="Y123" s="21"/>
      <c r="Z123" s="21"/>
      <c r="AA123" s="21"/>
      <c r="AB123" s="18" t="s">
        <v>53</v>
      </c>
      <c r="AC123" s="23" t="s">
        <v>50</v>
      </c>
      <c r="AD123" s="24" t="s">
        <v>72</v>
      </c>
      <c r="AE123" s="34">
        <v>219</v>
      </c>
      <c r="AF123" s="35">
        <v>18</v>
      </c>
      <c r="AG123" s="28" t="str">
        <f t="shared" si="6"/>
        <v>219-18</v>
      </c>
      <c r="AH123" s="24" t="s">
        <v>135</v>
      </c>
      <c r="AI123" s="2" t="b">
        <f t="shared" si="4"/>
        <v>1</v>
      </c>
      <c r="AK123" s="24" t="s">
        <v>150</v>
      </c>
      <c r="AL123" s="2" t="b">
        <f t="shared" si="5"/>
        <v>1</v>
      </c>
    </row>
    <row r="124" spans="1:38" ht="12.75" hidden="1" customHeight="1">
      <c r="A124" s="12">
        <v>88</v>
      </c>
      <c r="B124" s="28">
        <v>52103754</v>
      </c>
      <c r="C124" s="15" t="s">
        <v>306</v>
      </c>
      <c r="D124" s="15">
        <v>3</v>
      </c>
      <c r="E124" s="13" t="s">
        <v>50</v>
      </c>
      <c r="F124" s="17" t="s">
        <v>72</v>
      </c>
      <c r="G124" s="13">
        <v>219</v>
      </c>
      <c r="H124" s="19">
        <v>18</v>
      </c>
      <c r="I124" s="19" t="str">
        <f t="shared" si="0"/>
        <v>219-18</v>
      </c>
      <c r="J124" s="17" t="s">
        <v>150</v>
      </c>
      <c r="K124" s="38" t="s">
        <v>188</v>
      </c>
      <c r="L124" s="2" t="b">
        <f t="shared" si="1"/>
        <v>1</v>
      </c>
      <c r="M124" s="2" t="b">
        <f t="shared" si="2"/>
        <v>0</v>
      </c>
      <c r="N124" s="29">
        <v>89</v>
      </c>
      <c r="O124" s="39">
        <v>52103754</v>
      </c>
      <c r="P124" s="18" t="s">
        <v>306</v>
      </c>
      <c r="Q124" s="31" t="s">
        <v>24</v>
      </c>
      <c r="R124" s="31" t="s">
        <v>192</v>
      </c>
      <c r="S124" s="33">
        <v>42585</v>
      </c>
      <c r="T124" s="33">
        <v>38294</v>
      </c>
      <c r="U124" s="31" t="s">
        <v>48</v>
      </c>
      <c r="V124" s="21">
        <v>50</v>
      </c>
      <c r="W124" s="21" t="s">
        <v>25</v>
      </c>
      <c r="X124" s="31" t="s">
        <v>20</v>
      </c>
      <c r="Y124" s="21"/>
      <c r="Z124" s="21"/>
      <c r="AA124" s="21"/>
      <c r="AB124" s="18" t="s">
        <v>53</v>
      </c>
      <c r="AC124" s="23" t="s">
        <v>50</v>
      </c>
      <c r="AD124" s="24" t="s">
        <v>72</v>
      </c>
      <c r="AE124" s="34">
        <v>219</v>
      </c>
      <c r="AF124" s="35">
        <v>18</v>
      </c>
      <c r="AG124" s="28" t="str">
        <f t="shared" si="6"/>
        <v>219-18</v>
      </c>
      <c r="AH124" s="24" t="s">
        <v>135</v>
      </c>
      <c r="AI124" s="2" t="b">
        <f t="shared" si="4"/>
        <v>1</v>
      </c>
      <c r="AK124" s="24" t="s">
        <v>150</v>
      </c>
      <c r="AL124" s="2" t="b">
        <f t="shared" si="5"/>
        <v>1</v>
      </c>
    </row>
    <row r="125" spans="1:38" ht="12.75" hidden="1" customHeight="1">
      <c r="A125" s="12">
        <v>89</v>
      </c>
      <c r="B125" s="28">
        <v>19299567</v>
      </c>
      <c r="C125" s="15" t="s">
        <v>307</v>
      </c>
      <c r="D125" s="15">
        <v>3</v>
      </c>
      <c r="E125" s="13" t="s">
        <v>50</v>
      </c>
      <c r="F125" s="17" t="s">
        <v>72</v>
      </c>
      <c r="G125" s="13">
        <v>219</v>
      </c>
      <c r="H125" s="19">
        <v>18</v>
      </c>
      <c r="I125" s="19" t="str">
        <f t="shared" si="0"/>
        <v>219-18</v>
      </c>
      <c r="J125" s="17" t="s">
        <v>150</v>
      </c>
      <c r="K125" s="56" t="s">
        <v>49</v>
      </c>
      <c r="L125" s="2" t="b">
        <f t="shared" si="1"/>
        <v>1</v>
      </c>
      <c r="M125" s="2" t="b">
        <f t="shared" si="2"/>
        <v>0</v>
      </c>
      <c r="N125" s="29">
        <v>90</v>
      </c>
      <c r="O125" s="39">
        <v>19299567</v>
      </c>
      <c r="P125" s="18" t="s">
        <v>307</v>
      </c>
      <c r="Q125" s="31" t="s">
        <v>49</v>
      </c>
      <c r="R125" s="31" t="s">
        <v>49</v>
      </c>
      <c r="S125" s="33">
        <v>42585</v>
      </c>
      <c r="T125" s="33">
        <v>34775</v>
      </c>
      <c r="U125" s="31" t="s">
        <v>84</v>
      </c>
      <c r="V125" s="21">
        <v>67</v>
      </c>
      <c r="W125" s="21" t="s">
        <v>25</v>
      </c>
      <c r="X125" s="31"/>
      <c r="Y125" s="21"/>
      <c r="Z125" s="21"/>
      <c r="AA125" s="21"/>
      <c r="AB125" s="18" t="s">
        <v>53</v>
      </c>
      <c r="AC125" s="23" t="s">
        <v>50</v>
      </c>
      <c r="AD125" s="24" t="s">
        <v>72</v>
      </c>
      <c r="AE125" s="34">
        <v>219</v>
      </c>
      <c r="AF125" s="35">
        <v>18</v>
      </c>
      <c r="AG125" s="28" t="str">
        <f t="shared" si="6"/>
        <v>219-18</v>
      </c>
      <c r="AH125" s="24" t="s">
        <v>135</v>
      </c>
      <c r="AI125" s="2" t="b">
        <f t="shared" si="4"/>
        <v>1</v>
      </c>
      <c r="AK125" s="24" t="s">
        <v>150</v>
      </c>
      <c r="AL125" s="2" t="b">
        <f t="shared" si="5"/>
        <v>1</v>
      </c>
    </row>
    <row r="126" spans="1:38" ht="12.75" hidden="1" customHeight="1">
      <c r="A126" s="12">
        <v>90</v>
      </c>
      <c r="B126" s="28">
        <v>51641343</v>
      </c>
      <c r="C126" s="15" t="s">
        <v>310</v>
      </c>
      <c r="D126" s="15">
        <v>3</v>
      </c>
      <c r="E126" s="13" t="s">
        <v>50</v>
      </c>
      <c r="F126" s="17" t="s">
        <v>72</v>
      </c>
      <c r="G126" s="13">
        <v>219</v>
      </c>
      <c r="H126" s="19">
        <v>18</v>
      </c>
      <c r="I126" s="19" t="str">
        <f t="shared" si="0"/>
        <v>219-18</v>
      </c>
      <c r="J126" s="17" t="s">
        <v>150</v>
      </c>
      <c r="K126" s="38" t="s">
        <v>188</v>
      </c>
      <c r="L126" s="2" t="b">
        <f t="shared" si="1"/>
        <v>1</v>
      </c>
      <c r="M126" s="2" t="b">
        <f t="shared" si="2"/>
        <v>0</v>
      </c>
      <c r="N126" s="29">
        <v>91</v>
      </c>
      <c r="O126" s="39">
        <v>51641343</v>
      </c>
      <c r="P126" s="18" t="s">
        <v>310</v>
      </c>
      <c r="Q126" s="31" t="s">
        <v>24</v>
      </c>
      <c r="R126" s="31" t="s">
        <v>192</v>
      </c>
      <c r="S126" s="33">
        <v>42585</v>
      </c>
      <c r="T126" s="33">
        <v>38443</v>
      </c>
      <c r="U126" s="31" t="s">
        <v>48</v>
      </c>
      <c r="V126" s="21">
        <v>60</v>
      </c>
      <c r="W126" s="21" t="s">
        <v>25</v>
      </c>
      <c r="X126" s="31" t="s">
        <v>20</v>
      </c>
      <c r="Y126" s="21"/>
      <c r="Z126" s="21"/>
      <c r="AA126" s="21"/>
      <c r="AB126" s="18" t="s">
        <v>53</v>
      </c>
      <c r="AC126" s="23" t="s">
        <v>50</v>
      </c>
      <c r="AD126" s="24" t="s">
        <v>72</v>
      </c>
      <c r="AE126" s="34">
        <v>219</v>
      </c>
      <c r="AF126" s="35">
        <v>18</v>
      </c>
      <c r="AG126" s="28" t="str">
        <f t="shared" si="6"/>
        <v>219-18</v>
      </c>
      <c r="AH126" s="24" t="s">
        <v>135</v>
      </c>
      <c r="AI126" s="2" t="b">
        <f t="shared" si="4"/>
        <v>1</v>
      </c>
      <c r="AK126" s="24" t="s">
        <v>150</v>
      </c>
      <c r="AL126" s="2" t="b">
        <f t="shared" si="5"/>
        <v>1</v>
      </c>
    </row>
    <row r="127" spans="1:38" ht="12.75" hidden="1" customHeight="1">
      <c r="A127" s="12">
        <v>91</v>
      </c>
      <c r="B127" s="28"/>
      <c r="C127" s="15" t="s">
        <v>20</v>
      </c>
      <c r="D127" s="15">
        <v>3</v>
      </c>
      <c r="E127" s="13" t="s">
        <v>50</v>
      </c>
      <c r="F127" s="17" t="s">
        <v>72</v>
      </c>
      <c r="G127" s="13">
        <v>219</v>
      </c>
      <c r="H127" s="19">
        <v>18</v>
      </c>
      <c r="I127" s="19" t="str">
        <f t="shared" si="0"/>
        <v>219-18</v>
      </c>
      <c r="J127" s="17" t="s">
        <v>150</v>
      </c>
      <c r="K127" s="21"/>
      <c r="L127" s="2" t="b">
        <f t="shared" si="1"/>
        <v>1</v>
      </c>
      <c r="M127" s="2" t="b">
        <f t="shared" si="2"/>
        <v>0</v>
      </c>
      <c r="N127" s="29">
        <v>92</v>
      </c>
      <c r="O127" s="39"/>
      <c r="P127" s="18" t="s">
        <v>20</v>
      </c>
      <c r="Q127" s="31"/>
      <c r="R127" s="31" t="s">
        <v>20</v>
      </c>
      <c r="S127" s="33" t="s">
        <v>25</v>
      </c>
      <c r="T127" s="33" t="s">
        <v>25</v>
      </c>
      <c r="U127" s="31" t="s">
        <v>25</v>
      </c>
      <c r="V127" s="21" t="s">
        <v>25</v>
      </c>
      <c r="W127" s="21" t="s">
        <v>25</v>
      </c>
      <c r="X127" s="18" t="s">
        <v>20</v>
      </c>
      <c r="Y127" s="21"/>
      <c r="Z127" s="21"/>
      <c r="AA127" s="21"/>
      <c r="AB127" s="18" t="s">
        <v>20</v>
      </c>
      <c r="AC127" s="23" t="s">
        <v>50</v>
      </c>
      <c r="AD127" s="24" t="s">
        <v>72</v>
      </c>
      <c r="AE127" s="34">
        <v>219</v>
      </c>
      <c r="AF127" s="35">
        <v>18</v>
      </c>
      <c r="AG127" s="28" t="str">
        <f t="shared" si="6"/>
        <v>219-18</v>
      </c>
      <c r="AH127" s="24" t="s">
        <v>135</v>
      </c>
      <c r="AI127" s="2" t="b">
        <f t="shared" si="4"/>
        <v>1</v>
      </c>
      <c r="AK127" s="24" t="s">
        <v>150</v>
      </c>
      <c r="AL127" s="2" t="b">
        <f t="shared" si="5"/>
        <v>1</v>
      </c>
    </row>
    <row r="128" spans="1:38" ht="12.75" hidden="1" customHeight="1">
      <c r="A128" s="12">
        <v>92</v>
      </c>
      <c r="B128" s="28"/>
      <c r="C128" s="15" t="s">
        <v>20</v>
      </c>
      <c r="D128" s="15">
        <v>3</v>
      </c>
      <c r="E128" s="13" t="s">
        <v>50</v>
      </c>
      <c r="F128" s="17" t="s">
        <v>72</v>
      </c>
      <c r="G128" s="13">
        <v>219</v>
      </c>
      <c r="H128" s="19">
        <v>18</v>
      </c>
      <c r="I128" s="19" t="str">
        <f t="shared" si="0"/>
        <v>219-18</v>
      </c>
      <c r="J128" s="17" t="s">
        <v>150</v>
      </c>
      <c r="K128" s="21"/>
      <c r="L128" s="2" t="b">
        <f t="shared" si="1"/>
        <v>1</v>
      </c>
      <c r="M128" s="2" t="b">
        <f t="shared" si="2"/>
        <v>0</v>
      </c>
      <c r="N128" s="29">
        <v>93</v>
      </c>
      <c r="O128" s="39"/>
      <c r="P128" s="18" t="s">
        <v>20</v>
      </c>
      <c r="Q128" s="31"/>
      <c r="R128" s="31" t="s">
        <v>20</v>
      </c>
      <c r="S128" s="33" t="s">
        <v>25</v>
      </c>
      <c r="T128" s="33" t="s">
        <v>25</v>
      </c>
      <c r="U128" s="31" t="s">
        <v>25</v>
      </c>
      <c r="V128" s="21" t="s">
        <v>25</v>
      </c>
      <c r="W128" s="21" t="s">
        <v>25</v>
      </c>
      <c r="X128" s="18" t="s">
        <v>20</v>
      </c>
      <c r="Y128" s="21"/>
      <c r="Z128" s="21"/>
      <c r="AA128" s="21"/>
      <c r="AB128" s="18" t="s">
        <v>20</v>
      </c>
      <c r="AC128" s="23" t="s">
        <v>50</v>
      </c>
      <c r="AD128" s="24" t="s">
        <v>72</v>
      </c>
      <c r="AE128" s="34">
        <v>219</v>
      </c>
      <c r="AF128" s="35">
        <v>18</v>
      </c>
      <c r="AG128" s="28" t="str">
        <f t="shared" si="6"/>
        <v>219-18</v>
      </c>
      <c r="AH128" s="24" t="s">
        <v>135</v>
      </c>
      <c r="AI128" s="2" t="b">
        <f t="shared" si="4"/>
        <v>1</v>
      </c>
      <c r="AK128" s="24" t="s">
        <v>150</v>
      </c>
      <c r="AL128" s="2" t="b">
        <f t="shared" si="5"/>
        <v>1</v>
      </c>
    </row>
    <row r="129" spans="1:38" ht="12.75" hidden="1" customHeight="1">
      <c r="A129" s="12">
        <v>93</v>
      </c>
      <c r="B129" s="28"/>
      <c r="C129" s="15" t="s">
        <v>20</v>
      </c>
      <c r="D129" s="15">
        <v>3</v>
      </c>
      <c r="E129" s="13" t="s">
        <v>50</v>
      </c>
      <c r="F129" s="17" t="s">
        <v>72</v>
      </c>
      <c r="G129" s="13">
        <v>219</v>
      </c>
      <c r="H129" s="19">
        <v>18</v>
      </c>
      <c r="I129" s="19" t="str">
        <f t="shared" si="0"/>
        <v>219-18</v>
      </c>
      <c r="J129" s="17" t="s">
        <v>150</v>
      </c>
      <c r="K129" s="21"/>
      <c r="L129" s="2" t="b">
        <f t="shared" si="1"/>
        <v>1</v>
      </c>
      <c r="M129" s="2" t="b">
        <f t="shared" si="2"/>
        <v>0</v>
      </c>
      <c r="N129" s="29">
        <v>94</v>
      </c>
      <c r="O129" s="39"/>
      <c r="P129" s="18" t="s">
        <v>20</v>
      </c>
      <c r="Q129" s="31"/>
      <c r="R129" s="31" t="s">
        <v>20</v>
      </c>
      <c r="S129" s="33" t="s">
        <v>25</v>
      </c>
      <c r="T129" s="33" t="s">
        <v>25</v>
      </c>
      <c r="U129" s="31" t="s">
        <v>25</v>
      </c>
      <c r="V129" s="21" t="s">
        <v>25</v>
      </c>
      <c r="W129" s="21" t="s">
        <v>25</v>
      </c>
      <c r="X129" s="18" t="s">
        <v>20</v>
      </c>
      <c r="Y129" s="21"/>
      <c r="Z129" s="21"/>
      <c r="AA129" s="21"/>
      <c r="AB129" s="18" t="s">
        <v>20</v>
      </c>
      <c r="AC129" s="23" t="s">
        <v>50</v>
      </c>
      <c r="AD129" s="24" t="s">
        <v>72</v>
      </c>
      <c r="AE129" s="34">
        <v>219</v>
      </c>
      <c r="AF129" s="35">
        <v>18</v>
      </c>
      <c r="AG129" s="28" t="str">
        <f t="shared" si="6"/>
        <v>219-18</v>
      </c>
      <c r="AH129" s="24" t="s">
        <v>135</v>
      </c>
      <c r="AI129" s="2" t="b">
        <f t="shared" si="4"/>
        <v>1</v>
      </c>
      <c r="AK129" s="24" t="s">
        <v>150</v>
      </c>
      <c r="AL129" s="2" t="b">
        <f t="shared" si="5"/>
        <v>1</v>
      </c>
    </row>
    <row r="130" spans="1:38" ht="12.75" hidden="1" customHeight="1">
      <c r="A130" s="12">
        <v>94</v>
      </c>
      <c r="B130" s="28"/>
      <c r="C130" s="15" t="s">
        <v>20</v>
      </c>
      <c r="D130" s="15">
        <v>3</v>
      </c>
      <c r="E130" s="13" t="s">
        <v>50</v>
      </c>
      <c r="F130" s="17" t="s">
        <v>72</v>
      </c>
      <c r="G130" s="13">
        <v>219</v>
      </c>
      <c r="H130" s="19">
        <v>15</v>
      </c>
      <c r="I130" s="19" t="str">
        <f t="shared" si="0"/>
        <v>219-15</v>
      </c>
      <c r="J130" s="17" t="s">
        <v>68</v>
      </c>
      <c r="K130" s="21"/>
      <c r="L130" s="2" t="b">
        <f t="shared" si="1"/>
        <v>1</v>
      </c>
      <c r="M130" s="2" t="b">
        <f t="shared" si="2"/>
        <v>1</v>
      </c>
      <c r="N130" s="29">
        <v>95</v>
      </c>
      <c r="O130" s="39"/>
      <c r="P130" s="18" t="s">
        <v>20</v>
      </c>
      <c r="Q130" s="31"/>
      <c r="R130" s="31" t="s">
        <v>20</v>
      </c>
      <c r="S130" s="33" t="s">
        <v>25</v>
      </c>
      <c r="T130" s="33" t="s">
        <v>25</v>
      </c>
      <c r="U130" s="31" t="s">
        <v>25</v>
      </c>
      <c r="V130" s="21" t="s">
        <v>25</v>
      </c>
      <c r="W130" s="21" t="s">
        <v>25</v>
      </c>
      <c r="X130" s="18" t="s">
        <v>20</v>
      </c>
      <c r="Y130" s="21"/>
      <c r="Z130" s="21"/>
      <c r="AA130" s="21"/>
      <c r="AB130" s="18" t="s">
        <v>20</v>
      </c>
      <c r="AC130" s="23" t="s">
        <v>50</v>
      </c>
      <c r="AD130" s="24" t="s">
        <v>72</v>
      </c>
      <c r="AE130" s="34">
        <v>219</v>
      </c>
      <c r="AF130" s="35">
        <v>15</v>
      </c>
      <c r="AG130" s="28" t="str">
        <f t="shared" si="6"/>
        <v>219-15</v>
      </c>
      <c r="AH130" s="24" t="s">
        <v>68</v>
      </c>
      <c r="AI130" s="2" t="b">
        <f t="shared" si="4"/>
        <v>1</v>
      </c>
      <c r="AK130" s="63" t="s">
        <v>68</v>
      </c>
      <c r="AL130" s="2" t="b">
        <f t="shared" si="5"/>
        <v>1</v>
      </c>
    </row>
    <row r="131" spans="1:38" ht="12.75" hidden="1" customHeight="1">
      <c r="A131" s="12">
        <v>95</v>
      </c>
      <c r="B131" s="28">
        <v>80060729</v>
      </c>
      <c r="C131" s="15" t="s">
        <v>313</v>
      </c>
      <c r="D131" s="15">
        <v>3</v>
      </c>
      <c r="E131" s="13" t="s">
        <v>50</v>
      </c>
      <c r="F131" s="17" t="s">
        <v>72</v>
      </c>
      <c r="G131" s="13">
        <v>219</v>
      </c>
      <c r="H131" s="19">
        <v>15</v>
      </c>
      <c r="I131" s="19" t="str">
        <f t="shared" si="0"/>
        <v>219-15</v>
      </c>
      <c r="J131" s="17" t="s">
        <v>150</v>
      </c>
      <c r="K131" s="56" t="s">
        <v>49</v>
      </c>
      <c r="L131" s="2" t="b">
        <f t="shared" si="1"/>
        <v>1</v>
      </c>
      <c r="M131" s="2" t="b">
        <f t="shared" si="2"/>
        <v>0</v>
      </c>
      <c r="N131" s="29">
        <v>96</v>
      </c>
      <c r="O131" s="39">
        <v>80060729</v>
      </c>
      <c r="P131" s="18" t="s">
        <v>313</v>
      </c>
      <c r="Q131" s="31" t="s">
        <v>49</v>
      </c>
      <c r="R131" s="31" t="s">
        <v>49</v>
      </c>
      <c r="S131" s="33">
        <v>42585</v>
      </c>
      <c r="T131" s="33">
        <v>38443</v>
      </c>
      <c r="U131" s="31" t="s">
        <v>84</v>
      </c>
      <c r="V131" s="21">
        <v>43</v>
      </c>
      <c r="W131" s="21" t="s">
        <v>25</v>
      </c>
      <c r="X131" s="31"/>
      <c r="Y131" s="21"/>
      <c r="Z131" s="21"/>
      <c r="AA131" s="21"/>
      <c r="AB131" s="18" t="s">
        <v>53</v>
      </c>
      <c r="AC131" s="23" t="s">
        <v>50</v>
      </c>
      <c r="AD131" s="24" t="s">
        <v>72</v>
      </c>
      <c r="AE131" s="34">
        <v>219</v>
      </c>
      <c r="AF131" s="35">
        <v>15</v>
      </c>
      <c r="AG131" s="28" t="str">
        <f t="shared" si="6"/>
        <v>219-15</v>
      </c>
      <c r="AH131" s="24" t="s">
        <v>135</v>
      </c>
      <c r="AI131" s="2" t="b">
        <f t="shared" si="4"/>
        <v>1</v>
      </c>
      <c r="AK131" s="24" t="s">
        <v>150</v>
      </c>
      <c r="AL131" s="2" t="b">
        <f t="shared" si="5"/>
        <v>1</v>
      </c>
    </row>
    <row r="132" spans="1:38" ht="12.75" hidden="1" customHeight="1">
      <c r="A132" s="12">
        <v>96</v>
      </c>
      <c r="B132" s="28"/>
      <c r="C132" s="15" t="s">
        <v>20</v>
      </c>
      <c r="D132" s="15">
        <v>3</v>
      </c>
      <c r="E132" s="13" t="s">
        <v>50</v>
      </c>
      <c r="F132" s="17" t="s">
        <v>72</v>
      </c>
      <c r="G132" s="13">
        <v>219</v>
      </c>
      <c r="H132" s="19">
        <v>15</v>
      </c>
      <c r="I132" s="19" t="str">
        <f t="shared" si="0"/>
        <v>219-15</v>
      </c>
      <c r="J132" s="17" t="s">
        <v>150</v>
      </c>
      <c r="K132" s="21"/>
      <c r="L132" s="2" t="b">
        <f t="shared" si="1"/>
        <v>1</v>
      </c>
      <c r="M132" s="2" t="b">
        <f t="shared" si="2"/>
        <v>0</v>
      </c>
      <c r="N132" s="29">
        <v>97</v>
      </c>
      <c r="O132" s="39"/>
      <c r="P132" s="18" t="s">
        <v>20</v>
      </c>
      <c r="Q132" s="31"/>
      <c r="R132" s="31" t="s">
        <v>20</v>
      </c>
      <c r="S132" s="33" t="s">
        <v>25</v>
      </c>
      <c r="T132" s="33" t="s">
        <v>25</v>
      </c>
      <c r="U132" s="31" t="s">
        <v>25</v>
      </c>
      <c r="V132" s="21" t="s">
        <v>25</v>
      </c>
      <c r="W132" s="21" t="s">
        <v>25</v>
      </c>
      <c r="X132" s="18" t="s">
        <v>20</v>
      </c>
      <c r="Y132" s="21"/>
      <c r="Z132" s="21"/>
      <c r="AA132" s="21"/>
      <c r="AB132" s="18" t="s">
        <v>20</v>
      </c>
      <c r="AC132" s="23" t="s">
        <v>50</v>
      </c>
      <c r="AD132" s="24" t="s">
        <v>72</v>
      </c>
      <c r="AE132" s="34">
        <v>219</v>
      </c>
      <c r="AF132" s="35">
        <v>15</v>
      </c>
      <c r="AG132" s="28" t="str">
        <f t="shared" si="6"/>
        <v>219-15</v>
      </c>
      <c r="AH132" s="24" t="s">
        <v>135</v>
      </c>
      <c r="AI132" s="2" t="b">
        <f t="shared" si="4"/>
        <v>1</v>
      </c>
      <c r="AK132" s="24" t="s">
        <v>150</v>
      </c>
      <c r="AL132" s="2" t="b">
        <f t="shared" si="5"/>
        <v>1</v>
      </c>
    </row>
    <row r="133" spans="1:38" ht="12.75" hidden="1" customHeight="1">
      <c r="A133" s="12">
        <v>97</v>
      </c>
      <c r="B133" s="28"/>
      <c r="C133" s="15" t="s">
        <v>20</v>
      </c>
      <c r="D133" s="15">
        <v>3</v>
      </c>
      <c r="E133" s="13" t="s">
        <v>50</v>
      </c>
      <c r="F133" s="17" t="s">
        <v>72</v>
      </c>
      <c r="G133" s="13">
        <v>219</v>
      </c>
      <c r="H133" s="19">
        <v>15</v>
      </c>
      <c r="I133" s="19" t="str">
        <f t="shared" si="0"/>
        <v>219-15</v>
      </c>
      <c r="J133" s="17" t="s">
        <v>150</v>
      </c>
      <c r="K133" s="21"/>
      <c r="L133" s="2" t="b">
        <f t="shared" si="1"/>
        <v>1</v>
      </c>
      <c r="M133" s="2" t="b">
        <f t="shared" si="2"/>
        <v>0</v>
      </c>
      <c r="N133" s="29">
        <v>98</v>
      </c>
      <c r="O133" s="39"/>
      <c r="P133" s="18" t="s">
        <v>20</v>
      </c>
      <c r="Q133" s="31"/>
      <c r="R133" s="31" t="s">
        <v>20</v>
      </c>
      <c r="S133" s="33" t="s">
        <v>25</v>
      </c>
      <c r="T133" s="33" t="s">
        <v>25</v>
      </c>
      <c r="U133" s="31" t="s">
        <v>25</v>
      </c>
      <c r="V133" s="21" t="s">
        <v>25</v>
      </c>
      <c r="W133" s="21" t="s">
        <v>25</v>
      </c>
      <c r="X133" s="18" t="s">
        <v>20</v>
      </c>
      <c r="Y133" s="21"/>
      <c r="Z133" s="21"/>
      <c r="AA133" s="21"/>
      <c r="AB133" s="18" t="s">
        <v>20</v>
      </c>
      <c r="AC133" s="23" t="s">
        <v>50</v>
      </c>
      <c r="AD133" s="24" t="s">
        <v>72</v>
      </c>
      <c r="AE133" s="34">
        <v>219</v>
      </c>
      <c r="AF133" s="35">
        <v>15</v>
      </c>
      <c r="AG133" s="28" t="str">
        <f t="shared" si="6"/>
        <v>219-15</v>
      </c>
      <c r="AH133" s="24" t="s">
        <v>135</v>
      </c>
      <c r="AI133" s="2" t="b">
        <f t="shared" si="4"/>
        <v>1</v>
      </c>
      <c r="AK133" s="24" t="s">
        <v>150</v>
      </c>
      <c r="AL133" s="2" t="b">
        <f t="shared" si="5"/>
        <v>1</v>
      </c>
    </row>
    <row r="134" spans="1:38" ht="12.75" hidden="1" customHeight="1">
      <c r="A134" s="12">
        <v>98</v>
      </c>
      <c r="B134" s="28"/>
      <c r="C134" s="15" t="s">
        <v>20</v>
      </c>
      <c r="D134" s="15">
        <v>3</v>
      </c>
      <c r="E134" s="13" t="s">
        <v>50</v>
      </c>
      <c r="F134" s="17" t="s">
        <v>72</v>
      </c>
      <c r="G134" s="13">
        <v>219</v>
      </c>
      <c r="H134" s="19">
        <v>15</v>
      </c>
      <c r="I134" s="19" t="str">
        <f t="shared" si="0"/>
        <v>219-15</v>
      </c>
      <c r="J134" s="17" t="s">
        <v>150</v>
      </c>
      <c r="K134" s="21"/>
      <c r="L134" s="2" t="b">
        <f t="shared" si="1"/>
        <v>1</v>
      </c>
      <c r="M134" s="2" t="b">
        <f t="shared" si="2"/>
        <v>0</v>
      </c>
      <c r="N134" s="29">
        <v>99</v>
      </c>
      <c r="O134" s="39"/>
      <c r="P134" s="18" t="s">
        <v>20</v>
      </c>
      <c r="Q134" s="31"/>
      <c r="R134" s="31" t="s">
        <v>20</v>
      </c>
      <c r="S134" s="33" t="s">
        <v>25</v>
      </c>
      <c r="T134" s="33" t="s">
        <v>25</v>
      </c>
      <c r="U134" s="31" t="s">
        <v>25</v>
      </c>
      <c r="V134" s="21" t="s">
        <v>25</v>
      </c>
      <c r="W134" s="21" t="s">
        <v>25</v>
      </c>
      <c r="X134" s="18" t="s">
        <v>20</v>
      </c>
      <c r="Y134" s="21"/>
      <c r="Z134" s="21"/>
      <c r="AA134" s="21"/>
      <c r="AB134" s="18" t="s">
        <v>20</v>
      </c>
      <c r="AC134" s="23" t="s">
        <v>50</v>
      </c>
      <c r="AD134" s="24" t="s">
        <v>72</v>
      </c>
      <c r="AE134" s="34">
        <v>219</v>
      </c>
      <c r="AF134" s="35">
        <v>15</v>
      </c>
      <c r="AG134" s="28" t="str">
        <f t="shared" si="6"/>
        <v>219-15</v>
      </c>
      <c r="AH134" s="24" t="s">
        <v>135</v>
      </c>
      <c r="AI134" s="2" t="b">
        <f t="shared" si="4"/>
        <v>1</v>
      </c>
      <c r="AK134" s="24" t="s">
        <v>150</v>
      </c>
      <c r="AL134" s="2" t="b">
        <f t="shared" si="5"/>
        <v>1</v>
      </c>
    </row>
    <row r="135" spans="1:38" ht="12.75" hidden="1" customHeight="1">
      <c r="A135" s="12">
        <v>99</v>
      </c>
      <c r="B135" s="13"/>
      <c r="C135" s="15" t="s">
        <v>20</v>
      </c>
      <c r="D135" s="15">
        <v>3</v>
      </c>
      <c r="E135" s="19" t="s">
        <v>50</v>
      </c>
      <c r="F135" s="17" t="s">
        <v>72</v>
      </c>
      <c r="G135" s="13">
        <v>219</v>
      </c>
      <c r="H135" s="19">
        <v>13</v>
      </c>
      <c r="I135" s="19" t="str">
        <f t="shared" si="0"/>
        <v>219-13</v>
      </c>
      <c r="J135" s="17" t="s">
        <v>138</v>
      </c>
      <c r="K135" s="21"/>
      <c r="L135" s="2" t="b">
        <f t="shared" si="1"/>
        <v>1</v>
      </c>
      <c r="M135" s="2" t="b">
        <f t="shared" si="2"/>
        <v>1</v>
      </c>
      <c r="N135" s="29">
        <v>100</v>
      </c>
      <c r="O135" s="32"/>
      <c r="P135" s="18" t="s">
        <v>20</v>
      </c>
      <c r="Q135" s="31"/>
      <c r="R135" s="31" t="s">
        <v>20</v>
      </c>
      <c r="S135" s="33" t="s">
        <v>25</v>
      </c>
      <c r="T135" s="33" t="s">
        <v>25</v>
      </c>
      <c r="U135" s="31" t="s">
        <v>25</v>
      </c>
      <c r="V135" s="21" t="s">
        <v>25</v>
      </c>
      <c r="W135" s="21" t="s">
        <v>25</v>
      </c>
      <c r="X135" s="18" t="s">
        <v>20</v>
      </c>
      <c r="Y135" s="21"/>
      <c r="Z135" s="21"/>
      <c r="AA135" s="21"/>
      <c r="AB135" s="18" t="s">
        <v>20</v>
      </c>
      <c r="AC135" s="28" t="s">
        <v>50</v>
      </c>
      <c r="AD135" s="24" t="s">
        <v>72</v>
      </c>
      <c r="AE135" s="34">
        <v>219</v>
      </c>
      <c r="AF135" s="35">
        <v>13</v>
      </c>
      <c r="AG135" s="28" t="str">
        <f t="shared" si="6"/>
        <v>219-13</v>
      </c>
      <c r="AH135" s="24" t="s">
        <v>138</v>
      </c>
      <c r="AI135" s="2" t="b">
        <f t="shared" si="4"/>
        <v>1</v>
      </c>
      <c r="AK135" s="24" t="s">
        <v>138</v>
      </c>
      <c r="AL135" s="2" t="b">
        <f t="shared" si="5"/>
        <v>1</v>
      </c>
    </row>
    <row r="136" spans="1:38" ht="12.75" hidden="1" customHeight="1">
      <c r="A136" s="12">
        <v>100</v>
      </c>
      <c r="B136" s="28"/>
      <c r="C136" s="15" t="s">
        <v>20</v>
      </c>
      <c r="D136" s="15">
        <v>3</v>
      </c>
      <c r="E136" s="13" t="s">
        <v>50</v>
      </c>
      <c r="F136" s="17" t="s">
        <v>72</v>
      </c>
      <c r="G136" s="13">
        <v>219</v>
      </c>
      <c r="H136" s="19">
        <v>13</v>
      </c>
      <c r="I136" s="19" t="str">
        <f t="shared" si="0"/>
        <v>219-13</v>
      </c>
      <c r="J136" s="17" t="s">
        <v>33</v>
      </c>
      <c r="K136" s="21"/>
      <c r="L136" s="2" t="b">
        <f t="shared" si="1"/>
        <v>1</v>
      </c>
      <c r="M136" s="2" t="b">
        <f t="shared" si="2"/>
        <v>0</v>
      </c>
      <c r="N136" s="29">
        <v>102</v>
      </c>
      <c r="O136" s="39"/>
      <c r="P136" s="18" t="s">
        <v>20</v>
      </c>
      <c r="Q136" s="31"/>
      <c r="R136" s="31" t="s">
        <v>20</v>
      </c>
      <c r="S136" s="33" t="s">
        <v>25</v>
      </c>
      <c r="T136" s="33" t="s">
        <v>25</v>
      </c>
      <c r="U136" s="31" t="s">
        <v>25</v>
      </c>
      <c r="V136" s="21" t="s">
        <v>25</v>
      </c>
      <c r="W136" s="21" t="s">
        <v>25</v>
      </c>
      <c r="X136" s="18" t="s">
        <v>20</v>
      </c>
      <c r="Y136" s="21"/>
      <c r="Z136" s="21"/>
      <c r="AA136" s="21"/>
      <c r="AB136" s="18" t="s">
        <v>20</v>
      </c>
      <c r="AC136" s="23" t="s">
        <v>50</v>
      </c>
      <c r="AD136" s="24" t="s">
        <v>72</v>
      </c>
      <c r="AE136" s="34">
        <v>219</v>
      </c>
      <c r="AF136" s="35">
        <v>13</v>
      </c>
      <c r="AG136" s="28" t="str">
        <f t="shared" si="6"/>
        <v>219-13</v>
      </c>
      <c r="AH136" s="24" t="s">
        <v>132</v>
      </c>
      <c r="AI136" s="2" t="b">
        <f t="shared" si="4"/>
        <v>1</v>
      </c>
      <c r="AK136" s="24" t="s">
        <v>33</v>
      </c>
      <c r="AL136" s="2" t="b">
        <f t="shared" si="5"/>
        <v>1</v>
      </c>
    </row>
    <row r="137" spans="1:38" ht="12.75" hidden="1" customHeight="1">
      <c r="A137" s="12">
        <v>101</v>
      </c>
      <c r="B137" s="28"/>
      <c r="C137" s="15" t="s">
        <v>20</v>
      </c>
      <c r="D137" s="15">
        <v>3</v>
      </c>
      <c r="E137" s="13" t="s">
        <v>50</v>
      </c>
      <c r="F137" s="17" t="s">
        <v>72</v>
      </c>
      <c r="G137" s="13">
        <v>219</v>
      </c>
      <c r="H137" s="19">
        <v>13</v>
      </c>
      <c r="I137" s="19" t="str">
        <f t="shared" si="0"/>
        <v>219-13</v>
      </c>
      <c r="J137" s="17" t="s">
        <v>33</v>
      </c>
      <c r="K137" s="21"/>
      <c r="L137" s="2" t="b">
        <f t="shared" si="1"/>
        <v>1</v>
      </c>
      <c r="M137" s="2" t="b">
        <f t="shared" si="2"/>
        <v>0</v>
      </c>
      <c r="N137" s="29">
        <v>101</v>
      </c>
      <c r="O137" s="39"/>
      <c r="P137" s="18" t="s">
        <v>20</v>
      </c>
      <c r="Q137" s="31"/>
      <c r="R137" s="31" t="s">
        <v>20</v>
      </c>
      <c r="S137" s="33" t="s">
        <v>25</v>
      </c>
      <c r="T137" s="33" t="s">
        <v>25</v>
      </c>
      <c r="U137" s="31" t="s">
        <v>25</v>
      </c>
      <c r="V137" s="21" t="s">
        <v>25</v>
      </c>
      <c r="W137" s="21" t="s">
        <v>25</v>
      </c>
      <c r="X137" s="18" t="s">
        <v>20</v>
      </c>
      <c r="Y137" s="21"/>
      <c r="Z137" s="21"/>
      <c r="AA137" s="21"/>
      <c r="AB137" s="18" t="s">
        <v>20</v>
      </c>
      <c r="AC137" s="23" t="s">
        <v>50</v>
      </c>
      <c r="AD137" s="24" t="s">
        <v>72</v>
      </c>
      <c r="AE137" s="34">
        <v>219</v>
      </c>
      <c r="AF137" s="35">
        <v>13</v>
      </c>
      <c r="AG137" s="28" t="str">
        <f t="shared" si="6"/>
        <v>219-13</v>
      </c>
      <c r="AH137" s="24" t="s">
        <v>132</v>
      </c>
      <c r="AI137" s="2" t="b">
        <f t="shared" si="4"/>
        <v>1</v>
      </c>
      <c r="AK137" s="24" t="s">
        <v>33</v>
      </c>
      <c r="AL137" s="2" t="b">
        <f t="shared" si="5"/>
        <v>1</v>
      </c>
    </row>
    <row r="138" spans="1:38" ht="12.75" hidden="1" customHeight="1">
      <c r="A138" s="12">
        <v>102</v>
      </c>
      <c r="B138" s="13"/>
      <c r="C138" s="15" t="s">
        <v>20</v>
      </c>
      <c r="D138" s="15">
        <v>3</v>
      </c>
      <c r="E138" s="19" t="s">
        <v>50</v>
      </c>
      <c r="F138" s="17" t="s">
        <v>72</v>
      </c>
      <c r="G138" s="13">
        <v>219</v>
      </c>
      <c r="H138" s="19">
        <v>10</v>
      </c>
      <c r="I138" s="19" t="str">
        <f t="shared" si="0"/>
        <v>219-10</v>
      </c>
      <c r="J138" s="17" t="s">
        <v>138</v>
      </c>
      <c r="K138" s="21"/>
      <c r="L138" s="2" t="b">
        <f t="shared" si="1"/>
        <v>1</v>
      </c>
      <c r="M138" s="2" t="b">
        <f t="shared" si="2"/>
        <v>1</v>
      </c>
      <c r="N138" s="29">
        <v>103</v>
      </c>
      <c r="O138" s="32"/>
      <c r="P138" s="18" t="s">
        <v>20</v>
      </c>
      <c r="Q138" s="31"/>
      <c r="R138" s="31" t="s">
        <v>20</v>
      </c>
      <c r="S138" s="33" t="s">
        <v>25</v>
      </c>
      <c r="T138" s="33" t="s">
        <v>25</v>
      </c>
      <c r="U138" s="31" t="s">
        <v>25</v>
      </c>
      <c r="V138" s="21" t="s">
        <v>25</v>
      </c>
      <c r="W138" s="21" t="s">
        <v>25</v>
      </c>
      <c r="X138" s="18" t="s">
        <v>20</v>
      </c>
      <c r="Y138" s="21"/>
      <c r="Z138" s="21"/>
      <c r="AA138" s="21"/>
      <c r="AB138" s="18" t="s">
        <v>20</v>
      </c>
      <c r="AC138" s="28" t="s">
        <v>50</v>
      </c>
      <c r="AD138" s="24" t="s">
        <v>72</v>
      </c>
      <c r="AE138" s="34">
        <v>219</v>
      </c>
      <c r="AF138" s="35">
        <v>10</v>
      </c>
      <c r="AG138" s="28" t="str">
        <f t="shared" si="6"/>
        <v>219-10</v>
      </c>
      <c r="AH138" s="24" t="s">
        <v>138</v>
      </c>
      <c r="AI138" s="2" t="b">
        <f t="shared" si="4"/>
        <v>1</v>
      </c>
      <c r="AK138" s="24" t="s">
        <v>138</v>
      </c>
      <c r="AL138" s="2" t="b">
        <f t="shared" si="5"/>
        <v>1</v>
      </c>
    </row>
    <row r="139" spans="1:38" ht="12.75" hidden="1" customHeight="1">
      <c r="A139" s="12">
        <v>103</v>
      </c>
      <c r="B139" s="28">
        <v>51560501</v>
      </c>
      <c r="C139" s="15" t="s">
        <v>319</v>
      </c>
      <c r="D139" s="15">
        <v>3</v>
      </c>
      <c r="E139" s="13" t="s">
        <v>50</v>
      </c>
      <c r="F139" s="17" t="s">
        <v>72</v>
      </c>
      <c r="G139" s="13">
        <v>219</v>
      </c>
      <c r="H139" s="19">
        <v>10</v>
      </c>
      <c r="I139" s="19" t="str">
        <f t="shared" si="0"/>
        <v>219-10</v>
      </c>
      <c r="J139" s="17" t="s">
        <v>147</v>
      </c>
      <c r="K139" s="38" t="s">
        <v>188</v>
      </c>
      <c r="L139" s="2" t="b">
        <f t="shared" si="1"/>
        <v>1</v>
      </c>
      <c r="M139" s="2" t="b">
        <f t="shared" si="2"/>
        <v>0</v>
      </c>
      <c r="N139" s="29">
        <v>104</v>
      </c>
      <c r="O139" s="39">
        <v>51560501</v>
      </c>
      <c r="P139" s="18" t="s">
        <v>319</v>
      </c>
      <c r="Q139" s="31" t="s">
        <v>24</v>
      </c>
      <c r="R139" s="31" t="s">
        <v>192</v>
      </c>
      <c r="S139" s="33">
        <v>42585</v>
      </c>
      <c r="T139" s="33">
        <v>38343</v>
      </c>
      <c r="U139" s="31" t="s">
        <v>48</v>
      </c>
      <c r="V139" s="21">
        <v>63</v>
      </c>
      <c r="W139" s="21" t="s">
        <v>25</v>
      </c>
      <c r="X139" s="31" t="s">
        <v>20</v>
      </c>
      <c r="Y139" s="21"/>
      <c r="Z139" s="21"/>
      <c r="AA139" s="21"/>
      <c r="AB139" s="18" t="s">
        <v>53</v>
      </c>
      <c r="AC139" s="23" t="s">
        <v>50</v>
      </c>
      <c r="AD139" s="24" t="s">
        <v>72</v>
      </c>
      <c r="AE139" s="34">
        <v>219</v>
      </c>
      <c r="AF139" s="35">
        <v>10</v>
      </c>
      <c r="AG139" s="28" t="str">
        <f t="shared" si="6"/>
        <v>219-10</v>
      </c>
      <c r="AH139" s="24" t="s">
        <v>30</v>
      </c>
      <c r="AI139" s="2" t="b">
        <f t="shared" si="4"/>
        <v>1</v>
      </c>
      <c r="AK139" s="24" t="s">
        <v>147</v>
      </c>
      <c r="AL139" s="2" t="b">
        <f t="shared" si="5"/>
        <v>1</v>
      </c>
    </row>
    <row r="140" spans="1:38" ht="12.75" hidden="1" customHeight="1">
      <c r="A140" s="12">
        <v>104</v>
      </c>
      <c r="B140" s="28">
        <v>1020725639</v>
      </c>
      <c r="C140" s="15" t="s">
        <v>320</v>
      </c>
      <c r="D140" s="15">
        <v>3</v>
      </c>
      <c r="E140" s="13" t="s">
        <v>50</v>
      </c>
      <c r="F140" s="17" t="s">
        <v>72</v>
      </c>
      <c r="G140" s="13">
        <v>219</v>
      </c>
      <c r="H140" s="19">
        <v>10</v>
      </c>
      <c r="I140" s="19" t="str">
        <f t="shared" si="0"/>
        <v>219-10</v>
      </c>
      <c r="J140" s="17" t="s">
        <v>150</v>
      </c>
      <c r="K140" s="38" t="s">
        <v>188</v>
      </c>
      <c r="L140" s="2" t="b">
        <f t="shared" si="1"/>
        <v>1</v>
      </c>
      <c r="M140" s="2" t="b">
        <f t="shared" si="2"/>
        <v>0</v>
      </c>
      <c r="N140" s="29">
        <v>105</v>
      </c>
      <c r="O140" s="39">
        <v>1020725639</v>
      </c>
      <c r="P140" s="18" t="s">
        <v>320</v>
      </c>
      <c r="Q140" s="31" t="s">
        <v>24</v>
      </c>
      <c r="R140" s="31" t="s">
        <v>192</v>
      </c>
      <c r="S140" s="33">
        <v>42585</v>
      </c>
      <c r="T140" s="33">
        <v>42368</v>
      </c>
      <c r="U140" s="31" t="s">
        <v>48</v>
      </c>
      <c r="V140" s="21">
        <v>35</v>
      </c>
      <c r="W140" s="21" t="s">
        <v>25</v>
      </c>
      <c r="X140" s="31" t="s">
        <v>20</v>
      </c>
      <c r="Y140" s="21"/>
      <c r="Z140" s="21"/>
      <c r="AA140" s="21"/>
      <c r="AB140" s="18" t="s">
        <v>53</v>
      </c>
      <c r="AC140" s="23" t="s">
        <v>50</v>
      </c>
      <c r="AD140" s="24" t="s">
        <v>72</v>
      </c>
      <c r="AE140" s="34">
        <v>219</v>
      </c>
      <c r="AF140" s="35">
        <v>10</v>
      </c>
      <c r="AG140" s="28" t="str">
        <f t="shared" si="6"/>
        <v>219-10</v>
      </c>
      <c r="AH140" s="24" t="s">
        <v>135</v>
      </c>
      <c r="AI140" s="2" t="b">
        <f t="shared" si="4"/>
        <v>1</v>
      </c>
      <c r="AK140" s="24" t="s">
        <v>147</v>
      </c>
      <c r="AL140" s="2" t="b">
        <f t="shared" si="5"/>
        <v>0</v>
      </c>
    </row>
    <row r="141" spans="1:38" ht="12.75" hidden="1" customHeight="1">
      <c r="A141" s="12">
        <v>105</v>
      </c>
      <c r="B141" s="28">
        <v>79361343</v>
      </c>
      <c r="C141" s="56" t="s">
        <v>321</v>
      </c>
      <c r="D141" s="15">
        <v>3</v>
      </c>
      <c r="E141" s="13" t="s">
        <v>50</v>
      </c>
      <c r="F141" s="17" t="s">
        <v>72</v>
      </c>
      <c r="G141" s="13">
        <v>219</v>
      </c>
      <c r="H141" s="19">
        <v>9</v>
      </c>
      <c r="I141" s="19" t="str">
        <f t="shared" si="0"/>
        <v>219-9</v>
      </c>
      <c r="J141" s="17" t="s">
        <v>32</v>
      </c>
      <c r="K141" s="101" t="s">
        <v>49</v>
      </c>
      <c r="L141" s="2" t="b">
        <f t="shared" si="1"/>
        <v>1</v>
      </c>
      <c r="M141" s="2" t="b">
        <f t="shared" si="2"/>
        <v>1</v>
      </c>
      <c r="N141" s="29">
        <v>106</v>
      </c>
      <c r="O141" s="39">
        <v>79361343</v>
      </c>
      <c r="P141" s="31" t="s">
        <v>321</v>
      </c>
      <c r="Q141" s="102" t="s">
        <v>49</v>
      </c>
      <c r="R141" s="31" t="s">
        <v>49</v>
      </c>
      <c r="S141" s="33">
        <v>42585</v>
      </c>
      <c r="T141" s="33">
        <v>34785</v>
      </c>
      <c r="U141" s="31" t="s">
        <v>84</v>
      </c>
      <c r="V141" s="21">
        <v>56</v>
      </c>
      <c r="W141" s="21" t="s">
        <v>25</v>
      </c>
      <c r="X141" s="31"/>
      <c r="Y141" s="21"/>
      <c r="Z141" s="21"/>
      <c r="AA141" s="21"/>
      <c r="AB141" s="18" t="s">
        <v>53</v>
      </c>
      <c r="AC141" s="23" t="s">
        <v>50</v>
      </c>
      <c r="AD141" s="24" t="s">
        <v>72</v>
      </c>
      <c r="AE141" s="34">
        <v>219</v>
      </c>
      <c r="AF141" s="35">
        <v>9</v>
      </c>
      <c r="AG141" s="28" t="str">
        <f t="shared" si="6"/>
        <v>219-9</v>
      </c>
      <c r="AH141" s="24" t="s">
        <v>32</v>
      </c>
      <c r="AI141" s="2" t="b">
        <f t="shared" si="4"/>
        <v>1</v>
      </c>
      <c r="AK141" s="24" t="s">
        <v>32</v>
      </c>
      <c r="AL141" s="2" t="b">
        <f t="shared" si="5"/>
        <v>1</v>
      </c>
    </row>
    <row r="142" spans="1:38" ht="12.75" hidden="1" customHeight="1">
      <c r="A142" s="12">
        <v>106</v>
      </c>
      <c r="B142" s="13"/>
      <c r="C142" s="15" t="s">
        <v>20</v>
      </c>
      <c r="D142" s="15">
        <v>3</v>
      </c>
      <c r="E142" s="13" t="s">
        <v>50</v>
      </c>
      <c r="F142" s="17" t="s">
        <v>72</v>
      </c>
      <c r="G142" s="13">
        <v>219</v>
      </c>
      <c r="H142" s="19">
        <v>8</v>
      </c>
      <c r="I142" s="19" t="str">
        <f t="shared" si="0"/>
        <v>219-8</v>
      </c>
      <c r="J142" s="17" t="s">
        <v>75</v>
      </c>
      <c r="K142" s="21"/>
      <c r="L142" s="2" t="b">
        <f t="shared" si="1"/>
        <v>1</v>
      </c>
      <c r="M142" s="2" t="b">
        <f t="shared" si="2"/>
        <v>0</v>
      </c>
      <c r="N142" s="29">
        <v>107</v>
      </c>
      <c r="O142" s="32"/>
      <c r="P142" s="18" t="s">
        <v>20</v>
      </c>
      <c r="Q142" s="31"/>
      <c r="R142" s="31" t="s">
        <v>20</v>
      </c>
      <c r="S142" s="33" t="s">
        <v>25</v>
      </c>
      <c r="T142" s="33" t="s">
        <v>25</v>
      </c>
      <c r="U142" s="31" t="s">
        <v>25</v>
      </c>
      <c r="V142" s="21" t="s">
        <v>25</v>
      </c>
      <c r="W142" s="21" t="s">
        <v>25</v>
      </c>
      <c r="X142" s="18" t="s">
        <v>20</v>
      </c>
      <c r="Y142" s="21"/>
      <c r="Z142" s="21"/>
      <c r="AA142" s="21"/>
      <c r="AB142" s="18" t="s">
        <v>20</v>
      </c>
      <c r="AC142" s="23" t="s">
        <v>50</v>
      </c>
      <c r="AD142" s="24" t="s">
        <v>72</v>
      </c>
      <c r="AE142" s="34">
        <v>219</v>
      </c>
      <c r="AF142" s="35">
        <v>8</v>
      </c>
      <c r="AG142" s="28" t="str">
        <f t="shared" si="6"/>
        <v>219-8</v>
      </c>
      <c r="AH142" s="24" t="s">
        <v>87</v>
      </c>
      <c r="AI142" s="2" t="b">
        <f t="shared" si="4"/>
        <v>1</v>
      </c>
      <c r="AK142" s="24" t="s">
        <v>75</v>
      </c>
      <c r="AL142" s="2" t="b">
        <f t="shared" si="5"/>
        <v>1</v>
      </c>
    </row>
    <row r="143" spans="1:38" ht="12.75" hidden="1" customHeight="1">
      <c r="A143" s="12">
        <v>107</v>
      </c>
      <c r="B143" s="28">
        <v>51937185</v>
      </c>
      <c r="C143" s="56" t="s">
        <v>327</v>
      </c>
      <c r="D143" s="15">
        <v>3</v>
      </c>
      <c r="E143" s="13" t="s">
        <v>50</v>
      </c>
      <c r="F143" s="17" t="s">
        <v>72</v>
      </c>
      <c r="G143" s="13">
        <v>219</v>
      </c>
      <c r="H143" s="19">
        <v>8</v>
      </c>
      <c r="I143" s="19" t="str">
        <f t="shared" si="0"/>
        <v>219-8</v>
      </c>
      <c r="J143" s="17" t="s">
        <v>147</v>
      </c>
      <c r="K143" s="56" t="s">
        <v>49</v>
      </c>
      <c r="L143" s="2" t="b">
        <f t="shared" si="1"/>
        <v>1</v>
      </c>
      <c r="M143" s="2" t="b">
        <f t="shared" si="2"/>
        <v>0</v>
      </c>
      <c r="N143" s="29">
        <v>108</v>
      </c>
      <c r="O143" s="39">
        <v>51937185</v>
      </c>
      <c r="P143" s="31" t="s">
        <v>327</v>
      </c>
      <c r="Q143" s="31" t="s">
        <v>49</v>
      </c>
      <c r="R143" s="31" t="s">
        <v>49</v>
      </c>
      <c r="S143" s="33">
        <v>42585</v>
      </c>
      <c r="T143" s="33">
        <v>35499</v>
      </c>
      <c r="U143" s="31" t="s">
        <v>48</v>
      </c>
      <c r="V143" s="21">
        <v>53</v>
      </c>
      <c r="W143" s="21" t="s">
        <v>25</v>
      </c>
      <c r="X143" s="31"/>
      <c r="Y143" s="21"/>
      <c r="Z143" s="21"/>
      <c r="AA143" s="21"/>
      <c r="AB143" s="18" t="s">
        <v>53</v>
      </c>
      <c r="AC143" s="23" t="s">
        <v>50</v>
      </c>
      <c r="AD143" s="24" t="s">
        <v>72</v>
      </c>
      <c r="AE143" s="34">
        <v>219</v>
      </c>
      <c r="AF143" s="35">
        <v>8</v>
      </c>
      <c r="AG143" s="28" t="str">
        <f t="shared" si="6"/>
        <v>219-8</v>
      </c>
      <c r="AH143" s="24" t="s">
        <v>30</v>
      </c>
      <c r="AI143" s="2" t="b">
        <f t="shared" si="4"/>
        <v>1</v>
      </c>
      <c r="AK143" s="24" t="s">
        <v>147</v>
      </c>
      <c r="AL143" s="2" t="b">
        <f t="shared" si="5"/>
        <v>1</v>
      </c>
    </row>
    <row r="144" spans="1:38" ht="12.75" hidden="1" customHeight="1">
      <c r="A144" s="12">
        <v>108</v>
      </c>
      <c r="B144" s="28"/>
      <c r="C144" s="15" t="s">
        <v>20</v>
      </c>
      <c r="D144" s="15">
        <v>3</v>
      </c>
      <c r="E144" s="13" t="s">
        <v>50</v>
      </c>
      <c r="F144" s="17" t="s">
        <v>72</v>
      </c>
      <c r="G144" s="13">
        <v>219</v>
      </c>
      <c r="H144" s="19">
        <v>3</v>
      </c>
      <c r="I144" s="19" t="str">
        <f t="shared" si="0"/>
        <v>219-3</v>
      </c>
      <c r="J144" s="17" t="s">
        <v>33</v>
      </c>
      <c r="K144" s="21"/>
      <c r="L144" s="2" t="b">
        <f t="shared" si="1"/>
        <v>1</v>
      </c>
      <c r="M144" s="2" t="b">
        <f t="shared" si="2"/>
        <v>0</v>
      </c>
      <c r="N144" s="29">
        <v>109</v>
      </c>
      <c r="O144" s="39"/>
      <c r="P144" s="18" t="s">
        <v>20</v>
      </c>
      <c r="Q144" s="31"/>
      <c r="R144" s="31" t="s">
        <v>20</v>
      </c>
      <c r="S144" s="33" t="s">
        <v>25</v>
      </c>
      <c r="T144" s="33" t="s">
        <v>25</v>
      </c>
      <c r="U144" s="31" t="s">
        <v>25</v>
      </c>
      <c r="V144" s="21" t="s">
        <v>25</v>
      </c>
      <c r="W144" s="21" t="s">
        <v>25</v>
      </c>
      <c r="X144" s="18" t="s">
        <v>20</v>
      </c>
      <c r="Y144" s="21"/>
      <c r="Z144" s="21"/>
      <c r="AA144" s="21"/>
      <c r="AB144" s="18" t="s">
        <v>20</v>
      </c>
      <c r="AC144" s="23" t="s">
        <v>50</v>
      </c>
      <c r="AD144" s="24" t="s">
        <v>72</v>
      </c>
      <c r="AE144" s="34">
        <v>219</v>
      </c>
      <c r="AF144" s="35">
        <v>3</v>
      </c>
      <c r="AG144" s="28" t="str">
        <f t="shared" si="6"/>
        <v>219-3</v>
      </c>
      <c r="AH144" s="24" t="s">
        <v>132</v>
      </c>
      <c r="AI144" s="2" t="b">
        <f t="shared" si="4"/>
        <v>1</v>
      </c>
      <c r="AK144" s="24" t="s">
        <v>33</v>
      </c>
      <c r="AL144" s="2" t="b">
        <f t="shared" si="5"/>
        <v>1</v>
      </c>
    </row>
    <row r="145" spans="1:38" ht="12.75" hidden="1" customHeight="1">
      <c r="A145" s="12">
        <v>109</v>
      </c>
      <c r="B145" s="28"/>
      <c r="C145" s="15" t="s">
        <v>20</v>
      </c>
      <c r="D145" s="15">
        <v>3</v>
      </c>
      <c r="E145" s="13" t="s">
        <v>50</v>
      </c>
      <c r="F145" s="17" t="s">
        <v>72</v>
      </c>
      <c r="G145" s="13">
        <v>219</v>
      </c>
      <c r="H145" s="19">
        <v>1</v>
      </c>
      <c r="I145" s="19" t="str">
        <f t="shared" si="0"/>
        <v>219-1</v>
      </c>
      <c r="J145" s="17" t="s">
        <v>153</v>
      </c>
      <c r="K145" s="21"/>
      <c r="L145" s="2" t="b">
        <f t="shared" si="1"/>
        <v>1</v>
      </c>
      <c r="M145" s="2" t="b">
        <f t="shared" si="2"/>
        <v>0</v>
      </c>
      <c r="N145" s="29">
        <v>110</v>
      </c>
      <c r="O145" s="39"/>
      <c r="P145" s="18" t="s">
        <v>20</v>
      </c>
      <c r="Q145" s="31"/>
      <c r="R145" s="31" t="s">
        <v>20</v>
      </c>
      <c r="S145" s="33" t="s">
        <v>25</v>
      </c>
      <c r="T145" s="33" t="s">
        <v>25</v>
      </c>
      <c r="U145" s="31" t="s">
        <v>25</v>
      </c>
      <c r="V145" s="21" t="s">
        <v>25</v>
      </c>
      <c r="W145" s="21" t="s">
        <v>25</v>
      </c>
      <c r="X145" s="18" t="s">
        <v>20</v>
      </c>
      <c r="Y145" s="21"/>
      <c r="Z145" s="21"/>
      <c r="AA145" s="21"/>
      <c r="AB145" s="18" t="s">
        <v>20</v>
      </c>
      <c r="AC145" s="23" t="s">
        <v>50</v>
      </c>
      <c r="AD145" s="24" t="s">
        <v>72</v>
      </c>
      <c r="AE145" s="34">
        <v>219</v>
      </c>
      <c r="AF145" s="35">
        <v>1</v>
      </c>
      <c r="AG145" s="28" t="str">
        <f t="shared" si="6"/>
        <v>219-1</v>
      </c>
      <c r="AH145" s="24" t="s">
        <v>95</v>
      </c>
      <c r="AI145" s="2" t="b">
        <f t="shared" si="4"/>
        <v>1</v>
      </c>
      <c r="AK145" s="24" t="s">
        <v>153</v>
      </c>
      <c r="AL145" s="2" t="b">
        <f t="shared" si="5"/>
        <v>1</v>
      </c>
    </row>
    <row r="146" spans="1:38" ht="12.75" hidden="1" customHeight="1">
      <c r="A146" s="12">
        <v>110</v>
      </c>
      <c r="B146" s="28"/>
      <c r="C146" s="15" t="s">
        <v>20</v>
      </c>
      <c r="D146" s="15">
        <v>3</v>
      </c>
      <c r="E146" s="13" t="s">
        <v>50</v>
      </c>
      <c r="F146" s="17" t="s">
        <v>72</v>
      </c>
      <c r="G146" s="13">
        <v>219</v>
      </c>
      <c r="H146" s="19">
        <v>1</v>
      </c>
      <c r="I146" s="19" t="str">
        <f t="shared" si="0"/>
        <v>219-1</v>
      </c>
      <c r="J146" s="17" t="s">
        <v>33</v>
      </c>
      <c r="K146" s="21"/>
      <c r="L146" s="2" t="b">
        <f t="shared" si="1"/>
        <v>1</v>
      </c>
      <c r="M146" s="2" t="b">
        <f t="shared" si="2"/>
        <v>0</v>
      </c>
      <c r="N146" s="29">
        <v>111</v>
      </c>
      <c r="O146" s="39"/>
      <c r="P146" s="18" t="s">
        <v>20</v>
      </c>
      <c r="Q146" s="31"/>
      <c r="R146" s="31" t="s">
        <v>20</v>
      </c>
      <c r="S146" s="33" t="s">
        <v>25</v>
      </c>
      <c r="T146" s="33" t="s">
        <v>25</v>
      </c>
      <c r="U146" s="31" t="s">
        <v>25</v>
      </c>
      <c r="V146" s="21" t="s">
        <v>25</v>
      </c>
      <c r="W146" s="21" t="s">
        <v>25</v>
      </c>
      <c r="X146" s="18" t="s">
        <v>20</v>
      </c>
      <c r="Y146" s="21"/>
      <c r="Z146" s="21"/>
      <c r="AA146" s="21"/>
      <c r="AB146" s="18" t="s">
        <v>20</v>
      </c>
      <c r="AC146" s="23" t="s">
        <v>50</v>
      </c>
      <c r="AD146" s="24" t="s">
        <v>72</v>
      </c>
      <c r="AE146" s="34">
        <v>219</v>
      </c>
      <c r="AF146" s="35">
        <v>1</v>
      </c>
      <c r="AG146" s="28" t="str">
        <f t="shared" si="6"/>
        <v>219-1</v>
      </c>
      <c r="AH146" s="24" t="s">
        <v>132</v>
      </c>
      <c r="AI146" s="2" t="b">
        <f t="shared" si="4"/>
        <v>1</v>
      </c>
      <c r="AK146" s="24" t="s">
        <v>33</v>
      </c>
      <c r="AL146" s="2" t="b">
        <f t="shared" si="5"/>
        <v>1</v>
      </c>
    </row>
    <row r="147" spans="1:38" ht="12.75" hidden="1" customHeight="1">
      <c r="A147" s="12">
        <v>111</v>
      </c>
      <c r="B147" s="28"/>
      <c r="C147" s="15" t="s">
        <v>20</v>
      </c>
      <c r="D147" s="15">
        <v>3</v>
      </c>
      <c r="E147" s="13" t="s">
        <v>50</v>
      </c>
      <c r="F147" s="17" t="s">
        <v>72</v>
      </c>
      <c r="G147" s="13">
        <v>219</v>
      </c>
      <c r="H147" s="19">
        <v>1</v>
      </c>
      <c r="I147" s="19" t="str">
        <f t="shared" si="0"/>
        <v>219-1</v>
      </c>
      <c r="J147" s="17" t="s">
        <v>33</v>
      </c>
      <c r="K147" s="21"/>
      <c r="L147" s="2" t="b">
        <f t="shared" si="1"/>
        <v>1</v>
      </c>
      <c r="M147" s="2" t="b">
        <f t="shared" si="2"/>
        <v>0</v>
      </c>
      <c r="N147" s="29">
        <v>112</v>
      </c>
      <c r="O147" s="39"/>
      <c r="P147" s="18" t="s">
        <v>20</v>
      </c>
      <c r="Q147" s="31"/>
      <c r="R147" s="31" t="s">
        <v>20</v>
      </c>
      <c r="S147" s="33" t="s">
        <v>25</v>
      </c>
      <c r="T147" s="33" t="s">
        <v>25</v>
      </c>
      <c r="U147" s="31" t="s">
        <v>25</v>
      </c>
      <c r="V147" s="21" t="s">
        <v>25</v>
      </c>
      <c r="W147" s="21" t="s">
        <v>25</v>
      </c>
      <c r="X147" s="18" t="s">
        <v>20</v>
      </c>
      <c r="Y147" s="21"/>
      <c r="Z147" s="21"/>
      <c r="AA147" s="21"/>
      <c r="AB147" s="18" t="s">
        <v>20</v>
      </c>
      <c r="AC147" s="23" t="s">
        <v>50</v>
      </c>
      <c r="AD147" s="24" t="s">
        <v>72</v>
      </c>
      <c r="AE147" s="34">
        <v>219</v>
      </c>
      <c r="AF147" s="35">
        <v>1</v>
      </c>
      <c r="AG147" s="28" t="str">
        <f t="shared" si="6"/>
        <v>219-1</v>
      </c>
      <c r="AH147" s="24" t="s">
        <v>132</v>
      </c>
      <c r="AI147" s="2" t="b">
        <f t="shared" si="4"/>
        <v>1</v>
      </c>
      <c r="AK147" s="24" t="s">
        <v>33</v>
      </c>
      <c r="AL147" s="2" t="b">
        <f t="shared" si="5"/>
        <v>1</v>
      </c>
    </row>
    <row r="148" spans="1:38" ht="12.75" hidden="1" customHeight="1">
      <c r="A148" s="12">
        <v>112</v>
      </c>
      <c r="B148" s="28"/>
      <c r="C148" s="15" t="s">
        <v>20</v>
      </c>
      <c r="D148" s="15">
        <v>3</v>
      </c>
      <c r="E148" s="13" t="s">
        <v>50</v>
      </c>
      <c r="F148" s="17" t="s">
        <v>72</v>
      </c>
      <c r="G148" s="13">
        <v>219</v>
      </c>
      <c r="H148" s="19">
        <v>1</v>
      </c>
      <c r="I148" s="19" t="str">
        <f t="shared" si="0"/>
        <v>219-1</v>
      </c>
      <c r="J148" s="17" t="s">
        <v>150</v>
      </c>
      <c r="K148" s="21"/>
      <c r="L148" s="2" t="b">
        <f t="shared" si="1"/>
        <v>1</v>
      </c>
      <c r="M148" s="2" t="b">
        <f t="shared" si="2"/>
        <v>0</v>
      </c>
      <c r="N148" s="29">
        <v>113</v>
      </c>
      <c r="O148" s="39"/>
      <c r="P148" s="18" t="s">
        <v>20</v>
      </c>
      <c r="Q148" s="31"/>
      <c r="R148" s="31" t="s">
        <v>20</v>
      </c>
      <c r="S148" s="33" t="s">
        <v>25</v>
      </c>
      <c r="T148" s="33" t="s">
        <v>25</v>
      </c>
      <c r="U148" s="31" t="s">
        <v>25</v>
      </c>
      <c r="V148" s="21" t="s">
        <v>25</v>
      </c>
      <c r="W148" s="21" t="s">
        <v>25</v>
      </c>
      <c r="X148" s="18" t="s">
        <v>20</v>
      </c>
      <c r="Y148" s="21"/>
      <c r="Z148" s="21"/>
      <c r="AA148" s="21"/>
      <c r="AB148" s="18" t="s">
        <v>20</v>
      </c>
      <c r="AC148" s="23" t="s">
        <v>50</v>
      </c>
      <c r="AD148" s="24" t="s">
        <v>72</v>
      </c>
      <c r="AE148" s="34">
        <v>219</v>
      </c>
      <c r="AF148" s="35">
        <v>1</v>
      </c>
      <c r="AG148" s="28" t="str">
        <f t="shared" si="6"/>
        <v>219-1</v>
      </c>
      <c r="AH148" s="24" t="s">
        <v>135</v>
      </c>
      <c r="AI148" s="2" t="b">
        <f t="shared" si="4"/>
        <v>1</v>
      </c>
      <c r="AK148" s="24" t="s">
        <v>150</v>
      </c>
      <c r="AL148" s="2" t="b">
        <f t="shared" si="5"/>
        <v>1</v>
      </c>
    </row>
    <row r="149" spans="1:38" ht="12.75" hidden="1" customHeight="1">
      <c r="A149" s="12">
        <v>113</v>
      </c>
      <c r="B149" s="28"/>
      <c r="C149" s="15" t="s">
        <v>20</v>
      </c>
      <c r="D149" s="15">
        <v>3</v>
      </c>
      <c r="E149" s="13" t="s">
        <v>50</v>
      </c>
      <c r="F149" s="17" t="s">
        <v>72</v>
      </c>
      <c r="G149" s="13">
        <v>219</v>
      </c>
      <c r="H149" s="19">
        <v>1</v>
      </c>
      <c r="I149" s="19" t="str">
        <f t="shared" si="0"/>
        <v>219-1</v>
      </c>
      <c r="J149" s="17" t="s">
        <v>150</v>
      </c>
      <c r="K149" s="21"/>
      <c r="L149" s="2" t="b">
        <f t="shared" si="1"/>
        <v>1</v>
      </c>
      <c r="M149" s="2" t="b">
        <f t="shared" si="2"/>
        <v>0</v>
      </c>
      <c r="N149" s="29">
        <v>114</v>
      </c>
      <c r="O149" s="39"/>
      <c r="P149" s="18" t="s">
        <v>20</v>
      </c>
      <c r="Q149" s="31"/>
      <c r="R149" s="31" t="s">
        <v>20</v>
      </c>
      <c r="S149" s="33" t="s">
        <v>25</v>
      </c>
      <c r="T149" s="33" t="s">
        <v>25</v>
      </c>
      <c r="U149" s="31" t="s">
        <v>25</v>
      </c>
      <c r="V149" s="21" t="s">
        <v>25</v>
      </c>
      <c r="W149" s="21" t="s">
        <v>25</v>
      </c>
      <c r="X149" s="18" t="s">
        <v>20</v>
      </c>
      <c r="Y149" s="21"/>
      <c r="Z149" s="21"/>
      <c r="AA149" s="21"/>
      <c r="AB149" s="18" t="s">
        <v>20</v>
      </c>
      <c r="AC149" s="23" t="s">
        <v>50</v>
      </c>
      <c r="AD149" s="24" t="s">
        <v>72</v>
      </c>
      <c r="AE149" s="34">
        <v>219</v>
      </c>
      <c r="AF149" s="35">
        <v>1</v>
      </c>
      <c r="AG149" s="28" t="str">
        <f t="shared" si="6"/>
        <v>219-1</v>
      </c>
      <c r="AH149" s="24" t="s">
        <v>135</v>
      </c>
      <c r="AI149" s="2" t="b">
        <f t="shared" si="4"/>
        <v>1</v>
      </c>
      <c r="AK149" s="24" t="s">
        <v>150</v>
      </c>
      <c r="AL149" s="2" t="b">
        <f t="shared" si="5"/>
        <v>1</v>
      </c>
    </row>
    <row r="150" spans="1:38" ht="12.75" hidden="1" customHeight="1">
      <c r="A150" s="12">
        <v>114</v>
      </c>
      <c r="B150" s="28"/>
      <c r="C150" s="15" t="s">
        <v>20</v>
      </c>
      <c r="D150" s="15">
        <v>3</v>
      </c>
      <c r="E150" s="13" t="s">
        <v>50</v>
      </c>
      <c r="F150" s="17" t="s">
        <v>72</v>
      </c>
      <c r="G150" s="13">
        <v>219</v>
      </c>
      <c r="H150" s="19">
        <v>1</v>
      </c>
      <c r="I150" s="19" t="str">
        <f t="shared" si="0"/>
        <v>219-1</v>
      </c>
      <c r="J150" s="17" t="s">
        <v>150</v>
      </c>
      <c r="K150" s="21"/>
      <c r="L150" s="2" t="b">
        <f t="shared" si="1"/>
        <v>1</v>
      </c>
      <c r="M150" s="2" t="b">
        <f t="shared" si="2"/>
        <v>0</v>
      </c>
      <c r="N150" s="29">
        <v>116</v>
      </c>
      <c r="O150" s="39"/>
      <c r="P150" s="18" t="s">
        <v>20</v>
      </c>
      <c r="Q150" s="31"/>
      <c r="R150" s="31" t="s">
        <v>20</v>
      </c>
      <c r="S150" s="33" t="s">
        <v>25</v>
      </c>
      <c r="T150" s="33" t="s">
        <v>25</v>
      </c>
      <c r="U150" s="31" t="s">
        <v>25</v>
      </c>
      <c r="V150" s="21" t="s">
        <v>25</v>
      </c>
      <c r="W150" s="21" t="s">
        <v>25</v>
      </c>
      <c r="X150" s="18" t="s">
        <v>20</v>
      </c>
      <c r="Y150" s="21"/>
      <c r="Z150" s="21"/>
      <c r="AA150" s="21"/>
      <c r="AB150" s="18" t="s">
        <v>20</v>
      </c>
      <c r="AC150" s="23" t="s">
        <v>50</v>
      </c>
      <c r="AD150" s="24" t="s">
        <v>72</v>
      </c>
      <c r="AE150" s="34">
        <v>219</v>
      </c>
      <c r="AF150" s="35">
        <v>1</v>
      </c>
      <c r="AG150" s="28" t="str">
        <f t="shared" si="6"/>
        <v>219-1</v>
      </c>
      <c r="AH150" s="24" t="s">
        <v>135</v>
      </c>
      <c r="AI150" s="2" t="b">
        <f t="shared" si="4"/>
        <v>1</v>
      </c>
      <c r="AK150" s="24" t="s">
        <v>150</v>
      </c>
      <c r="AL150" s="2" t="b">
        <f t="shared" si="5"/>
        <v>1</v>
      </c>
    </row>
    <row r="151" spans="1:38" ht="12.75" hidden="1" customHeight="1">
      <c r="A151" s="12">
        <v>115</v>
      </c>
      <c r="B151" s="28"/>
      <c r="C151" s="15" t="s">
        <v>20</v>
      </c>
      <c r="D151" s="15">
        <v>3</v>
      </c>
      <c r="E151" s="13" t="s">
        <v>50</v>
      </c>
      <c r="F151" s="17" t="s">
        <v>72</v>
      </c>
      <c r="G151" s="13">
        <v>219</v>
      </c>
      <c r="H151" s="19">
        <v>1</v>
      </c>
      <c r="I151" s="19" t="str">
        <f t="shared" si="0"/>
        <v>219-1</v>
      </c>
      <c r="J151" s="17" t="s">
        <v>150</v>
      </c>
      <c r="K151" s="21"/>
      <c r="L151" s="2" t="b">
        <f t="shared" si="1"/>
        <v>1</v>
      </c>
      <c r="M151" s="2" t="b">
        <f t="shared" si="2"/>
        <v>0</v>
      </c>
      <c r="N151" s="29">
        <v>115</v>
      </c>
      <c r="O151" s="39"/>
      <c r="P151" s="18" t="s">
        <v>20</v>
      </c>
      <c r="Q151" s="31"/>
      <c r="R151" s="31" t="s">
        <v>20</v>
      </c>
      <c r="S151" s="33" t="s">
        <v>25</v>
      </c>
      <c r="T151" s="33" t="s">
        <v>25</v>
      </c>
      <c r="U151" s="31" t="s">
        <v>25</v>
      </c>
      <c r="V151" s="21" t="s">
        <v>25</v>
      </c>
      <c r="W151" s="21" t="s">
        <v>25</v>
      </c>
      <c r="X151" s="18" t="s">
        <v>20</v>
      </c>
      <c r="Y151" s="21"/>
      <c r="Z151" s="21"/>
      <c r="AA151" s="21"/>
      <c r="AB151" s="18" t="s">
        <v>20</v>
      </c>
      <c r="AC151" s="23" t="s">
        <v>50</v>
      </c>
      <c r="AD151" s="24" t="s">
        <v>72</v>
      </c>
      <c r="AE151" s="34">
        <v>219</v>
      </c>
      <c r="AF151" s="35">
        <v>1</v>
      </c>
      <c r="AG151" s="28" t="str">
        <f t="shared" si="6"/>
        <v>219-1</v>
      </c>
      <c r="AH151" s="24" t="s">
        <v>135</v>
      </c>
      <c r="AI151" s="2" t="b">
        <f t="shared" si="4"/>
        <v>1</v>
      </c>
      <c r="AK151" s="24" t="s">
        <v>150</v>
      </c>
      <c r="AL151" s="2" t="b">
        <f t="shared" si="5"/>
        <v>1</v>
      </c>
    </row>
    <row r="152" spans="1:38" ht="12.75" hidden="1" customHeight="1">
      <c r="A152" s="12">
        <v>116</v>
      </c>
      <c r="B152" s="28"/>
      <c r="C152" s="15" t="s">
        <v>20</v>
      </c>
      <c r="D152" s="15">
        <v>4</v>
      </c>
      <c r="E152" s="13" t="s">
        <v>124</v>
      </c>
      <c r="F152" s="17" t="s">
        <v>124</v>
      </c>
      <c r="G152" s="13">
        <v>314</v>
      </c>
      <c r="H152" s="19">
        <v>21</v>
      </c>
      <c r="I152" s="19" t="str">
        <f t="shared" si="0"/>
        <v>314-21</v>
      </c>
      <c r="J152" s="17" t="s">
        <v>98</v>
      </c>
      <c r="K152" s="21"/>
      <c r="L152" s="2" t="b">
        <f t="shared" si="1"/>
        <v>1</v>
      </c>
      <c r="M152" s="2" t="b">
        <f t="shared" si="2"/>
        <v>0</v>
      </c>
      <c r="N152" s="29">
        <v>117</v>
      </c>
      <c r="O152" s="39"/>
      <c r="P152" s="18" t="s">
        <v>20</v>
      </c>
      <c r="Q152" s="31"/>
      <c r="R152" s="31" t="s">
        <v>20</v>
      </c>
      <c r="S152" s="33" t="s">
        <v>25</v>
      </c>
      <c r="T152" s="33" t="s">
        <v>25</v>
      </c>
      <c r="U152" s="31" t="s">
        <v>25</v>
      </c>
      <c r="V152" s="21" t="s">
        <v>25</v>
      </c>
      <c r="W152" s="21" t="s">
        <v>25</v>
      </c>
      <c r="X152" s="18" t="s">
        <v>20</v>
      </c>
      <c r="Y152" s="21"/>
      <c r="Z152" s="21"/>
      <c r="AA152" s="21"/>
      <c r="AB152" s="18" t="s">
        <v>20</v>
      </c>
      <c r="AC152" s="23" t="s">
        <v>124</v>
      </c>
      <c r="AD152" s="24" t="s">
        <v>124</v>
      </c>
      <c r="AE152" s="34">
        <v>314</v>
      </c>
      <c r="AF152" s="35">
        <v>21</v>
      </c>
      <c r="AG152" s="28" t="str">
        <f t="shared" si="6"/>
        <v>314-21</v>
      </c>
      <c r="AH152" s="24" t="s">
        <v>115</v>
      </c>
      <c r="AI152" s="2" t="b">
        <f t="shared" si="4"/>
        <v>1</v>
      </c>
      <c r="AK152" s="24" t="s">
        <v>98</v>
      </c>
      <c r="AL152" s="2" t="b">
        <f t="shared" si="5"/>
        <v>1</v>
      </c>
    </row>
    <row r="153" spans="1:38" ht="12.75" hidden="1" customHeight="1">
      <c r="A153" s="12">
        <v>117</v>
      </c>
      <c r="B153" s="28"/>
      <c r="C153" s="15" t="s">
        <v>20</v>
      </c>
      <c r="D153" s="15">
        <v>4</v>
      </c>
      <c r="E153" s="13" t="s">
        <v>124</v>
      </c>
      <c r="F153" s="17" t="s">
        <v>124</v>
      </c>
      <c r="G153" s="13">
        <v>314</v>
      </c>
      <c r="H153" s="19">
        <v>20</v>
      </c>
      <c r="I153" s="19" t="str">
        <f t="shared" si="0"/>
        <v>314-20</v>
      </c>
      <c r="J153" s="17" t="s">
        <v>147</v>
      </c>
      <c r="K153" s="21"/>
      <c r="L153" s="2" t="b">
        <f t="shared" si="1"/>
        <v>1</v>
      </c>
      <c r="M153" s="2" t="b">
        <f t="shared" si="2"/>
        <v>0</v>
      </c>
      <c r="N153" s="29">
        <v>118</v>
      </c>
      <c r="O153" s="39"/>
      <c r="P153" s="18" t="s">
        <v>20</v>
      </c>
      <c r="Q153" s="31"/>
      <c r="R153" s="31" t="s">
        <v>20</v>
      </c>
      <c r="S153" s="33" t="s">
        <v>25</v>
      </c>
      <c r="T153" s="33" t="s">
        <v>25</v>
      </c>
      <c r="U153" s="31" t="s">
        <v>25</v>
      </c>
      <c r="V153" s="21" t="s">
        <v>25</v>
      </c>
      <c r="W153" s="21" t="s">
        <v>25</v>
      </c>
      <c r="X153" s="18" t="s">
        <v>20</v>
      </c>
      <c r="Y153" s="21"/>
      <c r="Z153" s="21"/>
      <c r="AA153" s="21"/>
      <c r="AB153" s="18" t="s">
        <v>20</v>
      </c>
      <c r="AC153" s="23" t="s">
        <v>124</v>
      </c>
      <c r="AD153" s="24" t="s">
        <v>124</v>
      </c>
      <c r="AE153" s="34">
        <v>314</v>
      </c>
      <c r="AF153" s="35">
        <v>20</v>
      </c>
      <c r="AG153" s="28" t="str">
        <f t="shared" si="6"/>
        <v>314-20</v>
      </c>
      <c r="AH153" s="24" t="s">
        <v>30</v>
      </c>
      <c r="AI153" s="2" t="b">
        <f t="shared" si="4"/>
        <v>1</v>
      </c>
      <c r="AK153" s="24" t="s">
        <v>75</v>
      </c>
      <c r="AL153" s="2" t="b">
        <f t="shared" si="5"/>
        <v>0</v>
      </c>
    </row>
    <row r="154" spans="1:38" ht="12.75" hidden="1" customHeight="1">
      <c r="A154" s="12">
        <v>118</v>
      </c>
      <c r="B154" s="28"/>
      <c r="C154" s="15" t="s">
        <v>20</v>
      </c>
      <c r="D154" s="15">
        <v>4</v>
      </c>
      <c r="E154" s="13" t="s">
        <v>124</v>
      </c>
      <c r="F154" s="17" t="s">
        <v>124</v>
      </c>
      <c r="G154" s="13">
        <v>314</v>
      </c>
      <c r="H154" s="19">
        <v>20</v>
      </c>
      <c r="I154" s="19" t="str">
        <f t="shared" si="0"/>
        <v>314-20</v>
      </c>
      <c r="J154" s="17" t="s">
        <v>147</v>
      </c>
      <c r="K154" s="21"/>
      <c r="L154" s="2" t="b">
        <f t="shared" si="1"/>
        <v>1</v>
      </c>
      <c r="M154" s="2" t="b">
        <f t="shared" si="2"/>
        <v>0</v>
      </c>
      <c r="N154" s="29">
        <v>121</v>
      </c>
      <c r="O154" s="39"/>
      <c r="P154" s="18" t="s">
        <v>20</v>
      </c>
      <c r="Q154" s="31"/>
      <c r="R154" s="31" t="s">
        <v>20</v>
      </c>
      <c r="S154" s="33" t="s">
        <v>25</v>
      </c>
      <c r="T154" s="33" t="s">
        <v>25</v>
      </c>
      <c r="U154" s="31" t="s">
        <v>25</v>
      </c>
      <c r="V154" s="21" t="s">
        <v>25</v>
      </c>
      <c r="W154" s="21" t="s">
        <v>25</v>
      </c>
      <c r="X154" s="18" t="s">
        <v>20</v>
      </c>
      <c r="Y154" s="21"/>
      <c r="Z154" s="21"/>
      <c r="AA154" s="21"/>
      <c r="AB154" s="18" t="s">
        <v>20</v>
      </c>
      <c r="AC154" s="23" t="s">
        <v>124</v>
      </c>
      <c r="AD154" s="24" t="s">
        <v>124</v>
      </c>
      <c r="AE154" s="34">
        <v>314</v>
      </c>
      <c r="AF154" s="35">
        <v>20</v>
      </c>
      <c r="AG154" s="28" t="str">
        <f t="shared" si="6"/>
        <v>314-20</v>
      </c>
      <c r="AH154" s="24" t="s">
        <v>30</v>
      </c>
      <c r="AI154" s="2" t="b">
        <f t="shared" si="4"/>
        <v>1</v>
      </c>
      <c r="AK154" s="24" t="s">
        <v>75</v>
      </c>
      <c r="AL154" s="2" t="b">
        <f t="shared" si="5"/>
        <v>0</v>
      </c>
    </row>
    <row r="155" spans="1:38" ht="12.75" hidden="1" customHeight="1">
      <c r="A155" s="12">
        <v>119</v>
      </c>
      <c r="B155" s="28"/>
      <c r="C155" s="15" t="s">
        <v>20</v>
      </c>
      <c r="D155" s="15">
        <v>4</v>
      </c>
      <c r="E155" s="13" t="s">
        <v>124</v>
      </c>
      <c r="F155" s="17" t="s">
        <v>124</v>
      </c>
      <c r="G155" s="13">
        <v>314</v>
      </c>
      <c r="H155" s="19">
        <v>20</v>
      </c>
      <c r="I155" s="19" t="str">
        <f t="shared" si="0"/>
        <v>314-20</v>
      </c>
      <c r="J155" s="17" t="s">
        <v>147</v>
      </c>
      <c r="K155" s="21"/>
      <c r="L155" s="2" t="b">
        <f t="shared" si="1"/>
        <v>1</v>
      </c>
      <c r="M155" s="2" t="b">
        <f t="shared" si="2"/>
        <v>0</v>
      </c>
      <c r="N155" s="29">
        <v>119</v>
      </c>
      <c r="O155" s="39"/>
      <c r="P155" s="18" t="s">
        <v>20</v>
      </c>
      <c r="Q155" s="31"/>
      <c r="R155" s="31" t="s">
        <v>20</v>
      </c>
      <c r="S155" s="33" t="s">
        <v>25</v>
      </c>
      <c r="T155" s="33" t="s">
        <v>25</v>
      </c>
      <c r="U155" s="31" t="s">
        <v>25</v>
      </c>
      <c r="V155" s="21" t="s">
        <v>25</v>
      </c>
      <c r="W155" s="21" t="s">
        <v>25</v>
      </c>
      <c r="X155" s="18" t="s">
        <v>20</v>
      </c>
      <c r="Y155" s="21"/>
      <c r="Z155" s="21"/>
      <c r="AA155" s="21"/>
      <c r="AB155" s="18" t="s">
        <v>20</v>
      </c>
      <c r="AC155" s="23" t="s">
        <v>124</v>
      </c>
      <c r="AD155" s="24" t="s">
        <v>124</v>
      </c>
      <c r="AE155" s="34">
        <v>314</v>
      </c>
      <c r="AF155" s="35">
        <v>20</v>
      </c>
      <c r="AG155" s="28" t="str">
        <f t="shared" si="6"/>
        <v>314-20</v>
      </c>
      <c r="AH155" s="24" t="s">
        <v>30</v>
      </c>
      <c r="AI155" s="2" t="b">
        <f t="shared" si="4"/>
        <v>1</v>
      </c>
      <c r="AK155" s="24" t="s">
        <v>147</v>
      </c>
      <c r="AL155" s="2" t="b">
        <f t="shared" si="5"/>
        <v>1</v>
      </c>
    </row>
    <row r="156" spans="1:38" ht="12.75" hidden="1" customHeight="1">
      <c r="A156" s="12">
        <v>120</v>
      </c>
      <c r="B156" s="28"/>
      <c r="C156" s="15" t="s">
        <v>20</v>
      </c>
      <c r="D156" s="15">
        <v>4</v>
      </c>
      <c r="E156" s="13" t="s">
        <v>124</v>
      </c>
      <c r="F156" s="17" t="s">
        <v>124</v>
      </c>
      <c r="G156" s="13">
        <v>314</v>
      </c>
      <c r="H156" s="19">
        <v>20</v>
      </c>
      <c r="I156" s="19" t="str">
        <f t="shared" si="0"/>
        <v>314-20</v>
      </c>
      <c r="J156" s="17" t="s">
        <v>147</v>
      </c>
      <c r="K156" s="21"/>
      <c r="L156" s="2" t="b">
        <f t="shared" si="1"/>
        <v>1</v>
      </c>
      <c r="M156" s="2" t="b">
        <f t="shared" si="2"/>
        <v>0</v>
      </c>
      <c r="N156" s="29">
        <v>120</v>
      </c>
      <c r="O156" s="39"/>
      <c r="P156" s="18" t="s">
        <v>20</v>
      </c>
      <c r="Q156" s="31"/>
      <c r="R156" s="31" t="s">
        <v>20</v>
      </c>
      <c r="S156" s="33" t="s">
        <v>25</v>
      </c>
      <c r="T156" s="33" t="s">
        <v>25</v>
      </c>
      <c r="U156" s="31" t="s">
        <v>25</v>
      </c>
      <c r="V156" s="21" t="s">
        <v>25</v>
      </c>
      <c r="W156" s="21" t="s">
        <v>25</v>
      </c>
      <c r="X156" s="18" t="s">
        <v>20</v>
      </c>
      <c r="Y156" s="21"/>
      <c r="Z156" s="21"/>
      <c r="AA156" s="21"/>
      <c r="AB156" s="18" t="s">
        <v>20</v>
      </c>
      <c r="AC156" s="23" t="s">
        <v>124</v>
      </c>
      <c r="AD156" s="24" t="s">
        <v>124</v>
      </c>
      <c r="AE156" s="34">
        <v>314</v>
      </c>
      <c r="AF156" s="35">
        <v>20</v>
      </c>
      <c r="AG156" s="28" t="str">
        <f t="shared" si="6"/>
        <v>314-20</v>
      </c>
      <c r="AH156" s="24" t="s">
        <v>30</v>
      </c>
      <c r="AI156" s="2" t="b">
        <f t="shared" si="4"/>
        <v>1</v>
      </c>
      <c r="AK156" s="24" t="s">
        <v>147</v>
      </c>
      <c r="AL156" s="2" t="b">
        <f t="shared" si="5"/>
        <v>1</v>
      </c>
    </row>
    <row r="157" spans="1:38" ht="12.75" hidden="1" customHeight="1">
      <c r="A157" s="12">
        <v>121</v>
      </c>
      <c r="B157" s="28"/>
      <c r="C157" s="15" t="s">
        <v>20</v>
      </c>
      <c r="D157" s="15">
        <v>4</v>
      </c>
      <c r="E157" s="13" t="s">
        <v>124</v>
      </c>
      <c r="F157" s="17" t="s">
        <v>124</v>
      </c>
      <c r="G157" s="13">
        <v>314</v>
      </c>
      <c r="H157" s="19">
        <v>20</v>
      </c>
      <c r="I157" s="19" t="str">
        <f t="shared" si="0"/>
        <v>314-20</v>
      </c>
      <c r="J157" s="17" t="s">
        <v>150</v>
      </c>
      <c r="K157" s="21"/>
      <c r="L157" s="2" t="b">
        <f t="shared" si="1"/>
        <v>1</v>
      </c>
      <c r="M157" s="2" t="b">
        <f t="shared" si="2"/>
        <v>0</v>
      </c>
      <c r="N157" s="29">
        <v>123</v>
      </c>
      <c r="O157" s="39"/>
      <c r="P157" s="18" t="s">
        <v>20</v>
      </c>
      <c r="Q157" s="31"/>
      <c r="R157" s="31" t="s">
        <v>20</v>
      </c>
      <c r="S157" s="33" t="s">
        <v>25</v>
      </c>
      <c r="T157" s="33" t="s">
        <v>25</v>
      </c>
      <c r="U157" s="31" t="s">
        <v>25</v>
      </c>
      <c r="V157" s="21" t="s">
        <v>25</v>
      </c>
      <c r="W157" s="21" t="s">
        <v>25</v>
      </c>
      <c r="X157" s="18" t="s">
        <v>20</v>
      </c>
      <c r="Y157" s="21"/>
      <c r="Z157" s="21"/>
      <c r="AA157" s="21"/>
      <c r="AB157" s="18" t="s">
        <v>20</v>
      </c>
      <c r="AC157" s="23" t="s">
        <v>124</v>
      </c>
      <c r="AD157" s="24" t="s">
        <v>124</v>
      </c>
      <c r="AE157" s="34">
        <v>314</v>
      </c>
      <c r="AF157" s="35">
        <v>20</v>
      </c>
      <c r="AG157" s="28" t="str">
        <f t="shared" si="6"/>
        <v>314-20</v>
      </c>
      <c r="AH157" s="24" t="s">
        <v>135</v>
      </c>
      <c r="AI157" s="2" t="b">
        <f t="shared" si="4"/>
        <v>1</v>
      </c>
      <c r="AK157" s="24" t="s">
        <v>150</v>
      </c>
      <c r="AL157" s="2" t="b">
        <f t="shared" si="5"/>
        <v>1</v>
      </c>
    </row>
    <row r="158" spans="1:38" ht="12.75" hidden="1" customHeight="1">
      <c r="A158" s="12">
        <v>122</v>
      </c>
      <c r="B158" s="28"/>
      <c r="C158" s="15" t="s">
        <v>20</v>
      </c>
      <c r="D158" s="15">
        <v>4</v>
      </c>
      <c r="E158" s="13" t="s">
        <v>124</v>
      </c>
      <c r="F158" s="17" t="s">
        <v>124</v>
      </c>
      <c r="G158" s="13">
        <v>314</v>
      </c>
      <c r="H158" s="19">
        <v>20</v>
      </c>
      <c r="I158" s="19" t="str">
        <f t="shared" si="0"/>
        <v>314-20</v>
      </c>
      <c r="J158" s="17" t="s">
        <v>150</v>
      </c>
      <c r="K158" s="21"/>
      <c r="L158" s="2" t="b">
        <f t="shared" si="1"/>
        <v>1</v>
      </c>
      <c r="M158" s="2" t="b">
        <f t="shared" si="2"/>
        <v>0</v>
      </c>
      <c r="N158" s="29">
        <v>122</v>
      </c>
      <c r="O158" s="39"/>
      <c r="P158" s="18" t="s">
        <v>20</v>
      </c>
      <c r="Q158" s="31"/>
      <c r="R158" s="31" t="s">
        <v>20</v>
      </c>
      <c r="S158" s="33" t="s">
        <v>25</v>
      </c>
      <c r="T158" s="33" t="s">
        <v>25</v>
      </c>
      <c r="U158" s="31" t="s">
        <v>25</v>
      </c>
      <c r="V158" s="21" t="s">
        <v>25</v>
      </c>
      <c r="W158" s="21" t="s">
        <v>25</v>
      </c>
      <c r="X158" s="18" t="s">
        <v>20</v>
      </c>
      <c r="Y158" s="21"/>
      <c r="Z158" s="21"/>
      <c r="AA158" s="21"/>
      <c r="AB158" s="18" t="s">
        <v>20</v>
      </c>
      <c r="AC158" s="23" t="s">
        <v>124</v>
      </c>
      <c r="AD158" s="24" t="s">
        <v>124</v>
      </c>
      <c r="AE158" s="34">
        <v>314</v>
      </c>
      <c r="AF158" s="35">
        <v>20</v>
      </c>
      <c r="AG158" s="28" t="str">
        <f t="shared" si="6"/>
        <v>314-20</v>
      </c>
      <c r="AH158" s="24" t="s">
        <v>135</v>
      </c>
      <c r="AI158" s="2" t="b">
        <f t="shared" si="4"/>
        <v>1</v>
      </c>
      <c r="AK158" s="24" t="s">
        <v>150</v>
      </c>
      <c r="AL158" s="2" t="b">
        <f t="shared" si="5"/>
        <v>1</v>
      </c>
    </row>
    <row r="159" spans="1:38" ht="12.75" hidden="1" customHeight="1">
      <c r="A159" s="12">
        <v>123</v>
      </c>
      <c r="B159" s="28"/>
      <c r="C159" s="15" t="s">
        <v>20</v>
      </c>
      <c r="D159" s="15">
        <v>4</v>
      </c>
      <c r="E159" s="13" t="s">
        <v>124</v>
      </c>
      <c r="F159" s="17" t="s">
        <v>124</v>
      </c>
      <c r="G159" s="13">
        <v>314</v>
      </c>
      <c r="H159" s="19">
        <v>20</v>
      </c>
      <c r="I159" s="19" t="str">
        <f t="shared" si="0"/>
        <v>314-20</v>
      </c>
      <c r="J159" s="17" t="s">
        <v>150</v>
      </c>
      <c r="K159" s="21"/>
      <c r="L159" s="2" t="b">
        <f t="shared" si="1"/>
        <v>1</v>
      </c>
      <c r="M159" s="2" t="b">
        <f t="shared" si="2"/>
        <v>0</v>
      </c>
      <c r="N159" s="29">
        <v>126</v>
      </c>
      <c r="O159" s="39"/>
      <c r="P159" s="18" t="s">
        <v>20</v>
      </c>
      <c r="Q159" s="31"/>
      <c r="R159" s="31" t="s">
        <v>20</v>
      </c>
      <c r="S159" s="33" t="s">
        <v>25</v>
      </c>
      <c r="T159" s="33" t="s">
        <v>25</v>
      </c>
      <c r="U159" s="31" t="s">
        <v>25</v>
      </c>
      <c r="V159" s="21" t="s">
        <v>25</v>
      </c>
      <c r="W159" s="21" t="s">
        <v>25</v>
      </c>
      <c r="X159" s="18" t="s">
        <v>20</v>
      </c>
      <c r="Y159" s="21"/>
      <c r="Z159" s="21"/>
      <c r="AA159" s="21"/>
      <c r="AB159" s="18" t="s">
        <v>20</v>
      </c>
      <c r="AC159" s="23" t="s">
        <v>124</v>
      </c>
      <c r="AD159" s="24" t="s">
        <v>124</v>
      </c>
      <c r="AE159" s="34">
        <v>314</v>
      </c>
      <c r="AF159" s="35">
        <v>20</v>
      </c>
      <c r="AG159" s="28" t="str">
        <f t="shared" si="6"/>
        <v>314-20</v>
      </c>
      <c r="AH159" s="24" t="s">
        <v>135</v>
      </c>
      <c r="AI159" s="2" t="b">
        <f t="shared" si="4"/>
        <v>1</v>
      </c>
      <c r="AK159" s="24" t="s">
        <v>150</v>
      </c>
      <c r="AL159" s="2" t="b">
        <f t="shared" si="5"/>
        <v>1</v>
      </c>
    </row>
    <row r="160" spans="1:38" ht="12.75" hidden="1" customHeight="1">
      <c r="A160" s="12">
        <v>124</v>
      </c>
      <c r="B160" s="28"/>
      <c r="C160" s="15" t="s">
        <v>20</v>
      </c>
      <c r="D160" s="15">
        <v>4</v>
      </c>
      <c r="E160" s="13" t="s">
        <v>124</v>
      </c>
      <c r="F160" s="17" t="s">
        <v>124</v>
      </c>
      <c r="G160" s="13">
        <v>314</v>
      </c>
      <c r="H160" s="19">
        <v>20</v>
      </c>
      <c r="I160" s="19" t="str">
        <f t="shared" si="0"/>
        <v>314-20</v>
      </c>
      <c r="J160" s="17" t="s">
        <v>150</v>
      </c>
      <c r="K160" s="21"/>
      <c r="L160" s="2" t="b">
        <f t="shared" si="1"/>
        <v>1</v>
      </c>
      <c r="M160" s="2" t="b">
        <f t="shared" si="2"/>
        <v>0</v>
      </c>
      <c r="N160" s="29">
        <v>124</v>
      </c>
      <c r="O160" s="39"/>
      <c r="P160" s="18" t="s">
        <v>20</v>
      </c>
      <c r="Q160" s="31"/>
      <c r="R160" s="31" t="s">
        <v>20</v>
      </c>
      <c r="S160" s="33" t="s">
        <v>25</v>
      </c>
      <c r="T160" s="33" t="s">
        <v>25</v>
      </c>
      <c r="U160" s="31" t="s">
        <v>25</v>
      </c>
      <c r="V160" s="21" t="s">
        <v>25</v>
      </c>
      <c r="W160" s="21" t="s">
        <v>25</v>
      </c>
      <c r="X160" s="18" t="s">
        <v>20</v>
      </c>
      <c r="Y160" s="21"/>
      <c r="Z160" s="21"/>
      <c r="AA160" s="21"/>
      <c r="AB160" s="18" t="s">
        <v>20</v>
      </c>
      <c r="AC160" s="23" t="s">
        <v>124</v>
      </c>
      <c r="AD160" s="24" t="s">
        <v>124</v>
      </c>
      <c r="AE160" s="34">
        <v>314</v>
      </c>
      <c r="AF160" s="35">
        <v>20</v>
      </c>
      <c r="AG160" s="28" t="str">
        <f t="shared" si="6"/>
        <v>314-20</v>
      </c>
      <c r="AH160" s="24" t="s">
        <v>135</v>
      </c>
      <c r="AI160" s="2" t="b">
        <f t="shared" si="4"/>
        <v>1</v>
      </c>
      <c r="AK160" s="24" t="s">
        <v>150</v>
      </c>
      <c r="AL160" s="2" t="b">
        <f t="shared" si="5"/>
        <v>1</v>
      </c>
    </row>
    <row r="161" spans="1:38" ht="12.75" hidden="1" customHeight="1">
      <c r="A161" s="12">
        <v>125</v>
      </c>
      <c r="B161" s="28"/>
      <c r="C161" s="15" t="s">
        <v>20</v>
      </c>
      <c r="D161" s="15">
        <v>4</v>
      </c>
      <c r="E161" s="13" t="s">
        <v>124</v>
      </c>
      <c r="F161" s="17" t="s">
        <v>124</v>
      </c>
      <c r="G161" s="13">
        <v>314</v>
      </c>
      <c r="H161" s="19">
        <v>20</v>
      </c>
      <c r="I161" s="19" t="str">
        <f t="shared" si="0"/>
        <v>314-20</v>
      </c>
      <c r="J161" s="17" t="s">
        <v>150</v>
      </c>
      <c r="K161" s="21"/>
      <c r="L161" s="2" t="b">
        <f t="shared" si="1"/>
        <v>1</v>
      </c>
      <c r="M161" s="2" t="b">
        <f t="shared" si="2"/>
        <v>0</v>
      </c>
      <c r="N161" s="29">
        <v>125</v>
      </c>
      <c r="O161" s="39"/>
      <c r="P161" s="18" t="s">
        <v>20</v>
      </c>
      <c r="Q161" s="31"/>
      <c r="R161" s="31" t="s">
        <v>20</v>
      </c>
      <c r="S161" s="33" t="s">
        <v>25</v>
      </c>
      <c r="T161" s="33" t="s">
        <v>25</v>
      </c>
      <c r="U161" s="31" t="s">
        <v>25</v>
      </c>
      <c r="V161" s="21" t="s">
        <v>25</v>
      </c>
      <c r="W161" s="21" t="s">
        <v>25</v>
      </c>
      <c r="X161" s="18" t="s">
        <v>20</v>
      </c>
      <c r="Y161" s="21"/>
      <c r="Z161" s="21"/>
      <c r="AA161" s="21"/>
      <c r="AB161" s="18" t="s">
        <v>20</v>
      </c>
      <c r="AC161" s="23" t="s">
        <v>124</v>
      </c>
      <c r="AD161" s="24" t="s">
        <v>124</v>
      </c>
      <c r="AE161" s="34">
        <v>314</v>
      </c>
      <c r="AF161" s="35">
        <v>20</v>
      </c>
      <c r="AG161" s="28" t="str">
        <f t="shared" si="6"/>
        <v>314-20</v>
      </c>
      <c r="AH161" s="24" t="s">
        <v>135</v>
      </c>
      <c r="AI161" s="2" t="b">
        <f t="shared" si="4"/>
        <v>1</v>
      </c>
      <c r="AK161" s="24" t="s">
        <v>150</v>
      </c>
      <c r="AL161" s="2" t="b">
        <f t="shared" si="5"/>
        <v>1</v>
      </c>
    </row>
    <row r="162" spans="1:38" ht="12.75" hidden="1" customHeight="1">
      <c r="A162" s="12">
        <v>126</v>
      </c>
      <c r="B162" s="28"/>
      <c r="C162" s="15" t="s">
        <v>20</v>
      </c>
      <c r="D162" s="15">
        <v>4</v>
      </c>
      <c r="E162" s="13" t="s">
        <v>124</v>
      </c>
      <c r="F162" s="17" t="s">
        <v>124</v>
      </c>
      <c r="G162" s="13">
        <v>314</v>
      </c>
      <c r="H162" s="19">
        <v>15</v>
      </c>
      <c r="I162" s="19" t="str">
        <f t="shared" si="0"/>
        <v>314-15</v>
      </c>
      <c r="J162" s="17" t="s">
        <v>174</v>
      </c>
      <c r="K162" s="21"/>
      <c r="L162" s="2" t="b">
        <f t="shared" si="1"/>
        <v>1</v>
      </c>
      <c r="M162" s="2" t="b">
        <f t="shared" si="2"/>
        <v>0</v>
      </c>
      <c r="N162" s="29">
        <v>127</v>
      </c>
      <c r="O162" s="39"/>
      <c r="P162" s="18" t="s">
        <v>20</v>
      </c>
      <c r="Q162" s="31"/>
      <c r="R162" s="31" t="s">
        <v>20</v>
      </c>
      <c r="S162" s="33" t="s">
        <v>25</v>
      </c>
      <c r="T162" s="33" t="s">
        <v>25</v>
      </c>
      <c r="U162" s="31" t="s">
        <v>25</v>
      </c>
      <c r="V162" s="21" t="s">
        <v>25</v>
      </c>
      <c r="W162" s="21" t="s">
        <v>25</v>
      </c>
      <c r="X162" s="18" t="s">
        <v>20</v>
      </c>
      <c r="Y162" s="21"/>
      <c r="Z162" s="21"/>
      <c r="AA162" s="21"/>
      <c r="AB162" s="18" t="s">
        <v>20</v>
      </c>
      <c r="AC162" s="23" t="s">
        <v>124</v>
      </c>
      <c r="AD162" s="24" t="s">
        <v>124</v>
      </c>
      <c r="AE162" s="34">
        <v>314</v>
      </c>
      <c r="AF162" s="35">
        <v>15</v>
      </c>
      <c r="AG162" s="28" t="str">
        <f t="shared" si="6"/>
        <v>314-15</v>
      </c>
      <c r="AH162" s="24" t="s">
        <v>143</v>
      </c>
      <c r="AI162" s="2" t="b">
        <f t="shared" si="4"/>
        <v>1</v>
      </c>
      <c r="AK162" s="24" t="s">
        <v>174</v>
      </c>
      <c r="AL162" s="2" t="b">
        <f t="shared" si="5"/>
        <v>1</v>
      </c>
    </row>
    <row r="163" spans="1:38" ht="12.75" hidden="1" customHeight="1">
      <c r="A163" s="12">
        <v>127</v>
      </c>
      <c r="B163" s="28"/>
      <c r="C163" s="15" t="s">
        <v>20</v>
      </c>
      <c r="D163" s="15">
        <v>4</v>
      </c>
      <c r="E163" s="13" t="s">
        <v>124</v>
      </c>
      <c r="F163" s="17" t="s">
        <v>124</v>
      </c>
      <c r="G163" s="13">
        <v>314</v>
      </c>
      <c r="H163" s="19">
        <v>15</v>
      </c>
      <c r="I163" s="19" t="str">
        <f t="shared" si="0"/>
        <v>314-15</v>
      </c>
      <c r="J163" s="17" t="s">
        <v>153</v>
      </c>
      <c r="K163" s="21"/>
      <c r="L163" s="2" t="b">
        <f t="shared" si="1"/>
        <v>1</v>
      </c>
      <c r="M163" s="2" t="b">
        <f t="shared" si="2"/>
        <v>0</v>
      </c>
      <c r="N163" s="29">
        <v>131</v>
      </c>
      <c r="O163" s="39"/>
      <c r="P163" s="18" t="s">
        <v>20</v>
      </c>
      <c r="Q163" s="31"/>
      <c r="R163" s="31" t="s">
        <v>20</v>
      </c>
      <c r="S163" s="33" t="s">
        <v>25</v>
      </c>
      <c r="T163" s="33" t="s">
        <v>25</v>
      </c>
      <c r="U163" s="31" t="s">
        <v>25</v>
      </c>
      <c r="V163" s="21" t="s">
        <v>25</v>
      </c>
      <c r="W163" s="21" t="s">
        <v>25</v>
      </c>
      <c r="X163" s="18" t="s">
        <v>20</v>
      </c>
      <c r="Y163" s="21"/>
      <c r="Z163" s="21"/>
      <c r="AA163" s="21"/>
      <c r="AB163" s="18" t="s">
        <v>20</v>
      </c>
      <c r="AC163" s="23" t="s">
        <v>124</v>
      </c>
      <c r="AD163" s="24" t="s">
        <v>124</v>
      </c>
      <c r="AE163" s="34">
        <v>314</v>
      </c>
      <c r="AF163" s="35">
        <v>15</v>
      </c>
      <c r="AG163" s="28" t="str">
        <f t="shared" si="6"/>
        <v>314-15</v>
      </c>
      <c r="AH163" s="24" t="s">
        <v>95</v>
      </c>
      <c r="AI163" s="2" t="b">
        <f t="shared" si="4"/>
        <v>1</v>
      </c>
      <c r="AK163" s="24" t="s">
        <v>153</v>
      </c>
      <c r="AL163" s="2" t="b">
        <f t="shared" si="5"/>
        <v>1</v>
      </c>
    </row>
    <row r="164" spans="1:38" ht="12.75" hidden="1" customHeight="1">
      <c r="A164" s="12">
        <v>128</v>
      </c>
      <c r="B164" s="28"/>
      <c r="C164" s="15" t="s">
        <v>20</v>
      </c>
      <c r="D164" s="15">
        <v>4</v>
      </c>
      <c r="E164" s="13" t="s">
        <v>124</v>
      </c>
      <c r="F164" s="17" t="s">
        <v>124</v>
      </c>
      <c r="G164" s="13">
        <v>314</v>
      </c>
      <c r="H164" s="19">
        <v>15</v>
      </c>
      <c r="I164" s="19" t="str">
        <f t="shared" si="0"/>
        <v>314-15</v>
      </c>
      <c r="J164" s="17" t="s">
        <v>153</v>
      </c>
      <c r="K164" s="21"/>
      <c r="L164" s="2" t="b">
        <f t="shared" si="1"/>
        <v>1</v>
      </c>
      <c r="M164" s="2" t="b">
        <f t="shared" si="2"/>
        <v>0</v>
      </c>
      <c r="N164" s="29">
        <v>128</v>
      </c>
      <c r="O164" s="39"/>
      <c r="P164" s="18" t="s">
        <v>20</v>
      </c>
      <c r="Q164" s="31"/>
      <c r="R164" s="31" t="s">
        <v>20</v>
      </c>
      <c r="S164" s="33" t="s">
        <v>25</v>
      </c>
      <c r="T164" s="33" t="s">
        <v>25</v>
      </c>
      <c r="U164" s="31" t="s">
        <v>25</v>
      </c>
      <c r="V164" s="21" t="s">
        <v>25</v>
      </c>
      <c r="W164" s="21" t="s">
        <v>25</v>
      </c>
      <c r="X164" s="18" t="s">
        <v>20</v>
      </c>
      <c r="Y164" s="21"/>
      <c r="Z164" s="21"/>
      <c r="AA164" s="21"/>
      <c r="AB164" s="18" t="s">
        <v>20</v>
      </c>
      <c r="AC164" s="23" t="s">
        <v>124</v>
      </c>
      <c r="AD164" s="24" t="s">
        <v>124</v>
      </c>
      <c r="AE164" s="34">
        <v>314</v>
      </c>
      <c r="AF164" s="35">
        <v>15</v>
      </c>
      <c r="AG164" s="28" t="str">
        <f t="shared" si="6"/>
        <v>314-15</v>
      </c>
      <c r="AH164" s="24" t="s">
        <v>95</v>
      </c>
      <c r="AI164" s="2" t="b">
        <f t="shared" si="4"/>
        <v>1</v>
      </c>
      <c r="AK164" s="24" t="s">
        <v>153</v>
      </c>
      <c r="AL164" s="2" t="b">
        <f t="shared" si="5"/>
        <v>1</v>
      </c>
    </row>
    <row r="165" spans="1:38" ht="12.75" hidden="1" customHeight="1">
      <c r="A165" s="12">
        <v>129</v>
      </c>
      <c r="B165" s="28"/>
      <c r="C165" s="15" t="s">
        <v>20</v>
      </c>
      <c r="D165" s="15">
        <v>4</v>
      </c>
      <c r="E165" s="13" t="s">
        <v>124</v>
      </c>
      <c r="F165" s="17" t="s">
        <v>124</v>
      </c>
      <c r="G165" s="13">
        <v>314</v>
      </c>
      <c r="H165" s="19">
        <v>15</v>
      </c>
      <c r="I165" s="19" t="str">
        <f t="shared" si="0"/>
        <v>314-15</v>
      </c>
      <c r="J165" s="17" t="s">
        <v>153</v>
      </c>
      <c r="K165" s="21"/>
      <c r="L165" s="2" t="b">
        <f t="shared" si="1"/>
        <v>1</v>
      </c>
      <c r="M165" s="2" t="b">
        <f t="shared" si="2"/>
        <v>0</v>
      </c>
      <c r="N165" s="29">
        <v>129</v>
      </c>
      <c r="O165" s="39"/>
      <c r="P165" s="18" t="s">
        <v>20</v>
      </c>
      <c r="Q165" s="31"/>
      <c r="R165" s="31" t="s">
        <v>20</v>
      </c>
      <c r="S165" s="33" t="s">
        <v>25</v>
      </c>
      <c r="T165" s="33" t="s">
        <v>25</v>
      </c>
      <c r="U165" s="31" t="s">
        <v>25</v>
      </c>
      <c r="V165" s="21" t="s">
        <v>25</v>
      </c>
      <c r="W165" s="21" t="s">
        <v>25</v>
      </c>
      <c r="X165" s="18" t="s">
        <v>20</v>
      </c>
      <c r="Y165" s="21"/>
      <c r="Z165" s="21"/>
      <c r="AA165" s="21"/>
      <c r="AB165" s="18" t="s">
        <v>20</v>
      </c>
      <c r="AC165" s="23" t="s">
        <v>124</v>
      </c>
      <c r="AD165" s="24" t="s">
        <v>124</v>
      </c>
      <c r="AE165" s="34">
        <v>314</v>
      </c>
      <c r="AF165" s="35">
        <v>15</v>
      </c>
      <c r="AG165" s="28" t="str">
        <f t="shared" si="6"/>
        <v>314-15</v>
      </c>
      <c r="AH165" s="24" t="s">
        <v>95</v>
      </c>
      <c r="AI165" s="2" t="b">
        <f t="shared" si="4"/>
        <v>1</v>
      </c>
      <c r="AK165" s="24" t="s">
        <v>153</v>
      </c>
      <c r="AL165" s="2" t="b">
        <f t="shared" si="5"/>
        <v>1</v>
      </c>
    </row>
    <row r="166" spans="1:38" ht="12.75" hidden="1" customHeight="1">
      <c r="A166" s="12">
        <v>130</v>
      </c>
      <c r="B166" s="28"/>
      <c r="C166" s="15" t="s">
        <v>20</v>
      </c>
      <c r="D166" s="15">
        <v>4</v>
      </c>
      <c r="E166" s="13" t="s">
        <v>124</v>
      </c>
      <c r="F166" s="17" t="s">
        <v>124</v>
      </c>
      <c r="G166" s="13">
        <v>314</v>
      </c>
      <c r="H166" s="19">
        <v>15</v>
      </c>
      <c r="I166" s="19" t="str">
        <f t="shared" si="0"/>
        <v>314-15</v>
      </c>
      <c r="J166" s="17" t="s">
        <v>153</v>
      </c>
      <c r="K166" s="21"/>
      <c r="L166" s="2" t="b">
        <f t="shared" si="1"/>
        <v>1</v>
      </c>
      <c r="M166" s="2" t="b">
        <f t="shared" si="2"/>
        <v>0</v>
      </c>
      <c r="N166" s="29">
        <v>130</v>
      </c>
      <c r="O166" s="39"/>
      <c r="P166" s="18" t="s">
        <v>20</v>
      </c>
      <c r="Q166" s="31"/>
      <c r="R166" s="31" t="s">
        <v>20</v>
      </c>
      <c r="S166" s="33" t="s">
        <v>25</v>
      </c>
      <c r="T166" s="33" t="s">
        <v>25</v>
      </c>
      <c r="U166" s="31" t="s">
        <v>25</v>
      </c>
      <c r="V166" s="21" t="s">
        <v>25</v>
      </c>
      <c r="W166" s="21" t="s">
        <v>25</v>
      </c>
      <c r="X166" s="18" t="s">
        <v>20</v>
      </c>
      <c r="Y166" s="21"/>
      <c r="Z166" s="21"/>
      <c r="AA166" s="21"/>
      <c r="AB166" s="18" t="s">
        <v>20</v>
      </c>
      <c r="AC166" s="23" t="s">
        <v>124</v>
      </c>
      <c r="AD166" s="24" t="s">
        <v>124</v>
      </c>
      <c r="AE166" s="34">
        <v>314</v>
      </c>
      <c r="AF166" s="35">
        <v>15</v>
      </c>
      <c r="AG166" s="28" t="str">
        <f t="shared" si="6"/>
        <v>314-15</v>
      </c>
      <c r="AH166" s="24" t="s">
        <v>95</v>
      </c>
      <c r="AI166" s="2" t="b">
        <f t="shared" si="4"/>
        <v>1</v>
      </c>
      <c r="AK166" s="24" t="s">
        <v>153</v>
      </c>
      <c r="AL166" s="2" t="b">
        <f t="shared" si="5"/>
        <v>1</v>
      </c>
    </row>
    <row r="167" spans="1:38" ht="12.75" hidden="1" customHeight="1">
      <c r="A167" s="12">
        <v>131</v>
      </c>
      <c r="B167" s="28"/>
      <c r="C167" s="15" t="s">
        <v>20</v>
      </c>
      <c r="D167" s="15">
        <v>4</v>
      </c>
      <c r="E167" s="13" t="s">
        <v>124</v>
      </c>
      <c r="F167" s="17" t="s">
        <v>124</v>
      </c>
      <c r="G167" s="13">
        <v>314</v>
      </c>
      <c r="H167" s="19">
        <v>15</v>
      </c>
      <c r="I167" s="19" t="str">
        <f t="shared" si="0"/>
        <v>314-15</v>
      </c>
      <c r="J167" s="17" t="s">
        <v>213</v>
      </c>
      <c r="K167" s="21"/>
      <c r="L167" s="2" t="b">
        <f t="shared" si="1"/>
        <v>1</v>
      </c>
      <c r="M167" s="2" t="b">
        <f t="shared" si="2"/>
        <v>0</v>
      </c>
      <c r="N167" s="29">
        <v>132</v>
      </c>
      <c r="O167" s="39"/>
      <c r="P167" s="18" t="s">
        <v>20</v>
      </c>
      <c r="Q167" s="31"/>
      <c r="R167" s="31" t="s">
        <v>20</v>
      </c>
      <c r="S167" s="33" t="s">
        <v>25</v>
      </c>
      <c r="T167" s="33" t="s">
        <v>25</v>
      </c>
      <c r="U167" s="31" t="s">
        <v>25</v>
      </c>
      <c r="V167" s="21" t="s">
        <v>25</v>
      </c>
      <c r="W167" s="21" t="s">
        <v>25</v>
      </c>
      <c r="X167" s="18" t="s">
        <v>20</v>
      </c>
      <c r="Y167" s="21"/>
      <c r="Z167" s="21"/>
      <c r="AA167" s="21"/>
      <c r="AB167" s="18" t="s">
        <v>20</v>
      </c>
      <c r="AC167" s="23" t="s">
        <v>124</v>
      </c>
      <c r="AD167" s="24" t="s">
        <v>124</v>
      </c>
      <c r="AE167" s="34">
        <v>314</v>
      </c>
      <c r="AF167" s="35">
        <v>15</v>
      </c>
      <c r="AG167" s="28" t="str">
        <f t="shared" si="6"/>
        <v>314-15</v>
      </c>
      <c r="AH167" s="24" t="s">
        <v>113</v>
      </c>
      <c r="AI167" s="2" t="b">
        <f t="shared" si="4"/>
        <v>1</v>
      </c>
      <c r="AK167" s="24" t="s">
        <v>213</v>
      </c>
      <c r="AL167" s="2" t="b">
        <f t="shared" si="5"/>
        <v>1</v>
      </c>
    </row>
    <row r="168" spans="1:38" ht="12.75" hidden="1" customHeight="1">
      <c r="A168" s="12">
        <v>132</v>
      </c>
      <c r="B168" s="28"/>
      <c r="C168" s="15" t="s">
        <v>20</v>
      </c>
      <c r="D168" s="15">
        <v>4</v>
      </c>
      <c r="E168" s="13" t="s">
        <v>124</v>
      </c>
      <c r="F168" s="17" t="s">
        <v>124</v>
      </c>
      <c r="G168" s="13">
        <v>314</v>
      </c>
      <c r="H168" s="19">
        <v>15</v>
      </c>
      <c r="I168" s="19" t="str">
        <f t="shared" si="0"/>
        <v>314-15</v>
      </c>
      <c r="J168" s="17" t="s">
        <v>33</v>
      </c>
      <c r="K168" s="21"/>
      <c r="L168" s="2" t="b">
        <f t="shared" si="1"/>
        <v>1</v>
      </c>
      <c r="M168" s="2" t="b">
        <f t="shared" si="2"/>
        <v>0</v>
      </c>
      <c r="N168" s="29">
        <v>133</v>
      </c>
      <c r="O168" s="39"/>
      <c r="P168" s="18" t="s">
        <v>20</v>
      </c>
      <c r="Q168" s="31"/>
      <c r="R168" s="31" t="s">
        <v>20</v>
      </c>
      <c r="S168" s="33" t="s">
        <v>25</v>
      </c>
      <c r="T168" s="33" t="s">
        <v>25</v>
      </c>
      <c r="U168" s="31" t="s">
        <v>25</v>
      </c>
      <c r="V168" s="21" t="s">
        <v>25</v>
      </c>
      <c r="W168" s="21" t="s">
        <v>25</v>
      </c>
      <c r="X168" s="18" t="s">
        <v>20</v>
      </c>
      <c r="Y168" s="21"/>
      <c r="Z168" s="21"/>
      <c r="AA168" s="21"/>
      <c r="AB168" s="18" t="s">
        <v>20</v>
      </c>
      <c r="AC168" s="23" t="s">
        <v>124</v>
      </c>
      <c r="AD168" s="24" t="s">
        <v>124</v>
      </c>
      <c r="AE168" s="34">
        <v>314</v>
      </c>
      <c r="AF168" s="35">
        <v>15</v>
      </c>
      <c r="AG168" s="28" t="str">
        <f t="shared" si="6"/>
        <v>314-15</v>
      </c>
      <c r="AH168" s="24" t="s">
        <v>132</v>
      </c>
      <c r="AI168" s="2" t="b">
        <f t="shared" si="4"/>
        <v>1</v>
      </c>
      <c r="AK168" s="24" t="s">
        <v>33</v>
      </c>
      <c r="AL168" s="2" t="b">
        <f t="shared" si="5"/>
        <v>1</v>
      </c>
    </row>
    <row r="169" spans="1:38" ht="12.75" hidden="1" customHeight="1">
      <c r="A169" s="12">
        <v>133</v>
      </c>
      <c r="B169" s="28"/>
      <c r="C169" s="15" t="s">
        <v>20</v>
      </c>
      <c r="D169" s="15">
        <v>4</v>
      </c>
      <c r="E169" s="13" t="s">
        <v>124</v>
      </c>
      <c r="F169" s="17" t="s">
        <v>124</v>
      </c>
      <c r="G169" s="13">
        <v>314</v>
      </c>
      <c r="H169" s="19">
        <v>15</v>
      </c>
      <c r="I169" s="19" t="str">
        <f t="shared" si="0"/>
        <v>314-15</v>
      </c>
      <c r="J169" s="17" t="s">
        <v>33</v>
      </c>
      <c r="K169" s="21"/>
      <c r="L169" s="2" t="b">
        <f t="shared" si="1"/>
        <v>1</v>
      </c>
      <c r="M169" s="2" t="b">
        <f t="shared" si="2"/>
        <v>0</v>
      </c>
      <c r="N169" s="29">
        <v>134</v>
      </c>
      <c r="O169" s="39"/>
      <c r="P169" s="18" t="s">
        <v>20</v>
      </c>
      <c r="Q169" s="31"/>
      <c r="R169" s="31" t="s">
        <v>20</v>
      </c>
      <c r="S169" s="33" t="s">
        <v>25</v>
      </c>
      <c r="T169" s="33" t="s">
        <v>25</v>
      </c>
      <c r="U169" s="31" t="s">
        <v>25</v>
      </c>
      <c r="V169" s="21" t="s">
        <v>25</v>
      </c>
      <c r="W169" s="21" t="s">
        <v>25</v>
      </c>
      <c r="X169" s="18" t="s">
        <v>20</v>
      </c>
      <c r="Y169" s="21"/>
      <c r="Z169" s="21"/>
      <c r="AA169" s="21"/>
      <c r="AB169" s="18" t="s">
        <v>20</v>
      </c>
      <c r="AC169" s="23" t="s">
        <v>124</v>
      </c>
      <c r="AD169" s="24" t="s">
        <v>124</v>
      </c>
      <c r="AE169" s="34">
        <v>314</v>
      </c>
      <c r="AF169" s="35">
        <v>15</v>
      </c>
      <c r="AG169" s="28" t="str">
        <f t="shared" si="6"/>
        <v>314-15</v>
      </c>
      <c r="AH169" s="24" t="s">
        <v>132</v>
      </c>
      <c r="AI169" s="2" t="b">
        <f t="shared" si="4"/>
        <v>1</v>
      </c>
      <c r="AK169" s="24" t="s">
        <v>33</v>
      </c>
      <c r="AL169" s="2" t="b">
        <f t="shared" si="5"/>
        <v>1</v>
      </c>
    </row>
    <row r="170" spans="1:38" ht="12.75" hidden="1" customHeight="1">
      <c r="A170" s="12">
        <v>134</v>
      </c>
      <c r="B170" s="28"/>
      <c r="C170" s="15" t="s">
        <v>20</v>
      </c>
      <c r="D170" s="15">
        <v>4</v>
      </c>
      <c r="E170" s="13" t="s">
        <v>124</v>
      </c>
      <c r="F170" s="17" t="s">
        <v>124</v>
      </c>
      <c r="G170" s="13">
        <v>314</v>
      </c>
      <c r="H170" s="19">
        <v>9</v>
      </c>
      <c r="I170" s="19" t="str">
        <f t="shared" si="0"/>
        <v>314-9</v>
      </c>
      <c r="J170" s="17" t="s">
        <v>153</v>
      </c>
      <c r="K170" s="21"/>
      <c r="L170" s="2" t="b">
        <f t="shared" si="1"/>
        <v>1</v>
      </c>
      <c r="M170" s="2" t="b">
        <f t="shared" si="2"/>
        <v>0</v>
      </c>
      <c r="N170" s="29">
        <v>135</v>
      </c>
      <c r="O170" s="39"/>
      <c r="P170" s="18" t="s">
        <v>20</v>
      </c>
      <c r="Q170" s="31"/>
      <c r="R170" s="31" t="s">
        <v>20</v>
      </c>
      <c r="S170" s="33" t="s">
        <v>25</v>
      </c>
      <c r="T170" s="33" t="s">
        <v>25</v>
      </c>
      <c r="U170" s="31" t="s">
        <v>25</v>
      </c>
      <c r="V170" s="21" t="s">
        <v>25</v>
      </c>
      <c r="W170" s="21" t="s">
        <v>25</v>
      </c>
      <c r="X170" s="18" t="s">
        <v>20</v>
      </c>
      <c r="Y170" s="21"/>
      <c r="Z170" s="21"/>
      <c r="AA170" s="21"/>
      <c r="AB170" s="18" t="s">
        <v>20</v>
      </c>
      <c r="AC170" s="23" t="s">
        <v>124</v>
      </c>
      <c r="AD170" s="24" t="s">
        <v>124</v>
      </c>
      <c r="AE170" s="34">
        <v>314</v>
      </c>
      <c r="AF170" s="35">
        <v>9</v>
      </c>
      <c r="AG170" s="28" t="str">
        <f t="shared" si="6"/>
        <v>314-9</v>
      </c>
      <c r="AH170" s="24" t="s">
        <v>95</v>
      </c>
      <c r="AI170" s="2" t="b">
        <f t="shared" si="4"/>
        <v>1</v>
      </c>
      <c r="AK170" s="24" t="s">
        <v>153</v>
      </c>
      <c r="AL170" s="2" t="b">
        <f t="shared" si="5"/>
        <v>1</v>
      </c>
    </row>
    <row r="171" spans="1:38" ht="12.75" hidden="1" customHeight="1">
      <c r="A171" s="12">
        <v>135</v>
      </c>
      <c r="B171" s="28">
        <v>41667895</v>
      </c>
      <c r="C171" s="15" t="s">
        <v>347</v>
      </c>
      <c r="D171" s="15">
        <v>4</v>
      </c>
      <c r="E171" s="13" t="s">
        <v>124</v>
      </c>
      <c r="F171" s="17" t="s">
        <v>124</v>
      </c>
      <c r="G171" s="13">
        <v>314</v>
      </c>
      <c r="H171" s="19">
        <v>9</v>
      </c>
      <c r="I171" s="19" t="str">
        <f t="shared" si="0"/>
        <v>314-9</v>
      </c>
      <c r="J171" s="17" t="s">
        <v>213</v>
      </c>
      <c r="K171" s="56" t="s">
        <v>49</v>
      </c>
      <c r="L171" s="2" t="b">
        <f t="shared" si="1"/>
        <v>1</v>
      </c>
      <c r="M171" s="2" t="b">
        <f t="shared" si="2"/>
        <v>0</v>
      </c>
      <c r="N171" s="29">
        <v>136</v>
      </c>
      <c r="O171" s="39">
        <v>41667895</v>
      </c>
      <c r="P171" s="18" t="s">
        <v>347</v>
      </c>
      <c r="Q171" s="31" t="s">
        <v>49</v>
      </c>
      <c r="R171" s="31" t="s">
        <v>49</v>
      </c>
      <c r="S171" s="33">
        <v>42585</v>
      </c>
      <c r="T171" s="33">
        <v>30867</v>
      </c>
      <c r="U171" s="31" t="s">
        <v>48</v>
      </c>
      <c r="V171" s="21">
        <v>65</v>
      </c>
      <c r="W171" s="21" t="s">
        <v>25</v>
      </c>
      <c r="X171" s="31"/>
      <c r="Y171" s="21"/>
      <c r="Z171" s="21"/>
      <c r="AA171" s="21"/>
      <c r="AB171" s="18" t="s">
        <v>53</v>
      </c>
      <c r="AC171" s="23" t="s">
        <v>124</v>
      </c>
      <c r="AD171" s="24" t="s">
        <v>124</v>
      </c>
      <c r="AE171" s="34">
        <v>314</v>
      </c>
      <c r="AF171" s="35">
        <v>9</v>
      </c>
      <c r="AG171" s="28" t="str">
        <f t="shared" si="6"/>
        <v>314-9</v>
      </c>
      <c r="AH171" s="24" t="s">
        <v>113</v>
      </c>
      <c r="AI171" s="2" t="b">
        <f t="shared" si="4"/>
        <v>1</v>
      </c>
      <c r="AK171" s="24" t="s">
        <v>213</v>
      </c>
      <c r="AL171" s="2" t="b">
        <f t="shared" si="5"/>
        <v>1</v>
      </c>
    </row>
    <row r="172" spans="1:38" ht="15.75" customHeight="1"/>
    <row r="173" spans="1:38" ht="15.75" customHeight="1"/>
    <row r="174" spans="1:38" ht="15.75" customHeight="1"/>
    <row r="175" spans="1:38" ht="15.75" customHeight="1"/>
    <row r="176" spans="1:38"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L171" xr:uid="{00000000-0009-0000-0000-000002000000}">
    <filterColumn colId="30">
      <filters>
        <filter val="006"/>
        <filter val="020"/>
        <filter val="045"/>
        <filter val="105"/>
        <filter val="115"/>
        <filter val="222"/>
        <filter val="407"/>
        <filter val="425"/>
        <filter val="470"/>
        <filter val="480"/>
      </filters>
    </filterColumn>
    <filterColumn colId="31">
      <filters>
        <filter val="01"/>
        <filter val="03"/>
        <filter val="05"/>
        <filter val="06"/>
        <filter val="07"/>
        <filter val="08"/>
        <filter val="09"/>
        <filter val="10"/>
        <filter val="11"/>
        <filter val="13"/>
        <filter val="14"/>
        <filter val="15"/>
        <filter val="16"/>
        <filter val="17"/>
        <filter val="18"/>
        <filter val="20"/>
        <filter val="22"/>
        <filter val="25"/>
        <filter val="26"/>
        <filter val="27"/>
      </filters>
    </filterColumn>
  </autoFilter>
  <pageMargins left="0.11811023622047245" right="0.11811023622047245" top="0.35433070866141736" bottom="0.15748031496062992" header="0" footer="0"/>
  <pageSetup paperSize="9" scale="90"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21:A1000"/>
  <sheetViews>
    <sheetView workbookViewId="0"/>
  </sheetViews>
  <sheetFormatPr baseColWidth="10" defaultColWidth="14.42578125" defaultRowHeight="15" customHeight="1"/>
  <cols>
    <col min="1" max="1" width="10.7109375" customWidth="1"/>
    <col min="2" max="2" width="12.5703125" customWidth="1"/>
    <col min="3" max="3" width="12.85546875" customWidth="1"/>
    <col min="4" max="4" width="31.42578125" customWidth="1"/>
    <col min="5" max="5" width="10.5703125" customWidth="1"/>
    <col min="6" max="6" width="9.8554687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1:A1000"/>
  <sheetViews>
    <sheetView workbookViewId="0"/>
  </sheetViews>
  <sheetFormatPr baseColWidth="10" defaultColWidth="14.42578125" defaultRowHeight="15" customHeight="1"/>
  <cols>
    <col min="1" max="1" width="17.5703125" customWidth="1"/>
    <col min="2" max="2" width="20.28515625" customWidth="1"/>
    <col min="3" max="3" width="17.28515625" customWidth="1"/>
    <col min="4" max="6" width="10.710937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5B3D7"/>
    <pageSetUpPr fitToPage="1"/>
  </sheetPr>
  <dimension ref="A1:BQ389"/>
  <sheetViews>
    <sheetView tabSelected="1" workbookViewId="0">
      <pane xSplit="3" ySplit="4" topLeftCell="F138" activePane="bottomRight" state="frozen"/>
      <selection pane="topRight" activeCell="D1" sqref="D1"/>
      <selection pane="bottomLeft" activeCell="A5" sqref="A5"/>
      <selection pane="bottomRight" activeCell="A4" sqref="A4:XFD4"/>
    </sheetView>
  </sheetViews>
  <sheetFormatPr baseColWidth="10" defaultColWidth="14.42578125" defaultRowHeight="15" customHeight="1"/>
  <cols>
    <col min="1" max="1" width="4.5703125" customWidth="1"/>
    <col min="2" max="3" width="7.140625" customWidth="1"/>
    <col min="4" max="4" width="13.28515625" customWidth="1"/>
    <col min="5" max="5" width="39.85546875" customWidth="1"/>
    <col min="6" max="6" width="27.42578125" customWidth="1"/>
    <col min="7" max="7" width="24.42578125" customWidth="1"/>
    <col min="8" max="9" width="11.140625" customWidth="1"/>
    <col min="10" max="10" width="9.28515625" customWidth="1"/>
    <col min="11" max="11" width="10.5703125" customWidth="1"/>
    <col min="12" max="12" width="14.28515625" customWidth="1"/>
    <col min="13" max="13" width="27.28515625" customWidth="1"/>
    <col min="14" max="14" width="13.85546875" customWidth="1"/>
    <col min="15" max="15" width="39.5703125" customWidth="1"/>
    <col min="16" max="16" width="6.28515625" customWidth="1"/>
    <col min="17" max="17" width="2.85546875" customWidth="1"/>
    <col min="18" max="21" width="3.85546875" customWidth="1"/>
    <col min="22" max="22" width="7.5703125" customWidth="1"/>
    <col min="23" max="23" width="20.5703125" customWidth="1"/>
    <col min="24" max="24" width="15.7109375" customWidth="1"/>
    <col min="25" max="25" width="24.7109375" customWidth="1"/>
    <col min="26" max="27" width="6" customWidth="1"/>
    <col min="28" max="28" width="6.5703125" customWidth="1"/>
    <col min="29" max="29" width="44.7109375" customWidth="1"/>
    <col min="30" max="30" width="40.5703125" hidden="1" customWidth="1"/>
    <col min="31" max="31" width="40.5703125" customWidth="1"/>
    <col min="32" max="32" width="71.42578125" customWidth="1"/>
    <col min="33" max="33" width="31.7109375" customWidth="1"/>
    <col min="34" max="34" width="28.85546875" customWidth="1"/>
    <col min="35" max="35" width="12" customWidth="1"/>
    <col min="36" max="36" width="15.42578125" customWidth="1"/>
    <col min="37" max="37" width="18.42578125" customWidth="1"/>
    <col min="38" max="41" width="15.42578125" customWidth="1"/>
    <col min="42" max="42" width="15.7109375" customWidth="1"/>
    <col min="43" max="44" width="22.42578125" customWidth="1"/>
    <col min="45" max="47" width="17" customWidth="1"/>
    <col min="48" max="48" width="17.7109375" customWidth="1"/>
    <col min="49" max="50" width="17" customWidth="1"/>
    <col min="51" max="56" width="20.140625" customWidth="1"/>
  </cols>
  <sheetData>
    <row r="1" spans="1:69">
      <c r="A1" s="42"/>
      <c r="B1" s="42"/>
      <c r="C1" s="42"/>
      <c r="D1" s="43"/>
      <c r="E1" s="44"/>
      <c r="F1" s="45"/>
      <c r="G1" s="45"/>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6">
        <f>1750905*2</f>
        <v>3501810</v>
      </c>
      <c r="AJ1" s="42"/>
      <c r="AK1" s="42"/>
      <c r="AL1" s="42"/>
      <c r="AM1" s="47" t="s">
        <v>137</v>
      </c>
      <c r="AN1" s="43">
        <v>1750905</v>
      </c>
      <c r="AO1" s="43">
        <v>2968261</v>
      </c>
      <c r="AP1" s="42">
        <f>AO1*1.07</f>
        <v>3176039.27</v>
      </c>
      <c r="AQ1" s="42">
        <v>2774076</v>
      </c>
      <c r="AR1" s="42">
        <f>AN1*2</f>
        <v>3501810</v>
      </c>
      <c r="AS1" s="43"/>
      <c r="AT1" s="43"/>
      <c r="AU1" s="43"/>
      <c r="AV1" s="48"/>
      <c r="AW1" s="48"/>
      <c r="AX1" s="48"/>
      <c r="AY1" s="48"/>
      <c r="AZ1" s="48"/>
      <c r="BA1" s="48"/>
      <c r="BB1" s="48"/>
      <c r="BC1" s="48"/>
      <c r="BD1" s="48"/>
      <c r="BE1" s="48"/>
      <c r="BF1" s="48"/>
      <c r="BG1" s="48"/>
      <c r="BH1" s="48"/>
      <c r="BI1" s="48"/>
      <c r="BJ1" s="48"/>
      <c r="BK1" s="48"/>
      <c r="BL1" s="48"/>
      <c r="BM1" s="48"/>
      <c r="BN1" s="48"/>
      <c r="BO1" s="48"/>
      <c r="BP1" s="48"/>
      <c r="BQ1" s="48"/>
    </row>
    <row r="2" spans="1:69">
      <c r="A2" s="49"/>
      <c r="B2" s="43"/>
      <c r="C2" s="49"/>
      <c r="D2" s="50"/>
      <c r="E2" s="51"/>
      <c r="F2" s="52">
        <f ca="1">+TODAY()</f>
        <v>46304</v>
      </c>
      <c r="G2" s="53"/>
      <c r="H2" s="43"/>
      <c r="I2" s="43"/>
      <c r="J2" s="43"/>
      <c r="K2" s="43"/>
      <c r="L2" s="43"/>
      <c r="M2" s="43"/>
      <c r="N2" s="43"/>
      <c r="O2" s="43"/>
      <c r="P2" s="43"/>
      <c r="Q2" s="43"/>
      <c r="R2" s="43"/>
      <c r="S2" s="43"/>
      <c r="T2" s="43"/>
      <c r="U2" s="43"/>
      <c r="V2" s="42"/>
      <c r="W2" s="49"/>
      <c r="X2" s="43"/>
      <c r="Y2" s="43"/>
      <c r="Z2" s="54"/>
      <c r="AA2" s="55"/>
      <c r="AB2" s="55"/>
      <c r="AC2" s="43"/>
      <c r="AD2" s="43"/>
      <c r="AE2" s="43"/>
      <c r="AF2" s="43"/>
      <c r="AG2" s="43"/>
      <c r="AH2" s="43"/>
      <c r="AI2" s="43"/>
      <c r="AJ2" s="43"/>
      <c r="AK2" s="43"/>
      <c r="AL2" s="43"/>
      <c r="AM2" s="57" t="s">
        <v>148</v>
      </c>
      <c r="AN2" s="43">
        <v>249095</v>
      </c>
      <c r="AO2" s="43">
        <v>98931</v>
      </c>
      <c r="AP2" s="43">
        <f>AN1*2</f>
        <v>3501810</v>
      </c>
      <c r="AQ2" s="43"/>
      <c r="AR2" s="43"/>
      <c r="AS2" s="43"/>
      <c r="AT2" s="43"/>
      <c r="AU2" s="43"/>
      <c r="AV2" s="58"/>
      <c r="AW2" s="58"/>
      <c r="AX2" s="58"/>
      <c r="AY2" s="58"/>
      <c r="AZ2" s="58"/>
      <c r="BA2" s="48"/>
      <c r="BB2" s="48"/>
      <c r="BC2" s="48"/>
      <c r="BD2" s="48"/>
      <c r="BE2" s="48"/>
      <c r="BF2" s="48"/>
      <c r="BG2" s="48"/>
      <c r="BH2" s="48"/>
      <c r="BI2" s="48"/>
      <c r="BJ2" s="48"/>
      <c r="BK2" s="48"/>
      <c r="BL2" s="48"/>
      <c r="BM2" s="48"/>
      <c r="BN2" s="48"/>
      <c r="BO2" s="48"/>
      <c r="BP2" s="48"/>
      <c r="BQ2" s="48"/>
    </row>
    <row r="3" spans="1:69">
      <c r="A3" s="49"/>
      <c r="B3" s="46"/>
      <c r="C3" s="59"/>
      <c r="D3" s="252"/>
      <c r="E3" s="253"/>
      <c r="F3" s="254"/>
      <c r="G3" s="53"/>
      <c r="H3" s="43"/>
      <c r="I3" s="43"/>
      <c r="J3" s="43"/>
      <c r="K3" s="60">
        <f ca="1">TODAY()</f>
        <v>46304</v>
      </c>
      <c r="L3" s="61"/>
      <c r="M3" s="61"/>
      <c r="N3" s="255" t="s">
        <v>151</v>
      </c>
      <c r="O3" s="256"/>
      <c r="P3" s="256"/>
      <c r="Q3" s="256"/>
      <c r="R3" s="256"/>
      <c r="S3" s="256"/>
      <c r="T3" s="256"/>
      <c r="U3" s="257"/>
      <c r="V3" s="62"/>
      <c r="W3" s="49"/>
      <c r="X3" s="43"/>
      <c r="Y3" s="43"/>
      <c r="Z3" s="54"/>
      <c r="AA3" s="55"/>
      <c r="AB3" s="55"/>
      <c r="AC3" s="43"/>
      <c r="AD3" s="43"/>
      <c r="AE3" s="43"/>
      <c r="AF3" s="43"/>
      <c r="AG3" s="43"/>
      <c r="AH3" s="43"/>
      <c r="AI3" s="43">
        <f>AI93/30</f>
        <v>218880.96666666667</v>
      </c>
      <c r="AJ3" s="43"/>
      <c r="AK3" s="43"/>
      <c r="AL3" s="43"/>
      <c r="AM3" s="43"/>
      <c r="AN3" s="43"/>
      <c r="AO3" s="42"/>
      <c r="AP3" s="43"/>
      <c r="AQ3" s="43"/>
      <c r="AR3" s="43"/>
      <c r="AS3" s="43"/>
      <c r="AT3" s="43"/>
      <c r="AU3" s="43"/>
      <c r="AV3" s="58"/>
      <c r="AW3" s="58"/>
      <c r="AX3" s="58"/>
      <c r="AY3" s="58"/>
      <c r="AZ3" s="58"/>
      <c r="BA3" s="48"/>
      <c r="BB3" s="48"/>
      <c r="BC3" s="48"/>
      <c r="BD3" s="48"/>
      <c r="BE3" s="48"/>
      <c r="BF3" s="48"/>
      <c r="BG3" s="48"/>
      <c r="BH3" s="48"/>
      <c r="BI3" s="48"/>
      <c r="BJ3" s="48"/>
      <c r="BK3" s="48"/>
      <c r="BL3" s="48"/>
      <c r="BM3" s="48"/>
      <c r="BN3" s="48"/>
      <c r="BO3" s="48"/>
      <c r="BP3" s="48"/>
      <c r="BQ3" s="48"/>
    </row>
    <row r="4" spans="1:69" ht="38.25" customHeight="1">
      <c r="A4" s="3" t="s">
        <v>154</v>
      </c>
      <c r="B4" s="3" t="s">
        <v>156</v>
      </c>
      <c r="C4" s="3" t="s">
        <v>19</v>
      </c>
      <c r="D4" s="3" t="s">
        <v>0</v>
      </c>
      <c r="E4" s="3" t="s">
        <v>1</v>
      </c>
      <c r="F4" s="3" t="s">
        <v>2</v>
      </c>
      <c r="G4" s="3" t="s">
        <v>157</v>
      </c>
      <c r="H4" s="3" t="s">
        <v>158</v>
      </c>
      <c r="I4" s="3" t="s">
        <v>159</v>
      </c>
      <c r="J4" s="3" t="s">
        <v>160</v>
      </c>
      <c r="K4" s="64" t="s">
        <v>161</v>
      </c>
      <c r="L4" s="65" t="s">
        <v>163</v>
      </c>
      <c r="M4" s="66" t="s">
        <v>164</v>
      </c>
      <c r="N4" s="67" t="s">
        <v>0</v>
      </c>
      <c r="O4" s="68" t="s">
        <v>11</v>
      </c>
      <c r="P4" s="69" t="s">
        <v>165</v>
      </c>
      <c r="Q4" s="70" t="s">
        <v>5</v>
      </c>
      <c r="R4" s="70" t="s">
        <v>166</v>
      </c>
      <c r="S4" s="71" t="s">
        <v>167</v>
      </c>
      <c r="T4" s="71" t="s">
        <v>169</v>
      </c>
      <c r="U4" s="72" t="s">
        <v>170</v>
      </c>
      <c r="V4" s="73" t="s">
        <v>171</v>
      </c>
      <c r="W4" s="74" t="s">
        <v>172</v>
      </c>
      <c r="X4" s="75" t="s">
        <v>6</v>
      </c>
      <c r="Y4" s="75" t="s">
        <v>7</v>
      </c>
      <c r="Z4" s="76" t="s">
        <v>8</v>
      </c>
      <c r="AA4" s="77" t="s">
        <v>9</v>
      </c>
      <c r="AB4" s="75" t="s">
        <v>13</v>
      </c>
      <c r="AC4" s="75" t="s">
        <v>14</v>
      </c>
      <c r="AD4" s="75" t="s">
        <v>175</v>
      </c>
      <c r="AE4" s="75" t="s">
        <v>15</v>
      </c>
      <c r="AF4" s="75" t="s">
        <v>16</v>
      </c>
      <c r="AG4" s="75" t="s">
        <v>17</v>
      </c>
      <c r="AH4" s="75" t="s">
        <v>18</v>
      </c>
      <c r="AI4" s="78" t="s">
        <v>176</v>
      </c>
      <c r="AJ4" s="79" t="s">
        <v>178</v>
      </c>
      <c r="AK4" s="79" t="s">
        <v>179</v>
      </c>
      <c r="AL4" s="79" t="s">
        <v>180</v>
      </c>
      <c r="AM4" s="79" t="s">
        <v>181</v>
      </c>
      <c r="AN4" s="79" t="s">
        <v>182</v>
      </c>
      <c r="AO4" s="79" t="s">
        <v>184</v>
      </c>
      <c r="AP4" s="80" t="s">
        <v>185</v>
      </c>
      <c r="AQ4" s="3" t="s">
        <v>186</v>
      </c>
      <c r="AR4" s="81"/>
      <c r="AS4" s="53"/>
      <c r="AT4" s="53"/>
      <c r="AU4" s="53"/>
      <c r="AV4" s="83"/>
      <c r="AW4" s="83"/>
      <c r="AX4" s="83"/>
      <c r="AY4" s="83"/>
      <c r="AZ4" s="83"/>
      <c r="BA4" s="84"/>
      <c r="BB4" s="84"/>
      <c r="BC4" s="84"/>
      <c r="BD4" s="84"/>
      <c r="BE4" s="84"/>
      <c r="BF4" s="84"/>
      <c r="BG4" s="84"/>
      <c r="BH4" s="84"/>
      <c r="BI4" s="84"/>
      <c r="BJ4" s="84"/>
      <c r="BK4" s="84"/>
      <c r="BL4" s="84"/>
      <c r="BM4" s="84"/>
      <c r="BN4" s="84"/>
      <c r="BO4" s="84"/>
      <c r="BP4" s="84"/>
      <c r="BQ4" s="84"/>
    </row>
    <row r="5" spans="1:69" ht="12.75" customHeight="1">
      <c r="A5" s="85">
        <v>1</v>
      </c>
      <c r="B5" s="86">
        <v>4998</v>
      </c>
      <c r="C5" s="29">
        <v>11</v>
      </c>
      <c r="D5" s="14">
        <v>80222608</v>
      </c>
      <c r="E5" s="18" t="str">
        <f>IF(D5&gt;0,VLOOKUP(D5,'PLANTA PERNO'!A:D,4,0)&amp;" "&amp;VLOOKUP(D5,'PLANTA PERNO'!A:D,2,0)&amp;" "&amp;VLOOKUP(D5,'PLANTA PERNO'!A:D,3,0),IF(N5="","VACANTE DEFINITIVA","VACANTE TEMPORAL"))</f>
        <v>GERMAN ALBERTO PULIDO PULIDO</v>
      </c>
      <c r="F5" s="20" t="s">
        <v>39</v>
      </c>
      <c r="G5" s="20" t="str">
        <f t="shared" ref="G5:G174" si="0">VLOOKUP(IF(AND($F5&lt;&gt;"",$L5=""),$F5,IF(AND($F5&lt;&gt;"",$L5&lt;&gt;""),$L5,$E5)),$AY$5:$AZ$16,2,0)</f>
        <v>NOMBRAMIENTO ORDINARIO</v>
      </c>
      <c r="H5" s="33">
        <f t="shared" ref="H5:H36" si="1">IFERROR(VLOOKUP($D5,PLANTA_PERNO,16,0)," ")</f>
        <v>44294</v>
      </c>
      <c r="I5" s="33">
        <f t="shared" ref="I5:I36" si="2">IFERROR(VLOOKUP($D5,PLANTA_PERNO,17,0),"")</f>
        <v>40598</v>
      </c>
      <c r="J5" s="31" t="str">
        <f t="shared" ref="J5:J36" si="3">IF(IFERROR((VLOOKUP($D5,PLANTA_PERNO,9,0)),"")="F","MUJER",IF(IFERROR((VLOOKUP($D5,PLANTA_PERNO,9,0)),"")="M","HOMBRE",""))</f>
        <v>HOMBRE</v>
      </c>
      <c r="K5" s="21">
        <f t="shared" ref="K5:K36" ca="1" si="4">IFERROR(DATEDIF((VLOOKUP($D5,PLANTA_PERNO,6,0)),$K$3,"Y"),"")</f>
        <v>43</v>
      </c>
      <c r="L5" s="87" t="str">
        <f t="shared" ref="L5:L103" si="5">IF(AND(($Q5&gt;=1),($E5&lt;&gt;"VACANTE TEMPORAL"),F5&lt;&gt;"PROVISIONALIDAD"),"ENCARGO",IF(F5="PROVISIONALIDAD","PROVISIONALIDAD",IF(F5="PERIODO DE PRUEBA","PERIODO DE PRUEBA","")))</f>
        <v/>
      </c>
      <c r="M5" s="88" t="str">
        <f t="shared" ref="M5:M32" si="6">IF(O5="VACANTE DEFINITIVA","VACANTE DEFINITIVA",IF(AND(O5&lt;&gt;"VACANTE DEFINITVA",R5="CM"),"EN COMISIÓN EN EMPLEO DE L.N.R. O DE PERIODO",IF(AND(O5&lt;&gt;"VACANTE DEFINITVA",S5="PP"),"PERIODO DE PRUEBA EN OTRA ENTIDAD",IF(AND(O5&lt;&gt;"VACANTE DEFINITVA",T5="LM"),"VT LICENCIA MATERNIDAD",IF(AND(O5&lt;&gt;"VACANTE DEFINITIVA",Q5&gt;0,U5=""),"EN ENCARGO",IF(AND(E5&lt;&gt;"",U5="LNR"),"LICENCIA NO REMUNERADA","EN PROPIEDAD"))))))</f>
        <v>VACANTE DEFINITIVA</v>
      </c>
      <c r="N5" s="21"/>
      <c r="O5" s="18" t="str">
        <f>IF(N5="","VACANTE DEFINITIVA",(VLOOKUP(N5,'PLANTA PERNO'!A:D,4,0)&amp;" "&amp;VLOOKUP(N5,'PLANTA PERNO'!A:D,2,0)&amp;" "&amp;VLOOKUP(N5,'PLANTA PERNO'!A:D,3,0)))</f>
        <v>VACANTE DEFINITIVA</v>
      </c>
      <c r="P5" s="21"/>
      <c r="Q5" s="21"/>
      <c r="R5" s="21"/>
      <c r="S5" s="21"/>
      <c r="T5" s="21"/>
      <c r="U5" s="21"/>
      <c r="V5" s="89"/>
      <c r="W5" s="28" t="str">
        <f t="shared" ref="W5:W174" si="7">IF(E5="VACANTE DEFINITIVA","VACANTE DEFINITIVA",IF(E5="VACANTE TEMPORAL","VACANTE TEMPORAL","OCUPADO"))</f>
        <v>OCUPADO</v>
      </c>
      <c r="X5" s="23" t="s">
        <v>26</v>
      </c>
      <c r="Y5" s="90" t="s">
        <v>203</v>
      </c>
      <c r="Z5" s="34">
        <v>115</v>
      </c>
      <c r="AA5" s="35">
        <v>6</v>
      </c>
      <c r="AB5" s="28" t="str">
        <f t="shared" ref="AB5:AB127" si="8">Z5&amp;"-"&amp;AA5</f>
        <v>115-6</v>
      </c>
      <c r="AC5" s="24" t="s">
        <v>32</v>
      </c>
      <c r="AD5" s="24" t="s">
        <v>32</v>
      </c>
      <c r="AE5" s="24" t="s">
        <v>205</v>
      </c>
      <c r="AF5" s="24" t="s">
        <v>206</v>
      </c>
      <c r="AG5" s="24" t="s">
        <v>207</v>
      </c>
      <c r="AH5" s="24" t="s">
        <v>208</v>
      </c>
      <c r="AI5" s="93">
        <f t="shared" ref="AI5:AI174" si="9">VLOOKUP(AR5,$AT$5:$AU$103,2,0)</f>
        <v>10208470</v>
      </c>
      <c r="AJ5" s="93">
        <f t="shared" ref="AJ5:AJ6" si="10">+AI5*0.4</f>
        <v>4083388</v>
      </c>
      <c r="AK5" s="93">
        <f t="shared" ref="AK5:AK36" si="11">IFERROR(INT(($AI5*(VLOOKUP($D5,BASE_PORCENTAJES,10,0))/100)),0)</f>
        <v>714592</v>
      </c>
      <c r="AL5" s="93">
        <f>IFERROR(INT(($AI5*(VLOOKUP($D5,'PORCENTAJES FACTORES'!B:N,12,0))/100)),0)</f>
        <v>4083388</v>
      </c>
      <c r="AM5" s="93">
        <f t="shared" ref="AM5:AM36" si="12">IFERROR(INT(($AI5*(VLOOKUP($D5,BASE_PORCENTAJES,13,0))/100)),0)</f>
        <v>0</v>
      </c>
      <c r="AN5" s="93">
        <f t="shared" ref="AN5:AN174" si="13">IF($AI5&lt;=($AN$1*2),$AN$2,0)</f>
        <v>0</v>
      </c>
      <c r="AO5" s="93">
        <f t="shared" ref="AO5:AO174" si="14">IF($AI5&lt;=$AO$1,$AO$2,0)</f>
        <v>0</v>
      </c>
      <c r="AP5" s="95">
        <f t="shared" ref="AP5:AP96" si="15">+AI5+AJ5+AK5+AL5+AM5+AN5+AO5</f>
        <v>19089838</v>
      </c>
      <c r="AQ5" s="96"/>
      <c r="AR5" s="97" t="s">
        <v>217</v>
      </c>
      <c r="AS5" s="58"/>
      <c r="AT5" s="2" t="s">
        <v>218</v>
      </c>
      <c r="AU5" s="46">
        <v>6802822</v>
      </c>
      <c r="AV5" s="98" t="e">
        <f t="shared" ref="AV5:AV174" si="16">VLOOKUP(N5,D:D,1,0)</f>
        <v>#N/A</v>
      </c>
      <c r="AW5" s="43">
        <f>VLOOKUP(D5,'PLANTA PERNO'!A:R,18,0)</f>
        <v>0</v>
      </c>
      <c r="AX5" s="58"/>
      <c r="AY5" s="100" t="s">
        <v>49</v>
      </c>
      <c r="AZ5" s="100" t="s">
        <v>49</v>
      </c>
      <c r="BA5" s="48"/>
      <c r="BB5" s="48"/>
      <c r="BC5" s="48"/>
      <c r="BD5" s="48"/>
      <c r="BE5" s="48"/>
      <c r="BF5" s="48"/>
      <c r="BG5" s="48"/>
      <c r="BH5" s="48"/>
      <c r="BI5" s="48"/>
      <c r="BJ5" s="48"/>
      <c r="BK5" s="48"/>
      <c r="BL5" s="48"/>
      <c r="BM5" s="48"/>
      <c r="BN5" s="48"/>
      <c r="BO5" s="48"/>
      <c r="BP5" s="48"/>
      <c r="BQ5" s="48"/>
    </row>
    <row r="6" spans="1:69" ht="12.75" customHeight="1">
      <c r="A6" s="85">
        <v>2</v>
      </c>
      <c r="B6" s="86">
        <v>4999</v>
      </c>
      <c r="C6" s="29">
        <v>171</v>
      </c>
      <c r="D6" s="14">
        <v>2968815</v>
      </c>
      <c r="E6" s="18" t="str">
        <f>IF(D6&gt;0,VLOOKUP(D6,'PLANTA PERNO'!A:D,4,0)&amp;" "&amp;VLOOKUP(D6,'PLANTA PERNO'!A:D,2,0)&amp;" "&amp;VLOOKUP(D6,'PLANTA PERNO'!A:D,3,0),IF(N6="","VACANTE DEFINITIVA","VACANTE TEMPORAL"))</f>
        <v>OSCAR JAVIER SUAREZ RAMOS</v>
      </c>
      <c r="F6" s="20" t="s">
        <v>39</v>
      </c>
      <c r="G6" s="20" t="str">
        <f t="shared" si="0"/>
        <v>NOMBRAMIENTO ORDINARIO</v>
      </c>
      <c r="H6" s="33">
        <f t="shared" si="1"/>
        <v>45923</v>
      </c>
      <c r="I6" s="33">
        <f t="shared" si="2"/>
        <v>45923</v>
      </c>
      <c r="J6" s="31" t="str">
        <f t="shared" si="3"/>
        <v>HOMBRE</v>
      </c>
      <c r="K6" s="21">
        <f t="shared" ca="1" si="4"/>
        <v>48</v>
      </c>
      <c r="L6" s="87" t="str">
        <f t="shared" si="5"/>
        <v/>
      </c>
      <c r="M6" s="21" t="str">
        <f t="shared" si="6"/>
        <v>EN PROPIEDAD</v>
      </c>
      <c r="N6" s="21">
        <v>2968815</v>
      </c>
      <c r="O6" s="18" t="str">
        <f>IF(N6="","VACANTE DEFINITIVA",(VLOOKUP(N6,'PLANTA PERNO'!A:D,4,0)&amp;" "&amp;VLOOKUP(N6,'PLANTA PERNO'!A:D,2,0)&amp;" "&amp;VLOOKUP(N6,'PLANTA PERNO'!A:D,3,0)))</f>
        <v>OSCAR JAVIER SUAREZ RAMOS</v>
      </c>
      <c r="P6" s="21"/>
      <c r="Q6" s="21"/>
      <c r="R6" s="21"/>
      <c r="S6" s="21"/>
      <c r="T6" s="21"/>
      <c r="U6" s="21"/>
      <c r="V6" s="38"/>
      <c r="W6" s="28" t="str">
        <f t="shared" si="7"/>
        <v>OCUPADO</v>
      </c>
      <c r="X6" s="23" t="s">
        <v>22</v>
      </c>
      <c r="Y6" s="90" t="s">
        <v>28</v>
      </c>
      <c r="Z6" s="34">
        <v>6</v>
      </c>
      <c r="AA6" s="35">
        <v>6</v>
      </c>
      <c r="AB6" s="28" t="str">
        <f t="shared" si="8"/>
        <v>6-6</v>
      </c>
      <c r="AC6" s="24" t="s">
        <v>75</v>
      </c>
      <c r="AD6" s="24" t="s">
        <v>75</v>
      </c>
      <c r="AE6" s="24" t="s">
        <v>235</v>
      </c>
      <c r="AF6" s="24" t="s">
        <v>237</v>
      </c>
      <c r="AG6" s="24" t="s">
        <v>238</v>
      </c>
      <c r="AH6" s="24" t="s">
        <v>239</v>
      </c>
      <c r="AI6" s="93">
        <f t="shared" si="9"/>
        <v>10208470</v>
      </c>
      <c r="AJ6" s="93">
        <f t="shared" si="10"/>
        <v>4083388</v>
      </c>
      <c r="AK6" s="93">
        <f t="shared" si="11"/>
        <v>0</v>
      </c>
      <c r="AL6" s="93">
        <f>IFERROR(INT(($AI6*(VLOOKUP($D6,'PORCENTAJES FACTORES'!B:N,12,0))/100)),0)</f>
        <v>0</v>
      </c>
      <c r="AM6" s="93">
        <f t="shared" si="12"/>
        <v>0</v>
      </c>
      <c r="AN6" s="93">
        <f t="shared" si="13"/>
        <v>0</v>
      </c>
      <c r="AO6" s="93">
        <f t="shared" si="14"/>
        <v>0</v>
      </c>
      <c r="AP6" s="95">
        <f t="shared" si="15"/>
        <v>14291858</v>
      </c>
      <c r="AQ6" s="96"/>
      <c r="AR6" s="97" t="s">
        <v>244</v>
      </c>
      <c r="AS6" s="58"/>
      <c r="AT6" s="2" t="s">
        <v>245</v>
      </c>
      <c r="AU6" s="46">
        <v>7169759</v>
      </c>
      <c r="AV6" s="98">
        <f t="shared" si="16"/>
        <v>2968815</v>
      </c>
      <c r="AW6" s="43">
        <f>VLOOKUP(D6,'PLANTA PERNO'!A:R,18,0)</f>
        <v>0</v>
      </c>
      <c r="AX6" s="58"/>
      <c r="AY6" s="100" t="s">
        <v>246</v>
      </c>
      <c r="AZ6" s="100" t="s">
        <v>246</v>
      </c>
      <c r="BA6" s="48"/>
      <c r="BB6" s="48"/>
      <c r="BC6" s="48"/>
      <c r="BD6" s="48"/>
      <c r="BE6" s="48"/>
      <c r="BF6" s="48"/>
      <c r="BG6" s="48"/>
      <c r="BH6" s="48"/>
      <c r="BI6" s="48"/>
      <c r="BJ6" s="48"/>
      <c r="BK6" s="48"/>
      <c r="BL6" s="48"/>
      <c r="BM6" s="48"/>
      <c r="BN6" s="48"/>
      <c r="BO6" s="48"/>
      <c r="BP6" s="48"/>
      <c r="BQ6" s="48"/>
    </row>
    <row r="7" spans="1:69" ht="12.75" customHeight="1">
      <c r="A7" s="85">
        <v>3</v>
      </c>
      <c r="B7" s="86">
        <v>5000</v>
      </c>
      <c r="C7" s="29">
        <v>12</v>
      </c>
      <c r="D7" s="14">
        <v>64586540</v>
      </c>
      <c r="E7" s="18" t="str">
        <f>IF(D7&gt;0,VLOOKUP(D7,'PLANTA PERNO'!A:D,4,0)&amp;" "&amp;VLOOKUP(D7,'PLANTA PERNO'!A:D,2,0)&amp;" "&amp;VLOOKUP(D7,'PLANTA PERNO'!A:D,3,0),IF(N7="","VACANTE DEFINITIVA","VACANTE TEMPORAL"))</f>
        <v>ALMA ROSA RAMOS MARIA</v>
      </c>
      <c r="F7" s="20" t="s">
        <v>49</v>
      </c>
      <c r="G7" s="20" t="str">
        <f t="shared" si="0"/>
        <v>EN ENCARGO</v>
      </c>
      <c r="H7" s="33">
        <f t="shared" si="1"/>
        <v>44603</v>
      </c>
      <c r="I7" s="33">
        <f t="shared" si="2"/>
        <v>44603</v>
      </c>
      <c r="J7" s="31" t="str">
        <f t="shared" si="3"/>
        <v>MUJER</v>
      </c>
      <c r="K7" s="21">
        <f t="shared" ca="1" si="4"/>
        <v>46</v>
      </c>
      <c r="L7" s="87" t="str">
        <f t="shared" si="5"/>
        <v>ENCARGO</v>
      </c>
      <c r="M7" s="21" t="str">
        <f t="shared" si="6"/>
        <v>VACANTE DEFINITIVA</v>
      </c>
      <c r="N7" s="21"/>
      <c r="O7" s="18" t="str">
        <f>IF(N7="","VACANTE DEFINITIVA",(VLOOKUP(N7,'PLANTA PERNO'!A:D,4,0)&amp;" "&amp;VLOOKUP(N7,'PLANTA PERNO'!A:D,2,0)&amp;" "&amp;VLOOKUP(N7,'PLANTA PERNO'!A:D,3,0)))</f>
        <v>VACANTE DEFINITIVA</v>
      </c>
      <c r="P7" s="21" t="s">
        <v>256</v>
      </c>
      <c r="Q7" s="21">
        <v>1</v>
      </c>
      <c r="R7" s="21"/>
      <c r="S7" s="21"/>
      <c r="T7" s="21"/>
      <c r="U7" s="21"/>
      <c r="V7" s="38"/>
      <c r="W7" s="28" t="str">
        <f t="shared" si="7"/>
        <v>OCUPADO</v>
      </c>
      <c r="X7" s="23" t="s">
        <v>26</v>
      </c>
      <c r="Y7" s="90" t="s">
        <v>26</v>
      </c>
      <c r="Z7" s="34">
        <v>105</v>
      </c>
      <c r="AA7" s="35">
        <v>5</v>
      </c>
      <c r="AB7" s="28" t="str">
        <f t="shared" si="8"/>
        <v>105-5</v>
      </c>
      <c r="AC7" s="24" t="s">
        <v>98</v>
      </c>
      <c r="AD7" s="24" t="s">
        <v>98</v>
      </c>
      <c r="AE7" s="24" t="s">
        <v>257</v>
      </c>
      <c r="AF7" s="24" t="s">
        <v>260</v>
      </c>
      <c r="AG7" s="24" t="s">
        <v>261</v>
      </c>
      <c r="AH7" s="103" t="s">
        <v>262</v>
      </c>
      <c r="AI7" s="93">
        <f t="shared" si="9"/>
        <v>9154873</v>
      </c>
      <c r="AJ7" s="93">
        <f t="shared" ref="AJ7:AJ11" si="17">+AI7*0.3</f>
        <v>2746461.9</v>
      </c>
      <c r="AK7" s="93">
        <f t="shared" si="11"/>
        <v>0</v>
      </c>
      <c r="AL7" s="93">
        <f>IFERROR(INT(($AI7*(VLOOKUP($D7,'PORCENTAJES FACTORES'!B:N,12,0))/100)),0)</f>
        <v>3661949</v>
      </c>
      <c r="AM7" s="93">
        <f t="shared" si="12"/>
        <v>0</v>
      </c>
      <c r="AN7" s="93">
        <f t="shared" si="13"/>
        <v>0</v>
      </c>
      <c r="AO7" s="93">
        <f t="shared" si="14"/>
        <v>0</v>
      </c>
      <c r="AP7" s="95">
        <f t="shared" si="15"/>
        <v>15563283.9</v>
      </c>
      <c r="AQ7" s="96"/>
      <c r="AR7" s="97" t="s">
        <v>268</v>
      </c>
      <c r="AS7" s="58"/>
      <c r="AT7" s="2" t="s">
        <v>270</v>
      </c>
      <c r="AU7" s="46">
        <v>7365003</v>
      </c>
      <c r="AV7" s="98" t="e">
        <f t="shared" si="16"/>
        <v>#N/A</v>
      </c>
      <c r="AW7" s="43">
        <f>VLOOKUP(D7,'PLANTA PERNO'!A:R,18,0)</f>
        <v>0</v>
      </c>
      <c r="AX7" s="58"/>
      <c r="AY7" s="100" t="s">
        <v>247</v>
      </c>
      <c r="AZ7" s="100" t="s">
        <v>271</v>
      </c>
      <c r="BA7" s="48"/>
      <c r="BB7" s="48"/>
      <c r="BC7" s="48"/>
      <c r="BD7" s="48"/>
      <c r="BE7" s="48"/>
      <c r="BF7" s="48"/>
      <c r="BG7" s="48"/>
      <c r="BH7" s="48"/>
      <c r="BI7" s="48"/>
      <c r="BJ7" s="48"/>
      <c r="BK7" s="48"/>
      <c r="BL7" s="48"/>
      <c r="BM7" s="48"/>
      <c r="BN7" s="48"/>
      <c r="BO7" s="48"/>
      <c r="BP7" s="48"/>
      <c r="BQ7" s="48"/>
    </row>
    <row r="8" spans="1:69" ht="12.75" customHeight="1">
      <c r="A8" s="85">
        <v>4</v>
      </c>
      <c r="B8" s="86">
        <v>5001</v>
      </c>
      <c r="C8" s="29">
        <v>13</v>
      </c>
      <c r="D8" s="14">
        <v>1020810401</v>
      </c>
      <c r="E8" s="18" t="str">
        <f>IF(D8&gt;0,VLOOKUP(D8,'PLANTA PERNO'!A:D,4,0)&amp;" "&amp;VLOOKUP(D8,'PLANTA PERNO'!A:D,2,0)&amp;" "&amp;VLOOKUP(D8,'PLANTA PERNO'!A:D,3,0),IF(N8="","VACANTE DEFINITIVA","VACANTE TEMPORAL"))</f>
        <v>MARIA PAULA ALBORNOZ CARDENAS</v>
      </c>
      <c r="F8" s="20" t="s">
        <v>39</v>
      </c>
      <c r="G8" s="20" t="str">
        <f t="shared" si="0"/>
        <v>NOMBRAMIENTO ORDINARIO</v>
      </c>
      <c r="H8" s="33">
        <f t="shared" si="1"/>
        <v>45880</v>
      </c>
      <c r="I8" s="33">
        <f t="shared" si="2"/>
        <v>45880</v>
      </c>
      <c r="J8" s="31" t="str">
        <f t="shared" si="3"/>
        <v>MUJER</v>
      </c>
      <c r="K8" s="21">
        <f t="shared" ca="1" si="4"/>
        <v>30</v>
      </c>
      <c r="L8" s="87" t="str">
        <f t="shared" si="5"/>
        <v/>
      </c>
      <c r="M8" s="21" t="str">
        <f t="shared" si="6"/>
        <v>EN PROPIEDAD</v>
      </c>
      <c r="N8" s="21">
        <v>1020810401</v>
      </c>
      <c r="O8" s="18" t="str">
        <f>IF(N8="","VACANTE DEFINITIVA",(VLOOKUP(N8,'PLANTA PERNO'!A:D,4,0)&amp;" "&amp;VLOOKUP(N8,'PLANTA PERNO'!A:D,2,0)&amp;" "&amp;VLOOKUP(N8,'PLANTA PERNO'!A:D,3,0)))</f>
        <v>MARIA PAULA ALBORNOZ CARDENAS</v>
      </c>
      <c r="P8" s="21"/>
      <c r="Q8" s="21"/>
      <c r="R8" s="21"/>
      <c r="S8" s="21"/>
      <c r="T8" s="21"/>
      <c r="U8" s="21"/>
      <c r="V8" s="38"/>
      <c r="W8" s="28" t="str">
        <f t="shared" si="7"/>
        <v>OCUPADO</v>
      </c>
      <c r="X8" s="23" t="s">
        <v>26</v>
      </c>
      <c r="Y8" s="90" t="s">
        <v>26</v>
      </c>
      <c r="Z8" s="34">
        <v>105</v>
      </c>
      <c r="AA8" s="35">
        <v>5</v>
      </c>
      <c r="AB8" s="28" t="str">
        <f t="shared" si="8"/>
        <v>105-5</v>
      </c>
      <c r="AC8" s="24" t="s">
        <v>98</v>
      </c>
      <c r="AD8" s="24" t="s">
        <v>98</v>
      </c>
      <c r="AE8" s="24" t="s">
        <v>257</v>
      </c>
      <c r="AF8" s="24" t="s">
        <v>260</v>
      </c>
      <c r="AG8" s="24" t="s">
        <v>261</v>
      </c>
      <c r="AH8" s="103" t="s">
        <v>262</v>
      </c>
      <c r="AI8" s="93">
        <f t="shared" si="9"/>
        <v>9154873</v>
      </c>
      <c r="AJ8" s="93">
        <f t="shared" si="17"/>
        <v>2746461.9</v>
      </c>
      <c r="AK8" s="93">
        <f t="shared" si="11"/>
        <v>0</v>
      </c>
      <c r="AL8" s="93">
        <f>IFERROR(INT(($AI8*(VLOOKUP($D8,'PORCENTAJES FACTORES'!B:N,12,0))/100)),0)</f>
        <v>4577436</v>
      </c>
      <c r="AM8" s="93">
        <f t="shared" si="12"/>
        <v>0</v>
      </c>
      <c r="AN8" s="93">
        <f t="shared" si="13"/>
        <v>0</v>
      </c>
      <c r="AO8" s="93">
        <f t="shared" si="14"/>
        <v>0</v>
      </c>
      <c r="AP8" s="95">
        <f t="shared" si="15"/>
        <v>16478770.9</v>
      </c>
      <c r="AQ8" s="96"/>
      <c r="AR8" s="97" t="s">
        <v>268</v>
      </c>
      <c r="AS8" s="58"/>
      <c r="AT8" s="2" t="s">
        <v>282</v>
      </c>
      <c r="AU8" s="46">
        <v>8295184</v>
      </c>
      <c r="AV8" s="98">
        <f t="shared" si="16"/>
        <v>1020810401</v>
      </c>
      <c r="AW8" s="43">
        <f>VLOOKUP(D8,'PLANTA PERNO'!A:R,18,0)</f>
        <v>0</v>
      </c>
      <c r="AX8" s="58"/>
      <c r="AY8" s="100" t="s">
        <v>249</v>
      </c>
      <c r="AZ8" s="100" t="s">
        <v>249</v>
      </c>
      <c r="BA8" s="48"/>
      <c r="BB8" s="48"/>
      <c r="BC8" s="48"/>
      <c r="BD8" s="48"/>
      <c r="BE8" s="48"/>
      <c r="BF8" s="48"/>
      <c r="BG8" s="48"/>
      <c r="BH8" s="48"/>
      <c r="BI8" s="48"/>
      <c r="BJ8" s="48"/>
      <c r="BK8" s="48"/>
      <c r="BL8" s="48"/>
      <c r="BM8" s="48"/>
      <c r="BN8" s="48"/>
      <c r="BO8" s="48"/>
      <c r="BP8" s="48"/>
      <c r="BQ8" s="48"/>
    </row>
    <row r="9" spans="1:69" ht="12.75" customHeight="1">
      <c r="A9" s="85">
        <v>5</v>
      </c>
      <c r="B9" s="86">
        <v>5002</v>
      </c>
      <c r="C9" s="29">
        <v>14</v>
      </c>
      <c r="D9" s="14">
        <v>1121857540</v>
      </c>
      <c r="E9" s="18" t="str">
        <f>IF(D9&gt;0,VLOOKUP(D9,'PLANTA PERNO'!A:D,4,0)&amp;" "&amp;VLOOKUP(D9,'PLANTA PERNO'!A:D,2,0)&amp;" "&amp;VLOOKUP(D9,'PLANTA PERNO'!A:D,3,0),IF(N9="","VACANTE DEFINITIVA","VACANTE TEMPORAL"))</f>
        <v>MARIA TATIANA MEJIA ROJAS</v>
      </c>
      <c r="F9" s="20" t="s">
        <v>39</v>
      </c>
      <c r="G9" s="20" t="str">
        <f t="shared" si="0"/>
        <v>NOMBRAMIENTO ORDINARIO</v>
      </c>
      <c r="H9" s="33">
        <f t="shared" si="1"/>
        <v>45371</v>
      </c>
      <c r="I9" s="33">
        <f t="shared" si="2"/>
        <v>45371</v>
      </c>
      <c r="J9" s="31" t="str">
        <f t="shared" si="3"/>
        <v>MUJER</v>
      </c>
      <c r="K9" s="21">
        <f t="shared" ca="1" si="4"/>
        <v>37</v>
      </c>
      <c r="L9" s="87" t="str">
        <f t="shared" si="5"/>
        <v/>
      </c>
      <c r="M9" s="21" t="str">
        <f t="shared" si="6"/>
        <v>EN PROPIEDAD</v>
      </c>
      <c r="N9" s="21">
        <v>1121857540</v>
      </c>
      <c r="O9" s="18" t="str">
        <f>IF(N9="","VACANTE DEFINITIVA",(VLOOKUP(N9,'PLANTA PERNO'!A:D,4,0)&amp;" "&amp;VLOOKUP(N9,'PLANTA PERNO'!A:D,2,0)&amp;" "&amp;VLOOKUP(N9,'PLANTA PERNO'!A:D,3,0)))</f>
        <v>MARIA TATIANA MEJIA ROJAS</v>
      </c>
      <c r="P9" s="21"/>
      <c r="Q9" s="21"/>
      <c r="R9" s="21"/>
      <c r="S9" s="21"/>
      <c r="T9" s="21"/>
      <c r="U9" s="21"/>
      <c r="V9" s="38"/>
      <c r="W9" s="28" t="str">
        <f t="shared" si="7"/>
        <v>OCUPADO</v>
      </c>
      <c r="X9" s="23" t="s">
        <v>26</v>
      </c>
      <c r="Y9" s="90" t="s">
        <v>26</v>
      </c>
      <c r="Z9" s="34">
        <v>105</v>
      </c>
      <c r="AA9" s="35">
        <v>5</v>
      </c>
      <c r="AB9" s="28" t="str">
        <f t="shared" si="8"/>
        <v>105-5</v>
      </c>
      <c r="AC9" s="24" t="s">
        <v>98</v>
      </c>
      <c r="AD9" s="24" t="s">
        <v>98</v>
      </c>
      <c r="AE9" s="24" t="s">
        <v>257</v>
      </c>
      <c r="AF9" s="24" t="s">
        <v>260</v>
      </c>
      <c r="AG9" s="24" t="s">
        <v>261</v>
      </c>
      <c r="AH9" s="103" t="s">
        <v>262</v>
      </c>
      <c r="AI9" s="93">
        <f t="shared" si="9"/>
        <v>9154873</v>
      </c>
      <c r="AJ9" s="93">
        <f t="shared" si="17"/>
        <v>2746461.9</v>
      </c>
      <c r="AK9" s="93">
        <f t="shared" si="11"/>
        <v>0</v>
      </c>
      <c r="AL9" s="93">
        <f>IFERROR(INT(($AI9*(VLOOKUP($D9,'PORCENTAJES FACTORES'!B:N,12,0))/100)),0)</f>
        <v>4577436</v>
      </c>
      <c r="AM9" s="93">
        <f t="shared" si="12"/>
        <v>0</v>
      </c>
      <c r="AN9" s="93">
        <f t="shared" si="13"/>
        <v>0</v>
      </c>
      <c r="AO9" s="93">
        <f t="shared" si="14"/>
        <v>0</v>
      </c>
      <c r="AP9" s="95">
        <f t="shared" si="15"/>
        <v>16478770.9</v>
      </c>
      <c r="AQ9" s="96"/>
      <c r="AR9" s="97" t="s">
        <v>268</v>
      </c>
      <c r="AS9" s="58"/>
      <c r="AT9" s="2" t="s">
        <v>286</v>
      </c>
      <c r="AU9" s="46">
        <v>9154873</v>
      </c>
      <c r="AV9" s="98">
        <f t="shared" si="16"/>
        <v>1121857540</v>
      </c>
      <c r="AW9" s="43">
        <f>VLOOKUP(D9,'PLANTA PERNO'!A:R,18,0)</f>
        <v>0</v>
      </c>
      <c r="AX9" s="58"/>
      <c r="AY9" s="100" t="s">
        <v>79</v>
      </c>
      <c r="AZ9" s="100" t="s">
        <v>76</v>
      </c>
      <c r="BA9" s="48"/>
      <c r="BB9" s="48"/>
      <c r="BC9" s="48"/>
      <c r="BD9" s="48"/>
      <c r="BE9" s="48"/>
      <c r="BF9" s="48"/>
      <c r="BG9" s="48"/>
      <c r="BH9" s="48"/>
      <c r="BI9" s="48"/>
      <c r="BJ9" s="48"/>
      <c r="BK9" s="48"/>
      <c r="BL9" s="48"/>
      <c r="BM9" s="48"/>
      <c r="BN9" s="48"/>
      <c r="BO9" s="48"/>
      <c r="BP9" s="48"/>
      <c r="BQ9" s="48"/>
    </row>
    <row r="10" spans="1:69" ht="12.75" customHeight="1">
      <c r="A10" s="85">
        <v>6</v>
      </c>
      <c r="B10" s="86">
        <v>5003</v>
      </c>
      <c r="C10" s="29">
        <v>15</v>
      </c>
      <c r="D10" s="14">
        <v>80096113</v>
      </c>
      <c r="E10" s="18" t="str">
        <f>IF(D10&gt;0,VLOOKUP(D10,'PLANTA PERNO'!A:D,4,0)&amp;" "&amp;VLOOKUP(D10,'PLANTA PERNO'!A:D,2,0)&amp;" "&amp;VLOOKUP(D10,'PLANTA PERNO'!A:D,3,0),IF(N10="","VACANTE DEFINITIVA","VACANTE TEMPORAL"))</f>
        <v>CARLOS ANDRES BERNAL CASAS</v>
      </c>
      <c r="F10" s="20" t="s">
        <v>39</v>
      </c>
      <c r="G10" s="20" t="str">
        <f t="shared" si="0"/>
        <v>EN ENCARGO</v>
      </c>
      <c r="H10" s="33">
        <f t="shared" si="1"/>
        <v>45463</v>
      </c>
      <c r="I10" s="33">
        <f t="shared" si="2"/>
        <v>45463</v>
      </c>
      <c r="J10" s="31" t="str">
        <f t="shared" si="3"/>
        <v>MUJER</v>
      </c>
      <c r="K10" s="21">
        <f t="shared" ca="1" si="4"/>
        <v>44</v>
      </c>
      <c r="L10" s="87" t="str">
        <f t="shared" si="5"/>
        <v>ENCARGO</v>
      </c>
      <c r="M10" s="21" t="str">
        <f t="shared" si="6"/>
        <v>EN ENCARGO</v>
      </c>
      <c r="N10" s="21">
        <v>80096113</v>
      </c>
      <c r="O10" s="18" t="str">
        <f>IF(N10="","VACANTE DEFINITIVA",(VLOOKUP(N10,'PLANTA PERNO'!A:D,4,0)&amp;" "&amp;VLOOKUP(N10,'PLANTA PERNO'!A:D,2,0)&amp;" "&amp;VLOOKUP(N10,'PLANTA PERNO'!A:D,3,0)))</f>
        <v>CARLOS ANDRES BERNAL CASAS</v>
      </c>
      <c r="P10" s="21" t="s">
        <v>290</v>
      </c>
      <c r="Q10" s="21">
        <v>2</v>
      </c>
      <c r="R10" s="21"/>
      <c r="S10" s="21"/>
      <c r="T10" s="21"/>
      <c r="U10" s="21"/>
      <c r="V10" s="38"/>
      <c r="W10" s="28" t="str">
        <f t="shared" si="7"/>
        <v>OCUPADO</v>
      </c>
      <c r="X10" s="23" t="s">
        <v>26</v>
      </c>
      <c r="Y10" s="90" t="s">
        <v>26</v>
      </c>
      <c r="Z10" s="34">
        <v>105</v>
      </c>
      <c r="AA10" s="35">
        <v>5</v>
      </c>
      <c r="AB10" s="28" t="str">
        <f t="shared" si="8"/>
        <v>105-5</v>
      </c>
      <c r="AC10" s="24" t="s">
        <v>98</v>
      </c>
      <c r="AD10" s="24" t="s">
        <v>98</v>
      </c>
      <c r="AE10" s="24" t="s">
        <v>257</v>
      </c>
      <c r="AF10" s="24" t="s">
        <v>260</v>
      </c>
      <c r="AG10" s="24" t="s">
        <v>261</v>
      </c>
      <c r="AH10" s="103" t="s">
        <v>262</v>
      </c>
      <c r="AI10" s="93">
        <f t="shared" si="9"/>
        <v>9154873</v>
      </c>
      <c r="AJ10" s="93">
        <f t="shared" si="17"/>
        <v>2746461.9</v>
      </c>
      <c r="AK10" s="93">
        <f t="shared" si="11"/>
        <v>0</v>
      </c>
      <c r="AL10" s="93">
        <f>IFERROR(INT(($AI10*(VLOOKUP($D10,'PORCENTAJES FACTORES'!B:N,12,0))/100)),0)</f>
        <v>4577436</v>
      </c>
      <c r="AM10" s="93">
        <f t="shared" si="12"/>
        <v>0</v>
      </c>
      <c r="AN10" s="93">
        <f t="shared" si="13"/>
        <v>0</v>
      </c>
      <c r="AO10" s="93">
        <f t="shared" si="14"/>
        <v>0</v>
      </c>
      <c r="AP10" s="95">
        <f t="shared" si="15"/>
        <v>16478770.9</v>
      </c>
      <c r="AQ10" s="96"/>
      <c r="AR10" s="97" t="s">
        <v>268</v>
      </c>
      <c r="AS10" s="58"/>
      <c r="AT10" s="2" t="s">
        <v>244</v>
      </c>
      <c r="AU10" s="46">
        <v>10208470</v>
      </c>
      <c r="AV10" s="98">
        <f t="shared" si="16"/>
        <v>80096113</v>
      </c>
      <c r="AW10" s="43">
        <f>VLOOKUP(D10,'PLANTA PERNO'!A:R,18,0)</f>
        <v>0</v>
      </c>
      <c r="AX10" s="58"/>
      <c r="AY10" s="100" t="s">
        <v>24</v>
      </c>
      <c r="AZ10" s="100" t="s">
        <v>192</v>
      </c>
      <c r="BA10" s="48"/>
      <c r="BB10" s="48"/>
      <c r="BC10" s="48"/>
      <c r="BD10" s="48"/>
      <c r="BE10" s="48"/>
      <c r="BF10" s="48"/>
      <c r="BG10" s="48"/>
      <c r="BH10" s="48"/>
      <c r="BI10" s="48"/>
      <c r="BJ10" s="48"/>
      <c r="BK10" s="48"/>
      <c r="BL10" s="48"/>
      <c r="BM10" s="48"/>
      <c r="BN10" s="48"/>
      <c r="BO10" s="48"/>
      <c r="BP10" s="48"/>
      <c r="BQ10" s="48"/>
    </row>
    <row r="11" spans="1:69" ht="12.75" customHeight="1">
      <c r="A11" s="85">
        <v>7</v>
      </c>
      <c r="B11" s="86">
        <v>5004</v>
      </c>
      <c r="C11" s="29">
        <v>16</v>
      </c>
      <c r="D11" s="14">
        <v>1098774988</v>
      </c>
      <c r="E11" s="18" t="str">
        <f>IF(D11&gt;0,VLOOKUP(D11,'PLANTA PERNO'!A:D,4,0)&amp;" "&amp;VLOOKUP(D11,'PLANTA PERNO'!A:D,2,0)&amp;" "&amp;VLOOKUP(D11,'PLANTA PERNO'!A:D,3,0),IF(N11="","VACANTE DEFINITIVA","VACANTE TEMPORAL"))</f>
        <v>LAURA JULIANA ARIZA HERRERA</v>
      </c>
      <c r="F11" s="20" t="s">
        <v>39</v>
      </c>
      <c r="G11" s="20" t="str">
        <f t="shared" si="0"/>
        <v>NOMBRAMIENTO ORDINARIO</v>
      </c>
      <c r="H11" s="33">
        <f t="shared" si="1"/>
        <v>45757</v>
      </c>
      <c r="I11" s="33">
        <f t="shared" si="2"/>
        <v>45757</v>
      </c>
      <c r="J11" s="31" t="str">
        <f t="shared" si="3"/>
        <v>MUJER</v>
      </c>
      <c r="K11" s="21">
        <f t="shared" ca="1" si="4"/>
        <v>31</v>
      </c>
      <c r="L11" s="87" t="str">
        <f t="shared" si="5"/>
        <v/>
      </c>
      <c r="M11" s="21" t="str">
        <f t="shared" si="6"/>
        <v>EN PROPIEDAD</v>
      </c>
      <c r="N11" s="21">
        <v>1098774988</v>
      </c>
      <c r="O11" s="18" t="str">
        <f>IF(N11="","VACANTE DEFINITIVA",(VLOOKUP(N11,'PLANTA PERNO'!A:D,4,0)&amp;" "&amp;VLOOKUP(N11,'PLANTA PERNO'!A:D,2,0)&amp;" "&amp;VLOOKUP(N11,'PLANTA PERNO'!A:D,3,0)))</f>
        <v>LAURA JULIANA ARIZA HERRERA</v>
      </c>
      <c r="P11" s="21"/>
      <c r="Q11" s="21"/>
      <c r="R11" s="21"/>
      <c r="S11" s="21"/>
      <c r="T11" s="21"/>
      <c r="U11" s="21"/>
      <c r="V11" s="38"/>
      <c r="W11" s="28" t="str">
        <f t="shared" si="7"/>
        <v>OCUPADO</v>
      </c>
      <c r="X11" s="23" t="s">
        <v>26</v>
      </c>
      <c r="Y11" s="90" t="s">
        <v>26</v>
      </c>
      <c r="Z11" s="34">
        <v>105</v>
      </c>
      <c r="AA11" s="35">
        <v>5</v>
      </c>
      <c r="AB11" s="28" t="str">
        <f t="shared" si="8"/>
        <v>105-5</v>
      </c>
      <c r="AC11" s="24" t="s">
        <v>98</v>
      </c>
      <c r="AD11" s="24" t="s">
        <v>98</v>
      </c>
      <c r="AE11" s="24" t="s">
        <v>257</v>
      </c>
      <c r="AF11" s="24" t="s">
        <v>260</v>
      </c>
      <c r="AG11" s="24" t="s">
        <v>261</v>
      </c>
      <c r="AH11" s="103" t="s">
        <v>262</v>
      </c>
      <c r="AI11" s="93">
        <f t="shared" si="9"/>
        <v>9154873</v>
      </c>
      <c r="AJ11" s="93">
        <f t="shared" si="17"/>
        <v>2746461.9</v>
      </c>
      <c r="AK11" s="93">
        <f t="shared" si="11"/>
        <v>0</v>
      </c>
      <c r="AL11" s="93">
        <f>IFERROR(INT(($AI11*(VLOOKUP($D11,'PORCENTAJES FACTORES'!B:N,12,0))/100)),0)</f>
        <v>4577436</v>
      </c>
      <c r="AM11" s="93">
        <f t="shared" si="12"/>
        <v>0</v>
      </c>
      <c r="AN11" s="93">
        <f t="shared" si="13"/>
        <v>0</v>
      </c>
      <c r="AO11" s="93">
        <f t="shared" si="14"/>
        <v>0</v>
      </c>
      <c r="AP11" s="95">
        <f t="shared" si="15"/>
        <v>16478770.9</v>
      </c>
      <c r="AQ11" s="96"/>
      <c r="AR11" s="97" t="s">
        <v>268</v>
      </c>
      <c r="AS11" s="58"/>
      <c r="AT11" s="2" t="s">
        <v>297</v>
      </c>
      <c r="AU11" s="46">
        <v>11186814</v>
      </c>
      <c r="AV11" s="98">
        <f t="shared" si="16"/>
        <v>1098774988</v>
      </c>
      <c r="AW11" s="43">
        <f>VLOOKUP(D11,'PLANTA PERNO'!A:R,18,0)</f>
        <v>0</v>
      </c>
      <c r="AX11" s="58"/>
      <c r="AY11" s="100" t="s">
        <v>39</v>
      </c>
      <c r="AZ11" s="100" t="s">
        <v>43</v>
      </c>
      <c r="BA11" s="48"/>
      <c r="BB11" s="48"/>
      <c r="BC11" s="48"/>
      <c r="BD11" s="48"/>
      <c r="BE11" s="48"/>
      <c r="BF11" s="48"/>
      <c r="BG11" s="48"/>
      <c r="BH11" s="48"/>
      <c r="BI11" s="48"/>
      <c r="BJ11" s="48"/>
      <c r="BK11" s="48"/>
      <c r="BL11" s="48"/>
      <c r="BM11" s="48"/>
      <c r="BN11" s="48"/>
      <c r="BO11" s="48"/>
      <c r="BP11" s="48"/>
      <c r="BQ11" s="48"/>
    </row>
    <row r="12" spans="1:69" ht="12.75" customHeight="1">
      <c r="A12" s="85">
        <v>8</v>
      </c>
      <c r="B12" s="86">
        <v>5005</v>
      </c>
      <c r="C12" s="29">
        <v>137</v>
      </c>
      <c r="D12" s="14">
        <v>52235989</v>
      </c>
      <c r="E12" s="18" t="str">
        <f>IF(D12&gt;0,VLOOKUP(D12,'PLANTA PERNO'!A:D,4,0)&amp;" "&amp;VLOOKUP(D12,'PLANTA PERNO'!A:D,2,0)&amp;" "&amp;VLOOKUP(D12,'PLANTA PERNO'!A:D,3,0),IF(N12="","VACANTE DEFINITIVA","VACANTE TEMPORAL"))</f>
        <v>MILDRED PAOLA ARDILA VERGARA</v>
      </c>
      <c r="F12" s="20" t="s">
        <v>247</v>
      </c>
      <c r="G12" s="20" t="str">
        <f t="shared" si="0"/>
        <v>EN PERIODO DE PRUEBA</v>
      </c>
      <c r="H12" s="33">
        <f t="shared" si="1"/>
        <v>42585</v>
      </c>
      <c r="I12" s="33">
        <f t="shared" si="2"/>
        <v>38446</v>
      </c>
      <c r="J12" s="31" t="str">
        <f t="shared" si="3"/>
        <v>MUJER</v>
      </c>
      <c r="K12" s="21">
        <f t="shared" ca="1" si="4"/>
        <v>47</v>
      </c>
      <c r="L12" s="87" t="str">
        <f t="shared" si="5"/>
        <v/>
      </c>
      <c r="M12" s="21" t="str">
        <f t="shared" si="6"/>
        <v>EN PROPIEDAD</v>
      </c>
      <c r="N12" s="21">
        <v>52235989</v>
      </c>
      <c r="O12" s="18" t="str">
        <f>IF(N12="","VACANTE DEFINITIVA",(VLOOKUP(N12,'PLANTA PERNO'!A:D,4,0)&amp;" "&amp;VLOOKUP(N12,'PLANTA PERNO'!A:D,2,0)&amp;" "&amp;VLOOKUP(N12,'PLANTA PERNO'!A:D,3,0)))</f>
        <v>MILDRED PAOLA ARDILA VERGARA</v>
      </c>
      <c r="P12" s="21"/>
      <c r="Q12" s="21"/>
      <c r="R12" s="21"/>
      <c r="S12" s="21"/>
      <c r="T12" s="21"/>
      <c r="U12" s="21"/>
      <c r="V12" s="123">
        <v>203205</v>
      </c>
      <c r="W12" s="28" t="str">
        <f t="shared" si="7"/>
        <v>OCUPADO</v>
      </c>
      <c r="X12" s="23" t="s">
        <v>27</v>
      </c>
      <c r="Y12" s="90" t="s">
        <v>146</v>
      </c>
      <c r="Z12" s="25">
        <v>407</v>
      </c>
      <c r="AA12" s="27">
        <v>27</v>
      </c>
      <c r="AB12" s="28" t="str">
        <f t="shared" si="8"/>
        <v>407-27</v>
      </c>
      <c r="AC12" s="24" t="s">
        <v>147</v>
      </c>
      <c r="AD12" s="24" t="s">
        <v>147</v>
      </c>
      <c r="AE12" s="24" t="s">
        <v>301</v>
      </c>
      <c r="AF12" s="24" t="s">
        <v>302</v>
      </c>
      <c r="AG12" s="24" t="s">
        <v>303</v>
      </c>
      <c r="AH12" s="24" t="s">
        <v>304</v>
      </c>
      <c r="AI12" s="93">
        <f t="shared" si="9"/>
        <v>4316673</v>
      </c>
      <c r="AJ12" s="93">
        <v>0</v>
      </c>
      <c r="AK12" s="93">
        <f t="shared" si="11"/>
        <v>302167</v>
      </c>
      <c r="AL12" s="93">
        <f>IFERROR(INT(($AI12*(VLOOKUP($D12,'PORCENTAJES FACTORES'!B:N,12,0))/100)),0)</f>
        <v>0</v>
      </c>
      <c r="AM12" s="93">
        <f t="shared" si="12"/>
        <v>0</v>
      </c>
      <c r="AN12" s="93">
        <f t="shared" si="13"/>
        <v>0</v>
      </c>
      <c r="AO12" s="93">
        <f t="shared" si="14"/>
        <v>0</v>
      </c>
      <c r="AP12" s="95">
        <f t="shared" si="15"/>
        <v>4618840</v>
      </c>
      <c r="AQ12" s="96"/>
      <c r="AR12" s="97" t="s">
        <v>308</v>
      </c>
      <c r="AS12" s="58"/>
      <c r="AT12" s="2" t="s">
        <v>309</v>
      </c>
      <c r="AU12" s="46">
        <v>12531747</v>
      </c>
      <c r="AV12" s="98">
        <f t="shared" si="16"/>
        <v>52235989</v>
      </c>
      <c r="AW12" s="43">
        <f>VLOOKUP(D12,'PLANTA PERNO'!A:R,18,0)</f>
        <v>0</v>
      </c>
      <c r="AX12" s="58"/>
      <c r="AY12" s="100" t="s">
        <v>311</v>
      </c>
      <c r="AZ12" s="100" t="s">
        <v>312</v>
      </c>
      <c r="BA12" s="48"/>
      <c r="BB12" s="48"/>
      <c r="BC12" s="48"/>
      <c r="BD12" s="48"/>
      <c r="BE12" s="48"/>
      <c r="BF12" s="48"/>
      <c r="BG12" s="48"/>
      <c r="BH12" s="48"/>
      <c r="BI12" s="48"/>
      <c r="BJ12" s="48"/>
      <c r="BK12" s="48"/>
      <c r="BL12" s="48"/>
      <c r="BM12" s="48"/>
      <c r="BN12" s="48"/>
      <c r="BO12" s="48"/>
      <c r="BP12" s="48"/>
      <c r="BQ12" s="48"/>
    </row>
    <row r="13" spans="1:69" ht="12.75" customHeight="1">
      <c r="A13" s="85">
        <v>9</v>
      </c>
      <c r="B13" s="86">
        <v>5006</v>
      </c>
      <c r="C13" s="29">
        <v>165</v>
      </c>
      <c r="D13" s="14">
        <v>52146196</v>
      </c>
      <c r="E13" s="18" t="str">
        <f>IF(D13&gt;0,VLOOKUP(D13,'PLANTA PERNO'!A:D,4,0)&amp;" "&amp;VLOOKUP(D13,'PLANTA PERNO'!A:D,2,0)&amp;" "&amp;VLOOKUP(D13,'PLANTA PERNO'!A:D,3,0),IF(N13="","VACANTE DEFINITIVA","VACANTE TEMPORAL"))</f>
        <v>KATHERYN YOLANDA RODGERS QUIROGA</v>
      </c>
      <c r="F13" s="20" t="s">
        <v>49</v>
      </c>
      <c r="G13" s="20" t="str">
        <f t="shared" si="0"/>
        <v>CARRERA ADMINISTRATIVA</v>
      </c>
      <c r="H13" s="33">
        <f t="shared" si="1"/>
        <v>42585</v>
      </c>
      <c r="I13" s="33">
        <f t="shared" si="2"/>
        <v>38443</v>
      </c>
      <c r="J13" s="31" t="str">
        <f t="shared" si="3"/>
        <v>MUJER</v>
      </c>
      <c r="K13" s="21">
        <f t="shared" ca="1" si="4"/>
        <v>53</v>
      </c>
      <c r="L13" s="87" t="str">
        <f t="shared" si="5"/>
        <v/>
      </c>
      <c r="M13" s="21" t="str">
        <f t="shared" si="6"/>
        <v>EN PROPIEDAD</v>
      </c>
      <c r="N13" s="21">
        <v>52146196</v>
      </c>
      <c r="O13" s="18" t="str">
        <f>IF(N13="","VACANTE DEFINITIVA",(VLOOKUP(N13,'PLANTA PERNO'!A:D,4,0)&amp;" "&amp;VLOOKUP(N13,'PLANTA PERNO'!A:D,2,0)&amp;" "&amp;VLOOKUP(N13,'PLANTA PERNO'!A:D,3,0)))</f>
        <v>KATHERYN YOLANDA RODGERS QUIROGA</v>
      </c>
      <c r="P13" s="21"/>
      <c r="Q13" s="21"/>
      <c r="R13" s="21"/>
      <c r="S13" s="21"/>
      <c r="T13" s="21"/>
      <c r="U13" s="21"/>
      <c r="V13" s="38"/>
      <c r="W13" s="28" t="str">
        <f t="shared" si="7"/>
        <v>OCUPADO</v>
      </c>
      <c r="X13" s="23" t="s">
        <v>27</v>
      </c>
      <c r="Y13" s="90" t="s">
        <v>255</v>
      </c>
      <c r="Z13" s="25">
        <v>425</v>
      </c>
      <c r="AA13" s="27">
        <v>27</v>
      </c>
      <c r="AB13" s="28" t="str">
        <f t="shared" si="8"/>
        <v>425-27</v>
      </c>
      <c r="AC13" s="24" t="s">
        <v>153</v>
      </c>
      <c r="AD13" s="24" t="s">
        <v>153</v>
      </c>
      <c r="AE13" s="24" t="s">
        <v>314</v>
      </c>
      <c r="AF13" s="24" t="s">
        <v>315</v>
      </c>
      <c r="AG13" s="24" t="s">
        <v>303</v>
      </c>
      <c r="AH13" s="24" t="s">
        <v>316</v>
      </c>
      <c r="AI13" s="93">
        <f t="shared" si="9"/>
        <v>4316673</v>
      </c>
      <c r="AJ13" s="93">
        <v>0</v>
      </c>
      <c r="AK13" s="93">
        <f t="shared" si="11"/>
        <v>302167</v>
      </c>
      <c r="AL13" s="93">
        <f>IFERROR(INT(($AI13*(VLOOKUP($D13,'PORCENTAJES FACTORES'!B:N,12,0))/100)),0)</f>
        <v>0</v>
      </c>
      <c r="AM13" s="93">
        <f t="shared" si="12"/>
        <v>86333</v>
      </c>
      <c r="AN13" s="93">
        <f t="shared" si="13"/>
        <v>0</v>
      </c>
      <c r="AO13" s="93">
        <f t="shared" si="14"/>
        <v>0</v>
      </c>
      <c r="AP13" s="95">
        <f t="shared" si="15"/>
        <v>4705173</v>
      </c>
      <c r="AQ13" s="96"/>
      <c r="AR13" s="97" t="s">
        <v>308</v>
      </c>
      <c r="AS13" s="58"/>
      <c r="AT13" s="2" t="s">
        <v>318</v>
      </c>
      <c r="AU13" s="46">
        <v>14052600</v>
      </c>
      <c r="AV13" s="98">
        <f t="shared" si="16"/>
        <v>52146196</v>
      </c>
      <c r="AW13" s="43">
        <f>VLOOKUP(D13,'PLANTA PERNO'!A:R,18,0)</f>
        <v>0</v>
      </c>
      <c r="AX13" s="58"/>
      <c r="AY13" s="100" t="s">
        <v>228</v>
      </c>
      <c r="AZ13" s="100" t="s">
        <v>227</v>
      </c>
      <c r="BA13" s="48"/>
      <c r="BB13" s="48"/>
      <c r="BC13" s="48"/>
      <c r="BD13" s="48"/>
      <c r="BE13" s="48"/>
      <c r="BF13" s="48"/>
      <c r="BG13" s="48"/>
      <c r="BH13" s="48"/>
      <c r="BI13" s="48"/>
      <c r="BJ13" s="48"/>
      <c r="BK13" s="48"/>
      <c r="BL13" s="48"/>
      <c r="BM13" s="48"/>
      <c r="BN13" s="48"/>
      <c r="BO13" s="48"/>
      <c r="BP13" s="48"/>
      <c r="BQ13" s="48"/>
    </row>
    <row r="14" spans="1:69" ht="12.75" customHeight="1">
      <c r="A14" s="85">
        <v>10</v>
      </c>
      <c r="B14" s="86">
        <v>5007</v>
      </c>
      <c r="C14" s="29">
        <v>138</v>
      </c>
      <c r="D14" s="14">
        <v>1012339868</v>
      </c>
      <c r="E14" s="18" t="str">
        <f>IF(D14&gt;0,VLOOKUP(D14,'PLANTA PERNO'!A:D,4,0)&amp;" "&amp;VLOOKUP(D14,'PLANTA PERNO'!A:D,2,0)&amp;" "&amp;VLOOKUP(D14,'PLANTA PERNO'!A:D,3,0),IF(N14="","VACANTE DEFINITIVA","VACANTE TEMPORAL"))</f>
        <v>OLGA LILIANA LONDOÃ‘O GARCIA</v>
      </c>
      <c r="F14" s="20" t="s">
        <v>49</v>
      </c>
      <c r="G14" s="20" t="str">
        <f t="shared" si="0"/>
        <v>EN ENCARGO</v>
      </c>
      <c r="H14" s="33">
        <f t="shared" si="1"/>
        <v>44147</v>
      </c>
      <c r="I14" s="33">
        <f t="shared" si="2"/>
        <v>44147</v>
      </c>
      <c r="J14" s="31" t="str">
        <f t="shared" si="3"/>
        <v>MUJER</v>
      </c>
      <c r="K14" s="21">
        <f t="shared" ca="1" si="4"/>
        <v>38</v>
      </c>
      <c r="L14" s="87" t="str">
        <f t="shared" si="5"/>
        <v>ENCARGO</v>
      </c>
      <c r="M14" s="21" t="str">
        <f t="shared" si="6"/>
        <v>EN ENCARGO</v>
      </c>
      <c r="N14" s="21">
        <v>52235989</v>
      </c>
      <c r="O14" s="18" t="str">
        <f>IF(N14="","VACANTE DEFINITIVA",(VLOOKUP(N14,'PLANTA PERNO'!A:D,4,0)&amp;" "&amp;VLOOKUP(N14,'PLANTA PERNO'!A:D,2,0)&amp;" "&amp;VLOOKUP(N14,'PLANTA PERNO'!A:D,3,0)))</f>
        <v>MILDRED PAOLA ARDILA VERGARA</v>
      </c>
      <c r="P14" s="21" t="s">
        <v>323</v>
      </c>
      <c r="Q14" s="21">
        <v>1</v>
      </c>
      <c r="R14" s="21"/>
      <c r="S14" s="21"/>
      <c r="T14" s="21"/>
      <c r="U14" s="21"/>
      <c r="V14" s="38"/>
      <c r="W14" s="28" t="str">
        <f t="shared" si="7"/>
        <v>OCUPADO</v>
      </c>
      <c r="X14" s="23" t="s">
        <v>27</v>
      </c>
      <c r="Y14" s="90" t="s">
        <v>146</v>
      </c>
      <c r="Z14" s="25">
        <v>407</v>
      </c>
      <c r="AA14" s="27">
        <v>26</v>
      </c>
      <c r="AB14" s="28" t="str">
        <f t="shared" si="8"/>
        <v>407-26</v>
      </c>
      <c r="AC14" s="63" t="s">
        <v>68</v>
      </c>
      <c r="AD14" s="63" t="s">
        <v>68</v>
      </c>
      <c r="AE14" s="24" t="s">
        <v>324</v>
      </c>
      <c r="AF14" s="24" t="s">
        <v>325</v>
      </c>
      <c r="AG14" s="24" t="s">
        <v>303</v>
      </c>
      <c r="AH14" s="24" t="s">
        <v>326</v>
      </c>
      <c r="AI14" s="93">
        <f t="shared" si="9"/>
        <v>4316410</v>
      </c>
      <c r="AJ14" s="93">
        <v>0</v>
      </c>
      <c r="AK14" s="93">
        <f t="shared" si="11"/>
        <v>129492</v>
      </c>
      <c r="AL14" s="93">
        <f>IFERROR(INT(($AI14*(VLOOKUP($D14,'PORCENTAJES FACTORES'!B:N,12,0))/100)),0)</f>
        <v>0</v>
      </c>
      <c r="AM14" s="93">
        <f t="shared" si="12"/>
        <v>0</v>
      </c>
      <c r="AN14" s="93">
        <f t="shared" si="13"/>
        <v>0</v>
      </c>
      <c r="AO14" s="93">
        <f t="shared" si="14"/>
        <v>0</v>
      </c>
      <c r="AP14" s="95">
        <f t="shared" si="15"/>
        <v>4445902</v>
      </c>
      <c r="AQ14" s="96"/>
      <c r="AR14" s="97" t="s">
        <v>328</v>
      </c>
      <c r="AS14" s="58"/>
      <c r="AT14" s="2" t="s">
        <v>329</v>
      </c>
      <c r="AU14" s="125">
        <v>15302779</v>
      </c>
      <c r="AV14" s="98">
        <f t="shared" si="16"/>
        <v>52235989</v>
      </c>
      <c r="AW14" s="43">
        <f>VLOOKUP(D14,'PLANTA PERNO'!A:R,18,0)</f>
        <v>0</v>
      </c>
      <c r="AX14" s="58"/>
      <c r="AY14" s="100" t="s">
        <v>331</v>
      </c>
      <c r="AZ14" s="100" t="s">
        <v>332</v>
      </c>
      <c r="BA14" s="48"/>
      <c r="BB14" s="48"/>
      <c r="BC14" s="48"/>
      <c r="BD14" s="48"/>
      <c r="BE14" s="48"/>
      <c r="BF14" s="48"/>
      <c r="BG14" s="48"/>
      <c r="BH14" s="48"/>
      <c r="BI14" s="48"/>
      <c r="BJ14" s="48"/>
      <c r="BK14" s="48"/>
      <c r="BL14" s="48"/>
      <c r="BM14" s="48"/>
      <c r="BN14" s="48"/>
      <c r="BO14" s="48"/>
      <c r="BP14" s="48"/>
      <c r="BQ14" s="48"/>
    </row>
    <row r="15" spans="1:69" ht="12.75" customHeight="1">
      <c r="A15" s="85">
        <v>11</v>
      </c>
      <c r="B15" s="86">
        <v>5008</v>
      </c>
      <c r="C15" s="29">
        <v>166</v>
      </c>
      <c r="D15" s="14">
        <v>52542976</v>
      </c>
      <c r="E15" s="18" t="str">
        <f>IF(D15&gt;0,VLOOKUP(D15,'PLANTA PERNO'!A:D,4,0)&amp;" "&amp;VLOOKUP(D15,'PLANTA PERNO'!A:D,2,0)&amp;" "&amp;VLOOKUP(D15,'PLANTA PERNO'!A:D,3,0),IF(N15="","VACANTE DEFINITIVA","VACANTE TEMPORAL"))</f>
        <v>ADRIANA PATRICIA RAMIREZ BAUTISTA</v>
      </c>
      <c r="F15" s="20" t="s">
        <v>49</v>
      </c>
      <c r="G15" s="20" t="str">
        <f t="shared" si="0"/>
        <v>EN ENCARGO</v>
      </c>
      <c r="H15" s="33">
        <f t="shared" si="1"/>
        <v>44144</v>
      </c>
      <c r="I15" s="33">
        <f t="shared" si="2"/>
        <v>44144</v>
      </c>
      <c r="J15" s="31" t="str">
        <f t="shared" si="3"/>
        <v>MUJER</v>
      </c>
      <c r="K15" s="21">
        <f t="shared" ca="1" si="4"/>
        <v>46</v>
      </c>
      <c r="L15" s="87" t="str">
        <f t="shared" si="5"/>
        <v>ENCARGO</v>
      </c>
      <c r="M15" s="21" t="str">
        <f t="shared" si="6"/>
        <v>EN ENCARGO</v>
      </c>
      <c r="N15" s="21">
        <v>52281297</v>
      </c>
      <c r="O15" s="18" t="str">
        <f>IF(N15="","VACANTE DEFINITIVA",(VLOOKUP(N15,'PLANTA PERNO'!A:D,4,0)&amp;" "&amp;VLOOKUP(N15,'PLANTA PERNO'!A:D,2,0)&amp;" "&amp;VLOOKUP(N15,'PLANTA PERNO'!A:D,3,0)))</f>
        <v>ANA JULIETH GIL HERRERA</v>
      </c>
      <c r="P15" s="21" t="s">
        <v>333</v>
      </c>
      <c r="Q15" s="21">
        <v>3</v>
      </c>
      <c r="R15" s="21"/>
      <c r="S15" s="21"/>
      <c r="T15" s="21"/>
      <c r="U15" s="21"/>
      <c r="V15" s="38"/>
      <c r="W15" s="28" t="str">
        <f t="shared" si="7"/>
        <v>OCUPADO</v>
      </c>
      <c r="X15" s="23" t="s">
        <v>27</v>
      </c>
      <c r="Y15" s="90" t="s">
        <v>255</v>
      </c>
      <c r="Z15" s="34">
        <v>425</v>
      </c>
      <c r="AA15" s="35">
        <v>24</v>
      </c>
      <c r="AB15" s="28" t="str">
        <f t="shared" si="8"/>
        <v>425-24</v>
      </c>
      <c r="AC15" s="24" t="s">
        <v>75</v>
      </c>
      <c r="AD15" s="24" t="s">
        <v>75</v>
      </c>
      <c r="AE15" s="24" t="s">
        <v>334</v>
      </c>
      <c r="AF15" s="24" t="s">
        <v>335</v>
      </c>
      <c r="AG15" s="24" t="s">
        <v>303</v>
      </c>
      <c r="AH15" s="24" t="s">
        <v>336</v>
      </c>
      <c r="AI15" s="93">
        <f t="shared" si="9"/>
        <v>4110053</v>
      </c>
      <c r="AJ15" s="93">
        <v>0</v>
      </c>
      <c r="AK15" s="93">
        <f t="shared" si="11"/>
        <v>123301</v>
      </c>
      <c r="AL15" s="93">
        <f>IFERROR(INT(($AI15*(VLOOKUP($D15,'PORCENTAJES FACTORES'!B:N,12,0))/100)),0)</f>
        <v>0</v>
      </c>
      <c r="AM15" s="93">
        <f t="shared" si="12"/>
        <v>82201</v>
      </c>
      <c r="AN15" s="93">
        <f t="shared" si="13"/>
        <v>0</v>
      </c>
      <c r="AO15" s="93">
        <f t="shared" si="14"/>
        <v>0</v>
      </c>
      <c r="AP15" s="95">
        <f t="shared" si="15"/>
        <v>4315555</v>
      </c>
      <c r="AQ15" s="96"/>
      <c r="AR15" s="97" t="s">
        <v>337</v>
      </c>
      <c r="AS15" s="58"/>
      <c r="AT15" s="2" t="s">
        <v>338</v>
      </c>
      <c r="AU15" s="46">
        <v>6802822</v>
      </c>
      <c r="AV15" s="98">
        <f t="shared" si="16"/>
        <v>52281297</v>
      </c>
      <c r="AW15" s="43">
        <f>VLOOKUP(D15,'PLANTA PERNO'!A:R,18,0)</f>
        <v>0</v>
      </c>
      <c r="AX15" s="58"/>
      <c r="AY15" s="100" t="s">
        <v>20</v>
      </c>
      <c r="AZ15" s="100" t="s">
        <v>20</v>
      </c>
      <c r="BA15" s="48"/>
      <c r="BB15" s="48"/>
      <c r="BC15" s="48"/>
      <c r="BD15" s="48"/>
      <c r="BE15" s="48"/>
      <c r="BF15" s="48"/>
      <c r="BG15" s="48"/>
      <c r="BH15" s="48"/>
      <c r="BI15" s="48"/>
      <c r="BJ15" s="48"/>
      <c r="BK15" s="48"/>
      <c r="BL15" s="48"/>
      <c r="BM15" s="48"/>
      <c r="BN15" s="48"/>
      <c r="BO15" s="48"/>
      <c r="BP15" s="48"/>
      <c r="BQ15" s="48"/>
    </row>
    <row r="16" spans="1:69" ht="12.75" customHeight="1">
      <c r="A16" s="85">
        <v>12</v>
      </c>
      <c r="B16" s="86">
        <v>5009</v>
      </c>
      <c r="C16" s="29">
        <v>139</v>
      </c>
      <c r="D16" s="14">
        <v>51882380</v>
      </c>
      <c r="E16" s="18" t="str">
        <f>IF(D16&gt;0,VLOOKUP(D16,'PLANTA PERNO'!A:D,4,0)&amp;" "&amp;VLOOKUP(D16,'PLANTA PERNO'!A:D,2,0)&amp;" "&amp;VLOOKUP(D16,'PLANTA PERNO'!A:D,3,0),IF(N16="","VACANTE DEFINITIVA","VACANTE TEMPORAL"))</f>
        <v>CARMEN ALICIA FORERO FORERO</v>
      </c>
      <c r="F16" s="20" t="s">
        <v>49</v>
      </c>
      <c r="G16" s="20" t="str">
        <f t="shared" si="0"/>
        <v>EN ENCARGO</v>
      </c>
      <c r="H16" s="33">
        <f t="shared" si="1"/>
        <v>42585</v>
      </c>
      <c r="I16" s="33">
        <f t="shared" si="2"/>
        <v>33686</v>
      </c>
      <c r="J16" s="31" t="str">
        <f t="shared" si="3"/>
        <v>MUJER</v>
      </c>
      <c r="K16" s="21">
        <f t="shared" ca="1" si="4"/>
        <v>60</v>
      </c>
      <c r="L16" s="87" t="str">
        <f t="shared" si="5"/>
        <v>ENCARGO</v>
      </c>
      <c r="M16" s="21" t="str">
        <f t="shared" si="6"/>
        <v>EN ENCARGO</v>
      </c>
      <c r="N16" s="21">
        <v>51961579</v>
      </c>
      <c r="O16" s="18" t="str">
        <f>IF(N16="","VACANTE DEFINITIVA",(VLOOKUP(N16,'PLANTA PERNO'!A:D,4,0)&amp;" "&amp;VLOOKUP(N16,'PLANTA PERNO'!A:D,2,0)&amp;" "&amp;VLOOKUP(N16,'PLANTA PERNO'!A:D,3,0)))</f>
        <v>AZULA URIBE CABALLERO</v>
      </c>
      <c r="P16" s="21" t="s">
        <v>340</v>
      </c>
      <c r="Q16" s="21">
        <v>2</v>
      </c>
      <c r="R16" s="21"/>
      <c r="S16" s="21"/>
      <c r="T16" s="21"/>
      <c r="U16" s="21"/>
      <c r="V16" s="123">
        <v>220285</v>
      </c>
      <c r="W16" s="28" t="str">
        <f t="shared" si="7"/>
        <v>OCUPADO</v>
      </c>
      <c r="X16" s="23" t="s">
        <v>27</v>
      </c>
      <c r="Y16" s="90" t="s">
        <v>146</v>
      </c>
      <c r="Z16" s="25">
        <v>407</v>
      </c>
      <c r="AA16" s="27">
        <v>24</v>
      </c>
      <c r="AB16" s="28" t="str">
        <f t="shared" si="8"/>
        <v>407-24</v>
      </c>
      <c r="AC16" s="24" t="s">
        <v>147</v>
      </c>
      <c r="AD16" s="24" t="s">
        <v>147</v>
      </c>
      <c r="AE16" s="24" t="s">
        <v>324</v>
      </c>
      <c r="AF16" s="24" t="s">
        <v>341</v>
      </c>
      <c r="AG16" s="24" t="s">
        <v>303</v>
      </c>
      <c r="AH16" s="24" t="s">
        <v>342</v>
      </c>
      <c r="AI16" s="93">
        <f t="shared" si="9"/>
        <v>4110053</v>
      </c>
      <c r="AJ16" s="93">
        <v>0</v>
      </c>
      <c r="AK16" s="93">
        <f t="shared" si="11"/>
        <v>287703</v>
      </c>
      <c r="AL16" s="93">
        <f>IFERROR(INT(($AI16*(VLOOKUP($D16,'PORCENTAJES FACTORES'!B:N,12,0))/100)),0)</f>
        <v>0</v>
      </c>
      <c r="AM16" s="93">
        <f t="shared" si="12"/>
        <v>0</v>
      </c>
      <c r="AN16" s="93">
        <f t="shared" si="13"/>
        <v>0</v>
      </c>
      <c r="AO16" s="93">
        <f t="shared" si="14"/>
        <v>0</v>
      </c>
      <c r="AP16" s="95">
        <f t="shared" si="15"/>
        <v>4397756</v>
      </c>
      <c r="AQ16" s="96"/>
      <c r="AR16" s="97" t="s">
        <v>337</v>
      </c>
      <c r="AS16" s="58"/>
      <c r="AT16" s="2" t="s">
        <v>343</v>
      </c>
      <c r="AU16" s="46">
        <v>7169759</v>
      </c>
      <c r="AV16" s="98">
        <f t="shared" si="16"/>
        <v>51961579</v>
      </c>
      <c r="AW16" s="43">
        <f>VLOOKUP(D16,'PLANTA PERNO'!A:R,18,0)</f>
        <v>0</v>
      </c>
      <c r="AX16" s="58"/>
      <c r="AY16" s="100" t="s">
        <v>69</v>
      </c>
      <c r="AZ16" s="100" t="s">
        <v>69</v>
      </c>
      <c r="BA16" s="48"/>
      <c r="BB16" s="48"/>
      <c r="BC16" s="48"/>
      <c r="BD16" s="48"/>
      <c r="BE16" s="48"/>
      <c r="BF16" s="48"/>
      <c r="BG16" s="48"/>
      <c r="BH16" s="48"/>
      <c r="BI16" s="48"/>
      <c r="BJ16" s="48"/>
      <c r="BK16" s="48"/>
      <c r="BL16" s="48"/>
      <c r="BM16" s="48"/>
      <c r="BN16" s="48"/>
      <c r="BO16" s="48"/>
      <c r="BP16" s="48"/>
      <c r="BQ16" s="48"/>
    </row>
    <row r="17" spans="1:69" ht="12" customHeight="1">
      <c r="A17" s="85">
        <v>13</v>
      </c>
      <c r="B17" s="86">
        <v>5010</v>
      </c>
      <c r="C17" s="29">
        <v>167</v>
      </c>
      <c r="D17" s="14">
        <v>52124597</v>
      </c>
      <c r="E17" s="18" t="str">
        <f>IF(D17&gt;0,VLOOKUP(D17,'PLANTA PERNO'!A:D,4,0)&amp;" "&amp;VLOOKUP(D17,'PLANTA PERNO'!A:D,2,0)&amp;" "&amp;VLOOKUP(D17,'PLANTA PERNO'!A:D,3,0),IF(N17="","VACANTE DEFINITIVA","VACANTE TEMPORAL"))</f>
        <v>BETTY ESPERANZA MONTAÃ‘A MORA</v>
      </c>
      <c r="F17" s="20" t="s">
        <v>49</v>
      </c>
      <c r="G17" s="20" t="str">
        <f t="shared" si="0"/>
        <v>CARRERA ADMINISTRATIVA</v>
      </c>
      <c r="H17" s="33">
        <f t="shared" si="1"/>
        <v>42585</v>
      </c>
      <c r="I17" s="33">
        <f t="shared" si="2"/>
        <v>35403</v>
      </c>
      <c r="J17" s="31" t="str">
        <f t="shared" si="3"/>
        <v>MUJER</v>
      </c>
      <c r="K17" s="21">
        <f t="shared" ca="1" si="4"/>
        <v>52</v>
      </c>
      <c r="L17" s="87" t="str">
        <f t="shared" si="5"/>
        <v/>
      </c>
      <c r="M17" s="21" t="str">
        <f t="shared" si="6"/>
        <v>EN PROPIEDAD</v>
      </c>
      <c r="N17" s="21">
        <v>52124597</v>
      </c>
      <c r="O17" s="18" t="str">
        <f>IF(N17="","VACANTE DEFINITIVA",(VLOOKUP(N17,'PLANTA PERNO'!A:D,4,0)&amp;" "&amp;VLOOKUP(N17,'PLANTA PERNO'!A:D,2,0)&amp;" "&amp;VLOOKUP(N17,'PLANTA PERNO'!A:D,3,0)))</f>
        <v>BETTY ESPERANZA MONTAÃ‘A MORA</v>
      </c>
      <c r="P17" s="21"/>
      <c r="Q17" s="21"/>
      <c r="R17" s="21"/>
      <c r="S17" s="21"/>
      <c r="T17" s="21"/>
      <c r="U17" s="21"/>
      <c r="V17" s="123">
        <v>203203</v>
      </c>
      <c r="W17" s="28" t="str">
        <f t="shared" si="7"/>
        <v>OCUPADO</v>
      </c>
      <c r="X17" s="23" t="s">
        <v>27</v>
      </c>
      <c r="Y17" s="90" t="s">
        <v>255</v>
      </c>
      <c r="Z17" s="34">
        <v>425</v>
      </c>
      <c r="AA17" s="35">
        <v>21</v>
      </c>
      <c r="AB17" s="28" t="str">
        <f t="shared" si="8"/>
        <v>425-21</v>
      </c>
      <c r="AC17" s="24" t="s">
        <v>150</v>
      </c>
      <c r="AD17" s="24" t="s">
        <v>150</v>
      </c>
      <c r="AE17" s="24" t="s">
        <v>344</v>
      </c>
      <c r="AF17" s="24" t="s">
        <v>345</v>
      </c>
      <c r="AG17" s="24" t="s">
        <v>303</v>
      </c>
      <c r="AH17" s="24" t="s">
        <v>346</v>
      </c>
      <c r="AI17" s="93">
        <f t="shared" si="9"/>
        <v>3925268</v>
      </c>
      <c r="AJ17" s="93">
        <v>0</v>
      </c>
      <c r="AK17" s="93">
        <f t="shared" si="11"/>
        <v>274768</v>
      </c>
      <c r="AL17" s="93">
        <f>IFERROR(INT(($AI17*(VLOOKUP($D17,'PORCENTAJES FACTORES'!B:N,12,0))/100)),0)</f>
        <v>0</v>
      </c>
      <c r="AM17" s="93">
        <f t="shared" si="12"/>
        <v>0</v>
      </c>
      <c r="AN17" s="93">
        <f t="shared" si="13"/>
        <v>0</v>
      </c>
      <c r="AO17" s="93">
        <f t="shared" si="14"/>
        <v>0</v>
      </c>
      <c r="AP17" s="95">
        <f t="shared" si="15"/>
        <v>4200036</v>
      </c>
      <c r="AQ17" s="126" t="s">
        <v>348</v>
      </c>
      <c r="AR17" s="97" t="s">
        <v>349</v>
      </c>
      <c r="AS17" s="58"/>
      <c r="AT17" s="2" t="s">
        <v>350</v>
      </c>
      <c r="AU17" s="46">
        <v>7365003</v>
      </c>
      <c r="AV17" s="98">
        <f t="shared" si="16"/>
        <v>52124597</v>
      </c>
      <c r="AW17" s="43">
        <f>VLOOKUP(D17,'PLANTA PERNO'!A:R,18,0)</f>
        <v>0</v>
      </c>
      <c r="AX17" s="58"/>
      <c r="AY17" s="58"/>
      <c r="AZ17" s="58"/>
      <c r="BA17" s="48"/>
      <c r="BB17" s="48"/>
      <c r="BC17" s="48"/>
      <c r="BD17" s="48"/>
      <c r="BE17" s="48"/>
      <c r="BF17" s="48"/>
      <c r="BG17" s="48"/>
      <c r="BH17" s="48"/>
      <c r="BI17" s="48"/>
      <c r="BJ17" s="48"/>
      <c r="BK17" s="48"/>
      <c r="BL17" s="48"/>
      <c r="BM17" s="48"/>
      <c r="BN17" s="48"/>
      <c r="BO17" s="48"/>
      <c r="BP17" s="48"/>
      <c r="BQ17" s="48"/>
    </row>
    <row r="18" spans="1:69" ht="12.75" customHeight="1">
      <c r="A18" s="85">
        <v>14</v>
      </c>
      <c r="B18" s="86">
        <v>5011</v>
      </c>
      <c r="C18" s="29">
        <v>140</v>
      </c>
      <c r="D18" s="14">
        <v>20699098</v>
      </c>
      <c r="E18" s="18" t="str">
        <f>IF(D18&gt;0,VLOOKUP(D18,'PLANTA PERNO'!A:D,4,0)&amp;" "&amp;VLOOKUP(D18,'PLANTA PERNO'!A:D,2,0)&amp;" "&amp;VLOOKUP(D18,'PLANTA PERNO'!A:D,3,0),IF(N18="","VACANTE DEFINITIVA","VACANTE TEMPORAL"))</f>
        <v>CLAUDIA BEATRIZ CASTILLA OLAYA</v>
      </c>
      <c r="F18" s="20" t="s">
        <v>49</v>
      </c>
      <c r="G18" s="20" t="str">
        <f t="shared" si="0"/>
        <v>EN ENCARGO</v>
      </c>
      <c r="H18" s="33">
        <f t="shared" si="1"/>
        <v>45176</v>
      </c>
      <c r="I18" s="33">
        <f t="shared" si="2"/>
        <v>45176</v>
      </c>
      <c r="J18" s="31" t="str">
        <f t="shared" si="3"/>
        <v>MUJER</v>
      </c>
      <c r="K18" s="21">
        <f t="shared" ca="1" si="4"/>
        <v>61</v>
      </c>
      <c r="L18" s="87" t="str">
        <f t="shared" si="5"/>
        <v>ENCARGO</v>
      </c>
      <c r="M18" s="21" t="str">
        <f t="shared" si="6"/>
        <v>EN ENCARGO</v>
      </c>
      <c r="N18" s="21">
        <v>79431243</v>
      </c>
      <c r="O18" s="18" t="str">
        <f>IF(N18="","VACANTE DEFINITIVA",(VLOOKUP(N18,'PLANTA PERNO'!A:D,4,0)&amp;" "&amp;VLOOKUP(N18,'PLANTA PERNO'!A:D,2,0)&amp;" "&amp;VLOOKUP(N18,'PLANTA PERNO'!A:D,3,0)))</f>
        <v>WALTER OSPINA ZAPATA</v>
      </c>
      <c r="P18" s="21" t="s">
        <v>352</v>
      </c>
      <c r="Q18" s="21">
        <v>2</v>
      </c>
      <c r="R18" s="21"/>
      <c r="S18" s="21"/>
      <c r="T18" s="21"/>
      <c r="U18" s="21"/>
      <c r="V18" s="123">
        <v>203205</v>
      </c>
      <c r="W18" s="28" t="str">
        <f t="shared" si="7"/>
        <v>OCUPADO</v>
      </c>
      <c r="X18" s="23" t="s">
        <v>27</v>
      </c>
      <c r="Y18" s="90" t="s">
        <v>146</v>
      </c>
      <c r="Z18" s="25">
        <v>407</v>
      </c>
      <c r="AA18" s="27">
        <v>20</v>
      </c>
      <c r="AB18" s="28" t="str">
        <f t="shared" si="8"/>
        <v>407-20</v>
      </c>
      <c r="AC18" s="24" t="s">
        <v>147</v>
      </c>
      <c r="AD18" s="24" t="s">
        <v>147</v>
      </c>
      <c r="AE18" s="24" t="s">
        <v>353</v>
      </c>
      <c r="AF18" s="24" t="s">
        <v>354</v>
      </c>
      <c r="AG18" s="24" t="s">
        <v>303</v>
      </c>
      <c r="AH18" s="24" t="s">
        <v>355</v>
      </c>
      <c r="AI18" s="93">
        <f t="shared" si="9"/>
        <v>3799538</v>
      </c>
      <c r="AJ18" s="93">
        <v>0</v>
      </c>
      <c r="AK18" s="93">
        <f t="shared" si="11"/>
        <v>0</v>
      </c>
      <c r="AL18" s="93">
        <f>IFERROR(INT(($AI18*(VLOOKUP($D18,'PORCENTAJES FACTORES'!B:N,12,0))/100)),0)</f>
        <v>0</v>
      </c>
      <c r="AM18" s="93">
        <f t="shared" si="12"/>
        <v>0</v>
      </c>
      <c r="AN18" s="93">
        <f t="shared" si="13"/>
        <v>0</v>
      </c>
      <c r="AO18" s="93">
        <f t="shared" si="14"/>
        <v>0</v>
      </c>
      <c r="AP18" s="95">
        <f t="shared" si="15"/>
        <v>3799538</v>
      </c>
      <c r="AQ18" s="96"/>
      <c r="AR18" s="97" t="s">
        <v>356</v>
      </c>
      <c r="AS18" s="58"/>
      <c r="AT18" s="2" t="s">
        <v>357</v>
      </c>
      <c r="AU18" s="46">
        <v>8295184</v>
      </c>
      <c r="AV18" s="98">
        <f t="shared" si="16"/>
        <v>79431243</v>
      </c>
      <c r="AW18" s="43">
        <f>VLOOKUP(D18,'PLANTA PERNO'!A:R,18,0)</f>
        <v>0</v>
      </c>
      <c r="AX18" s="58"/>
      <c r="AY18" s="58"/>
      <c r="AZ18" s="58"/>
      <c r="BA18" s="48"/>
      <c r="BB18" s="48"/>
      <c r="BC18" s="48"/>
      <c r="BD18" s="48"/>
      <c r="BE18" s="48"/>
      <c r="BF18" s="48"/>
      <c r="BG18" s="48"/>
      <c r="BH18" s="48"/>
      <c r="BI18" s="48"/>
      <c r="BJ18" s="48"/>
      <c r="BK18" s="48"/>
      <c r="BL18" s="48"/>
      <c r="BM18" s="48"/>
      <c r="BN18" s="48"/>
      <c r="BO18" s="48"/>
      <c r="BP18" s="48"/>
      <c r="BQ18" s="48"/>
    </row>
    <row r="19" spans="1:69" ht="12.75" customHeight="1">
      <c r="A19" s="85">
        <v>15</v>
      </c>
      <c r="B19" s="86">
        <v>5012</v>
      </c>
      <c r="C19" s="29">
        <v>141</v>
      </c>
      <c r="D19" s="14">
        <v>52827794</v>
      </c>
      <c r="E19" s="18" t="str">
        <f>IF(D19&gt;0,VLOOKUP(D19,'PLANTA PERNO'!A:D,4,0)&amp;" "&amp;VLOOKUP(D19,'PLANTA PERNO'!A:D,2,0)&amp;" "&amp;VLOOKUP(D19,'PLANTA PERNO'!A:D,3,0),IF(N19="","VACANTE DEFINITIVA","VACANTE TEMPORAL"))</f>
        <v>ALBA KARINA ESTEVEZ AMAYA</v>
      </c>
      <c r="F19" s="20" t="s">
        <v>49</v>
      </c>
      <c r="G19" s="20" t="str">
        <f t="shared" si="0"/>
        <v>CARRERA ADMINISTRATIVA</v>
      </c>
      <c r="H19" s="33">
        <f t="shared" si="1"/>
        <v>46266</v>
      </c>
      <c r="I19" s="33">
        <f t="shared" si="2"/>
        <v>46266</v>
      </c>
      <c r="J19" s="31" t="str">
        <f t="shared" si="3"/>
        <v>MUJER</v>
      </c>
      <c r="K19" s="21">
        <f t="shared" ca="1" si="4"/>
        <v>46</v>
      </c>
      <c r="L19" s="87" t="str">
        <f t="shared" si="5"/>
        <v/>
      </c>
      <c r="M19" s="21" t="str">
        <f t="shared" si="6"/>
        <v>VACANTE DEFINITIVA</v>
      </c>
      <c r="N19" s="21"/>
      <c r="O19" s="18" t="str">
        <f>IF(N19="","VACANTE DEFINITIVA",(VLOOKUP(N19,'PLANTA PERNO'!A:D,4,0)&amp;" "&amp;VLOOKUP(N19,'PLANTA PERNO'!A:D,2,0)&amp;" "&amp;VLOOKUP(N19,'PLANTA PERNO'!A:D,3,0)))</f>
        <v>VACANTE DEFINITIVA</v>
      </c>
      <c r="P19" s="21"/>
      <c r="Q19" s="21"/>
      <c r="R19" s="21"/>
      <c r="S19" s="21"/>
      <c r="T19" s="21"/>
      <c r="U19" s="21"/>
      <c r="V19" s="123">
        <v>203193</v>
      </c>
      <c r="W19" s="28" t="str">
        <f t="shared" si="7"/>
        <v>OCUPADO</v>
      </c>
      <c r="X19" s="23" t="s">
        <v>27</v>
      </c>
      <c r="Y19" s="90" t="s">
        <v>146</v>
      </c>
      <c r="Z19" s="34">
        <v>407</v>
      </c>
      <c r="AA19" s="35">
        <v>20</v>
      </c>
      <c r="AB19" s="28" t="str">
        <f t="shared" si="8"/>
        <v>407-20</v>
      </c>
      <c r="AC19" s="24" t="s">
        <v>98</v>
      </c>
      <c r="AD19" s="24" t="s">
        <v>98</v>
      </c>
      <c r="AE19" s="24" t="s">
        <v>358</v>
      </c>
      <c r="AF19" s="24" t="s">
        <v>359</v>
      </c>
      <c r="AG19" s="24" t="s">
        <v>303</v>
      </c>
      <c r="AH19" s="24" t="s">
        <v>360</v>
      </c>
      <c r="AI19" s="93">
        <f t="shared" si="9"/>
        <v>3799538</v>
      </c>
      <c r="AJ19" s="93">
        <v>0</v>
      </c>
      <c r="AK19" s="93">
        <f t="shared" si="11"/>
        <v>0</v>
      </c>
      <c r="AL19" s="93">
        <f>IFERROR(INT(($AI19*(VLOOKUP($D19,'PORCENTAJES FACTORES'!B:N,12,0))/100)),0)</f>
        <v>0</v>
      </c>
      <c r="AM19" s="93">
        <f t="shared" si="12"/>
        <v>0</v>
      </c>
      <c r="AN19" s="93">
        <f t="shared" si="13"/>
        <v>0</v>
      </c>
      <c r="AO19" s="93">
        <f t="shared" si="14"/>
        <v>0</v>
      </c>
      <c r="AP19" s="95">
        <f t="shared" si="15"/>
        <v>3799538</v>
      </c>
      <c r="AQ19" s="96"/>
      <c r="AR19" s="97" t="s">
        <v>356</v>
      </c>
      <c r="AS19" s="58"/>
      <c r="AT19" s="2" t="s">
        <v>268</v>
      </c>
      <c r="AU19" s="46">
        <v>9154873</v>
      </c>
      <c r="AV19" s="98" t="e">
        <f t="shared" si="16"/>
        <v>#N/A</v>
      </c>
      <c r="AW19" s="43">
        <f>VLOOKUP(D19,'PLANTA PERNO'!A:R,18,0)</f>
        <v>0</v>
      </c>
      <c r="AX19" s="58"/>
      <c r="AY19" s="58"/>
      <c r="AZ19" s="58"/>
      <c r="BA19" s="48"/>
      <c r="BB19" s="48"/>
      <c r="BC19" s="48"/>
      <c r="BD19" s="48"/>
      <c r="BE19" s="48"/>
      <c r="BF19" s="48"/>
      <c r="BG19" s="48"/>
      <c r="BH19" s="48"/>
      <c r="BI19" s="48"/>
      <c r="BJ19" s="48"/>
      <c r="BK19" s="48"/>
      <c r="BL19" s="48"/>
      <c r="BM19" s="48"/>
      <c r="BN19" s="48"/>
      <c r="BO19" s="48"/>
      <c r="BP19" s="48"/>
      <c r="BQ19" s="48"/>
    </row>
    <row r="20" spans="1:69" ht="12.75" customHeight="1">
      <c r="A20" s="85">
        <v>16</v>
      </c>
      <c r="B20" s="86">
        <v>5013</v>
      </c>
      <c r="C20" s="29">
        <v>142</v>
      </c>
      <c r="D20" s="14">
        <v>79138328</v>
      </c>
      <c r="E20" s="18" t="str">
        <f>IF(D20&gt;0,VLOOKUP(D20,'PLANTA PERNO'!A:D,4,0)&amp;" "&amp;VLOOKUP(D20,'PLANTA PERNO'!A:D,2,0)&amp;" "&amp;VLOOKUP(D20,'PLANTA PERNO'!A:D,3,0),IF(N20="","VACANTE DEFINITIVA","VACANTE TEMPORAL"))</f>
        <v>ALEX CORTES SALGADO</v>
      </c>
      <c r="F20" s="20" t="s">
        <v>49</v>
      </c>
      <c r="G20" s="20" t="str">
        <f t="shared" si="0"/>
        <v>CARRERA ADMINISTRATIVA</v>
      </c>
      <c r="H20" s="33">
        <f t="shared" si="1"/>
        <v>42585</v>
      </c>
      <c r="I20" s="33">
        <f t="shared" si="2"/>
        <v>34711</v>
      </c>
      <c r="J20" s="31" t="str">
        <f t="shared" si="3"/>
        <v>HOMBRE</v>
      </c>
      <c r="K20" s="21">
        <f t="shared" ca="1" si="4"/>
        <v>55</v>
      </c>
      <c r="L20" s="87" t="str">
        <f t="shared" si="5"/>
        <v/>
      </c>
      <c r="M20" s="21" t="str">
        <f t="shared" si="6"/>
        <v>EN PROPIEDAD</v>
      </c>
      <c r="N20" s="21">
        <v>79138328</v>
      </c>
      <c r="O20" s="18" t="str">
        <f>IF(N20="","VACANTE DEFINITIVA",(VLOOKUP(N20,'PLANTA PERNO'!A:D,4,0)&amp;" "&amp;VLOOKUP(N20,'PLANTA PERNO'!A:D,2,0)&amp;" "&amp;VLOOKUP(N20,'PLANTA PERNO'!A:D,3,0)))</f>
        <v>ALEX CORTES SALGADO</v>
      </c>
      <c r="P20" s="21"/>
      <c r="Q20" s="21"/>
      <c r="R20" s="21"/>
      <c r="S20" s="21"/>
      <c r="T20" s="21"/>
      <c r="U20" s="21"/>
      <c r="V20" s="128"/>
      <c r="W20" s="28" t="str">
        <f t="shared" si="7"/>
        <v>OCUPADO</v>
      </c>
      <c r="X20" s="23" t="s">
        <v>27</v>
      </c>
      <c r="Y20" s="90" t="s">
        <v>146</v>
      </c>
      <c r="Z20" s="25">
        <v>407</v>
      </c>
      <c r="AA20" s="27">
        <v>20</v>
      </c>
      <c r="AB20" s="28" t="str">
        <f t="shared" si="8"/>
        <v>407-20</v>
      </c>
      <c r="AC20" s="24" t="s">
        <v>153</v>
      </c>
      <c r="AD20" s="24" t="s">
        <v>153</v>
      </c>
      <c r="AE20" s="24" t="s">
        <v>358</v>
      </c>
      <c r="AF20" s="24" t="s">
        <v>359</v>
      </c>
      <c r="AG20" s="24" t="s">
        <v>303</v>
      </c>
      <c r="AH20" s="24" t="s">
        <v>360</v>
      </c>
      <c r="AI20" s="93">
        <f t="shared" si="9"/>
        <v>3799538</v>
      </c>
      <c r="AJ20" s="93">
        <v>0</v>
      </c>
      <c r="AK20" s="93">
        <f t="shared" si="11"/>
        <v>265967</v>
      </c>
      <c r="AL20" s="93">
        <f>IFERROR(INT(($AI20*(VLOOKUP($D20,'PORCENTAJES FACTORES'!B:N,12,0))/100)),0)</f>
        <v>0</v>
      </c>
      <c r="AM20" s="93">
        <f t="shared" si="12"/>
        <v>0</v>
      </c>
      <c r="AN20" s="93">
        <f t="shared" si="13"/>
        <v>0</v>
      </c>
      <c r="AO20" s="93">
        <f t="shared" si="14"/>
        <v>0</v>
      </c>
      <c r="AP20" s="95">
        <f t="shared" si="15"/>
        <v>4065505</v>
      </c>
      <c r="AQ20" s="96"/>
      <c r="AR20" s="97" t="s">
        <v>356</v>
      </c>
      <c r="AS20" s="58"/>
      <c r="AT20" s="2" t="s">
        <v>217</v>
      </c>
      <c r="AU20" s="46">
        <v>10208470</v>
      </c>
      <c r="AV20" s="98">
        <f t="shared" si="16"/>
        <v>79138328</v>
      </c>
      <c r="AW20" s="43">
        <f>VLOOKUP(D20,'PLANTA PERNO'!A:R,18,0)</f>
        <v>0</v>
      </c>
      <c r="AX20" s="58"/>
      <c r="AY20" s="58"/>
      <c r="AZ20" s="58"/>
      <c r="BA20" s="48"/>
      <c r="BB20" s="48"/>
      <c r="BC20" s="48"/>
      <c r="BD20" s="48"/>
      <c r="BE20" s="48"/>
      <c r="BF20" s="48"/>
      <c r="BG20" s="48"/>
      <c r="BH20" s="48"/>
      <c r="BI20" s="48"/>
      <c r="BJ20" s="48"/>
      <c r="BK20" s="48"/>
      <c r="BL20" s="48"/>
      <c r="BM20" s="48"/>
      <c r="BN20" s="48"/>
      <c r="BO20" s="48"/>
      <c r="BP20" s="48"/>
      <c r="BQ20" s="48"/>
    </row>
    <row r="21" spans="1:69" ht="12.75" customHeight="1">
      <c r="A21" s="85">
        <v>17</v>
      </c>
      <c r="B21" s="86">
        <v>5014</v>
      </c>
      <c r="C21" s="29">
        <v>168</v>
      </c>
      <c r="D21" s="14">
        <v>1098632731</v>
      </c>
      <c r="E21" s="18" t="str">
        <f>IF(D21&gt;0,VLOOKUP(D21,'PLANTA PERNO'!A:D,4,0)&amp;" "&amp;VLOOKUP(D21,'PLANTA PERNO'!A:D,2,0)&amp;" "&amp;VLOOKUP(D21,'PLANTA PERNO'!A:D,3,0),IF(N21="","VACANTE DEFINITIVA","VACANTE TEMPORAL"))</f>
        <v>MARLY YULY ROJAS LAIDEO</v>
      </c>
      <c r="F21" s="20" t="s">
        <v>247</v>
      </c>
      <c r="G21" s="20" t="str">
        <f t="shared" si="0"/>
        <v>EN PERIODO DE PRUEBA</v>
      </c>
      <c r="H21" s="33">
        <f t="shared" si="1"/>
        <v>46076</v>
      </c>
      <c r="I21" s="33">
        <f t="shared" si="2"/>
        <v>44285</v>
      </c>
      <c r="J21" s="31" t="str">
        <f t="shared" si="3"/>
        <v>MUJER</v>
      </c>
      <c r="K21" s="21">
        <f t="shared" ca="1" si="4"/>
        <v>39</v>
      </c>
      <c r="L21" s="87" t="str">
        <f t="shared" si="5"/>
        <v/>
      </c>
      <c r="M21" s="21" t="str">
        <f t="shared" si="6"/>
        <v>EN PROPIEDAD</v>
      </c>
      <c r="N21" s="21">
        <v>1098632731</v>
      </c>
      <c r="O21" s="18" t="str">
        <f>IF(N21="","VACANTE DEFINITIVA",(VLOOKUP(N21,'PLANTA PERNO'!A:D,4,0)&amp;" "&amp;VLOOKUP(N21,'PLANTA PERNO'!A:D,2,0)&amp;" "&amp;VLOOKUP(N21,'PLANTA PERNO'!A:D,3,0)))</f>
        <v>MARLY YULY ROJAS LAIDEO</v>
      </c>
      <c r="P21" s="21"/>
      <c r="Q21" s="21"/>
      <c r="R21" s="21"/>
      <c r="S21" s="21"/>
      <c r="T21" s="21"/>
      <c r="U21" s="21"/>
      <c r="V21" s="123">
        <v>220281</v>
      </c>
      <c r="W21" s="28" t="str">
        <f t="shared" si="7"/>
        <v>OCUPADO</v>
      </c>
      <c r="X21" s="23" t="s">
        <v>27</v>
      </c>
      <c r="Y21" s="90" t="s">
        <v>255</v>
      </c>
      <c r="Z21" s="25">
        <v>425</v>
      </c>
      <c r="AA21" s="27">
        <v>20</v>
      </c>
      <c r="AB21" s="28" t="str">
        <f t="shared" si="8"/>
        <v>425-20</v>
      </c>
      <c r="AC21" s="24" t="s">
        <v>147</v>
      </c>
      <c r="AD21" s="24" t="s">
        <v>147</v>
      </c>
      <c r="AE21" s="24" t="s">
        <v>363</v>
      </c>
      <c r="AF21" s="24" t="s">
        <v>364</v>
      </c>
      <c r="AG21" s="24" t="s">
        <v>303</v>
      </c>
      <c r="AH21" s="24" t="s">
        <v>365</v>
      </c>
      <c r="AI21" s="93">
        <f t="shared" si="9"/>
        <v>3799538</v>
      </c>
      <c r="AJ21" s="93">
        <v>0</v>
      </c>
      <c r="AK21" s="93">
        <f t="shared" si="11"/>
        <v>0</v>
      </c>
      <c r="AL21" s="93">
        <f>IFERROR(INT(($AI21*(VLOOKUP($D21,'PORCENTAJES FACTORES'!B:N,12,0))/100)),0)</f>
        <v>0</v>
      </c>
      <c r="AM21" s="93">
        <f t="shared" si="12"/>
        <v>0</v>
      </c>
      <c r="AN21" s="93">
        <f t="shared" si="13"/>
        <v>0</v>
      </c>
      <c r="AO21" s="93">
        <f t="shared" si="14"/>
        <v>0</v>
      </c>
      <c r="AP21" s="95">
        <f t="shared" si="15"/>
        <v>3799538</v>
      </c>
      <c r="AQ21" s="96"/>
      <c r="AR21" s="97" t="s">
        <v>356</v>
      </c>
      <c r="AS21" s="58"/>
      <c r="AT21" s="2" t="s">
        <v>368</v>
      </c>
      <c r="AU21" s="46">
        <v>11186814</v>
      </c>
      <c r="AV21" s="98">
        <f t="shared" si="16"/>
        <v>1098632731</v>
      </c>
      <c r="AW21" s="43">
        <f>VLOOKUP(D21,'PLANTA PERNO'!A:R,18,0)</f>
        <v>0</v>
      </c>
      <c r="AX21" s="58"/>
      <c r="AY21" s="58"/>
      <c r="AZ21" s="58"/>
      <c r="BA21" s="48"/>
      <c r="BB21" s="48"/>
      <c r="BC21" s="48"/>
      <c r="BD21" s="48"/>
      <c r="BE21" s="48"/>
      <c r="BF21" s="48"/>
      <c r="BG21" s="48"/>
      <c r="BH21" s="48"/>
      <c r="BI21" s="48"/>
      <c r="BJ21" s="48"/>
      <c r="BK21" s="48"/>
      <c r="BL21" s="48"/>
      <c r="BM21" s="48"/>
      <c r="BN21" s="48"/>
      <c r="BO21" s="48"/>
      <c r="BP21" s="48"/>
      <c r="BQ21" s="48"/>
    </row>
    <row r="22" spans="1:69" ht="12.75" customHeight="1">
      <c r="A22" s="85">
        <v>18</v>
      </c>
      <c r="B22" s="86">
        <v>5015</v>
      </c>
      <c r="C22" s="29">
        <v>159</v>
      </c>
      <c r="D22" s="14">
        <v>80842817</v>
      </c>
      <c r="E22" s="18" t="str">
        <f>IF(D22&gt;0,VLOOKUP(D22,'PLANTA PERNO'!A:D,4,0)&amp;" "&amp;VLOOKUP(D22,'PLANTA PERNO'!A:D,2,0)&amp;" "&amp;VLOOKUP(D22,'PLANTA PERNO'!A:D,3,0),IF(N22="","VACANTE DEFINITIVA","VACANTE TEMPORAL"))</f>
        <v>JEFFER FRANK VELANDIA LOPEZ</v>
      </c>
      <c r="F22" s="20" t="s">
        <v>49</v>
      </c>
      <c r="G22" s="20" t="str">
        <f t="shared" si="0"/>
        <v>EN ENCARGO</v>
      </c>
      <c r="H22" s="33">
        <f t="shared" si="1"/>
        <v>45048</v>
      </c>
      <c r="I22" s="33">
        <f t="shared" si="2"/>
        <v>45048</v>
      </c>
      <c r="J22" s="31" t="str">
        <f t="shared" si="3"/>
        <v>HOMBRE</v>
      </c>
      <c r="K22" s="21">
        <f t="shared" ca="1" si="4"/>
        <v>42</v>
      </c>
      <c r="L22" s="87" t="str">
        <f t="shared" si="5"/>
        <v>ENCARGO</v>
      </c>
      <c r="M22" s="21" t="str">
        <f t="shared" si="6"/>
        <v>PERIODO DE PRUEBA EN OTRA ENTIDAD</v>
      </c>
      <c r="N22" s="21">
        <v>52557124</v>
      </c>
      <c r="O22" s="18" t="str">
        <f>IF(N22="","VACANTE DEFINITIVA",(VLOOKUP(N22,'PLANTA PERNO'!A:D,4,0)&amp;" "&amp;VLOOKUP(N22,'PLANTA PERNO'!A:D,2,0)&amp;" "&amp;VLOOKUP(N22,'PLANTA PERNO'!A:D,3,0)))</f>
        <v>DORIS SILVA GARCIA</v>
      </c>
      <c r="P22" s="21" t="s">
        <v>369</v>
      </c>
      <c r="Q22" s="21">
        <v>1</v>
      </c>
      <c r="R22" s="21"/>
      <c r="S22" s="21" t="s">
        <v>370</v>
      </c>
      <c r="T22" s="21"/>
      <c r="U22" s="21"/>
      <c r="V22" s="128"/>
      <c r="W22" s="28" t="str">
        <f t="shared" si="7"/>
        <v>OCUPADO</v>
      </c>
      <c r="X22" s="23" t="s">
        <v>27</v>
      </c>
      <c r="Y22" s="90" t="s">
        <v>29</v>
      </c>
      <c r="Z22" s="25">
        <v>440</v>
      </c>
      <c r="AA22" s="27">
        <v>19</v>
      </c>
      <c r="AB22" s="28" t="str">
        <f t="shared" si="8"/>
        <v>440-19</v>
      </c>
      <c r="AC22" s="24" t="s">
        <v>153</v>
      </c>
      <c r="AD22" s="24" t="s">
        <v>153</v>
      </c>
      <c r="AE22" s="24" t="s">
        <v>363</v>
      </c>
      <c r="AF22" s="24" t="s">
        <v>371</v>
      </c>
      <c r="AG22" s="24" t="s">
        <v>303</v>
      </c>
      <c r="AH22" s="24" t="s">
        <v>372</v>
      </c>
      <c r="AI22" s="93">
        <f t="shared" si="9"/>
        <v>3687785</v>
      </c>
      <c r="AJ22" s="93">
        <v>0</v>
      </c>
      <c r="AK22" s="93">
        <f t="shared" si="11"/>
        <v>0</v>
      </c>
      <c r="AL22" s="93">
        <f>IFERROR(INT(($AI22*(VLOOKUP($D22,'PORCENTAJES FACTORES'!B:N,12,0))/100)),0)</f>
        <v>0</v>
      </c>
      <c r="AM22" s="93">
        <f t="shared" si="12"/>
        <v>73755</v>
      </c>
      <c r="AN22" s="93">
        <f t="shared" si="13"/>
        <v>0</v>
      </c>
      <c r="AO22" s="93">
        <f t="shared" si="14"/>
        <v>0</v>
      </c>
      <c r="AP22" s="95">
        <f t="shared" si="15"/>
        <v>3761540</v>
      </c>
      <c r="AQ22" s="96"/>
      <c r="AR22" s="97" t="s">
        <v>374</v>
      </c>
      <c r="AS22" s="43"/>
      <c r="AT22" s="2" t="s">
        <v>375</v>
      </c>
      <c r="AU22" s="125">
        <v>12531747</v>
      </c>
      <c r="AV22" s="98">
        <f t="shared" si="16"/>
        <v>52557124</v>
      </c>
      <c r="AW22" s="58">
        <f>VLOOKUP(N22,D:D,1,0)</f>
        <v>52557124</v>
      </c>
      <c r="AX22" s="58"/>
      <c r="AY22" s="58"/>
      <c r="AZ22" s="58"/>
      <c r="BA22" s="48"/>
      <c r="BB22" s="48"/>
      <c r="BC22" s="48"/>
      <c r="BD22" s="48"/>
      <c r="BE22" s="48"/>
      <c r="BF22" s="48"/>
      <c r="BG22" s="48"/>
      <c r="BH22" s="48"/>
      <c r="BI22" s="48"/>
      <c r="BJ22" s="48"/>
      <c r="BK22" s="48"/>
      <c r="BL22" s="48"/>
      <c r="BM22" s="48"/>
      <c r="BN22" s="48"/>
      <c r="BO22" s="48"/>
      <c r="BP22" s="48"/>
      <c r="BQ22" s="48"/>
    </row>
    <row r="23" spans="1:69" ht="12.75" customHeight="1">
      <c r="A23" s="85">
        <v>19</v>
      </c>
      <c r="B23" s="86">
        <v>5016</v>
      </c>
      <c r="C23" s="29">
        <v>143</v>
      </c>
      <c r="D23" s="14">
        <v>1027523637</v>
      </c>
      <c r="E23" s="18" t="str">
        <f>IF(D23&gt;0,VLOOKUP(D23,'PLANTA PERNO'!A:D,4,0)&amp;" "&amp;VLOOKUP(D23,'PLANTA PERNO'!A:D,2,0)&amp;" "&amp;VLOOKUP(D23,'PLANTA PERNO'!A:D,3,0),IF(N23="","VACANTE DEFINITIVA","VACANTE TEMPORAL"))</f>
        <v>ANGELA LISETH MUÃ‘OZ BEDOYA</v>
      </c>
      <c r="F23" s="20" t="s">
        <v>24</v>
      </c>
      <c r="G23" s="20" t="str">
        <f t="shared" si="0"/>
        <v>EN PROVISIONALIDAD</v>
      </c>
      <c r="H23" s="33">
        <f t="shared" si="1"/>
        <v>46273</v>
      </c>
      <c r="I23" s="33">
        <f t="shared" si="2"/>
        <v>46273</v>
      </c>
      <c r="J23" s="31" t="str">
        <f t="shared" si="3"/>
        <v>MUJER</v>
      </c>
      <c r="K23" s="21">
        <f t="shared" ca="1" si="4"/>
        <v>21</v>
      </c>
      <c r="L23" s="87" t="str">
        <f t="shared" si="5"/>
        <v>PROVISIONALIDAD</v>
      </c>
      <c r="M23" s="21" t="str">
        <f t="shared" si="6"/>
        <v>EN ENCARGO</v>
      </c>
      <c r="N23" s="21">
        <v>1012339868</v>
      </c>
      <c r="O23" s="18" t="str">
        <f>IF(N23="","VACANTE DEFINITIVA",(VLOOKUP(N23,'PLANTA PERNO'!A:D,4,0)&amp;" "&amp;VLOOKUP(N23,'PLANTA PERNO'!A:D,2,0)&amp;" "&amp;VLOOKUP(N23,'PLANTA PERNO'!A:D,3,0)))</f>
        <v>OLGA LILIANA LONDOÃ‘O GARCIA</v>
      </c>
      <c r="P23" s="21" t="s">
        <v>323</v>
      </c>
      <c r="Q23" s="21">
        <v>2</v>
      </c>
      <c r="R23" s="21" t="s">
        <v>166</v>
      </c>
      <c r="S23" s="21"/>
      <c r="T23" s="21"/>
      <c r="U23" s="21"/>
      <c r="V23" s="128"/>
      <c r="W23" s="28" t="str">
        <f t="shared" si="7"/>
        <v>OCUPADO</v>
      </c>
      <c r="X23" s="23" t="s">
        <v>27</v>
      </c>
      <c r="Y23" s="90" t="s">
        <v>146</v>
      </c>
      <c r="Z23" s="25">
        <v>407</v>
      </c>
      <c r="AA23" s="27">
        <v>17</v>
      </c>
      <c r="AB23" s="28" t="str">
        <f t="shared" si="8"/>
        <v>407-17</v>
      </c>
      <c r="AC23" s="24" t="s">
        <v>147</v>
      </c>
      <c r="AD23" s="24" t="s">
        <v>147</v>
      </c>
      <c r="AE23" s="24" t="s">
        <v>376</v>
      </c>
      <c r="AF23" s="24" t="s">
        <v>377</v>
      </c>
      <c r="AG23" s="24" t="s">
        <v>303</v>
      </c>
      <c r="AH23" s="24" t="s">
        <v>378</v>
      </c>
      <c r="AI23" s="93">
        <f t="shared" si="9"/>
        <v>3436326</v>
      </c>
      <c r="AJ23" s="93">
        <v>0</v>
      </c>
      <c r="AK23" s="93">
        <f t="shared" si="11"/>
        <v>0</v>
      </c>
      <c r="AL23" s="93">
        <f>IFERROR(INT(($AI23*(VLOOKUP($D23,'PORCENTAJES FACTORES'!B:N,12,0))/100)),0)</f>
        <v>0</v>
      </c>
      <c r="AM23" s="93">
        <f t="shared" si="12"/>
        <v>0</v>
      </c>
      <c r="AN23" s="93">
        <f t="shared" si="13"/>
        <v>249095</v>
      </c>
      <c r="AO23" s="93">
        <f t="shared" si="14"/>
        <v>0</v>
      </c>
      <c r="AP23" s="95">
        <f t="shared" si="15"/>
        <v>3685421</v>
      </c>
      <c r="AQ23" s="96"/>
      <c r="AR23" s="97" t="s">
        <v>380</v>
      </c>
      <c r="AS23" s="58"/>
      <c r="AT23" s="2" t="s">
        <v>381</v>
      </c>
      <c r="AU23" s="46">
        <v>3989530</v>
      </c>
      <c r="AV23" s="98">
        <f t="shared" si="16"/>
        <v>1012339868</v>
      </c>
      <c r="AW23" s="58"/>
      <c r="AX23" s="58"/>
      <c r="AY23" s="58"/>
      <c r="AZ23" s="58"/>
      <c r="BA23" s="48"/>
      <c r="BB23" s="48"/>
      <c r="BC23" s="48"/>
      <c r="BD23" s="48"/>
      <c r="BE23" s="48"/>
      <c r="BF23" s="48"/>
      <c r="BG23" s="48"/>
      <c r="BH23" s="48"/>
      <c r="BI23" s="48"/>
      <c r="BJ23" s="48"/>
      <c r="BK23" s="48"/>
      <c r="BL23" s="48"/>
      <c r="BM23" s="48"/>
      <c r="BN23" s="48"/>
      <c r="BO23" s="48"/>
      <c r="BP23" s="48"/>
      <c r="BQ23" s="48"/>
    </row>
    <row r="24" spans="1:69" ht="12.75" customHeight="1">
      <c r="A24" s="85">
        <v>20</v>
      </c>
      <c r="B24" s="86">
        <v>5017</v>
      </c>
      <c r="C24" s="29">
        <v>144</v>
      </c>
      <c r="D24" s="14">
        <v>1015409873</v>
      </c>
      <c r="E24" s="18" t="str">
        <f>IF(D24&gt;0,VLOOKUP(D24,'PLANTA PERNO'!A:D,4,0)&amp;" "&amp;VLOOKUP(D24,'PLANTA PERNO'!A:D,2,0)&amp;" "&amp;VLOOKUP(D24,'PLANTA PERNO'!A:D,3,0),IF(N24="","VACANTE DEFINITIVA","VACANTE TEMPORAL"))</f>
        <v>LIZETH MAYERLY VILLARRAGA ROJAS</v>
      </c>
      <c r="F24" s="20" t="s">
        <v>49</v>
      </c>
      <c r="G24" s="20" t="str">
        <f t="shared" si="0"/>
        <v>EN ENCARGO</v>
      </c>
      <c r="H24" s="33">
        <f t="shared" si="1"/>
        <v>44566</v>
      </c>
      <c r="I24" s="33">
        <f t="shared" si="2"/>
        <v>44566</v>
      </c>
      <c r="J24" s="31" t="str">
        <f t="shared" si="3"/>
        <v>MUJER</v>
      </c>
      <c r="K24" s="21">
        <f t="shared" ca="1" si="4"/>
        <v>37</v>
      </c>
      <c r="L24" s="87" t="str">
        <f t="shared" si="5"/>
        <v>ENCARGO</v>
      </c>
      <c r="M24" s="21" t="str">
        <f t="shared" si="6"/>
        <v>EN ENCARGO</v>
      </c>
      <c r="N24" s="21">
        <v>52542976</v>
      </c>
      <c r="O24" s="18" t="str">
        <f>IF(N24="","VACANTE DEFINITIVA",(VLOOKUP(N24,'PLANTA PERNO'!A:D,4,0)&amp;" "&amp;VLOOKUP(N24,'PLANTA PERNO'!A:D,2,0)&amp;" "&amp;VLOOKUP(N24,'PLANTA PERNO'!A:D,3,0)))</f>
        <v>ADRIANA PATRICIA RAMIREZ BAUTISTA</v>
      </c>
      <c r="P24" s="21" t="s">
        <v>333</v>
      </c>
      <c r="Q24" s="21">
        <v>4</v>
      </c>
      <c r="R24" s="21"/>
      <c r="S24" s="21"/>
      <c r="T24" s="21"/>
      <c r="U24" s="21"/>
      <c r="V24" s="128"/>
      <c r="W24" s="28" t="str">
        <f t="shared" si="7"/>
        <v>OCUPADO</v>
      </c>
      <c r="X24" s="23" t="s">
        <v>27</v>
      </c>
      <c r="Y24" s="90" t="s">
        <v>146</v>
      </c>
      <c r="Z24" s="25">
        <v>407</v>
      </c>
      <c r="AA24" s="27">
        <v>16</v>
      </c>
      <c r="AB24" s="28" t="str">
        <f t="shared" si="8"/>
        <v>407-16</v>
      </c>
      <c r="AC24" s="24" t="s">
        <v>147</v>
      </c>
      <c r="AD24" s="24" t="s">
        <v>147</v>
      </c>
      <c r="AE24" s="24" t="s">
        <v>382</v>
      </c>
      <c r="AF24" s="24" t="s">
        <v>383</v>
      </c>
      <c r="AG24" s="24" t="s">
        <v>36</v>
      </c>
      <c r="AH24" s="24" t="s">
        <v>384</v>
      </c>
      <c r="AI24" s="93">
        <f t="shared" si="9"/>
        <v>3338526</v>
      </c>
      <c r="AJ24" s="93">
        <v>0</v>
      </c>
      <c r="AK24" s="93">
        <f t="shared" si="11"/>
        <v>0</v>
      </c>
      <c r="AL24" s="93">
        <f>IFERROR(INT(($AI24*(VLOOKUP($D24,'PORCENTAJES FACTORES'!B:N,12,0))/100)),0)</f>
        <v>0</v>
      </c>
      <c r="AM24" s="93">
        <f t="shared" si="12"/>
        <v>0</v>
      </c>
      <c r="AN24" s="93">
        <f t="shared" si="13"/>
        <v>249095</v>
      </c>
      <c r="AO24" s="93">
        <f t="shared" si="14"/>
        <v>0</v>
      </c>
      <c r="AP24" s="95">
        <f t="shared" si="15"/>
        <v>3587621</v>
      </c>
      <c r="AQ24" s="96"/>
      <c r="AR24" s="97" t="s">
        <v>386</v>
      </c>
      <c r="AS24" s="58"/>
      <c r="AT24" s="2" t="s">
        <v>387</v>
      </c>
      <c r="AU24" s="46">
        <v>4114207</v>
      </c>
      <c r="AV24" s="98">
        <f t="shared" si="16"/>
        <v>52542976</v>
      </c>
      <c r="AW24" s="58"/>
      <c r="AX24" s="58"/>
      <c r="AY24" s="58"/>
      <c r="AZ24" s="58"/>
      <c r="BA24" s="48"/>
      <c r="BB24" s="48"/>
      <c r="BC24" s="48"/>
      <c r="BD24" s="48"/>
      <c r="BE24" s="48"/>
      <c r="BF24" s="48"/>
      <c r="BG24" s="48"/>
      <c r="BH24" s="48"/>
      <c r="BI24" s="48"/>
      <c r="BJ24" s="48"/>
      <c r="BK24" s="48"/>
      <c r="BL24" s="48"/>
      <c r="BM24" s="48"/>
      <c r="BN24" s="48"/>
      <c r="BO24" s="48"/>
      <c r="BP24" s="48"/>
      <c r="BQ24" s="48"/>
    </row>
    <row r="25" spans="1:69" ht="12.75" customHeight="1">
      <c r="A25" s="85">
        <v>21</v>
      </c>
      <c r="B25" s="86">
        <v>5018</v>
      </c>
      <c r="C25" s="29">
        <v>145</v>
      </c>
      <c r="D25" s="14">
        <v>52176286</v>
      </c>
      <c r="E25" s="18" t="str">
        <f>IF(D25&gt;0,VLOOKUP(D25,'PLANTA PERNO'!A:D,4,0)&amp;" "&amp;VLOOKUP(D25,'PLANTA PERNO'!A:D,2,0)&amp;" "&amp;VLOOKUP(D25,'PLANTA PERNO'!A:D,3,0),IF(N25="","VACANTE DEFINITIVA","VACANTE TEMPORAL"))</f>
        <v>DIANA LICET SANCHEZ CASTIBLANCO</v>
      </c>
      <c r="F25" s="20" t="s">
        <v>24</v>
      </c>
      <c r="G25" s="20" t="str">
        <f t="shared" si="0"/>
        <v>EN PROVISIONALIDAD</v>
      </c>
      <c r="H25" s="33">
        <f t="shared" si="1"/>
        <v>45848</v>
      </c>
      <c r="I25" s="33">
        <f t="shared" si="2"/>
        <v>45848</v>
      </c>
      <c r="J25" s="31" t="str">
        <f t="shared" si="3"/>
        <v>MUJER</v>
      </c>
      <c r="K25" s="21">
        <f t="shared" ca="1" si="4"/>
        <v>52</v>
      </c>
      <c r="L25" s="87" t="str">
        <f t="shared" si="5"/>
        <v>PROVISIONALIDAD</v>
      </c>
      <c r="M25" s="21" t="str">
        <f t="shared" si="6"/>
        <v>PERIODO DE PRUEBA EN OTRA ENTIDAD</v>
      </c>
      <c r="N25" s="21">
        <v>52781142</v>
      </c>
      <c r="O25" s="18" t="str">
        <f>IF(N25="","VACANTE DEFINITIVA",(VLOOKUP(N25,'PLANTA PERNO'!A:D,4,0)&amp;" "&amp;VLOOKUP(N25,'PLANTA PERNO'!A:D,2,0)&amp;" "&amp;VLOOKUP(N25,'PLANTA PERNO'!A:D,3,0)))</f>
        <v>JENIFER CELIS ORTEGA</v>
      </c>
      <c r="P25" s="21"/>
      <c r="Q25" s="21"/>
      <c r="R25" s="21" t="s">
        <v>166</v>
      </c>
      <c r="S25" s="21" t="s">
        <v>370</v>
      </c>
      <c r="T25" s="21"/>
      <c r="U25" s="21"/>
      <c r="V25" s="128"/>
      <c r="W25" s="28" t="str">
        <f t="shared" si="7"/>
        <v>OCUPADO</v>
      </c>
      <c r="X25" s="23" t="s">
        <v>27</v>
      </c>
      <c r="Y25" s="90" t="s">
        <v>146</v>
      </c>
      <c r="Z25" s="25">
        <v>407</v>
      </c>
      <c r="AA25" s="27">
        <v>16</v>
      </c>
      <c r="AB25" s="28" t="str">
        <f t="shared" si="8"/>
        <v>407-16</v>
      </c>
      <c r="AC25" s="24" t="s">
        <v>147</v>
      </c>
      <c r="AD25" s="24" t="s">
        <v>147</v>
      </c>
      <c r="AE25" s="24" t="s">
        <v>382</v>
      </c>
      <c r="AF25" s="24" t="s">
        <v>383</v>
      </c>
      <c r="AG25" s="24" t="s">
        <v>36</v>
      </c>
      <c r="AH25" s="24" t="s">
        <v>384</v>
      </c>
      <c r="AI25" s="93">
        <f t="shared" si="9"/>
        <v>3338526</v>
      </c>
      <c r="AJ25" s="93">
        <v>0</v>
      </c>
      <c r="AK25" s="93">
        <f t="shared" si="11"/>
        <v>0</v>
      </c>
      <c r="AL25" s="93">
        <f>IFERROR(INT(($AI25*(VLOOKUP($D25,'PORCENTAJES FACTORES'!B:N,12,0))/100)),0)</f>
        <v>0</v>
      </c>
      <c r="AM25" s="93">
        <f t="shared" si="12"/>
        <v>0</v>
      </c>
      <c r="AN25" s="93">
        <f t="shared" si="13"/>
        <v>249095</v>
      </c>
      <c r="AO25" s="93">
        <f t="shared" si="14"/>
        <v>0</v>
      </c>
      <c r="AP25" s="95">
        <f t="shared" si="15"/>
        <v>3587621</v>
      </c>
      <c r="AQ25" s="96"/>
      <c r="AR25" s="97" t="s">
        <v>386</v>
      </c>
      <c r="AS25" s="58"/>
      <c r="AT25" s="2" t="s">
        <v>389</v>
      </c>
      <c r="AU25" s="46">
        <v>4244468</v>
      </c>
      <c r="AV25" s="98">
        <f t="shared" si="16"/>
        <v>52781142</v>
      </c>
      <c r="AW25" s="58"/>
      <c r="AX25" s="58"/>
      <c r="AY25" s="58"/>
      <c r="AZ25" s="58"/>
      <c r="BA25" s="48"/>
      <c r="BB25" s="48"/>
      <c r="BC25" s="48"/>
      <c r="BD25" s="48"/>
      <c r="BE25" s="48"/>
      <c r="BF25" s="48"/>
      <c r="BG25" s="48"/>
      <c r="BH25" s="48"/>
      <c r="BI25" s="48"/>
      <c r="BJ25" s="48"/>
      <c r="BK25" s="48"/>
      <c r="BL25" s="48"/>
      <c r="BM25" s="48"/>
      <c r="BN25" s="48"/>
      <c r="BO25" s="48"/>
      <c r="BP25" s="48"/>
      <c r="BQ25" s="48"/>
    </row>
    <row r="26" spans="1:69" ht="12.75" customHeight="1">
      <c r="A26" s="85">
        <v>22</v>
      </c>
      <c r="B26" s="86">
        <v>5019</v>
      </c>
      <c r="C26" s="29">
        <v>146</v>
      </c>
      <c r="D26" s="132">
        <v>1121816584</v>
      </c>
      <c r="E26" s="133" t="str">
        <f>IF(D26&gt;0,VLOOKUP(D26,'PLANTA PERNO'!A:D,4,0)&amp;" "&amp;VLOOKUP(D26,'PLANTA PERNO'!A:D,2,0)&amp;" "&amp;VLOOKUP(D26,'PLANTA PERNO'!A:D,3,0),IF(N26="","VACANTE DEFINITIVA","VACANTE TEMPORAL"))</f>
        <v>MIGUEL ANGEL VARGAS CORDERO</v>
      </c>
      <c r="F26" s="134" t="s">
        <v>49</v>
      </c>
      <c r="G26" s="20" t="str">
        <f t="shared" si="0"/>
        <v>CARRERA ADMINISTRATIVA</v>
      </c>
      <c r="H26" s="33">
        <f t="shared" si="1"/>
        <v>44720</v>
      </c>
      <c r="I26" s="33">
        <f t="shared" si="2"/>
        <v>44720</v>
      </c>
      <c r="J26" s="31" t="str">
        <f t="shared" si="3"/>
        <v>HOMBRE</v>
      </c>
      <c r="K26" s="21">
        <f t="shared" ca="1" si="4"/>
        <v>40</v>
      </c>
      <c r="L26" s="87" t="str">
        <f t="shared" si="5"/>
        <v/>
      </c>
      <c r="M26" s="21" t="str">
        <f t="shared" si="6"/>
        <v>EN PROPIEDAD</v>
      </c>
      <c r="N26" s="21">
        <v>1121816584</v>
      </c>
      <c r="O26" s="18" t="str">
        <f>IF(N26="","VACANTE DEFINITIVA",(VLOOKUP(N26,'PLANTA PERNO'!A:D,4,0)&amp;" "&amp;VLOOKUP(N26,'PLANTA PERNO'!A:D,2,0)&amp;" "&amp;VLOOKUP(N26,'PLANTA PERNO'!A:D,3,0)))</f>
        <v>MIGUEL ANGEL VARGAS CORDERO</v>
      </c>
      <c r="P26" s="21"/>
      <c r="Q26" s="21"/>
      <c r="R26" s="21"/>
      <c r="S26" s="21"/>
      <c r="T26" s="21"/>
      <c r="U26" s="21"/>
      <c r="V26" s="128"/>
      <c r="W26" s="21" t="str">
        <f t="shared" si="7"/>
        <v>OCUPADO</v>
      </c>
      <c r="X26" s="23" t="s">
        <v>27</v>
      </c>
      <c r="Y26" s="90" t="s">
        <v>146</v>
      </c>
      <c r="Z26" s="25">
        <v>407</v>
      </c>
      <c r="AA26" s="27">
        <v>15</v>
      </c>
      <c r="AB26" s="28" t="str">
        <f t="shared" si="8"/>
        <v>407-15</v>
      </c>
      <c r="AC26" s="24" t="s">
        <v>153</v>
      </c>
      <c r="AD26" s="24" t="s">
        <v>153</v>
      </c>
      <c r="AE26" s="24" t="s">
        <v>392</v>
      </c>
      <c r="AF26" s="24" t="s">
        <v>393</v>
      </c>
      <c r="AG26" s="24" t="s">
        <v>36</v>
      </c>
      <c r="AH26" s="24" t="s">
        <v>394</v>
      </c>
      <c r="AI26" s="93">
        <f t="shared" si="9"/>
        <v>3212811</v>
      </c>
      <c r="AJ26" s="93">
        <v>0</v>
      </c>
      <c r="AK26" s="93">
        <f t="shared" si="11"/>
        <v>0</v>
      </c>
      <c r="AL26" s="93">
        <f>IFERROR(INT(($AI26*(VLOOKUP($D26,'PORCENTAJES FACTORES'!B:N,12,0))/100)),0)</f>
        <v>0</v>
      </c>
      <c r="AM26" s="93">
        <f t="shared" si="12"/>
        <v>0</v>
      </c>
      <c r="AN26" s="93">
        <f t="shared" si="13"/>
        <v>249095</v>
      </c>
      <c r="AO26" s="93">
        <f t="shared" si="14"/>
        <v>0</v>
      </c>
      <c r="AP26" s="95">
        <f t="shared" si="15"/>
        <v>3461906</v>
      </c>
      <c r="AQ26" s="96"/>
      <c r="AR26" s="97" t="s">
        <v>396</v>
      </c>
      <c r="AS26" s="58"/>
      <c r="AT26" s="2" t="s">
        <v>397</v>
      </c>
      <c r="AU26" s="46">
        <v>4280437</v>
      </c>
      <c r="AV26" s="98">
        <f t="shared" si="16"/>
        <v>1121816584</v>
      </c>
      <c r="AW26" s="58"/>
      <c r="AX26" s="58"/>
      <c r="AY26" s="58"/>
      <c r="AZ26" s="58"/>
      <c r="BA26" s="48"/>
      <c r="BB26" s="48"/>
      <c r="BC26" s="48"/>
      <c r="BD26" s="48"/>
      <c r="BE26" s="48"/>
      <c r="BF26" s="48"/>
      <c r="BG26" s="48"/>
      <c r="BH26" s="48"/>
      <c r="BI26" s="48"/>
      <c r="BJ26" s="48"/>
      <c r="BK26" s="48"/>
      <c r="BL26" s="48"/>
      <c r="BM26" s="48"/>
      <c r="BN26" s="48"/>
      <c r="BO26" s="48"/>
      <c r="BP26" s="48"/>
      <c r="BQ26" s="48"/>
    </row>
    <row r="27" spans="1:69" ht="12.75" customHeight="1">
      <c r="A27" s="85">
        <v>23</v>
      </c>
      <c r="B27" s="86">
        <v>5020</v>
      </c>
      <c r="C27" s="135">
        <v>147</v>
      </c>
      <c r="D27" s="136">
        <v>1193101660</v>
      </c>
      <c r="E27" s="18" t="str">
        <f>IF(D27&gt;0,VLOOKUP(D27,'PLANTA PERNO'!A:D,4,0)&amp;" "&amp;VLOOKUP(D27,'PLANTA PERNO'!A:D,2,0)&amp;" "&amp;VLOOKUP(D27,'PLANTA PERNO'!A:D,3,0),IF(N27="","VACANTE DEFINITIVA","VACANTE TEMPORAL"))</f>
        <v>MARIA GABRIELA TREJO CHAVES</v>
      </c>
      <c r="F27" s="20" t="s">
        <v>24</v>
      </c>
      <c r="G27" s="137" t="str">
        <f t="shared" si="0"/>
        <v>EN PROVISIONALIDAD</v>
      </c>
      <c r="H27" s="33">
        <f t="shared" si="1"/>
        <v>46237</v>
      </c>
      <c r="I27" s="33">
        <f t="shared" si="2"/>
        <v>46237</v>
      </c>
      <c r="J27" s="31" t="str">
        <f t="shared" si="3"/>
        <v>MUJER</v>
      </c>
      <c r="K27" s="21">
        <f t="shared" ca="1" si="4"/>
        <v>24</v>
      </c>
      <c r="L27" s="87" t="str">
        <f t="shared" si="5"/>
        <v>PROVISIONALIDAD</v>
      </c>
      <c r="M27" s="21" t="str">
        <f t="shared" si="6"/>
        <v>EN ENCARGO</v>
      </c>
      <c r="N27" s="21">
        <v>80842817</v>
      </c>
      <c r="O27" s="18" t="str">
        <f>IF(N27="","VACANTE DEFINITIVA",(VLOOKUP(N27,'PLANTA PERNO'!A:D,4,0)&amp;" "&amp;VLOOKUP(N27,'PLANTA PERNO'!A:D,2,0)&amp;" "&amp;VLOOKUP(N27,'PLANTA PERNO'!A:D,3,0)))</f>
        <v>JEFFER FRANK VELANDIA LOPEZ</v>
      </c>
      <c r="P27" s="21" t="s">
        <v>369</v>
      </c>
      <c r="Q27" s="21">
        <v>2</v>
      </c>
      <c r="R27" s="21"/>
      <c r="S27" s="21"/>
      <c r="T27" s="21"/>
      <c r="U27" s="21"/>
      <c r="V27" s="128"/>
      <c r="W27" s="21" t="str">
        <f t="shared" si="7"/>
        <v>OCUPADO</v>
      </c>
      <c r="X27" s="23" t="s">
        <v>27</v>
      </c>
      <c r="Y27" s="90" t="s">
        <v>146</v>
      </c>
      <c r="Z27" s="25">
        <v>407</v>
      </c>
      <c r="AA27" s="27">
        <v>15</v>
      </c>
      <c r="AB27" s="28" t="str">
        <f t="shared" si="8"/>
        <v>407-15</v>
      </c>
      <c r="AC27" s="24" t="s">
        <v>213</v>
      </c>
      <c r="AD27" s="24" t="s">
        <v>213</v>
      </c>
      <c r="AE27" s="24" t="s">
        <v>399</v>
      </c>
      <c r="AF27" s="24" t="s">
        <v>400</v>
      </c>
      <c r="AG27" s="24" t="s">
        <v>36</v>
      </c>
      <c r="AH27" s="24" t="s">
        <v>394</v>
      </c>
      <c r="AI27" s="93">
        <f t="shared" si="9"/>
        <v>3212811</v>
      </c>
      <c r="AJ27" s="93">
        <v>0</v>
      </c>
      <c r="AK27" s="93">
        <f t="shared" si="11"/>
        <v>0</v>
      </c>
      <c r="AL27" s="93">
        <f>IFERROR(INT(($AI27*(VLOOKUP($D27,'PORCENTAJES FACTORES'!B:N,12,0))/100)),0)</f>
        <v>0</v>
      </c>
      <c r="AM27" s="93">
        <f t="shared" si="12"/>
        <v>0</v>
      </c>
      <c r="AN27" s="93">
        <f t="shared" si="13"/>
        <v>249095</v>
      </c>
      <c r="AO27" s="93">
        <f t="shared" si="14"/>
        <v>0</v>
      </c>
      <c r="AP27" s="95">
        <f t="shared" si="15"/>
        <v>3461906</v>
      </c>
      <c r="AQ27" s="96"/>
      <c r="AR27" s="97" t="s">
        <v>396</v>
      </c>
      <c r="AS27" s="43"/>
      <c r="AT27" s="2" t="s">
        <v>402</v>
      </c>
      <c r="AU27" s="46">
        <v>4404470</v>
      </c>
      <c r="AV27" s="98">
        <f t="shared" si="16"/>
        <v>80842817</v>
      </c>
      <c r="AW27" s="58"/>
      <c r="AX27" s="58"/>
      <c r="AY27" s="58"/>
      <c r="AZ27" s="58"/>
      <c r="BA27" s="48"/>
      <c r="BB27" s="48"/>
      <c r="BC27" s="48"/>
      <c r="BD27" s="48"/>
      <c r="BE27" s="48"/>
      <c r="BF27" s="48"/>
      <c r="BG27" s="48"/>
      <c r="BH27" s="48"/>
      <c r="BI27" s="48"/>
      <c r="BJ27" s="48"/>
      <c r="BK27" s="48"/>
      <c r="BL27" s="48"/>
      <c r="BM27" s="48"/>
      <c r="BN27" s="48"/>
      <c r="BO27" s="48"/>
      <c r="BP27" s="48"/>
      <c r="BQ27" s="48"/>
    </row>
    <row r="28" spans="1:69" ht="12.75" customHeight="1">
      <c r="A28" s="85">
        <v>24</v>
      </c>
      <c r="B28" s="86">
        <v>5021</v>
      </c>
      <c r="C28" s="29">
        <v>148</v>
      </c>
      <c r="D28" s="138">
        <v>79048737</v>
      </c>
      <c r="E28" s="139" t="str">
        <f>IF(D28&gt;0,VLOOKUP(D28,'PLANTA PERNO'!A:D,4,0)&amp;" "&amp;VLOOKUP(D28,'PLANTA PERNO'!A:D,2,0)&amp;" "&amp;VLOOKUP(D28,'PLANTA PERNO'!A:D,3,0),IF(N28="","VACANTE DEFINITIVA","VACANTE TEMPORAL"))</f>
        <v>PABLO  DANIEL PULIDO SALAMANCA</v>
      </c>
      <c r="F28" s="140" t="s">
        <v>49</v>
      </c>
      <c r="G28" s="20" t="str">
        <f t="shared" si="0"/>
        <v>CARRERA ADMINISTRATIVA</v>
      </c>
      <c r="H28" s="33">
        <f t="shared" si="1"/>
        <v>42585</v>
      </c>
      <c r="I28" s="33">
        <f t="shared" si="2"/>
        <v>35926</v>
      </c>
      <c r="J28" s="31" t="str">
        <f t="shared" si="3"/>
        <v>HOMBRE</v>
      </c>
      <c r="K28" s="21">
        <f t="shared" ca="1" si="4"/>
        <v>61</v>
      </c>
      <c r="L28" s="87" t="str">
        <f t="shared" si="5"/>
        <v/>
      </c>
      <c r="M28" s="21" t="str">
        <f t="shared" si="6"/>
        <v>EN PROPIEDAD</v>
      </c>
      <c r="N28" s="21">
        <v>79048737</v>
      </c>
      <c r="O28" s="18" t="str">
        <f>IF(N28="","VACANTE DEFINITIVA",(VLOOKUP(N28,'PLANTA PERNO'!A:D,4,0)&amp;" "&amp;VLOOKUP(N28,'PLANTA PERNO'!A:D,2,0)&amp;" "&amp;VLOOKUP(N28,'PLANTA PERNO'!A:D,3,0)))</f>
        <v>PABLO  DANIEL PULIDO SALAMANCA</v>
      </c>
      <c r="P28" s="21"/>
      <c r="Q28" s="21"/>
      <c r="R28" s="21"/>
      <c r="S28" s="21"/>
      <c r="T28" s="21"/>
      <c r="U28" s="21"/>
      <c r="V28" s="128"/>
      <c r="W28" s="21" t="str">
        <f t="shared" si="7"/>
        <v>OCUPADO</v>
      </c>
      <c r="X28" s="23" t="s">
        <v>27</v>
      </c>
      <c r="Y28" s="90" t="s">
        <v>146</v>
      </c>
      <c r="Z28" s="25">
        <v>407</v>
      </c>
      <c r="AA28" s="27">
        <v>15</v>
      </c>
      <c r="AB28" s="28" t="str">
        <f t="shared" si="8"/>
        <v>407-15</v>
      </c>
      <c r="AC28" s="24" t="s">
        <v>147</v>
      </c>
      <c r="AD28" s="24" t="s">
        <v>147</v>
      </c>
      <c r="AE28" s="24" t="s">
        <v>392</v>
      </c>
      <c r="AF28" s="24" t="s">
        <v>393</v>
      </c>
      <c r="AG28" s="24" t="s">
        <v>36</v>
      </c>
      <c r="AH28" s="24" t="s">
        <v>394</v>
      </c>
      <c r="AI28" s="93">
        <f t="shared" si="9"/>
        <v>3212811</v>
      </c>
      <c r="AJ28" s="93">
        <v>0</v>
      </c>
      <c r="AK28" s="93">
        <f t="shared" si="11"/>
        <v>224896</v>
      </c>
      <c r="AL28" s="93">
        <f>IFERROR(INT(($AI28*(VLOOKUP($D28,'PORCENTAJES FACTORES'!B:N,12,0))/100)),0)</f>
        <v>0</v>
      </c>
      <c r="AM28" s="93">
        <f t="shared" si="12"/>
        <v>64256</v>
      </c>
      <c r="AN28" s="93">
        <f t="shared" si="13"/>
        <v>249095</v>
      </c>
      <c r="AO28" s="93">
        <f t="shared" si="14"/>
        <v>0</v>
      </c>
      <c r="AP28" s="95">
        <f t="shared" si="15"/>
        <v>3751058</v>
      </c>
      <c r="AQ28" s="96"/>
      <c r="AR28" s="97" t="s">
        <v>396</v>
      </c>
      <c r="AS28" s="58"/>
      <c r="AT28" s="2" t="s">
        <v>404</v>
      </c>
      <c r="AU28" s="46">
        <v>4488671</v>
      </c>
      <c r="AV28" s="98">
        <f t="shared" si="16"/>
        <v>79048737</v>
      </c>
      <c r="AW28" s="58"/>
      <c r="AX28" s="58"/>
      <c r="AY28" s="58"/>
      <c r="AZ28" s="58"/>
      <c r="BA28" s="48"/>
      <c r="BB28" s="48"/>
      <c r="BC28" s="48"/>
      <c r="BD28" s="48"/>
      <c r="BE28" s="48"/>
      <c r="BF28" s="48"/>
      <c r="BG28" s="48"/>
      <c r="BH28" s="48"/>
      <c r="BI28" s="48"/>
      <c r="BJ28" s="48"/>
      <c r="BK28" s="48"/>
      <c r="BL28" s="48"/>
      <c r="BM28" s="48"/>
      <c r="BN28" s="48"/>
      <c r="BO28" s="48"/>
      <c r="BP28" s="48"/>
      <c r="BQ28" s="48"/>
    </row>
    <row r="29" spans="1:69" ht="12.75" customHeight="1">
      <c r="A29" s="85">
        <v>25</v>
      </c>
      <c r="B29" s="86">
        <v>5022</v>
      </c>
      <c r="C29" s="29">
        <v>149</v>
      </c>
      <c r="D29" s="14"/>
      <c r="E29" s="18" t="str">
        <f>IF(D29&gt;0,VLOOKUP(D29,'PLANTA PERNO'!A:D,4,0)&amp;" "&amp;VLOOKUP(D29,'PLANTA PERNO'!A:D,2,0)&amp;" "&amp;VLOOKUP(D29,'PLANTA PERNO'!A:D,3,0),IF(N29="","VACANTE DEFINITIVA","VACANTE TEMPORAL"))</f>
        <v>VACANTE TEMPORAL</v>
      </c>
      <c r="F29" s="20"/>
      <c r="G29" s="20" t="str">
        <f t="shared" si="0"/>
        <v>VACANTE TEMPORAL</v>
      </c>
      <c r="H29" s="33" t="str">
        <f t="shared" si="1"/>
        <v xml:space="preserve"> </v>
      </c>
      <c r="I29" s="33" t="str">
        <f t="shared" si="2"/>
        <v/>
      </c>
      <c r="J29" s="31" t="str">
        <f t="shared" si="3"/>
        <v/>
      </c>
      <c r="K29" s="21" t="str">
        <f t="shared" ca="1" si="4"/>
        <v/>
      </c>
      <c r="L29" s="87" t="str">
        <f t="shared" si="5"/>
        <v/>
      </c>
      <c r="M29" s="21" t="str">
        <f t="shared" si="6"/>
        <v>EN ENCARGO</v>
      </c>
      <c r="N29" s="21">
        <v>20699098</v>
      </c>
      <c r="O29" s="18" t="str">
        <f>IF(N29="","VACANTE DEFINITIVA",(VLOOKUP(N29,'PLANTA PERNO'!A:D,4,0)&amp;" "&amp;VLOOKUP(N29,'PLANTA PERNO'!A:D,2,0)&amp;" "&amp;VLOOKUP(N29,'PLANTA PERNO'!A:D,3,0)))</f>
        <v>CLAUDIA BEATRIZ CASTILLA OLAYA</v>
      </c>
      <c r="P29" s="21" t="s">
        <v>352</v>
      </c>
      <c r="Q29" s="21">
        <v>3</v>
      </c>
      <c r="R29" s="21"/>
      <c r="S29" s="21"/>
      <c r="T29" s="21"/>
      <c r="U29" s="21"/>
      <c r="V29" s="128"/>
      <c r="W29" s="21" t="str">
        <f t="shared" si="7"/>
        <v>VACANTE TEMPORAL</v>
      </c>
      <c r="X29" s="23" t="s">
        <v>27</v>
      </c>
      <c r="Y29" s="90" t="s">
        <v>146</v>
      </c>
      <c r="Z29" s="25">
        <v>407</v>
      </c>
      <c r="AA29" s="27">
        <v>15</v>
      </c>
      <c r="AB29" s="28" t="str">
        <f t="shared" si="8"/>
        <v>407-15</v>
      </c>
      <c r="AC29" s="24" t="s">
        <v>147</v>
      </c>
      <c r="AD29" s="24" t="s">
        <v>147</v>
      </c>
      <c r="AE29" s="24" t="s">
        <v>392</v>
      </c>
      <c r="AF29" s="24" t="s">
        <v>393</v>
      </c>
      <c r="AG29" s="24" t="s">
        <v>36</v>
      </c>
      <c r="AH29" s="24" t="s">
        <v>394</v>
      </c>
      <c r="AI29" s="93">
        <f t="shared" si="9"/>
        <v>3212811</v>
      </c>
      <c r="AJ29" s="93">
        <v>0</v>
      </c>
      <c r="AK29" s="93">
        <f t="shared" si="11"/>
        <v>0</v>
      </c>
      <c r="AL29" s="93">
        <f>IFERROR(INT(($AI29*(VLOOKUP($D29,'PORCENTAJES FACTORES'!B:N,12,0))/100)),0)</f>
        <v>0</v>
      </c>
      <c r="AM29" s="93">
        <f t="shared" si="12"/>
        <v>0</v>
      </c>
      <c r="AN29" s="93">
        <f t="shared" si="13"/>
        <v>249095</v>
      </c>
      <c r="AO29" s="93">
        <f t="shared" si="14"/>
        <v>0</v>
      </c>
      <c r="AP29" s="95">
        <f t="shared" si="15"/>
        <v>3461906</v>
      </c>
      <c r="AQ29" s="96"/>
      <c r="AR29" s="97" t="s">
        <v>396</v>
      </c>
      <c r="AS29" s="58"/>
      <c r="AT29" s="2" t="s">
        <v>461</v>
      </c>
      <c r="AU29" s="46">
        <v>4666063</v>
      </c>
      <c r="AV29" s="98">
        <f t="shared" si="16"/>
        <v>20699098</v>
      </c>
      <c r="AW29" s="58"/>
      <c r="AX29" s="58"/>
      <c r="AY29" s="58"/>
      <c r="AZ29" s="58"/>
      <c r="BA29" s="48"/>
      <c r="BB29" s="48"/>
      <c r="BC29" s="48"/>
      <c r="BD29" s="48"/>
      <c r="BE29" s="48"/>
      <c r="BF29" s="48"/>
      <c r="BG29" s="48"/>
      <c r="BH29" s="48"/>
      <c r="BI29" s="48"/>
      <c r="BJ29" s="48"/>
      <c r="BK29" s="48"/>
      <c r="BL29" s="48"/>
      <c r="BM29" s="48"/>
      <c r="BN29" s="48"/>
      <c r="BO29" s="48"/>
      <c r="BP29" s="48"/>
      <c r="BQ29" s="48"/>
    </row>
    <row r="30" spans="1:69" ht="12.75" customHeight="1">
      <c r="A30" s="85">
        <v>26</v>
      </c>
      <c r="B30" s="86">
        <v>5023</v>
      </c>
      <c r="C30" s="29">
        <v>150</v>
      </c>
      <c r="D30" s="14"/>
      <c r="E30" s="18" t="str">
        <f>IF(D30&gt;0,VLOOKUP(D30,'PLANTA PERNO'!A:D,4,0)&amp;" "&amp;VLOOKUP(D30,'PLANTA PERNO'!A:D,2,0)&amp;" "&amp;VLOOKUP(D30,'PLANTA PERNO'!A:D,3,0),IF(N30="","VACANTE DEFINITIVA","VACANTE TEMPORAL"))</f>
        <v>VACANTE TEMPORAL</v>
      </c>
      <c r="F30" s="20"/>
      <c r="G30" s="20" t="str">
        <f t="shared" si="0"/>
        <v>VACANTE TEMPORAL</v>
      </c>
      <c r="H30" s="33" t="str">
        <f t="shared" si="1"/>
        <v xml:space="preserve"> </v>
      </c>
      <c r="I30" s="33" t="str">
        <f t="shared" si="2"/>
        <v/>
      </c>
      <c r="J30" s="31" t="str">
        <f t="shared" si="3"/>
        <v/>
      </c>
      <c r="K30" s="21" t="str">
        <f t="shared" ca="1" si="4"/>
        <v/>
      </c>
      <c r="L30" s="87" t="str">
        <f t="shared" si="5"/>
        <v/>
      </c>
      <c r="M30" s="21" t="str">
        <f t="shared" si="6"/>
        <v>EN ENCARGO</v>
      </c>
      <c r="N30" s="21">
        <v>51732443</v>
      </c>
      <c r="O30" s="18" t="str">
        <f>IF(N30="","VACANTE DEFINITIVA",(VLOOKUP(N30,'PLANTA PERNO'!A:D,4,0)&amp;" "&amp;VLOOKUP(N30,'PLANTA PERNO'!A:D,2,0)&amp;" "&amp;VLOOKUP(N30,'PLANTA PERNO'!A:D,3,0)))</f>
        <v>ACENETH TORRES ROJAS</v>
      </c>
      <c r="P30" s="21" t="s">
        <v>489</v>
      </c>
      <c r="Q30" s="21">
        <v>4</v>
      </c>
      <c r="R30" s="21"/>
      <c r="S30" s="21"/>
      <c r="T30" s="21"/>
      <c r="U30" s="21"/>
      <c r="V30" s="123">
        <v>203203</v>
      </c>
      <c r="W30" s="21" t="str">
        <f t="shared" si="7"/>
        <v>VACANTE TEMPORAL</v>
      </c>
      <c r="X30" s="23" t="s">
        <v>27</v>
      </c>
      <c r="Y30" s="90" t="s">
        <v>146</v>
      </c>
      <c r="Z30" s="25">
        <v>407</v>
      </c>
      <c r="AA30" s="27">
        <v>15</v>
      </c>
      <c r="AB30" s="28" t="str">
        <f t="shared" si="8"/>
        <v>407-15</v>
      </c>
      <c r="AC30" s="24" t="s">
        <v>147</v>
      </c>
      <c r="AD30" s="24" t="s">
        <v>147</v>
      </c>
      <c r="AE30" s="24" t="s">
        <v>392</v>
      </c>
      <c r="AF30" s="24" t="s">
        <v>393</v>
      </c>
      <c r="AG30" s="24" t="s">
        <v>36</v>
      </c>
      <c r="AH30" s="24" t="s">
        <v>394</v>
      </c>
      <c r="AI30" s="93">
        <f t="shared" si="9"/>
        <v>3212811</v>
      </c>
      <c r="AJ30" s="93">
        <v>0</v>
      </c>
      <c r="AK30" s="93">
        <f t="shared" si="11"/>
        <v>0</v>
      </c>
      <c r="AL30" s="93">
        <f>IFERROR(INT(($AI30*(VLOOKUP($D30,'PORCENTAJES FACTORES'!B:N,12,0))/100)),0)</f>
        <v>0</v>
      </c>
      <c r="AM30" s="93">
        <f t="shared" si="12"/>
        <v>0</v>
      </c>
      <c r="AN30" s="93">
        <f t="shared" si="13"/>
        <v>249095</v>
      </c>
      <c r="AO30" s="93">
        <f t="shared" si="14"/>
        <v>0</v>
      </c>
      <c r="AP30" s="95">
        <f t="shared" si="15"/>
        <v>3461906</v>
      </c>
      <c r="AQ30" s="96"/>
      <c r="AR30" s="97" t="s">
        <v>396</v>
      </c>
      <c r="AS30" s="58"/>
      <c r="AT30" s="2" t="s">
        <v>501</v>
      </c>
      <c r="AU30" s="46">
        <v>4802489</v>
      </c>
      <c r="AV30" s="98">
        <f t="shared" si="16"/>
        <v>51732443</v>
      </c>
      <c r="AW30" s="58"/>
      <c r="AX30" s="58"/>
      <c r="AY30" s="58"/>
      <c r="AZ30" s="58"/>
      <c r="BA30" s="48"/>
      <c r="BB30" s="48"/>
      <c r="BC30" s="48"/>
      <c r="BD30" s="48"/>
      <c r="BE30" s="48"/>
      <c r="BF30" s="48"/>
      <c r="BG30" s="48"/>
      <c r="BH30" s="48"/>
      <c r="BI30" s="48"/>
      <c r="BJ30" s="48"/>
      <c r="BK30" s="48"/>
      <c r="BL30" s="48"/>
      <c r="BM30" s="48"/>
      <c r="BN30" s="48"/>
      <c r="BO30" s="48"/>
      <c r="BP30" s="48"/>
      <c r="BQ30" s="48"/>
    </row>
    <row r="31" spans="1:69" ht="12.75" customHeight="1">
      <c r="A31" s="85">
        <v>27</v>
      </c>
      <c r="B31" s="86">
        <v>5024</v>
      </c>
      <c r="C31" s="29">
        <v>151</v>
      </c>
      <c r="D31" s="14">
        <v>79262614</v>
      </c>
      <c r="E31" s="18" t="str">
        <f>IF(D31&gt;0,VLOOKUP(D31,'PLANTA PERNO'!A:D,4,0)&amp;" "&amp;VLOOKUP(D31,'PLANTA PERNO'!A:D,2,0)&amp;" "&amp;VLOOKUP(D31,'PLANTA PERNO'!A:D,3,0),IF(N31="","VACANTE DEFINITIVA","VACANTE TEMPORAL"))</f>
        <v>OSCAR  ERNESTO LOPEZ ACUÃ‘A</v>
      </c>
      <c r="F31" s="20" t="s">
        <v>49</v>
      </c>
      <c r="G31" s="20" t="str">
        <f t="shared" si="0"/>
        <v>CARRERA ADMINISTRATIVA</v>
      </c>
      <c r="H31" s="33">
        <f t="shared" si="1"/>
        <v>42585</v>
      </c>
      <c r="I31" s="33">
        <f t="shared" si="2"/>
        <v>35906</v>
      </c>
      <c r="J31" s="31" t="str">
        <f t="shared" si="3"/>
        <v>HOMBRE</v>
      </c>
      <c r="K31" s="21">
        <f t="shared" ca="1" si="4"/>
        <v>63</v>
      </c>
      <c r="L31" s="87" t="str">
        <f t="shared" si="5"/>
        <v/>
      </c>
      <c r="M31" s="21" t="str">
        <f t="shared" si="6"/>
        <v>EN PROPIEDAD</v>
      </c>
      <c r="N31" s="21">
        <v>79262614</v>
      </c>
      <c r="O31" s="18" t="str">
        <f>IF(N31="","VACANTE DEFINITIVA",(VLOOKUP(N31,'PLANTA PERNO'!A:D,4,0)&amp;" "&amp;VLOOKUP(N31,'PLANTA PERNO'!A:D,2,0)&amp;" "&amp;VLOOKUP(N31,'PLANTA PERNO'!A:D,3,0)))</f>
        <v>OSCAR  ERNESTO LOPEZ ACUÃ‘A</v>
      </c>
      <c r="P31" s="21"/>
      <c r="Q31" s="21"/>
      <c r="R31" s="21"/>
      <c r="S31" s="21"/>
      <c r="T31" s="21"/>
      <c r="U31" s="21"/>
      <c r="V31" s="128"/>
      <c r="W31" s="21" t="str">
        <f t="shared" si="7"/>
        <v>OCUPADO</v>
      </c>
      <c r="X31" s="23" t="s">
        <v>27</v>
      </c>
      <c r="Y31" s="90" t="s">
        <v>146</v>
      </c>
      <c r="Z31" s="25">
        <v>407</v>
      </c>
      <c r="AA31" s="27">
        <v>14</v>
      </c>
      <c r="AB31" s="28" t="str">
        <f t="shared" si="8"/>
        <v>407-14</v>
      </c>
      <c r="AC31" s="24" t="s">
        <v>147</v>
      </c>
      <c r="AD31" s="24" t="s">
        <v>147</v>
      </c>
      <c r="AE31" s="24" t="s">
        <v>530</v>
      </c>
      <c r="AF31" s="24" t="s">
        <v>531</v>
      </c>
      <c r="AG31" s="24" t="s">
        <v>36</v>
      </c>
      <c r="AH31" s="24" t="s">
        <v>532</v>
      </c>
      <c r="AI31" s="93">
        <f t="shared" si="9"/>
        <v>3115016</v>
      </c>
      <c r="AJ31" s="93">
        <v>0</v>
      </c>
      <c r="AK31" s="93">
        <f t="shared" si="11"/>
        <v>218051</v>
      </c>
      <c r="AL31" s="93">
        <f>IFERROR(INT(($AI31*(VLOOKUP($D31,'PORCENTAJES FACTORES'!B:N,12,0))/100)),0)</f>
        <v>0</v>
      </c>
      <c r="AM31" s="93">
        <f t="shared" si="12"/>
        <v>0</v>
      </c>
      <c r="AN31" s="93">
        <f t="shared" si="13"/>
        <v>249095</v>
      </c>
      <c r="AO31" s="93">
        <f t="shared" si="14"/>
        <v>0</v>
      </c>
      <c r="AP31" s="95">
        <f t="shared" si="15"/>
        <v>3582162</v>
      </c>
      <c r="AQ31" s="96"/>
      <c r="AR31" s="97" t="s">
        <v>542</v>
      </c>
      <c r="AS31" s="58"/>
      <c r="AT31" s="2" t="s">
        <v>543</v>
      </c>
      <c r="AU31" s="46">
        <v>4897424</v>
      </c>
      <c r="AV31" s="98">
        <f t="shared" si="16"/>
        <v>79262614</v>
      </c>
      <c r="AW31" s="58"/>
      <c r="AX31" s="58"/>
      <c r="AY31" s="58"/>
      <c r="AZ31" s="58"/>
      <c r="BA31" s="48"/>
      <c r="BB31" s="48"/>
      <c r="BC31" s="48"/>
      <c r="BD31" s="48"/>
      <c r="BE31" s="48"/>
      <c r="BF31" s="48"/>
      <c r="BG31" s="48"/>
      <c r="BH31" s="48"/>
      <c r="BI31" s="48"/>
      <c r="BJ31" s="48"/>
      <c r="BK31" s="48"/>
      <c r="BL31" s="48"/>
      <c r="BM31" s="48"/>
      <c r="BN31" s="48"/>
      <c r="BO31" s="48"/>
      <c r="BP31" s="48"/>
      <c r="BQ31" s="48"/>
    </row>
    <row r="32" spans="1:69" ht="12.75" customHeight="1">
      <c r="A32" s="85">
        <v>28</v>
      </c>
      <c r="B32" s="86">
        <v>5025</v>
      </c>
      <c r="C32" s="29">
        <v>152</v>
      </c>
      <c r="D32" s="14"/>
      <c r="E32" s="18" t="str">
        <f>IF(D32&gt;0,VLOOKUP(D32,'PLANTA PERNO'!A:D,4,0)&amp;" "&amp;VLOOKUP(D32,'PLANTA PERNO'!A:D,2,0)&amp;" "&amp;VLOOKUP(D32,'PLANTA PERNO'!A:D,3,0),IF(N32="","VACANTE DEFINITIVA","VACANTE TEMPORAL"))</f>
        <v>VACANTE TEMPORAL</v>
      </c>
      <c r="F32" s="20"/>
      <c r="G32" s="20" t="str">
        <f t="shared" si="0"/>
        <v>VACANTE TEMPORAL</v>
      </c>
      <c r="H32" s="33" t="str">
        <f t="shared" si="1"/>
        <v xml:space="preserve"> </v>
      </c>
      <c r="I32" s="33" t="str">
        <f t="shared" si="2"/>
        <v/>
      </c>
      <c r="J32" s="31" t="str">
        <f t="shared" si="3"/>
        <v/>
      </c>
      <c r="K32" s="21" t="str">
        <f t="shared" ca="1" si="4"/>
        <v/>
      </c>
      <c r="L32" s="87" t="str">
        <f t="shared" si="5"/>
        <v/>
      </c>
      <c r="M32" s="21" t="str">
        <f t="shared" si="6"/>
        <v>EN ENCARGO</v>
      </c>
      <c r="N32" s="21">
        <v>51882380</v>
      </c>
      <c r="O32" s="18" t="str">
        <f>IF(N32="","VACANTE DEFINITIVA",(VLOOKUP(N32,'PLANTA PERNO'!A:D,4,0)&amp;" "&amp;VLOOKUP(N32,'PLANTA PERNO'!A:D,2,0)&amp;" "&amp;VLOOKUP(N32,'PLANTA PERNO'!A:D,3,0)))</f>
        <v>CARMEN ALICIA FORERO FORERO</v>
      </c>
      <c r="P32" s="21" t="s">
        <v>340</v>
      </c>
      <c r="Q32" s="21">
        <v>3</v>
      </c>
      <c r="R32" s="21" t="s">
        <v>166</v>
      </c>
      <c r="S32" s="21"/>
      <c r="T32" s="21"/>
      <c r="U32" s="21"/>
      <c r="V32" s="123">
        <v>220285</v>
      </c>
      <c r="W32" s="21" t="str">
        <f t="shared" si="7"/>
        <v>VACANTE TEMPORAL</v>
      </c>
      <c r="X32" s="23" t="s">
        <v>27</v>
      </c>
      <c r="Y32" s="90" t="s">
        <v>146</v>
      </c>
      <c r="Z32" s="25">
        <v>407</v>
      </c>
      <c r="AA32" s="27">
        <v>13</v>
      </c>
      <c r="AB32" s="28" t="str">
        <f t="shared" si="8"/>
        <v>407-13</v>
      </c>
      <c r="AC32" s="24" t="s">
        <v>174</v>
      </c>
      <c r="AD32" s="24" t="s">
        <v>174</v>
      </c>
      <c r="AE32" s="24" t="s">
        <v>573</v>
      </c>
      <c r="AF32" s="24" t="s">
        <v>576</v>
      </c>
      <c r="AG32" s="24" t="s">
        <v>36</v>
      </c>
      <c r="AH32" s="24" t="s">
        <v>577</v>
      </c>
      <c r="AI32" s="93">
        <f t="shared" si="9"/>
        <v>3017226</v>
      </c>
      <c r="AJ32" s="93">
        <v>0</v>
      </c>
      <c r="AK32" s="93">
        <f t="shared" si="11"/>
        <v>0</v>
      </c>
      <c r="AL32" s="93">
        <f>IFERROR(INT(($AI32*(VLOOKUP($D32,'PORCENTAJES FACTORES'!B:N,12,0))/100)),0)</f>
        <v>0</v>
      </c>
      <c r="AM32" s="93">
        <f t="shared" si="12"/>
        <v>0</v>
      </c>
      <c r="AN32" s="93">
        <f t="shared" si="13"/>
        <v>249095</v>
      </c>
      <c r="AO32" s="93">
        <f t="shared" si="14"/>
        <v>0</v>
      </c>
      <c r="AP32" s="95">
        <f t="shared" si="15"/>
        <v>3266321</v>
      </c>
      <c r="AQ32" s="96"/>
      <c r="AR32" s="97" t="s">
        <v>587</v>
      </c>
      <c r="AS32" s="58"/>
      <c r="AT32" s="2" t="s">
        <v>588</v>
      </c>
      <c r="AU32" s="46">
        <v>4938935</v>
      </c>
      <c r="AV32" s="98">
        <f t="shared" si="16"/>
        <v>51882380</v>
      </c>
      <c r="AW32" s="58"/>
      <c r="AX32" s="58"/>
      <c r="AY32" s="58"/>
      <c r="AZ32" s="58"/>
      <c r="BA32" s="48"/>
      <c r="BB32" s="48"/>
      <c r="BC32" s="48"/>
      <c r="BD32" s="48"/>
      <c r="BE32" s="48"/>
      <c r="BF32" s="48"/>
      <c r="BG32" s="48"/>
      <c r="BH32" s="48"/>
      <c r="BI32" s="48"/>
      <c r="BJ32" s="48"/>
      <c r="BK32" s="48"/>
      <c r="BL32" s="48"/>
      <c r="BM32" s="48"/>
      <c r="BN32" s="48"/>
      <c r="BO32" s="48"/>
      <c r="BP32" s="48"/>
      <c r="BQ32" s="48"/>
    </row>
    <row r="33" spans="1:69" ht="12.75" customHeight="1">
      <c r="A33" s="85">
        <v>29</v>
      </c>
      <c r="B33" s="86">
        <v>5026</v>
      </c>
      <c r="C33" s="29">
        <v>156</v>
      </c>
      <c r="D33" s="14">
        <v>79417068</v>
      </c>
      <c r="E33" s="153" t="str">
        <f>IF(D33&gt;0,VLOOKUP(D33,'PLANTA PERNO'!A:D,4,0)&amp;" "&amp;VLOOKUP(D33,'PLANTA PERNO'!A:D,2,0)&amp;" "&amp;VLOOKUP(D33,'PLANTA PERNO'!A:D,3,0),IF(N33="","VACANTE DEFINITIVA","VACANTE TEMPORAL"))</f>
        <v>LUIS DAUVINY DUARTE ROA</v>
      </c>
      <c r="F33" s="20" t="s">
        <v>247</v>
      </c>
      <c r="G33" s="20" t="str">
        <f t="shared" si="0"/>
        <v>EN PERIODO DE PRUEBA</v>
      </c>
      <c r="H33" s="33">
        <f t="shared" si="1"/>
        <v>46087</v>
      </c>
      <c r="I33" s="33">
        <f t="shared" si="2"/>
        <v>46087</v>
      </c>
      <c r="J33" s="31" t="str">
        <f t="shared" si="3"/>
        <v>HOMBRE</v>
      </c>
      <c r="K33" s="21">
        <f t="shared" ca="1" si="4"/>
        <v>59</v>
      </c>
      <c r="L33" s="87" t="str">
        <f t="shared" si="5"/>
        <v/>
      </c>
      <c r="M33" s="21" t="str">
        <f>IF(O33="VACANTE DEFINITIVA","VACANTE DEFINITIVA",IF(AND(O33&lt;&gt;"VACANTE DEFINITVA",R33="CM"),"EN COMISIÓN EN EMPLEO DE L.N.R. O DE PERIODO",IF(AND(O33&lt;&gt;"VACANTE DEFINITVA",S33="PP"),"PERIODO DE PRUEBA EN OTRA ENTIDAD",IF(AND(O33&lt;&gt;"VACANTE DEFINITVA",T33="LM"),"VT LICENCIA MATERNIDAD",IF(AND(O33&lt;&gt;"VACANTE DEFINITIVA",Q33&gt;0,U33=""),"EN ENCARGO",IF(AND(D33&lt;&gt;"",U33="LNR"),"LICENCIA NO REMUNERADA","EN PROPIEDAD"))))))</f>
        <v>EN PROPIEDAD</v>
      </c>
      <c r="N33" s="21">
        <v>79417068</v>
      </c>
      <c r="O33" s="18" t="str">
        <f>IF(N33="","VACANTE DEFINITIVA",(VLOOKUP(N33,'PLANTA PERNO'!A:D,4,0)&amp;" "&amp;VLOOKUP(N33,'PLANTA PERNO'!A:D,2,0)&amp;" "&amp;VLOOKUP(N33,'PLANTA PERNO'!A:D,3,0)))</f>
        <v>LUIS DAUVINY DUARTE ROA</v>
      </c>
      <c r="P33" s="21"/>
      <c r="Q33" s="21"/>
      <c r="R33" s="21"/>
      <c r="S33" s="21"/>
      <c r="T33" s="21"/>
      <c r="U33" s="21"/>
      <c r="V33" s="123">
        <v>203191</v>
      </c>
      <c r="W33" s="21" t="str">
        <f t="shared" si="7"/>
        <v>OCUPADO</v>
      </c>
      <c r="X33" s="23" t="s">
        <v>27</v>
      </c>
      <c r="Y33" s="90" t="s">
        <v>223</v>
      </c>
      <c r="Z33" s="25">
        <v>480</v>
      </c>
      <c r="AA33" s="27">
        <v>13</v>
      </c>
      <c r="AB33" s="28" t="str">
        <f t="shared" si="8"/>
        <v>480-13</v>
      </c>
      <c r="AC33" s="24" t="s">
        <v>147</v>
      </c>
      <c r="AD33" s="24" t="s">
        <v>147</v>
      </c>
      <c r="AE33" s="24" t="s">
        <v>618</v>
      </c>
      <c r="AF33" s="24" t="s">
        <v>620</v>
      </c>
      <c r="AG33" s="24" t="s">
        <v>621</v>
      </c>
      <c r="AH33" s="24" t="s">
        <v>622</v>
      </c>
      <c r="AI33" s="93">
        <f t="shared" si="9"/>
        <v>3017226</v>
      </c>
      <c r="AJ33" s="93">
        <v>0</v>
      </c>
      <c r="AK33" s="93">
        <f t="shared" si="11"/>
        <v>0</v>
      </c>
      <c r="AL33" s="93">
        <f>IFERROR(INT(($AI33*(VLOOKUP($D33,'PORCENTAJES FACTORES'!B:N,12,0))/100)),0)</f>
        <v>0</v>
      </c>
      <c r="AM33" s="93">
        <f t="shared" si="12"/>
        <v>0</v>
      </c>
      <c r="AN33" s="93">
        <f t="shared" si="13"/>
        <v>249095</v>
      </c>
      <c r="AO33" s="93">
        <f t="shared" si="14"/>
        <v>0</v>
      </c>
      <c r="AP33" s="95">
        <f t="shared" si="15"/>
        <v>3266321</v>
      </c>
      <c r="AQ33" s="96"/>
      <c r="AR33" s="97" t="s">
        <v>587</v>
      </c>
      <c r="AS33" s="58"/>
      <c r="AT33" s="2" t="s">
        <v>629</v>
      </c>
      <c r="AU33" s="46">
        <v>5184524</v>
      </c>
      <c r="AV33" s="98">
        <f t="shared" si="16"/>
        <v>79417068</v>
      </c>
      <c r="AW33" s="58"/>
      <c r="AX33" s="58"/>
      <c r="AY33" s="58"/>
      <c r="AZ33" s="58"/>
      <c r="BA33" s="48"/>
      <c r="BB33" s="48"/>
      <c r="BC33" s="48"/>
      <c r="BD33" s="48"/>
      <c r="BE33" s="48"/>
      <c r="BF33" s="48"/>
      <c r="BG33" s="48"/>
      <c r="BH33" s="48"/>
      <c r="BI33" s="48"/>
      <c r="BJ33" s="48"/>
      <c r="BK33" s="48"/>
      <c r="BL33" s="48"/>
      <c r="BM33" s="48"/>
      <c r="BN33" s="48"/>
      <c r="BO33" s="48"/>
      <c r="BP33" s="48"/>
      <c r="BQ33" s="48"/>
    </row>
    <row r="34" spans="1:69" ht="12.75" customHeight="1">
      <c r="A34" s="85">
        <v>30</v>
      </c>
      <c r="B34" s="86">
        <v>5028</v>
      </c>
      <c r="C34" s="29">
        <v>158</v>
      </c>
      <c r="D34" s="14">
        <v>79769334</v>
      </c>
      <c r="E34" s="18" t="str">
        <f>IF(D34&gt;0,VLOOKUP(D34,'PLANTA PERNO'!A:D,4,0)&amp;" "&amp;VLOOKUP(D34,'PLANTA PERNO'!A:D,2,0)&amp;" "&amp;VLOOKUP(D34,'PLANTA PERNO'!A:D,3,0),IF(N34="","VACANTE DEFINITIVA","VACANTE TEMPORAL"))</f>
        <v xml:space="preserve">JAUMI MANFRED MARROQUIN </v>
      </c>
      <c r="F34" s="20" t="s">
        <v>49</v>
      </c>
      <c r="G34" s="20" t="str">
        <f t="shared" si="0"/>
        <v>CARRERA ADMINISTRATIVA</v>
      </c>
      <c r="H34" s="33">
        <f t="shared" si="1"/>
        <v>44166</v>
      </c>
      <c r="I34" s="33">
        <f t="shared" si="2"/>
        <v>44166</v>
      </c>
      <c r="J34" s="31" t="str">
        <f t="shared" si="3"/>
        <v>HOMBRE</v>
      </c>
      <c r="K34" s="21">
        <f t="shared" ca="1" si="4"/>
        <v>49</v>
      </c>
      <c r="L34" s="87" t="str">
        <f t="shared" si="5"/>
        <v/>
      </c>
      <c r="M34" s="21" t="str">
        <f t="shared" ref="M34:M174" si="18">IF(O34="VACANTE DEFINITIVA","VACANTE DEFINITIVA",IF(AND(O34&lt;&gt;"VACANTE DEFINITVA",R34="CM"),"EN COMISIÓN EN EMPLEO DE L.N.R. O DE PERIODO",IF(AND(O34&lt;&gt;"VACANTE DEFINITVA",S34="PP"),"PERIODO DE PRUEBA EN OTRA ENTIDAD",IF(AND(O34&lt;&gt;"VACANTE DEFINITVA",T34="LM"),"VT LICENCIA MATERNIDAD",IF(AND(O34&lt;&gt;"VACANTE DEFINITIVA",Q34&gt;0,U34=""),"EN ENCARGO",IF(AND(E34&lt;&gt;"",U34="LNR"),"LICENCIA NO REMUNERADA","EN PROPIEDAD"))))))</f>
        <v>EN PROPIEDAD</v>
      </c>
      <c r="N34" s="21">
        <v>79769334</v>
      </c>
      <c r="O34" s="18" t="str">
        <f>IF(N34="","VACANTE DEFINITIVA",(VLOOKUP(N34,'PLANTA PERNO'!A:D,4,0)&amp;" "&amp;VLOOKUP(N34,'PLANTA PERNO'!A:D,2,0)&amp;" "&amp;VLOOKUP(N34,'PLANTA PERNO'!A:D,3,0)))</f>
        <v xml:space="preserve">JAUMI MANFRED MARROQUIN </v>
      </c>
      <c r="P34" s="21"/>
      <c r="Q34" s="21"/>
      <c r="R34" s="21"/>
      <c r="S34" s="21"/>
      <c r="T34" s="21"/>
      <c r="U34" s="21"/>
      <c r="V34" s="128"/>
      <c r="W34" s="21" t="str">
        <f t="shared" si="7"/>
        <v>OCUPADO</v>
      </c>
      <c r="X34" s="23" t="s">
        <v>27</v>
      </c>
      <c r="Y34" s="90" t="s">
        <v>223</v>
      </c>
      <c r="Z34" s="25">
        <v>480</v>
      </c>
      <c r="AA34" s="27">
        <v>13</v>
      </c>
      <c r="AB34" s="28" t="str">
        <f t="shared" si="8"/>
        <v>480-13</v>
      </c>
      <c r="AC34" s="24" t="s">
        <v>147</v>
      </c>
      <c r="AD34" s="24" t="s">
        <v>147</v>
      </c>
      <c r="AE34" s="24" t="s">
        <v>649</v>
      </c>
      <c r="AF34" s="24" t="s">
        <v>620</v>
      </c>
      <c r="AG34" s="24" t="s">
        <v>621</v>
      </c>
      <c r="AH34" s="24" t="s">
        <v>622</v>
      </c>
      <c r="AI34" s="93">
        <f t="shared" si="9"/>
        <v>3017226</v>
      </c>
      <c r="AJ34" s="93">
        <v>0</v>
      </c>
      <c r="AK34" s="93">
        <f t="shared" si="11"/>
        <v>90516</v>
      </c>
      <c r="AL34" s="93">
        <f>IFERROR(INT(($AI34*(VLOOKUP($D34,'PORCENTAJES FACTORES'!B:N,12,0))/100)),0)</f>
        <v>0</v>
      </c>
      <c r="AM34" s="93">
        <f t="shared" si="12"/>
        <v>0</v>
      </c>
      <c r="AN34" s="93">
        <f t="shared" si="13"/>
        <v>249095</v>
      </c>
      <c r="AO34" s="93">
        <f t="shared" si="14"/>
        <v>0</v>
      </c>
      <c r="AP34" s="95">
        <f t="shared" si="15"/>
        <v>3356837</v>
      </c>
      <c r="AQ34" s="96"/>
      <c r="AR34" s="97" t="s">
        <v>587</v>
      </c>
      <c r="AS34" s="58"/>
      <c r="AT34" s="2" t="s">
        <v>656</v>
      </c>
      <c r="AU34" s="46">
        <v>5334619</v>
      </c>
      <c r="AV34" s="98">
        <f t="shared" si="16"/>
        <v>79769334</v>
      </c>
      <c r="AW34" s="58"/>
      <c r="AX34" s="58"/>
      <c r="AY34" s="58"/>
      <c r="AZ34" s="58"/>
      <c r="BA34" s="48"/>
      <c r="BB34" s="48"/>
      <c r="BC34" s="48"/>
      <c r="BD34" s="48"/>
      <c r="BE34" s="48"/>
      <c r="BF34" s="48"/>
      <c r="BG34" s="48"/>
      <c r="BH34" s="48"/>
      <c r="BI34" s="48"/>
      <c r="BJ34" s="48"/>
      <c r="BK34" s="48"/>
      <c r="BL34" s="48"/>
      <c r="BM34" s="48"/>
      <c r="BN34" s="48"/>
      <c r="BO34" s="48"/>
      <c r="BP34" s="48"/>
      <c r="BQ34" s="48"/>
    </row>
    <row r="35" spans="1:69" ht="12.75" customHeight="1">
      <c r="A35" s="85">
        <v>31</v>
      </c>
      <c r="B35" s="86">
        <v>5027</v>
      </c>
      <c r="C35" s="29">
        <v>157</v>
      </c>
      <c r="D35" s="14">
        <v>80100027</v>
      </c>
      <c r="E35" s="18" t="str">
        <f>IF(D35&gt;0,VLOOKUP(D35,'PLANTA PERNO'!A:D,4,0)&amp;" "&amp;VLOOKUP(D35,'PLANTA PERNO'!A:D,2,0)&amp;" "&amp;VLOOKUP(D35,'PLANTA PERNO'!A:D,3,0),IF(N35="","VACANTE DEFINITIVA","VACANTE TEMPORAL"))</f>
        <v>EDUARDO ALEJANDRO URREGO BECERRA</v>
      </c>
      <c r="F35" s="20" t="s">
        <v>49</v>
      </c>
      <c r="G35" s="20" t="str">
        <f t="shared" si="0"/>
        <v>CARRERA ADMINISTRATIVA</v>
      </c>
      <c r="H35" s="33">
        <f t="shared" si="1"/>
        <v>44145</v>
      </c>
      <c r="I35" s="33">
        <f t="shared" si="2"/>
        <v>44145</v>
      </c>
      <c r="J35" s="31" t="str">
        <f t="shared" si="3"/>
        <v>HOMBRE</v>
      </c>
      <c r="K35" s="21">
        <f t="shared" ca="1" si="4"/>
        <v>43</v>
      </c>
      <c r="L35" s="87" t="str">
        <f t="shared" si="5"/>
        <v/>
      </c>
      <c r="M35" s="21" t="str">
        <f t="shared" si="18"/>
        <v>EN PROPIEDAD</v>
      </c>
      <c r="N35" s="21">
        <v>80100027</v>
      </c>
      <c r="O35" s="18" t="str">
        <f>IF(N35="","VACANTE DEFINITIVA",(VLOOKUP(N35,'PLANTA PERNO'!A:D,4,0)&amp;" "&amp;VLOOKUP(N35,'PLANTA PERNO'!A:D,2,0)&amp;" "&amp;VLOOKUP(N35,'PLANTA PERNO'!A:D,3,0)))</f>
        <v>EDUARDO ALEJANDRO URREGO BECERRA</v>
      </c>
      <c r="P35" s="21"/>
      <c r="Q35" s="21"/>
      <c r="R35" s="21"/>
      <c r="S35" s="21"/>
      <c r="T35" s="21"/>
      <c r="U35" s="21"/>
      <c r="V35" s="128"/>
      <c r="W35" s="21" t="str">
        <f t="shared" si="7"/>
        <v>OCUPADO</v>
      </c>
      <c r="X35" s="23" t="s">
        <v>27</v>
      </c>
      <c r="Y35" s="90" t="s">
        <v>223</v>
      </c>
      <c r="Z35" s="25">
        <v>480</v>
      </c>
      <c r="AA35" s="27">
        <v>13</v>
      </c>
      <c r="AB35" s="28" t="str">
        <f t="shared" si="8"/>
        <v>480-13</v>
      </c>
      <c r="AC35" s="24" t="s">
        <v>147</v>
      </c>
      <c r="AD35" s="24" t="s">
        <v>147</v>
      </c>
      <c r="AE35" s="24" t="s">
        <v>618</v>
      </c>
      <c r="AF35" s="24" t="s">
        <v>620</v>
      </c>
      <c r="AG35" s="24" t="s">
        <v>621</v>
      </c>
      <c r="AH35" s="24" t="s">
        <v>622</v>
      </c>
      <c r="AI35" s="93">
        <f t="shared" si="9"/>
        <v>3017226</v>
      </c>
      <c r="AJ35" s="93">
        <v>0</v>
      </c>
      <c r="AK35" s="93">
        <f t="shared" si="11"/>
        <v>90516</v>
      </c>
      <c r="AL35" s="93">
        <f>IFERROR(INT(($AI35*(VLOOKUP($D35,'PORCENTAJES FACTORES'!B:N,12,0))/100)),0)</f>
        <v>0</v>
      </c>
      <c r="AM35" s="93">
        <f t="shared" si="12"/>
        <v>0</v>
      </c>
      <c r="AN35" s="93">
        <f t="shared" si="13"/>
        <v>249095</v>
      </c>
      <c r="AO35" s="93">
        <f t="shared" si="14"/>
        <v>0</v>
      </c>
      <c r="AP35" s="95">
        <f t="shared" si="15"/>
        <v>3356837</v>
      </c>
      <c r="AQ35" s="96"/>
      <c r="AR35" s="97" t="s">
        <v>587</v>
      </c>
      <c r="AS35" s="58"/>
      <c r="AT35" s="2" t="s">
        <v>680</v>
      </c>
      <c r="AU35" s="46">
        <v>5471098</v>
      </c>
      <c r="AV35" s="98">
        <f t="shared" si="16"/>
        <v>80100027</v>
      </c>
      <c r="AW35" s="58"/>
      <c r="AX35" s="58"/>
      <c r="AY35" s="58"/>
      <c r="AZ35" s="58"/>
      <c r="BA35" s="48"/>
      <c r="BB35" s="48"/>
      <c r="BC35" s="48"/>
      <c r="BD35" s="48"/>
      <c r="BE35" s="48"/>
      <c r="BF35" s="48"/>
      <c r="BG35" s="48"/>
      <c r="BH35" s="48"/>
      <c r="BI35" s="48"/>
      <c r="BJ35" s="48"/>
      <c r="BK35" s="48"/>
      <c r="BL35" s="48"/>
      <c r="BM35" s="48"/>
      <c r="BN35" s="48"/>
      <c r="BO35" s="48"/>
      <c r="BP35" s="48"/>
      <c r="BQ35" s="48"/>
    </row>
    <row r="36" spans="1:69" ht="12.75" customHeight="1">
      <c r="A36" s="85">
        <v>32</v>
      </c>
      <c r="B36" s="86">
        <v>5030</v>
      </c>
      <c r="C36" s="29">
        <v>153</v>
      </c>
      <c r="D36" s="14">
        <v>79468462</v>
      </c>
      <c r="E36" s="153" t="str">
        <f>IF(D36&gt;0,VLOOKUP(D36,'PLANTA PERNO'!A:D,4,0)&amp;" "&amp;VLOOKUP(D36,'PLANTA PERNO'!A:D,2,0)&amp;" "&amp;VLOOKUP(D36,'PLANTA PERNO'!A:D,3,0),IF(N36="","VACANTE DEFINITIVA","VACANTE TEMPORAL"))</f>
        <v>EDGAR ANDRES GARCIA GARAVITO</v>
      </c>
      <c r="F36" s="20" t="s">
        <v>49</v>
      </c>
      <c r="G36" s="20" t="str">
        <f t="shared" si="0"/>
        <v>CARRERA ADMINISTRATIVA</v>
      </c>
      <c r="H36" s="33">
        <f t="shared" si="1"/>
        <v>42585</v>
      </c>
      <c r="I36" s="33">
        <f t="shared" si="2"/>
        <v>35528</v>
      </c>
      <c r="J36" s="31" t="str">
        <f t="shared" si="3"/>
        <v>HOMBRE</v>
      </c>
      <c r="K36" s="21">
        <f t="shared" ca="1" si="4"/>
        <v>57</v>
      </c>
      <c r="L36" s="87" t="str">
        <f t="shared" si="5"/>
        <v/>
      </c>
      <c r="M36" s="21" t="str">
        <f t="shared" si="18"/>
        <v>EN PROPIEDAD</v>
      </c>
      <c r="N36" s="21">
        <v>79468462</v>
      </c>
      <c r="O36" s="18" t="str">
        <f>IF(N36="","VACANTE DEFINITIVA",(VLOOKUP(N36,'PLANTA PERNO'!A:D,4,0)&amp;" "&amp;VLOOKUP(N36,'PLANTA PERNO'!A:D,2,0)&amp;" "&amp;VLOOKUP(N36,'PLANTA PERNO'!A:D,3,0)))</f>
        <v>EDGAR ANDRES GARCIA GARAVITO</v>
      </c>
      <c r="P36" s="21"/>
      <c r="Q36" s="21"/>
      <c r="R36" s="21"/>
      <c r="S36" s="21"/>
      <c r="T36" s="21"/>
      <c r="U36" s="21"/>
      <c r="V36" s="123">
        <v>203205</v>
      </c>
      <c r="W36" s="21" t="str">
        <f t="shared" si="7"/>
        <v>OCUPADO</v>
      </c>
      <c r="X36" s="23" t="s">
        <v>27</v>
      </c>
      <c r="Y36" s="90" t="s">
        <v>146</v>
      </c>
      <c r="Z36" s="25">
        <v>407</v>
      </c>
      <c r="AA36" s="27">
        <v>11</v>
      </c>
      <c r="AB36" s="28" t="str">
        <f t="shared" si="8"/>
        <v>407-11</v>
      </c>
      <c r="AC36" s="24" t="s">
        <v>147</v>
      </c>
      <c r="AD36" s="24" t="s">
        <v>147</v>
      </c>
      <c r="AE36" s="24" t="s">
        <v>715</v>
      </c>
      <c r="AF36" s="24" t="s">
        <v>716</v>
      </c>
      <c r="AG36" s="24" t="s">
        <v>36</v>
      </c>
      <c r="AH36" s="24" t="s">
        <v>718</v>
      </c>
      <c r="AI36" s="93">
        <f t="shared" si="9"/>
        <v>2804649</v>
      </c>
      <c r="AJ36" s="93">
        <v>0</v>
      </c>
      <c r="AK36" s="93">
        <f t="shared" si="11"/>
        <v>196325</v>
      </c>
      <c r="AL36" s="93">
        <f>IFERROR(INT(($AI36*(VLOOKUP($D36,'PORCENTAJES FACTORES'!B:N,12,0))/100)),0)</f>
        <v>0</v>
      </c>
      <c r="AM36" s="93">
        <f t="shared" si="12"/>
        <v>0</v>
      </c>
      <c r="AN36" s="93">
        <f t="shared" si="13"/>
        <v>249095</v>
      </c>
      <c r="AO36" s="93">
        <f t="shared" si="14"/>
        <v>98931</v>
      </c>
      <c r="AP36" s="95">
        <f t="shared" si="15"/>
        <v>3349000</v>
      </c>
      <c r="AQ36" s="96"/>
      <c r="AR36" s="97" t="s">
        <v>739</v>
      </c>
      <c r="AS36" s="58"/>
      <c r="AT36" s="2" t="s">
        <v>742</v>
      </c>
      <c r="AU36" s="46">
        <v>5771224</v>
      </c>
      <c r="AV36" s="98">
        <f t="shared" si="16"/>
        <v>79468462</v>
      </c>
      <c r="AW36" s="58"/>
      <c r="AX36" s="58"/>
      <c r="AY36" s="58"/>
      <c r="AZ36" s="58"/>
      <c r="BA36" s="48"/>
      <c r="BB36" s="48"/>
      <c r="BC36" s="48"/>
      <c r="BD36" s="48"/>
      <c r="BE36" s="48"/>
      <c r="BF36" s="48"/>
      <c r="BG36" s="48"/>
      <c r="BH36" s="48"/>
      <c r="BI36" s="48"/>
      <c r="BJ36" s="48"/>
      <c r="BK36" s="48"/>
      <c r="BL36" s="48"/>
      <c r="BM36" s="48"/>
      <c r="BN36" s="48"/>
      <c r="BO36" s="48"/>
      <c r="BP36" s="48"/>
      <c r="BQ36" s="48"/>
    </row>
    <row r="37" spans="1:69" ht="12" customHeight="1">
      <c r="A37" s="85">
        <v>33</v>
      </c>
      <c r="B37" s="86">
        <v>5029</v>
      </c>
      <c r="C37" s="29">
        <v>154</v>
      </c>
      <c r="D37" s="14">
        <v>42163264</v>
      </c>
      <c r="E37" s="153" t="str">
        <f>IF(D37&gt;0,VLOOKUP(D37,'PLANTA PERNO'!A:D,4,0)&amp;" "&amp;VLOOKUP(D37,'PLANTA PERNO'!A:D,2,0)&amp;" "&amp;VLOOKUP(D37,'PLANTA PERNO'!A:D,3,0),IF(N37="","VACANTE DEFINITIVA","VACANTE TEMPORAL"))</f>
        <v>ERIKA MARCELA MEDINA SANTANA</v>
      </c>
      <c r="F37" s="20" t="s">
        <v>247</v>
      </c>
      <c r="G37" s="20" t="str">
        <f t="shared" si="0"/>
        <v>EN PERIODO DE PRUEBA</v>
      </c>
      <c r="H37" s="33">
        <f t="shared" ref="H37:H68" si="19">IFERROR(VLOOKUP($D37,PLANTA_PERNO,16,0)," ")</f>
        <v>46083</v>
      </c>
      <c r="I37" s="33">
        <f t="shared" ref="I37:I68" si="20">IFERROR(VLOOKUP($D37,PLANTA_PERNO,17,0),"")</f>
        <v>46083</v>
      </c>
      <c r="J37" s="31" t="str">
        <f t="shared" ref="J37:J68" si="21">IF(IFERROR((VLOOKUP($D37,PLANTA_PERNO,9,0)),"")="F","MUJER",IF(IFERROR((VLOOKUP($D37,PLANTA_PERNO,9,0)),"")="M","HOMBRE",""))</f>
        <v>MUJER</v>
      </c>
      <c r="K37" s="21">
        <f t="shared" ref="K37:K68" ca="1" si="22">IFERROR(DATEDIF((VLOOKUP($D37,PLANTA_PERNO,6,0)),$K$3,"Y"),"")</f>
        <v>41</v>
      </c>
      <c r="L37" s="87" t="str">
        <f t="shared" si="5"/>
        <v/>
      </c>
      <c r="M37" s="21" t="str">
        <f t="shared" si="18"/>
        <v>EN PROPIEDAD</v>
      </c>
      <c r="N37" s="21">
        <v>42163264</v>
      </c>
      <c r="O37" s="18" t="str">
        <f>IF(N37="","VACANTE DEFINITIVA",(VLOOKUP(N37,'PLANTA PERNO'!A:D,4,0)&amp;" "&amp;VLOOKUP(N37,'PLANTA PERNO'!A:D,2,0)&amp;" "&amp;VLOOKUP(N37,'PLANTA PERNO'!A:D,3,0)))</f>
        <v>ERIKA MARCELA MEDINA SANTANA</v>
      </c>
      <c r="P37" s="21"/>
      <c r="Q37" s="21"/>
      <c r="R37" s="21"/>
      <c r="S37" s="21"/>
      <c r="T37" s="21"/>
      <c r="U37" s="21"/>
      <c r="V37" s="123">
        <v>209337</v>
      </c>
      <c r="W37" s="21" t="str">
        <f t="shared" si="7"/>
        <v>OCUPADO</v>
      </c>
      <c r="X37" s="23" t="s">
        <v>27</v>
      </c>
      <c r="Y37" s="90" t="s">
        <v>146</v>
      </c>
      <c r="Z37" s="25">
        <v>407</v>
      </c>
      <c r="AA37" s="27">
        <v>11</v>
      </c>
      <c r="AB37" s="28" t="str">
        <f t="shared" si="8"/>
        <v>407-11</v>
      </c>
      <c r="AC37" s="24" t="s">
        <v>147</v>
      </c>
      <c r="AD37" s="24" t="s">
        <v>147</v>
      </c>
      <c r="AE37" s="24" t="s">
        <v>715</v>
      </c>
      <c r="AF37" s="24" t="s">
        <v>716</v>
      </c>
      <c r="AG37" s="24" t="s">
        <v>36</v>
      </c>
      <c r="AH37" s="24" t="s">
        <v>718</v>
      </c>
      <c r="AI37" s="93">
        <f t="shared" si="9"/>
        <v>2804649</v>
      </c>
      <c r="AJ37" s="93">
        <v>0</v>
      </c>
      <c r="AK37" s="93">
        <f t="shared" ref="AK37:AK68" si="23">IFERROR(INT(($AI37*(VLOOKUP($D37,BASE_PORCENTAJES,10,0))/100)),0)</f>
        <v>0</v>
      </c>
      <c r="AL37" s="93">
        <f>IFERROR(INT(($AI37*(VLOOKUP($D37,'PORCENTAJES FACTORES'!B:N,12,0))/100)),0)</f>
        <v>0</v>
      </c>
      <c r="AM37" s="93">
        <f t="shared" ref="AM37:AM68" si="24">IFERROR(INT(($AI37*(VLOOKUP($D37,BASE_PORCENTAJES,13,0))/100)),0)</f>
        <v>0</v>
      </c>
      <c r="AN37" s="93">
        <f t="shared" si="13"/>
        <v>249095</v>
      </c>
      <c r="AO37" s="93">
        <f t="shared" si="14"/>
        <v>98931</v>
      </c>
      <c r="AP37" s="95">
        <f t="shared" si="15"/>
        <v>3152675</v>
      </c>
      <c r="AQ37" s="96"/>
      <c r="AR37" s="97" t="s">
        <v>739</v>
      </c>
      <c r="AS37" s="58"/>
      <c r="AT37" s="2" t="s">
        <v>817</v>
      </c>
      <c r="AU37" s="46">
        <v>5771486</v>
      </c>
      <c r="AV37" s="98">
        <f t="shared" si="16"/>
        <v>42163264</v>
      </c>
      <c r="AW37" s="58"/>
      <c r="AX37" s="58"/>
      <c r="AY37" s="58"/>
      <c r="AZ37" s="58"/>
      <c r="BA37" s="48"/>
      <c r="BB37" s="48"/>
      <c r="BC37" s="48"/>
      <c r="BD37" s="48"/>
      <c r="BE37" s="48"/>
      <c r="BF37" s="48"/>
      <c r="BG37" s="48"/>
      <c r="BH37" s="48"/>
      <c r="BI37" s="48"/>
      <c r="BJ37" s="48"/>
      <c r="BK37" s="48"/>
      <c r="BL37" s="48"/>
      <c r="BM37" s="48"/>
      <c r="BN37" s="48"/>
      <c r="BO37" s="48"/>
      <c r="BP37" s="48"/>
      <c r="BQ37" s="48"/>
    </row>
    <row r="38" spans="1:69" ht="12.75" customHeight="1">
      <c r="A38" s="85">
        <v>34</v>
      </c>
      <c r="B38" s="86">
        <v>5031</v>
      </c>
      <c r="C38" s="29">
        <v>160</v>
      </c>
      <c r="D38" s="14">
        <v>1030548160</v>
      </c>
      <c r="E38" s="153" t="str">
        <f>IF(D38&gt;0,VLOOKUP(D38,'PLANTA PERNO'!A:D,4,0)&amp;" "&amp;VLOOKUP(D38,'PLANTA PERNO'!A:D,2,0)&amp;" "&amp;VLOOKUP(D38,'PLANTA PERNO'!A:D,3,0),IF(N38="","VACANTE DEFINITIVA","VACANTE TEMPORAL"))</f>
        <v>FREDY ESTEBAN JAIMES CASTILLO</v>
      </c>
      <c r="F38" s="20" t="s">
        <v>24</v>
      </c>
      <c r="G38" s="20" t="str">
        <f t="shared" si="0"/>
        <v>EN PROVISIONALIDAD</v>
      </c>
      <c r="H38" s="33">
        <f t="shared" si="19"/>
        <v>45968</v>
      </c>
      <c r="I38" s="33">
        <f t="shared" si="20"/>
        <v>45968</v>
      </c>
      <c r="J38" s="31" t="str">
        <f t="shared" si="21"/>
        <v>HOMBRE</v>
      </c>
      <c r="K38" s="21">
        <f t="shared" ca="1" si="22"/>
        <v>38</v>
      </c>
      <c r="L38" s="87" t="str">
        <f t="shared" si="5"/>
        <v>PROVISIONALIDAD</v>
      </c>
      <c r="M38" s="21" t="str">
        <f t="shared" si="18"/>
        <v>VACANTE DEFINITIVA</v>
      </c>
      <c r="N38" s="21"/>
      <c r="O38" s="18" t="str">
        <f>IF(N38="","VACANTE DEFINITIVA",(VLOOKUP(N38,'PLANTA PERNO'!A:D,4,0)&amp;" "&amp;VLOOKUP(N38,'PLANTA PERNO'!A:D,2,0)&amp;" "&amp;VLOOKUP(N38,'PLANTA PERNO'!A:D,3,0)))</f>
        <v>VACANTE DEFINITIVA</v>
      </c>
      <c r="P38" s="21"/>
      <c r="Q38" s="21"/>
      <c r="R38" s="21" t="s">
        <v>166</v>
      </c>
      <c r="S38" s="21"/>
      <c r="T38" s="21"/>
      <c r="U38" s="21"/>
      <c r="V38" s="128"/>
      <c r="W38" s="21" t="str">
        <f t="shared" si="7"/>
        <v>OCUPADO</v>
      </c>
      <c r="X38" s="23" t="s">
        <v>27</v>
      </c>
      <c r="Y38" s="90" t="s">
        <v>29</v>
      </c>
      <c r="Z38" s="34">
        <v>440</v>
      </c>
      <c r="AA38" s="35">
        <v>11</v>
      </c>
      <c r="AB38" s="28" t="str">
        <f t="shared" si="8"/>
        <v>440-11</v>
      </c>
      <c r="AC38" s="24" t="s">
        <v>32</v>
      </c>
      <c r="AD38" s="24" t="s">
        <v>32</v>
      </c>
      <c r="AE38" s="24" t="s">
        <v>854</v>
      </c>
      <c r="AF38" s="24" t="s">
        <v>855</v>
      </c>
      <c r="AG38" s="24" t="s">
        <v>36</v>
      </c>
      <c r="AH38" s="24" t="s">
        <v>718</v>
      </c>
      <c r="AI38" s="93">
        <f t="shared" si="9"/>
        <v>2804649</v>
      </c>
      <c r="AJ38" s="93">
        <v>0</v>
      </c>
      <c r="AK38" s="93">
        <f t="shared" si="23"/>
        <v>0</v>
      </c>
      <c r="AL38" s="93">
        <f>IFERROR(INT(($AI38*(VLOOKUP($D38,'PORCENTAJES FACTORES'!B:N,12,0))/100)),0)</f>
        <v>0</v>
      </c>
      <c r="AM38" s="93">
        <f t="shared" si="24"/>
        <v>0</v>
      </c>
      <c r="AN38" s="93">
        <f t="shared" si="13"/>
        <v>249095</v>
      </c>
      <c r="AO38" s="93">
        <f t="shared" si="14"/>
        <v>98931</v>
      </c>
      <c r="AP38" s="95">
        <f t="shared" si="15"/>
        <v>3152675</v>
      </c>
      <c r="AQ38" s="96"/>
      <c r="AR38" s="97" t="s">
        <v>739</v>
      </c>
      <c r="AS38" s="58"/>
      <c r="AT38" s="2" t="s">
        <v>872</v>
      </c>
      <c r="AU38" s="46">
        <v>5833617</v>
      </c>
      <c r="AV38" s="98" t="e">
        <f t="shared" si="16"/>
        <v>#N/A</v>
      </c>
      <c r="AW38" s="58"/>
      <c r="AX38" s="58"/>
      <c r="AY38" s="58"/>
      <c r="AZ38" s="58"/>
      <c r="BA38" s="48"/>
      <c r="BB38" s="48"/>
      <c r="BC38" s="48"/>
      <c r="BD38" s="48"/>
      <c r="BE38" s="48"/>
      <c r="BF38" s="48"/>
      <c r="BG38" s="48"/>
      <c r="BH38" s="48"/>
      <c r="BI38" s="48"/>
      <c r="BJ38" s="48"/>
      <c r="BK38" s="48"/>
      <c r="BL38" s="48"/>
      <c r="BM38" s="48"/>
      <c r="BN38" s="48"/>
      <c r="BO38" s="48"/>
      <c r="BP38" s="48"/>
      <c r="BQ38" s="48"/>
    </row>
    <row r="39" spans="1:69" ht="12.75" customHeight="1">
      <c r="A39" s="85">
        <v>35</v>
      </c>
      <c r="B39" s="86">
        <v>5032</v>
      </c>
      <c r="C39" s="29">
        <v>161</v>
      </c>
      <c r="D39" s="14">
        <v>1033718483</v>
      </c>
      <c r="E39" s="153" t="str">
        <f>IF(D39&gt;0,VLOOKUP(D39,'PLANTA PERNO'!A:D,4,0)&amp;" "&amp;VLOOKUP(D39,'PLANTA PERNO'!A:D,2,0)&amp;" "&amp;VLOOKUP(D39,'PLANTA PERNO'!A:D,3,0),IF(N39="","VACANTE DEFINITIVA","VACANTE TEMPORAL"))</f>
        <v>ANYELA PAOLA PULIDO GUTIERREZ</v>
      </c>
      <c r="F39" s="20" t="s">
        <v>24</v>
      </c>
      <c r="G39" s="20" t="str">
        <f t="shared" si="0"/>
        <v>EN PROVISIONALIDAD</v>
      </c>
      <c r="H39" s="33">
        <f t="shared" si="19"/>
        <v>45287</v>
      </c>
      <c r="I39" s="33">
        <f t="shared" si="20"/>
        <v>45287</v>
      </c>
      <c r="J39" s="31" t="str">
        <f t="shared" si="21"/>
        <v>MUJER</v>
      </c>
      <c r="K39" s="21">
        <f t="shared" ca="1" si="22"/>
        <v>36</v>
      </c>
      <c r="L39" s="87" t="str">
        <f t="shared" si="5"/>
        <v>PROVISIONALIDAD</v>
      </c>
      <c r="M39" s="21" t="str">
        <f t="shared" si="18"/>
        <v>VACANTE DEFINITIVA</v>
      </c>
      <c r="N39" s="21"/>
      <c r="O39" s="18" t="str">
        <f>IF(N39="","VACANTE DEFINITIVA",(VLOOKUP(N39,'PLANTA PERNO'!A:D,4,0)&amp;" "&amp;VLOOKUP(N39,'PLANTA PERNO'!A:D,2,0)&amp;" "&amp;VLOOKUP(N39,'PLANTA PERNO'!A:D,3,0)))</f>
        <v>VACANTE DEFINITIVA</v>
      </c>
      <c r="P39" s="21"/>
      <c r="Q39" s="21"/>
      <c r="R39" s="21" t="s">
        <v>166</v>
      </c>
      <c r="S39" s="21"/>
      <c r="T39" s="21"/>
      <c r="U39" s="21"/>
      <c r="V39" s="128"/>
      <c r="W39" s="21" t="str">
        <f t="shared" si="7"/>
        <v>OCUPADO</v>
      </c>
      <c r="X39" s="23" t="s">
        <v>27</v>
      </c>
      <c r="Y39" s="90" t="s">
        <v>29</v>
      </c>
      <c r="Z39" s="25">
        <v>440</v>
      </c>
      <c r="AA39" s="27">
        <v>9</v>
      </c>
      <c r="AB39" s="28" t="str">
        <f t="shared" si="8"/>
        <v>440-9</v>
      </c>
      <c r="AC39" s="24" t="s">
        <v>138</v>
      </c>
      <c r="AD39" s="63" t="s">
        <v>138</v>
      </c>
      <c r="AE39" s="24" t="s">
        <v>34</v>
      </c>
      <c r="AF39" s="24" t="s">
        <v>35</v>
      </c>
      <c r="AG39" s="24" t="s">
        <v>36</v>
      </c>
      <c r="AH39" s="24" t="s">
        <v>37</v>
      </c>
      <c r="AI39" s="93">
        <f t="shared" si="9"/>
        <v>2675559</v>
      </c>
      <c r="AJ39" s="93">
        <v>0</v>
      </c>
      <c r="AK39" s="93">
        <f t="shared" si="23"/>
        <v>0</v>
      </c>
      <c r="AL39" s="93">
        <f>IFERROR(INT(($AI39*(VLOOKUP($D39,'PORCENTAJES FACTORES'!B:N,12,0))/100)),0)</f>
        <v>0</v>
      </c>
      <c r="AM39" s="93">
        <f t="shared" si="24"/>
        <v>53511</v>
      </c>
      <c r="AN39" s="93">
        <f t="shared" si="13"/>
        <v>249095</v>
      </c>
      <c r="AO39" s="93">
        <f t="shared" si="14"/>
        <v>98931</v>
      </c>
      <c r="AP39" s="95">
        <f t="shared" si="15"/>
        <v>3077096</v>
      </c>
      <c r="AQ39" s="96"/>
      <c r="AR39" s="97" t="s">
        <v>929</v>
      </c>
      <c r="AS39" s="58"/>
      <c r="AT39" s="2" t="s">
        <v>930</v>
      </c>
      <c r="AU39" s="46">
        <v>5870029</v>
      </c>
      <c r="AV39" s="98" t="e">
        <f t="shared" si="16"/>
        <v>#N/A</v>
      </c>
      <c r="AW39" s="58"/>
      <c r="AX39" s="58"/>
      <c r="AY39" s="58"/>
      <c r="AZ39" s="58"/>
      <c r="BA39" s="48"/>
      <c r="BB39" s="48"/>
      <c r="BC39" s="48"/>
      <c r="BD39" s="48"/>
      <c r="BE39" s="48"/>
      <c r="BF39" s="48"/>
      <c r="BG39" s="48"/>
      <c r="BH39" s="48"/>
      <c r="BI39" s="48"/>
      <c r="BJ39" s="48"/>
      <c r="BK39" s="48"/>
      <c r="BL39" s="48"/>
      <c r="BM39" s="48"/>
      <c r="BN39" s="48"/>
      <c r="BO39" s="48"/>
      <c r="BP39" s="48"/>
      <c r="BQ39" s="48"/>
    </row>
    <row r="40" spans="1:69" ht="12.75" customHeight="1">
      <c r="A40" s="85">
        <v>36</v>
      </c>
      <c r="B40" s="86">
        <v>5033</v>
      </c>
      <c r="C40" s="29">
        <v>162</v>
      </c>
      <c r="D40" s="14"/>
      <c r="E40" s="153" t="str">
        <f>IF(D40&gt;0,VLOOKUP(D40,'PLANTA PERNO'!A:D,4,0)&amp;" "&amp;VLOOKUP(D40,'PLANTA PERNO'!A:D,2,0)&amp;" "&amp;VLOOKUP(D40,'PLANTA PERNO'!A:D,3,0),IF(N40="","VACANTE DEFINITIVA","VACANTE TEMPORAL"))</f>
        <v>VACANTE TEMPORAL</v>
      </c>
      <c r="F40" s="20"/>
      <c r="G40" s="20" t="str">
        <f t="shared" si="0"/>
        <v>VACANTE TEMPORAL</v>
      </c>
      <c r="H40" s="33" t="str">
        <f t="shared" si="19"/>
        <v xml:space="preserve"> </v>
      </c>
      <c r="I40" s="33" t="str">
        <f t="shared" si="20"/>
        <v/>
      </c>
      <c r="J40" s="31" t="str">
        <f t="shared" si="21"/>
        <v/>
      </c>
      <c r="K40" s="21" t="str">
        <f t="shared" ca="1" si="22"/>
        <v/>
      </c>
      <c r="L40" s="87" t="str">
        <f t="shared" si="5"/>
        <v/>
      </c>
      <c r="M40" s="21" t="str">
        <f t="shared" si="18"/>
        <v>EN ENCARGO</v>
      </c>
      <c r="N40" s="21">
        <v>80188856</v>
      </c>
      <c r="O40" s="18" t="str">
        <f>IF(N40="","VACANTE DEFINITIVA",(VLOOKUP(N40,'PLANTA PERNO'!A:D,4,0)&amp;" "&amp;VLOOKUP(N40,'PLANTA PERNO'!A:D,2,0)&amp;" "&amp;VLOOKUP(N40,'PLANTA PERNO'!A:D,3,0)))</f>
        <v>OMAR ANDRES ORTIZ PAEZ</v>
      </c>
      <c r="P40" s="21" t="s">
        <v>963</v>
      </c>
      <c r="Q40" s="21">
        <v>1</v>
      </c>
      <c r="R40" s="21"/>
      <c r="S40" s="21"/>
      <c r="T40" s="21"/>
      <c r="U40" s="21"/>
      <c r="V40" s="128"/>
      <c r="W40" s="21" t="str">
        <f t="shared" si="7"/>
        <v>VACANTE TEMPORAL</v>
      </c>
      <c r="X40" s="23" t="s">
        <v>27</v>
      </c>
      <c r="Y40" s="90" t="s">
        <v>29</v>
      </c>
      <c r="Z40" s="25">
        <v>440</v>
      </c>
      <c r="AA40" s="27">
        <v>9</v>
      </c>
      <c r="AB40" s="28" t="str">
        <f t="shared" si="8"/>
        <v>440-9</v>
      </c>
      <c r="AC40" s="24" t="s">
        <v>147</v>
      </c>
      <c r="AD40" s="24" t="s">
        <v>147</v>
      </c>
      <c r="AE40" s="24" t="s">
        <v>965</v>
      </c>
      <c r="AF40" s="24" t="s">
        <v>966</v>
      </c>
      <c r="AG40" s="24" t="s">
        <v>36</v>
      </c>
      <c r="AH40" s="24" t="s">
        <v>37</v>
      </c>
      <c r="AI40" s="93">
        <f t="shared" si="9"/>
        <v>2675559</v>
      </c>
      <c r="AJ40" s="93">
        <v>0</v>
      </c>
      <c r="AK40" s="93">
        <f t="shared" si="23"/>
        <v>0</v>
      </c>
      <c r="AL40" s="93">
        <f>IFERROR(INT(($AI40*(VLOOKUP($D40,'PORCENTAJES FACTORES'!B:N,12,0))/100)),0)</f>
        <v>0</v>
      </c>
      <c r="AM40" s="93">
        <f t="shared" si="24"/>
        <v>0</v>
      </c>
      <c r="AN40" s="93">
        <f t="shared" si="13"/>
        <v>249095</v>
      </c>
      <c r="AO40" s="93">
        <f t="shared" si="14"/>
        <v>98931</v>
      </c>
      <c r="AP40" s="95">
        <f t="shared" si="15"/>
        <v>3023585</v>
      </c>
      <c r="AQ40" s="96"/>
      <c r="AR40" s="97" t="s">
        <v>929</v>
      </c>
      <c r="AS40" s="58"/>
      <c r="AT40" s="2" t="s">
        <v>971</v>
      </c>
      <c r="AU40" s="46">
        <v>5951245</v>
      </c>
      <c r="AV40" s="98">
        <f t="shared" si="16"/>
        <v>80188856</v>
      </c>
      <c r="AW40" s="58"/>
      <c r="AX40" s="58"/>
      <c r="AY40" s="58"/>
      <c r="AZ40" s="58"/>
      <c r="BA40" s="48"/>
      <c r="BB40" s="48"/>
      <c r="BC40" s="48"/>
      <c r="BD40" s="48"/>
      <c r="BE40" s="48"/>
      <c r="BF40" s="48"/>
      <c r="BG40" s="48"/>
      <c r="BH40" s="48"/>
      <c r="BI40" s="48"/>
      <c r="BJ40" s="48"/>
      <c r="BK40" s="48"/>
      <c r="BL40" s="48"/>
      <c r="BM40" s="48"/>
      <c r="BN40" s="48"/>
      <c r="BO40" s="48"/>
      <c r="BP40" s="48"/>
      <c r="BQ40" s="48"/>
    </row>
    <row r="41" spans="1:69" ht="12.75" customHeight="1">
      <c r="A41" s="85">
        <v>37</v>
      </c>
      <c r="B41" s="86">
        <v>5034</v>
      </c>
      <c r="C41" s="29">
        <v>163</v>
      </c>
      <c r="D41" s="14">
        <v>1122727530</v>
      </c>
      <c r="E41" s="18" t="str">
        <f>IF(D41&gt;0,VLOOKUP(D41,'PLANTA PERNO'!A:D,4,0)&amp;" "&amp;VLOOKUP(D41,'PLANTA PERNO'!A:D,2,0)&amp;" "&amp;VLOOKUP(D41,'PLANTA PERNO'!A:D,3,0),IF(N41="","VACANTE DEFINITIVA","VACANTE TEMPORAL"))</f>
        <v>JESSE JOSE VILLEGAS CABRERA</v>
      </c>
      <c r="F41" s="20" t="s">
        <v>24</v>
      </c>
      <c r="G41" s="20" t="str">
        <f t="shared" si="0"/>
        <v>EN PROVISIONALIDAD</v>
      </c>
      <c r="H41" s="33">
        <f t="shared" si="19"/>
        <v>46273</v>
      </c>
      <c r="I41" s="33">
        <f t="shared" si="20"/>
        <v>46273</v>
      </c>
      <c r="J41" s="31" t="str">
        <f t="shared" si="21"/>
        <v>HOMBRE</v>
      </c>
      <c r="K41" s="21">
        <f t="shared" ca="1" si="22"/>
        <v>35</v>
      </c>
      <c r="L41" s="87" t="str">
        <f t="shared" si="5"/>
        <v>PROVISIONALIDAD</v>
      </c>
      <c r="M41" s="21" t="str">
        <f t="shared" si="18"/>
        <v>EN ENCARGO</v>
      </c>
      <c r="N41" s="21">
        <v>1072493406</v>
      </c>
      <c r="O41" s="18" t="str">
        <f>IF(N41="","VACANTE DEFINITIVA",(VLOOKUP(N41,'PLANTA PERNO'!A:D,4,0)&amp;" "&amp;VLOOKUP(N41,'PLANTA PERNO'!A:D,2,0)&amp;" "&amp;VLOOKUP(N41,'PLANTA PERNO'!A:D,3,0)))</f>
        <v>DANIEL FERNANDO BUITRAGO DIAZ</v>
      </c>
      <c r="P41" s="21" t="s">
        <v>1006</v>
      </c>
      <c r="Q41" s="21">
        <v>3</v>
      </c>
      <c r="R41" s="21" t="s">
        <v>166</v>
      </c>
      <c r="S41" s="21"/>
      <c r="T41" s="21"/>
      <c r="U41" s="21"/>
      <c r="V41" s="123">
        <v>220287</v>
      </c>
      <c r="W41" s="21" t="str">
        <f t="shared" si="7"/>
        <v>OCUPADO</v>
      </c>
      <c r="X41" s="23" t="s">
        <v>27</v>
      </c>
      <c r="Y41" s="90" t="s">
        <v>29</v>
      </c>
      <c r="Z41" s="25">
        <v>440</v>
      </c>
      <c r="AA41" s="27">
        <v>9</v>
      </c>
      <c r="AB41" s="28" t="str">
        <f t="shared" si="8"/>
        <v>440-9</v>
      </c>
      <c r="AC41" s="24" t="s">
        <v>213</v>
      </c>
      <c r="AD41" s="24" t="s">
        <v>213</v>
      </c>
      <c r="AE41" s="24" t="s">
        <v>965</v>
      </c>
      <c r="AF41" s="24" t="s">
        <v>966</v>
      </c>
      <c r="AG41" s="24" t="s">
        <v>36</v>
      </c>
      <c r="AH41" s="24" t="s">
        <v>37</v>
      </c>
      <c r="AI41" s="93">
        <f t="shared" si="9"/>
        <v>2675559</v>
      </c>
      <c r="AJ41" s="93">
        <v>0</v>
      </c>
      <c r="AK41" s="93">
        <f t="shared" si="23"/>
        <v>0</v>
      </c>
      <c r="AL41" s="93">
        <f>IFERROR(INT(($AI41*(VLOOKUP($D41,'PORCENTAJES FACTORES'!B:N,12,0))/100)),0)</f>
        <v>0</v>
      </c>
      <c r="AM41" s="93">
        <f t="shared" si="24"/>
        <v>0</v>
      </c>
      <c r="AN41" s="93">
        <f t="shared" si="13"/>
        <v>249095</v>
      </c>
      <c r="AO41" s="93">
        <f t="shared" si="14"/>
        <v>98931</v>
      </c>
      <c r="AP41" s="95">
        <f t="shared" si="15"/>
        <v>3023585</v>
      </c>
      <c r="AQ41" s="96"/>
      <c r="AR41" s="97" t="s">
        <v>929</v>
      </c>
      <c r="AS41" s="58"/>
      <c r="AT41" s="2" t="s">
        <v>1025</v>
      </c>
      <c r="AU41" s="46">
        <v>6258912</v>
      </c>
      <c r="AV41" s="98">
        <f t="shared" si="16"/>
        <v>1072493406</v>
      </c>
      <c r="AW41" s="58"/>
      <c r="AX41" s="58"/>
      <c r="AY41" s="58"/>
      <c r="AZ41" s="58"/>
      <c r="BA41" s="48"/>
      <c r="BB41" s="48"/>
      <c r="BC41" s="48"/>
      <c r="BD41" s="48"/>
      <c r="BE41" s="48"/>
      <c r="BF41" s="48"/>
      <c r="BG41" s="48"/>
      <c r="BH41" s="48"/>
      <c r="BI41" s="48"/>
      <c r="BJ41" s="48"/>
      <c r="BK41" s="48"/>
      <c r="BL41" s="48"/>
      <c r="BM41" s="48"/>
      <c r="BN41" s="48"/>
      <c r="BO41" s="48"/>
      <c r="BP41" s="48"/>
      <c r="BQ41" s="48"/>
    </row>
    <row r="42" spans="1:69" ht="12.75" customHeight="1">
      <c r="A42" s="85">
        <v>38</v>
      </c>
      <c r="B42" s="86">
        <v>5035</v>
      </c>
      <c r="C42" s="29">
        <v>155</v>
      </c>
      <c r="D42" s="14">
        <v>1030572725</v>
      </c>
      <c r="E42" s="153" t="str">
        <f>IF(D42&gt;0,VLOOKUP(D42,'PLANTA PERNO'!A:D,4,0)&amp;" "&amp;VLOOKUP(D42,'PLANTA PERNO'!A:D,2,0)&amp;" "&amp;VLOOKUP(D42,'PLANTA PERNO'!A:D,3,0),IF(N42="","VACANTE DEFINITIVA","VACANTE TEMPORAL"))</f>
        <v>MARIA ALEJANDRA BASTIDAS PADILLA</v>
      </c>
      <c r="F42" s="20" t="s">
        <v>24</v>
      </c>
      <c r="G42" s="20" t="str">
        <f t="shared" si="0"/>
        <v>EN PROVISIONALIDAD</v>
      </c>
      <c r="H42" s="33">
        <f t="shared" si="19"/>
        <v>46275</v>
      </c>
      <c r="I42" s="33">
        <f t="shared" si="20"/>
        <v>46275</v>
      </c>
      <c r="J42" s="31" t="str">
        <f t="shared" si="21"/>
        <v>MUJER</v>
      </c>
      <c r="K42" s="21">
        <f t="shared" ca="1" si="22"/>
        <v>36</v>
      </c>
      <c r="L42" s="87" t="str">
        <f t="shared" si="5"/>
        <v>PROVISIONALIDAD</v>
      </c>
      <c r="M42" s="21" t="str">
        <f t="shared" si="18"/>
        <v>EN ENCARGO</v>
      </c>
      <c r="N42" s="21">
        <v>1015409873</v>
      </c>
      <c r="O42" s="18" t="str">
        <f>IF(N42="","VACANTE DEFINITIVA",(VLOOKUP(N42,'PLANTA PERNO'!A:D,4,0)&amp;" "&amp;VLOOKUP(N42,'PLANTA PERNO'!A:D,2,0)&amp;" "&amp;VLOOKUP(N42,'PLANTA PERNO'!A:D,3,0)))</f>
        <v>LIZETH MAYERLY VILLARRAGA ROJAS</v>
      </c>
      <c r="P42" s="21" t="s">
        <v>333</v>
      </c>
      <c r="Q42" s="21">
        <v>5</v>
      </c>
      <c r="R42" s="21" t="s">
        <v>166</v>
      </c>
      <c r="S42" s="21"/>
      <c r="T42" s="21"/>
      <c r="U42" s="21"/>
      <c r="V42" s="128"/>
      <c r="W42" s="21" t="str">
        <f t="shared" si="7"/>
        <v>OCUPADO</v>
      </c>
      <c r="X42" s="23" t="s">
        <v>27</v>
      </c>
      <c r="Y42" s="90" t="s">
        <v>146</v>
      </c>
      <c r="Z42" s="25">
        <v>407</v>
      </c>
      <c r="AA42" s="27">
        <v>9</v>
      </c>
      <c r="AB42" s="28" t="str">
        <f t="shared" si="8"/>
        <v>407-9</v>
      </c>
      <c r="AC42" s="24" t="s">
        <v>150</v>
      </c>
      <c r="AD42" s="24" t="s">
        <v>150</v>
      </c>
      <c r="AE42" s="24" t="s">
        <v>1069</v>
      </c>
      <c r="AF42" s="24" t="s">
        <v>1071</v>
      </c>
      <c r="AG42" s="24" t="s">
        <v>36</v>
      </c>
      <c r="AH42" s="24" t="s">
        <v>1074</v>
      </c>
      <c r="AI42" s="93">
        <f t="shared" si="9"/>
        <v>2675559</v>
      </c>
      <c r="AJ42" s="93">
        <v>0</v>
      </c>
      <c r="AK42" s="93">
        <f t="shared" si="23"/>
        <v>0</v>
      </c>
      <c r="AL42" s="93">
        <f>IFERROR(INT(($AI42*(VLOOKUP($D42,'PORCENTAJES FACTORES'!B:N,12,0))/100)),0)</f>
        <v>0</v>
      </c>
      <c r="AM42" s="93">
        <f t="shared" si="24"/>
        <v>0</v>
      </c>
      <c r="AN42" s="93">
        <f t="shared" si="13"/>
        <v>249095</v>
      </c>
      <c r="AO42" s="93">
        <f t="shared" si="14"/>
        <v>98931</v>
      </c>
      <c r="AP42" s="95">
        <f t="shared" si="15"/>
        <v>3023585</v>
      </c>
      <c r="AQ42" s="96"/>
      <c r="AR42" s="97" t="s">
        <v>929</v>
      </c>
      <c r="AS42" s="58"/>
      <c r="AT42" s="2" t="s">
        <v>1089</v>
      </c>
      <c r="AU42" s="46">
        <v>6405934</v>
      </c>
      <c r="AV42" s="98">
        <f t="shared" si="16"/>
        <v>1015409873</v>
      </c>
      <c r="AW42" s="58"/>
      <c r="AX42" s="58"/>
      <c r="AY42" s="58"/>
      <c r="AZ42" s="58"/>
      <c r="BA42" s="48"/>
      <c r="BB42" s="48"/>
      <c r="BC42" s="48"/>
      <c r="BD42" s="48"/>
      <c r="BE42" s="48"/>
      <c r="BF42" s="48"/>
      <c r="BG42" s="48"/>
      <c r="BH42" s="48"/>
      <c r="BI42" s="48"/>
      <c r="BJ42" s="48"/>
      <c r="BK42" s="48"/>
      <c r="BL42" s="48"/>
      <c r="BM42" s="48"/>
      <c r="BN42" s="48"/>
      <c r="BO42" s="48"/>
      <c r="BP42" s="48"/>
      <c r="BQ42" s="48"/>
    </row>
    <row r="43" spans="1:69" ht="12.75" customHeight="1">
      <c r="A43" s="85">
        <v>39</v>
      </c>
      <c r="B43" s="86">
        <v>5036</v>
      </c>
      <c r="C43" s="29">
        <v>164</v>
      </c>
      <c r="D43" s="14">
        <v>33368317</v>
      </c>
      <c r="E43" s="153" t="str">
        <f>IF(D43&gt;0,VLOOKUP(D43,'PLANTA PERNO'!A:D,4,0)&amp;" "&amp;VLOOKUP(D43,'PLANTA PERNO'!A:D,2,0)&amp;" "&amp;VLOOKUP(D43,'PLANTA PERNO'!A:D,3,0),IF(N43="","VACANTE DEFINITIVA","VACANTE TEMPORAL"))</f>
        <v>ZULY NATALIA NANDAR CASTAÃ‘EDA</v>
      </c>
      <c r="F43" s="20" t="s">
        <v>24</v>
      </c>
      <c r="G43" s="20" t="str">
        <f t="shared" si="0"/>
        <v>EN PROVISIONALIDAD</v>
      </c>
      <c r="H43" s="33">
        <f t="shared" si="19"/>
        <v>44774</v>
      </c>
      <c r="I43" s="33">
        <f t="shared" si="20"/>
        <v>44774</v>
      </c>
      <c r="J43" s="31" t="str">
        <f t="shared" si="21"/>
        <v>MUJER</v>
      </c>
      <c r="K43" s="21">
        <f t="shared" ca="1" si="22"/>
        <v>43</v>
      </c>
      <c r="L43" s="87" t="str">
        <f t="shared" si="5"/>
        <v>PROVISIONALIDAD</v>
      </c>
      <c r="M43" s="21" t="str">
        <f t="shared" si="18"/>
        <v>VACANTE DEFINITIVA</v>
      </c>
      <c r="N43" s="21" t="s">
        <v>25</v>
      </c>
      <c r="O43" s="18" t="str">
        <f>IF(N43="","VACANTE DEFINITIVA",(VLOOKUP(N43,'PLANTA PERNO'!A:D,4,0)&amp;" "&amp;VLOOKUP(N43,'PLANTA PERNO'!A:D,2,0)&amp;" "&amp;VLOOKUP(N43,'PLANTA PERNO'!A:D,3,0)))</f>
        <v>VACANTE DEFINITIVA</v>
      </c>
      <c r="P43" s="21"/>
      <c r="Q43" s="21"/>
      <c r="R43" s="21" t="s">
        <v>166</v>
      </c>
      <c r="S43" s="21"/>
      <c r="T43" s="21"/>
      <c r="U43" s="21"/>
      <c r="V43" s="128"/>
      <c r="W43" s="21" t="str">
        <f t="shared" si="7"/>
        <v>OCUPADO</v>
      </c>
      <c r="X43" s="23" t="s">
        <v>27</v>
      </c>
      <c r="Y43" s="90" t="s">
        <v>29</v>
      </c>
      <c r="Z43" s="25">
        <v>440</v>
      </c>
      <c r="AA43" s="27">
        <v>9</v>
      </c>
      <c r="AB43" s="28" t="str">
        <f t="shared" si="8"/>
        <v>440-9</v>
      </c>
      <c r="AC43" s="24" t="s">
        <v>33</v>
      </c>
      <c r="AD43" s="24" t="s">
        <v>33</v>
      </c>
      <c r="AE43" s="24" t="s">
        <v>34</v>
      </c>
      <c r="AF43" s="24" t="s">
        <v>35</v>
      </c>
      <c r="AG43" s="24" t="s">
        <v>36</v>
      </c>
      <c r="AH43" s="24" t="s">
        <v>37</v>
      </c>
      <c r="AI43" s="93">
        <f t="shared" si="9"/>
        <v>2675559</v>
      </c>
      <c r="AJ43" s="93">
        <v>0</v>
      </c>
      <c r="AK43" s="93">
        <f t="shared" si="23"/>
        <v>0</v>
      </c>
      <c r="AL43" s="93">
        <f>IFERROR(INT(($AI43*(VLOOKUP($D43,'PORCENTAJES FACTORES'!B:N,12,0))/100)),0)</f>
        <v>0</v>
      </c>
      <c r="AM43" s="93">
        <f t="shared" si="24"/>
        <v>53511</v>
      </c>
      <c r="AN43" s="93">
        <f t="shared" si="13"/>
        <v>249095</v>
      </c>
      <c r="AO43" s="93">
        <f t="shared" si="14"/>
        <v>98931</v>
      </c>
      <c r="AP43" s="95">
        <f t="shared" si="15"/>
        <v>3077096</v>
      </c>
      <c r="AQ43" s="96"/>
      <c r="AR43" s="97" t="s">
        <v>929</v>
      </c>
      <c r="AS43" s="58"/>
      <c r="AT43" s="2" t="s">
        <v>1135</v>
      </c>
      <c r="AU43" s="46">
        <v>6566429</v>
      </c>
      <c r="AV43" s="98" t="e">
        <f t="shared" si="16"/>
        <v>#N/A</v>
      </c>
      <c r="AW43" s="58"/>
      <c r="AX43" s="58"/>
      <c r="AY43" s="58"/>
      <c r="AZ43" s="58"/>
      <c r="BA43" s="48"/>
      <c r="BB43" s="48"/>
      <c r="BC43" s="48"/>
      <c r="BD43" s="48"/>
      <c r="BE43" s="48"/>
      <c r="BF43" s="48"/>
      <c r="BG43" s="48"/>
      <c r="BH43" s="48"/>
      <c r="BI43" s="48"/>
      <c r="BJ43" s="48"/>
      <c r="BK43" s="48"/>
      <c r="BL43" s="48"/>
      <c r="BM43" s="48"/>
      <c r="BN43" s="48"/>
      <c r="BO43" s="48"/>
      <c r="BP43" s="48"/>
      <c r="BQ43" s="48"/>
    </row>
    <row r="44" spans="1:69" ht="12.75" customHeight="1">
      <c r="A44" s="85">
        <v>40</v>
      </c>
      <c r="B44" s="86">
        <v>5037</v>
      </c>
      <c r="C44" s="29">
        <v>169</v>
      </c>
      <c r="D44" s="14">
        <v>1075256570</v>
      </c>
      <c r="E44" s="153" t="str">
        <f>IF(D44&gt;0,VLOOKUP(D44,'PLANTA PERNO'!A:D,4,0)&amp;" "&amp;VLOOKUP(D44,'PLANTA PERNO'!A:D,2,0)&amp;" "&amp;VLOOKUP(D44,'PLANTA PERNO'!A:D,3,0),IF(N44="","VACANTE DEFINITIVA","VACANTE TEMPORAL"))</f>
        <v>DURLEY SOTELO HOYOS</v>
      </c>
      <c r="F44" s="20" t="s">
        <v>24</v>
      </c>
      <c r="G44" s="20" t="str">
        <f t="shared" si="0"/>
        <v>EN PROVISIONALIDAD</v>
      </c>
      <c r="H44" s="33">
        <f t="shared" si="19"/>
        <v>44503</v>
      </c>
      <c r="I44" s="33">
        <f t="shared" si="20"/>
        <v>44503</v>
      </c>
      <c r="J44" s="31" t="str">
        <f t="shared" si="21"/>
        <v>MUJER</v>
      </c>
      <c r="K44" s="21">
        <f t="shared" ca="1" si="22"/>
        <v>37</v>
      </c>
      <c r="L44" s="87" t="str">
        <f t="shared" si="5"/>
        <v>PROVISIONALIDAD</v>
      </c>
      <c r="M44" s="21" t="str">
        <f t="shared" si="18"/>
        <v>VACANTE DEFINITIVA</v>
      </c>
      <c r="N44" s="21" t="s">
        <v>25</v>
      </c>
      <c r="O44" s="18" t="str">
        <f>IF(N44="","VACANTE DEFINITIVA",(VLOOKUP(N44,'PLANTA PERNO'!A:D,4,0)&amp;" "&amp;VLOOKUP(N44,'PLANTA PERNO'!A:D,2,0)&amp;" "&amp;VLOOKUP(N44,'PLANTA PERNO'!A:D,3,0)))</f>
        <v>VACANTE DEFINITIVA</v>
      </c>
      <c r="P44" s="21"/>
      <c r="Q44" s="21"/>
      <c r="R44" s="21" t="s">
        <v>166</v>
      </c>
      <c r="S44" s="21"/>
      <c r="T44" s="21"/>
      <c r="U44" s="21"/>
      <c r="V44" s="128"/>
      <c r="W44" s="21" t="str">
        <f t="shared" si="7"/>
        <v>OCUPADO</v>
      </c>
      <c r="X44" s="23" t="s">
        <v>27</v>
      </c>
      <c r="Y44" s="90" t="s">
        <v>813</v>
      </c>
      <c r="Z44" s="25">
        <v>470</v>
      </c>
      <c r="AA44" s="27">
        <v>7</v>
      </c>
      <c r="AB44" s="28" t="str">
        <f t="shared" si="8"/>
        <v>470-7</v>
      </c>
      <c r="AC44" s="24" t="s">
        <v>147</v>
      </c>
      <c r="AD44" s="24" t="s">
        <v>147</v>
      </c>
      <c r="AE44" s="24" t="s">
        <v>1150</v>
      </c>
      <c r="AF44" s="24" t="s">
        <v>1151</v>
      </c>
      <c r="AG44" s="24" t="s">
        <v>36</v>
      </c>
      <c r="AH44" s="24" t="s">
        <v>1152</v>
      </c>
      <c r="AI44" s="93">
        <f t="shared" si="9"/>
        <v>2623189</v>
      </c>
      <c r="AJ44" s="93">
        <v>0</v>
      </c>
      <c r="AK44" s="93">
        <f t="shared" si="23"/>
        <v>0</v>
      </c>
      <c r="AL44" s="93">
        <f>IFERROR(INT(($AI44*(VLOOKUP($D44,'PORCENTAJES FACTORES'!B:N,12,0))/100)),0)</f>
        <v>0</v>
      </c>
      <c r="AM44" s="93">
        <f t="shared" si="24"/>
        <v>0</v>
      </c>
      <c r="AN44" s="93">
        <f t="shared" si="13"/>
        <v>249095</v>
      </c>
      <c r="AO44" s="93">
        <f t="shared" si="14"/>
        <v>98931</v>
      </c>
      <c r="AP44" s="95">
        <f t="shared" si="15"/>
        <v>2971215</v>
      </c>
      <c r="AQ44" s="96"/>
      <c r="AR44" s="97" t="s">
        <v>1154</v>
      </c>
      <c r="AS44" s="58"/>
      <c r="AT44" s="2" t="s">
        <v>1155</v>
      </c>
      <c r="AU44" s="46">
        <v>6752583</v>
      </c>
      <c r="AV44" s="98" t="e">
        <f t="shared" si="16"/>
        <v>#N/A</v>
      </c>
      <c r="AW44" s="58"/>
      <c r="AX44" s="58"/>
      <c r="AY44" s="58"/>
      <c r="AZ44" s="58"/>
      <c r="BA44" s="48"/>
      <c r="BB44" s="48"/>
      <c r="BC44" s="48"/>
      <c r="BD44" s="48"/>
      <c r="BE44" s="48"/>
      <c r="BF44" s="48"/>
      <c r="BG44" s="48"/>
      <c r="BH44" s="48"/>
      <c r="BI44" s="48"/>
      <c r="BJ44" s="48"/>
      <c r="BK44" s="48"/>
      <c r="BL44" s="48"/>
      <c r="BM44" s="48"/>
      <c r="BN44" s="48"/>
      <c r="BO44" s="48"/>
      <c r="BP44" s="48"/>
      <c r="BQ44" s="48"/>
    </row>
    <row r="45" spans="1:69" ht="12.75" customHeight="1">
      <c r="A45" s="85">
        <v>41</v>
      </c>
      <c r="B45" s="86">
        <v>5038</v>
      </c>
      <c r="C45" s="29">
        <v>27</v>
      </c>
      <c r="D45" s="14">
        <v>41732503</v>
      </c>
      <c r="E45" s="153" t="str">
        <f>IF(D45&gt;0,VLOOKUP(D45,'PLANTA PERNO'!A:D,4,0)&amp;" "&amp;VLOOKUP(D45,'PLANTA PERNO'!A:D,2,0)&amp;" "&amp;VLOOKUP(D45,'PLANTA PERNO'!A:D,3,0),IF(N45="","VACANTE DEFINITIVA","VACANTE TEMPORAL"))</f>
        <v>GABRIELINA VELASQUEZ CABRERA</v>
      </c>
      <c r="F45" s="20" t="s">
        <v>49</v>
      </c>
      <c r="G45" s="20" t="str">
        <f t="shared" si="0"/>
        <v>CARRERA ADMINISTRATIVA</v>
      </c>
      <c r="H45" s="33">
        <f t="shared" si="19"/>
        <v>42585</v>
      </c>
      <c r="I45" s="33">
        <f t="shared" si="20"/>
        <v>34731</v>
      </c>
      <c r="J45" s="31" t="str">
        <f t="shared" si="21"/>
        <v>MUJER</v>
      </c>
      <c r="K45" s="21">
        <f t="shared" ca="1" si="22"/>
        <v>67</v>
      </c>
      <c r="L45" s="87" t="str">
        <f t="shared" si="5"/>
        <v/>
      </c>
      <c r="M45" s="21" t="str">
        <f t="shared" si="18"/>
        <v>EN PROPIEDAD</v>
      </c>
      <c r="N45" s="21">
        <v>41732503</v>
      </c>
      <c r="O45" s="18" t="str">
        <f>IF(N45="","VACANTE DEFINITIVA",(VLOOKUP(N45,'PLANTA PERNO'!A:D,4,0)&amp;" "&amp;VLOOKUP(N45,'PLANTA PERNO'!A:D,2,0)&amp;" "&amp;VLOOKUP(N45,'PLANTA PERNO'!A:D,3,0)))</f>
        <v>GABRIELINA VELASQUEZ CABRERA</v>
      </c>
      <c r="P45" s="21"/>
      <c r="Q45" s="21"/>
      <c r="R45" s="21"/>
      <c r="S45" s="21"/>
      <c r="T45" s="21"/>
      <c r="U45" s="21"/>
      <c r="V45" s="128"/>
      <c r="W45" s="21" t="str">
        <f t="shared" si="7"/>
        <v>OCUPADO</v>
      </c>
      <c r="X45" s="23" t="s">
        <v>27</v>
      </c>
      <c r="Y45" s="90" t="s">
        <v>813</v>
      </c>
      <c r="Z45" s="25">
        <v>470</v>
      </c>
      <c r="AA45" s="27">
        <v>7</v>
      </c>
      <c r="AB45" s="28" t="str">
        <f t="shared" si="8"/>
        <v>470-7</v>
      </c>
      <c r="AC45" s="24" t="s">
        <v>147</v>
      </c>
      <c r="AD45" s="24" t="s">
        <v>147</v>
      </c>
      <c r="AE45" s="24" t="s">
        <v>1150</v>
      </c>
      <c r="AF45" s="24" t="s">
        <v>1151</v>
      </c>
      <c r="AG45" s="24" t="s">
        <v>36</v>
      </c>
      <c r="AH45" s="24" t="s">
        <v>1152</v>
      </c>
      <c r="AI45" s="93">
        <f t="shared" si="9"/>
        <v>2623189</v>
      </c>
      <c r="AJ45" s="93">
        <v>0</v>
      </c>
      <c r="AK45" s="93">
        <f t="shared" si="23"/>
        <v>183623</v>
      </c>
      <c r="AL45" s="93">
        <f>IFERROR(INT(($AI45*(VLOOKUP($D45,'PORCENTAJES FACTORES'!B:N,12,0))/100)),0)</f>
        <v>0</v>
      </c>
      <c r="AM45" s="93">
        <f t="shared" si="24"/>
        <v>0</v>
      </c>
      <c r="AN45" s="93">
        <f t="shared" si="13"/>
        <v>249095</v>
      </c>
      <c r="AO45" s="93">
        <f t="shared" si="14"/>
        <v>98931</v>
      </c>
      <c r="AP45" s="95">
        <f t="shared" si="15"/>
        <v>3154838</v>
      </c>
      <c r="AQ45" s="96"/>
      <c r="AR45" s="97" t="s">
        <v>1154</v>
      </c>
      <c r="AS45" s="58"/>
      <c r="AT45" s="2" t="s">
        <v>1167</v>
      </c>
      <c r="AU45" s="46">
        <v>6789931</v>
      </c>
      <c r="AV45" s="98">
        <f t="shared" si="16"/>
        <v>41732503</v>
      </c>
      <c r="AW45" s="58"/>
      <c r="AX45" s="58"/>
      <c r="AY45" s="58"/>
      <c r="AZ45" s="58"/>
      <c r="BA45" s="48"/>
      <c r="BB45" s="48"/>
      <c r="BC45" s="48"/>
      <c r="BD45" s="48"/>
      <c r="BE45" s="48"/>
      <c r="BF45" s="48"/>
      <c r="BG45" s="48"/>
      <c r="BH45" s="48"/>
      <c r="BI45" s="48"/>
      <c r="BJ45" s="48"/>
      <c r="BK45" s="48"/>
      <c r="BL45" s="48"/>
      <c r="BM45" s="48"/>
      <c r="BN45" s="48"/>
      <c r="BO45" s="48"/>
      <c r="BP45" s="48"/>
      <c r="BQ45" s="48"/>
    </row>
    <row r="46" spans="1:69" ht="12.75" customHeight="1">
      <c r="A46" s="85">
        <v>42</v>
      </c>
      <c r="B46" s="86">
        <v>5039</v>
      </c>
      <c r="C46" s="29">
        <v>170</v>
      </c>
      <c r="D46" s="14">
        <v>35415925</v>
      </c>
      <c r="E46" s="18" t="str">
        <f>IF(D46&gt;0,VLOOKUP(D46,'PLANTA PERNO'!A:D,4,0)&amp;" "&amp;VLOOKUP(D46,'PLANTA PERNO'!A:D,2,0)&amp;" "&amp;VLOOKUP(D46,'PLANTA PERNO'!A:D,3,0),IF(N46="","VACANTE DEFINITIVA","VACANTE TEMPORAL"))</f>
        <v>MARTHA CLAUDIA ALDANA AVELINO</v>
      </c>
      <c r="F46" s="20" t="s">
        <v>24</v>
      </c>
      <c r="G46" s="20" t="str">
        <f t="shared" si="0"/>
        <v>EN PROVISIONALIDAD</v>
      </c>
      <c r="H46" s="33">
        <f t="shared" si="19"/>
        <v>46275</v>
      </c>
      <c r="I46" s="33">
        <f t="shared" si="20"/>
        <v>46275</v>
      </c>
      <c r="J46" s="31" t="str">
        <f t="shared" si="21"/>
        <v>MUJER</v>
      </c>
      <c r="K46" s="21">
        <f t="shared" ca="1" si="22"/>
        <v>53</v>
      </c>
      <c r="L46" s="87" t="str">
        <f t="shared" si="5"/>
        <v>PROVISIONALIDAD</v>
      </c>
      <c r="M46" s="21" t="str">
        <f t="shared" si="18"/>
        <v>VACANTE DEFINITIVA</v>
      </c>
      <c r="N46" s="21"/>
      <c r="O46" s="18" t="str">
        <f>IF(N46="","VACANTE DEFINITIVA",(VLOOKUP(N46,'PLANTA PERNO'!A:D,4,0)&amp;" "&amp;VLOOKUP(N46,'PLANTA PERNO'!A:D,2,0)&amp;" "&amp;VLOOKUP(N46,'PLANTA PERNO'!A:D,3,0)))</f>
        <v>VACANTE DEFINITIVA</v>
      </c>
      <c r="P46" s="21"/>
      <c r="Q46" s="21"/>
      <c r="R46" s="21" t="s">
        <v>166</v>
      </c>
      <c r="S46" s="21"/>
      <c r="T46" s="21"/>
      <c r="U46" s="21"/>
      <c r="V46" s="123">
        <v>203205</v>
      </c>
      <c r="W46" s="21" t="str">
        <f t="shared" si="7"/>
        <v>OCUPADO</v>
      </c>
      <c r="X46" s="23" t="s">
        <v>27</v>
      </c>
      <c r="Y46" s="90" t="s">
        <v>813</v>
      </c>
      <c r="Z46" s="25">
        <v>470</v>
      </c>
      <c r="AA46" s="27">
        <v>3</v>
      </c>
      <c r="AB46" s="28" t="str">
        <f t="shared" si="8"/>
        <v>470-3</v>
      </c>
      <c r="AC46" s="24" t="s">
        <v>147</v>
      </c>
      <c r="AD46" s="24" t="s">
        <v>147</v>
      </c>
      <c r="AE46" s="24" t="s">
        <v>1150</v>
      </c>
      <c r="AF46" s="24" t="s">
        <v>1174</v>
      </c>
      <c r="AG46" s="24" t="s">
        <v>36</v>
      </c>
      <c r="AH46" s="24" t="s">
        <v>1175</v>
      </c>
      <c r="AI46" s="93">
        <f t="shared" si="9"/>
        <v>2188251</v>
      </c>
      <c r="AJ46" s="93">
        <v>0</v>
      </c>
      <c r="AK46" s="93">
        <f t="shared" si="23"/>
        <v>0</v>
      </c>
      <c r="AL46" s="93">
        <f>IFERROR(INT(($AI46*(VLOOKUP($D46,'PORCENTAJES FACTORES'!B:N,12,0))/100)),0)</f>
        <v>0</v>
      </c>
      <c r="AM46" s="93">
        <f t="shared" si="24"/>
        <v>0</v>
      </c>
      <c r="AN46" s="93">
        <f t="shared" si="13"/>
        <v>249095</v>
      </c>
      <c r="AO46" s="93">
        <f t="shared" si="14"/>
        <v>98931</v>
      </c>
      <c r="AP46" s="95">
        <f t="shared" si="15"/>
        <v>2536277</v>
      </c>
      <c r="AQ46" s="96"/>
      <c r="AR46" s="97" t="s">
        <v>1180</v>
      </c>
      <c r="AS46" s="58"/>
      <c r="AT46" s="2" t="s">
        <v>1181</v>
      </c>
      <c r="AU46" s="46">
        <v>6809900</v>
      </c>
      <c r="AV46" s="98" t="e">
        <f t="shared" si="16"/>
        <v>#N/A</v>
      </c>
      <c r="AW46" s="58"/>
      <c r="AX46" s="58"/>
      <c r="AY46" s="58"/>
      <c r="AZ46" s="58"/>
      <c r="BA46" s="48"/>
      <c r="BB46" s="48"/>
      <c r="BC46" s="48"/>
      <c r="BD46" s="48"/>
      <c r="BE46" s="48"/>
      <c r="BF46" s="48"/>
      <c r="BG46" s="48"/>
      <c r="BH46" s="48"/>
      <c r="BI46" s="48"/>
      <c r="BJ46" s="48"/>
      <c r="BK46" s="48"/>
      <c r="BL46" s="48"/>
      <c r="BM46" s="48"/>
      <c r="BN46" s="48"/>
      <c r="BO46" s="48"/>
      <c r="BP46" s="48"/>
      <c r="BQ46" s="48"/>
    </row>
    <row r="47" spans="1:69" ht="12.75" customHeight="1">
      <c r="A47" s="85">
        <v>43</v>
      </c>
      <c r="B47" s="86">
        <v>5040</v>
      </c>
      <c r="C47" s="29">
        <v>1</v>
      </c>
      <c r="D47" s="14">
        <v>80872961</v>
      </c>
      <c r="E47" s="18" t="str">
        <f>IF(D47&gt;0,VLOOKUP(D47,'PLANTA PERNO'!A:D,4,0)&amp;" "&amp;VLOOKUP(D47,'PLANTA PERNO'!A:D,2,0)&amp;" "&amp;VLOOKUP(D47,'PLANTA PERNO'!A:D,3,0),IF(N47="","VACANTE DEFINITIVA","VACANTE TEMPORAL"))</f>
        <v>MAURICIO ALEJANDRO MONCAYO VALENCIA</v>
      </c>
      <c r="F47" s="20" t="s">
        <v>39</v>
      </c>
      <c r="G47" s="20" t="str">
        <f t="shared" si="0"/>
        <v>NOMBRAMIENTO ORDINARIO</v>
      </c>
      <c r="H47" s="33">
        <f t="shared" si="19"/>
        <v>45337</v>
      </c>
      <c r="I47" s="33">
        <f t="shared" si="20"/>
        <v>45337</v>
      </c>
      <c r="J47" s="31" t="str">
        <f t="shared" si="21"/>
        <v>HOMBRE</v>
      </c>
      <c r="K47" s="21">
        <f t="shared" ca="1" si="22"/>
        <v>41</v>
      </c>
      <c r="L47" s="87" t="str">
        <f t="shared" si="5"/>
        <v/>
      </c>
      <c r="M47" s="21" t="str">
        <f t="shared" si="18"/>
        <v>EN PROPIEDAD</v>
      </c>
      <c r="N47" s="21">
        <v>80872961</v>
      </c>
      <c r="O47" s="18" t="str">
        <f>IF(N47="","VACANTE DEFINITIVA",(VLOOKUP(N47,'PLANTA PERNO'!A:D,4,0)&amp;" "&amp;VLOOKUP(N47,'PLANTA PERNO'!A:D,2,0)&amp;" "&amp;VLOOKUP(N47,'PLANTA PERNO'!A:D,3,0)))</f>
        <v>MAURICIO ALEJANDRO MONCAYO VALENCIA</v>
      </c>
      <c r="P47" s="21"/>
      <c r="Q47" s="21"/>
      <c r="R47" s="21"/>
      <c r="S47" s="21"/>
      <c r="T47" s="21"/>
      <c r="U47" s="21"/>
      <c r="V47" s="128"/>
      <c r="W47" s="21" t="str">
        <f t="shared" si="7"/>
        <v>OCUPADO</v>
      </c>
      <c r="X47" s="23" t="s">
        <v>22</v>
      </c>
      <c r="Y47" s="90" t="s">
        <v>1121</v>
      </c>
      <c r="Z47" s="25">
        <v>20</v>
      </c>
      <c r="AA47" s="27">
        <v>9</v>
      </c>
      <c r="AB47" s="28" t="str">
        <f t="shared" si="8"/>
        <v>20-9</v>
      </c>
      <c r="AC47" s="24" t="s">
        <v>98</v>
      </c>
      <c r="AD47" s="24" t="s">
        <v>98</v>
      </c>
      <c r="AE47" s="24" t="s">
        <v>1194</v>
      </c>
      <c r="AF47" s="24" t="s">
        <v>1195</v>
      </c>
      <c r="AG47" s="24" t="s">
        <v>1196</v>
      </c>
      <c r="AH47" s="103" t="s">
        <v>1197</v>
      </c>
      <c r="AI47" s="93">
        <f t="shared" si="9"/>
        <v>14052600</v>
      </c>
      <c r="AJ47" s="93">
        <f>+AI47</f>
        <v>14052600</v>
      </c>
      <c r="AK47" s="93">
        <f t="shared" si="23"/>
        <v>0</v>
      </c>
      <c r="AL47" s="93">
        <f>IFERROR(INT(($AI47*(VLOOKUP($D47,'PORCENTAJES FACTORES'!B:N,12,0))/100)),0)</f>
        <v>7026300</v>
      </c>
      <c r="AM47" s="93">
        <f t="shared" si="24"/>
        <v>0</v>
      </c>
      <c r="AN47" s="93">
        <f t="shared" si="13"/>
        <v>0</v>
      </c>
      <c r="AO47" s="93">
        <f t="shared" si="14"/>
        <v>0</v>
      </c>
      <c r="AP47" s="95">
        <f t="shared" si="15"/>
        <v>35131500</v>
      </c>
      <c r="AQ47" s="96"/>
      <c r="AR47" s="97" t="s">
        <v>318</v>
      </c>
      <c r="AS47" s="58"/>
      <c r="AT47" s="2" t="s">
        <v>1198</v>
      </c>
      <c r="AU47" s="46">
        <v>6982028</v>
      </c>
      <c r="AV47" s="98">
        <f t="shared" si="16"/>
        <v>80872961</v>
      </c>
      <c r="AW47" s="58"/>
      <c r="AX47" s="58"/>
      <c r="AY47" s="58"/>
      <c r="AZ47" s="58"/>
      <c r="BA47" s="48"/>
      <c r="BB47" s="48"/>
      <c r="BC47" s="48"/>
      <c r="BD47" s="48"/>
      <c r="BE47" s="48"/>
      <c r="BF47" s="48"/>
      <c r="BG47" s="48"/>
      <c r="BH47" s="48"/>
      <c r="BI47" s="48"/>
      <c r="BJ47" s="48"/>
      <c r="BK47" s="48"/>
      <c r="BL47" s="48"/>
      <c r="BM47" s="48"/>
      <c r="BN47" s="48"/>
      <c r="BO47" s="48"/>
      <c r="BP47" s="48"/>
      <c r="BQ47" s="48"/>
    </row>
    <row r="48" spans="1:69" ht="12.75" customHeight="1">
      <c r="A48" s="85">
        <v>44</v>
      </c>
      <c r="B48" s="86">
        <v>5041</v>
      </c>
      <c r="C48" s="29">
        <v>2</v>
      </c>
      <c r="D48" s="14">
        <v>80197320</v>
      </c>
      <c r="E48" s="18" t="str">
        <f>IF(D48&gt;0,VLOOKUP(D48,'PLANTA PERNO'!A:D,4,0)&amp;" "&amp;VLOOKUP(D48,'PLANTA PERNO'!A:D,2,0)&amp;" "&amp;VLOOKUP(D48,'PLANTA PERNO'!A:D,3,0),IF(N48="","VACANTE DEFINITIVA","VACANTE TEMPORAL"))</f>
        <v>CAMILO ALFONSO GUARIN PRIETO</v>
      </c>
      <c r="F48" s="20" t="s">
        <v>39</v>
      </c>
      <c r="G48" s="20" t="str">
        <f t="shared" si="0"/>
        <v>EN ENCARGO</v>
      </c>
      <c r="H48" s="33">
        <f t="shared" si="19"/>
        <v>45968</v>
      </c>
      <c r="I48" s="33">
        <f t="shared" si="20"/>
        <v>45968</v>
      </c>
      <c r="J48" s="31" t="str">
        <f t="shared" si="21"/>
        <v>HOMBRE</v>
      </c>
      <c r="K48" s="21">
        <f t="shared" ca="1" si="22"/>
        <v>43</v>
      </c>
      <c r="L48" s="87" t="str">
        <f t="shared" si="5"/>
        <v>ENCARGO</v>
      </c>
      <c r="M48" s="21" t="str">
        <f t="shared" si="18"/>
        <v>VACANTE DEFINITIVA</v>
      </c>
      <c r="N48" s="21"/>
      <c r="O48" s="18" t="str">
        <f>IF(N48="","VACANTE DEFINITIVA",(VLOOKUP(N48,'PLANTA PERNO'!A:D,4,0)&amp;" "&amp;VLOOKUP(N48,'PLANTA PERNO'!A:D,2,0)&amp;" "&amp;VLOOKUP(N48,'PLANTA PERNO'!A:D,3,0)))</f>
        <v>VACANTE DEFINITIVA</v>
      </c>
      <c r="P48" s="21" t="s">
        <v>1205</v>
      </c>
      <c r="Q48" s="21">
        <v>1</v>
      </c>
      <c r="R48" s="21"/>
      <c r="S48" s="21"/>
      <c r="T48" s="21"/>
      <c r="U48" s="21"/>
      <c r="V48" s="128"/>
      <c r="W48" s="21" t="str">
        <f t="shared" si="7"/>
        <v>OCUPADO</v>
      </c>
      <c r="X48" s="23" t="s">
        <v>22</v>
      </c>
      <c r="Y48" s="90" t="s">
        <v>142</v>
      </c>
      <c r="Z48" s="25">
        <v>45</v>
      </c>
      <c r="AA48" s="27">
        <v>8</v>
      </c>
      <c r="AB48" s="28" t="str">
        <f t="shared" si="8"/>
        <v>45-8</v>
      </c>
      <c r="AC48" s="24" t="s">
        <v>174</v>
      </c>
      <c r="AD48" s="24" t="s">
        <v>174</v>
      </c>
      <c r="AE48" s="24" t="s">
        <v>1206</v>
      </c>
      <c r="AF48" s="24" t="s">
        <v>1208</v>
      </c>
      <c r="AG48" s="24" t="s">
        <v>1209</v>
      </c>
      <c r="AH48" s="103" t="s">
        <v>1210</v>
      </c>
      <c r="AI48" s="93">
        <f t="shared" si="9"/>
        <v>12531747</v>
      </c>
      <c r="AJ48" s="93">
        <f t="shared" ref="AJ48:AJ55" si="25">+AI48*0.4</f>
        <v>5012698.8</v>
      </c>
      <c r="AK48" s="93">
        <f t="shared" si="23"/>
        <v>0</v>
      </c>
      <c r="AL48" s="93">
        <f>IFERROR(INT(($AI48*(VLOOKUP($D48,'PORCENTAJES FACTORES'!B:N,12,0))/100)),0)</f>
        <v>0</v>
      </c>
      <c r="AM48" s="93">
        <f t="shared" si="24"/>
        <v>0</v>
      </c>
      <c r="AN48" s="93">
        <f t="shared" si="13"/>
        <v>0</v>
      </c>
      <c r="AO48" s="93">
        <f t="shared" si="14"/>
        <v>0</v>
      </c>
      <c r="AP48" s="95">
        <f t="shared" si="15"/>
        <v>17544445.800000001</v>
      </c>
      <c r="AQ48" s="96"/>
      <c r="AR48" s="97" t="s">
        <v>309</v>
      </c>
      <c r="AS48" s="58"/>
      <c r="AT48" s="2" t="s">
        <v>1216</v>
      </c>
      <c r="AU48" s="46">
        <v>7296816</v>
      </c>
      <c r="AV48" s="98" t="e">
        <f t="shared" si="16"/>
        <v>#N/A</v>
      </c>
      <c r="AW48" s="58"/>
      <c r="AX48" s="58"/>
      <c r="AY48" s="58"/>
      <c r="AZ48" s="58"/>
      <c r="BA48" s="48"/>
      <c r="BB48" s="48"/>
      <c r="BC48" s="48"/>
      <c r="BD48" s="48"/>
      <c r="BE48" s="48"/>
      <c r="BF48" s="48"/>
      <c r="BG48" s="48"/>
      <c r="BH48" s="48"/>
      <c r="BI48" s="48"/>
      <c r="BJ48" s="48"/>
      <c r="BK48" s="48"/>
      <c r="BL48" s="48"/>
      <c r="BM48" s="48"/>
      <c r="BN48" s="48"/>
      <c r="BO48" s="48"/>
      <c r="BP48" s="48"/>
      <c r="BQ48" s="48"/>
    </row>
    <row r="49" spans="1:69" ht="12.75" customHeight="1">
      <c r="A49" s="85">
        <v>45</v>
      </c>
      <c r="B49" s="86">
        <v>5042</v>
      </c>
      <c r="C49" s="29">
        <v>8</v>
      </c>
      <c r="D49" s="14">
        <v>1018423025</v>
      </c>
      <c r="E49" s="18" t="str">
        <f>IF(D49&gt;0,VLOOKUP(D49,'PLANTA PERNO'!A:D,4,0)&amp;" "&amp;VLOOKUP(D49,'PLANTA PERNO'!A:D,2,0)&amp;" "&amp;VLOOKUP(D49,'PLANTA PERNO'!A:D,3,0),IF(N49="","VACANTE DEFINITIVA","VACANTE TEMPORAL"))</f>
        <v>MARIA FERNANDA QUIJANO VASQUEZ</v>
      </c>
      <c r="F49" s="20" t="s">
        <v>39</v>
      </c>
      <c r="G49" s="20" t="str">
        <f t="shared" si="0"/>
        <v>NOMBRAMIENTO ORDINARIO</v>
      </c>
      <c r="H49" s="33">
        <f t="shared" si="19"/>
        <v>45421</v>
      </c>
      <c r="I49" s="33">
        <f t="shared" si="20"/>
        <v>45421</v>
      </c>
      <c r="J49" s="31" t="str">
        <f t="shared" si="21"/>
        <v>MUJER</v>
      </c>
      <c r="K49" s="21">
        <f t="shared" ca="1" si="22"/>
        <v>38</v>
      </c>
      <c r="L49" s="87" t="str">
        <f t="shared" si="5"/>
        <v/>
      </c>
      <c r="M49" s="21" t="str">
        <f t="shared" si="18"/>
        <v>EN PROPIEDAD</v>
      </c>
      <c r="N49" s="21">
        <v>1018423025</v>
      </c>
      <c r="O49" s="18" t="str">
        <f>IF(N49="","VACANTE DEFINITIVA",(VLOOKUP(N49,'PLANTA PERNO'!A:D,4,0)&amp;" "&amp;VLOOKUP(N49,'PLANTA PERNO'!A:D,2,0)&amp;" "&amp;VLOOKUP(N49,'PLANTA PERNO'!A:D,3,0)))</f>
        <v>MARIA FERNANDA QUIJANO VASQUEZ</v>
      </c>
      <c r="P49" s="21"/>
      <c r="Q49" s="21"/>
      <c r="R49" s="21"/>
      <c r="S49" s="21"/>
      <c r="T49" s="21"/>
      <c r="U49" s="164"/>
      <c r="V49" s="128"/>
      <c r="W49" s="21" t="str">
        <f t="shared" si="7"/>
        <v>OCUPADO</v>
      </c>
      <c r="X49" s="23" t="s">
        <v>22</v>
      </c>
      <c r="Y49" s="90" t="s">
        <v>23</v>
      </c>
      <c r="Z49" s="25">
        <v>9</v>
      </c>
      <c r="AA49" s="27">
        <v>7</v>
      </c>
      <c r="AB49" s="28" t="str">
        <f t="shared" si="8"/>
        <v>9-7</v>
      </c>
      <c r="AC49" s="24" t="s">
        <v>147</v>
      </c>
      <c r="AD49" s="24" t="s">
        <v>147</v>
      </c>
      <c r="AE49" s="24" t="s">
        <v>1228</v>
      </c>
      <c r="AF49" s="24" t="s">
        <v>1230</v>
      </c>
      <c r="AG49" s="24" t="s">
        <v>1232</v>
      </c>
      <c r="AH49" s="24" t="s">
        <v>1233</v>
      </c>
      <c r="AI49" s="93">
        <f t="shared" si="9"/>
        <v>11186814</v>
      </c>
      <c r="AJ49" s="93">
        <f t="shared" si="25"/>
        <v>4474725.6000000006</v>
      </c>
      <c r="AK49" s="93">
        <f t="shared" si="23"/>
        <v>0</v>
      </c>
      <c r="AL49" s="93">
        <f>IFERROR(INT(($AI49*(VLOOKUP($D49,'PORCENTAJES FACTORES'!B:N,12,0))/100)),0)</f>
        <v>5593407</v>
      </c>
      <c r="AM49" s="93">
        <f t="shared" si="24"/>
        <v>0</v>
      </c>
      <c r="AN49" s="93">
        <f t="shared" si="13"/>
        <v>0</v>
      </c>
      <c r="AO49" s="93">
        <f t="shared" si="14"/>
        <v>0</v>
      </c>
      <c r="AP49" s="95">
        <f t="shared" si="15"/>
        <v>21254946.600000001</v>
      </c>
      <c r="AQ49" s="96"/>
      <c r="AR49" s="97" t="s">
        <v>297</v>
      </c>
      <c r="AS49" s="58"/>
      <c r="AT49" s="2" t="s">
        <v>1237</v>
      </c>
      <c r="AU49" s="46">
        <v>7358647</v>
      </c>
      <c r="AV49" s="98">
        <f t="shared" si="16"/>
        <v>1018423025</v>
      </c>
      <c r="AW49" s="58"/>
      <c r="AX49" s="58"/>
      <c r="AY49" s="58"/>
      <c r="AZ49" s="58"/>
      <c r="BA49" s="48"/>
      <c r="BB49" s="48"/>
      <c r="BC49" s="48"/>
      <c r="BD49" s="48"/>
      <c r="BE49" s="48"/>
      <c r="BF49" s="48"/>
      <c r="BG49" s="48"/>
      <c r="BH49" s="48"/>
      <c r="BI49" s="48"/>
      <c r="BJ49" s="48"/>
      <c r="BK49" s="48"/>
      <c r="BL49" s="48"/>
      <c r="BM49" s="48"/>
      <c r="BN49" s="48"/>
      <c r="BO49" s="48"/>
      <c r="BP49" s="48"/>
      <c r="BQ49" s="48"/>
    </row>
    <row r="50" spans="1:69" ht="12.75" customHeight="1">
      <c r="A50" s="85">
        <v>46</v>
      </c>
      <c r="B50" s="86">
        <v>5043</v>
      </c>
      <c r="C50" s="29">
        <v>5</v>
      </c>
      <c r="D50" s="14">
        <v>1032360948</v>
      </c>
      <c r="E50" s="18" t="str">
        <f>IF(D50&gt;0,VLOOKUP(D50,'PLANTA PERNO'!A:D,4,0)&amp;" "&amp;VLOOKUP(D50,'PLANTA PERNO'!A:D,2,0)&amp;" "&amp;VLOOKUP(D50,'PLANTA PERNO'!A:D,3,0),IF(N50="","VACANTE DEFINITIVA","VACANTE TEMPORAL"))</f>
        <v>MARINA LUZ ORTEGA MONTERO</v>
      </c>
      <c r="F50" s="20" t="s">
        <v>39</v>
      </c>
      <c r="G50" s="20" t="str">
        <f t="shared" si="0"/>
        <v>NOMBRAMIENTO ORDINARIO</v>
      </c>
      <c r="H50" s="33">
        <f t="shared" si="19"/>
        <v>45714</v>
      </c>
      <c r="I50" s="33">
        <f t="shared" si="20"/>
        <v>45714</v>
      </c>
      <c r="J50" s="31" t="str">
        <f t="shared" si="21"/>
        <v>MUJER</v>
      </c>
      <c r="K50" s="21">
        <f t="shared" ca="1" si="22"/>
        <v>41</v>
      </c>
      <c r="L50" s="87" t="str">
        <f t="shared" si="5"/>
        <v/>
      </c>
      <c r="M50" s="21" t="str">
        <f t="shared" si="18"/>
        <v>EN PROPIEDAD</v>
      </c>
      <c r="N50" s="21">
        <v>1032360948</v>
      </c>
      <c r="O50" s="18" t="str">
        <f>IF(N50="","VACANTE DEFINITIVA",(VLOOKUP(N50,'PLANTA PERNO'!A:D,4,0)&amp;" "&amp;VLOOKUP(N50,'PLANTA PERNO'!A:D,2,0)&amp;" "&amp;VLOOKUP(N50,'PLANTA PERNO'!A:D,3,0)))</f>
        <v>MARINA LUZ ORTEGA MONTERO</v>
      </c>
      <c r="P50" s="21"/>
      <c r="Q50" s="21"/>
      <c r="R50" s="21"/>
      <c r="S50" s="21"/>
      <c r="T50" s="21"/>
      <c r="U50" s="21"/>
      <c r="V50" s="128"/>
      <c r="W50" s="21" t="str">
        <f t="shared" si="7"/>
        <v>OCUPADO</v>
      </c>
      <c r="X50" s="23" t="s">
        <v>22</v>
      </c>
      <c r="Y50" s="90" t="s">
        <v>23</v>
      </c>
      <c r="Z50" s="25">
        <v>9</v>
      </c>
      <c r="AA50" s="27">
        <v>7</v>
      </c>
      <c r="AB50" s="28" t="str">
        <f t="shared" si="8"/>
        <v>9-7</v>
      </c>
      <c r="AC50" s="24" t="s">
        <v>68</v>
      </c>
      <c r="AD50" s="24" t="s">
        <v>68</v>
      </c>
      <c r="AE50" s="24" t="s">
        <v>1251</v>
      </c>
      <c r="AF50" s="24" t="s">
        <v>1252</v>
      </c>
      <c r="AG50" s="24" t="s">
        <v>1253</v>
      </c>
      <c r="AH50" s="103" t="s">
        <v>1254</v>
      </c>
      <c r="AI50" s="93">
        <f t="shared" si="9"/>
        <v>11186814</v>
      </c>
      <c r="AJ50" s="93">
        <f t="shared" si="25"/>
        <v>4474725.6000000006</v>
      </c>
      <c r="AK50" s="93">
        <f t="shared" si="23"/>
        <v>0</v>
      </c>
      <c r="AL50" s="93">
        <f>IFERROR(INT(($AI50*(VLOOKUP($D50,'PORCENTAJES FACTORES'!B:N,12,0))/100)),0)</f>
        <v>5593407</v>
      </c>
      <c r="AM50" s="93">
        <f t="shared" si="24"/>
        <v>0</v>
      </c>
      <c r="AN50" s="93">
        <f t="shared" si="13"/>
        <v>0</v>
      </c>
      <c r="AO50" s="93">
        <f t="shared" si="14"/>
        <v>0</v>
      </c>
      <c r="AP50" s="95">
        <f t="shared" si="15"/>
        <v>21254946.600000001</v>
      </c>
      <c r="AQ50" s="96"/>
      <c r="AR50" s="97" t="s">
        <v>297</v>
      </c>
      <c r="AS50" s="58"/>
      <c r="AT50" s="2" t="s">
        <v>1259</v>
      </c>
      <c r="AU50" s="46">
        <v>7495520</v>
      </c>
      <c r="AV50" s="98">
        <f t="shared" si="16"/>
        <v>1032360948</v>
      </c>
      <c r="AW50" s="58"/>
      <c r="AX50" s="58"/>
      <c r="AY50" s="58"/>
      <c r="AZ50" s="58"/>
      <c r="BA50" s="48"/>
      <c r="BB50" s="48"/>
      <c r="BC50" s="48"/>
      <c r="BD50" s="48"/>
      <c r="BE50" s="48"/>
      <c r="BF50" s="48"/>
      <c r="BG50" s="48"/>
      <c r="BH50" s="48"/>
      <c r="BI50" s="48"/>
      <c r="BJ50" s="48"/>
      <c r="BK50" s="48"/>
      <c r="BL50" s="48"/>
      <c r="BM50" s="48"/>
      <c r="BN50" s="48"/>
      <c r="BO50" s="48"/>
      <c r="BP50" s="48"/>
      <c r="BQ50" s="48"/>
    </row>
    <row r="51" spans="1:69" ht="12.75" customHeight="1">
      <c r="A51" s="85">
        <v>47</v>
      </c>
      <c r="B51" s="86">
        <v>5044</v>
      </c>
      <c r="C51" s="29">
        <v>7</v>
      </c>
      <c r="D51" s="14">
        <v>1015406682</v>
      </c>
      <c r="E51" s="18" t="str">
        <f>IF(D51&gt;0,VLOOKUP(D51,'PLANTA PERNO'!A:D,4,0)&amp;" "&amp;VLOOKUP(D51,'PLANTA PERNO'!A:D,2,0)&amp;" "&amp;VLOOKUP(D51,'PLANTA PERNO'!A:D,3,0),IF(N51="","VACANTE DEFINITIVA","VACANTE TEMPORAL"))</f>
        <v>ANDRES MAURICIO ORTIZ MAYA</v>
      </c>
      <c r="F51" s="20" t="s">
        <v>39</v>
      </c>
      <c r="G51" s="20" t="str">
        <f t="shared" si="0"/>
        <v>NOMBRAMIENTO ORDINARIO</v>
      </c>
      <c r="H51" s="33">
        <f t="shared" si="19"/>
        <v>45516</v>
      </c>
      <c r="I51" s="33">
        <f t="shared" si="20"/>
        <v>45516</v>
      </c>
      <c r="J51" s="31" t="str">
        <f t="shared" si="21"/>
        <v>HOMBRE</v>
      </c>
      <c r="K51" s="21">
        <f t="shared" ca="1" si="22"/>
        <v>38</v>
      </c>
      <c r="L51" s="87" t="str">
        <f t="shared" si="5"/>
        <v/>
      </c>
      <c r="M51" s="21" t="str">
        <f t="shared" si="18"/>
        <v>EN PROPIEDAD</v>
      </c>
      <c r="N51" s="21">
        <v>1015406682</v>
      </c>
      <c r="O51" s="18" t="str">
        <f>IF(N51="","VACANTE DEFINITIVA",(VLOOKUP(N51,'PLANTA PERNO'!A:D,4,0)&amp;" "&amp;VLOOKUP(N51,'PLANTA PERNO'!A:D,2,0)&amp;" "&amp;VLOOKUP(N51,'PLANTA PERNO'!A:D,3,0)))</f>
        <v>ANDRES MAURICIO ORTIZ MAYA</v>
      </c>
      <c r="P51" s="21"/>
      <c r="Q51" s="21"/>
      <c r="R51" s="21"/>
      <c r="S51" s="21"/>
      <c r="T51" s="21"/>
      <c r="U51" s="21"/>
      <c r="V51" s="128"/>
      <c r="W51" s="21" t="str">
        <f t="shared" si="7"/>
        <v>OCUPADO</v>
      </c>
      <c r="X51" s="23" t="s">
        <v>22</v>
      </c>
      <c r="Y51" s="90" t="s">
        <v>23</v>
      </c>
      <c r="Z51" s="25">
        <v>9</v>
      </c>
      <c r="AA51" s="27">
        <v>7</v>
      </c>
      <c r="AB51" s="28" t="str">
        <f t="shared" si="8"/>
        <v>9-7</v>
      </c>
      <c r="AC51" s="24" t="s">
        <v>153</v>
      </c>
      <c r="AD51" s="24" t="s">
        <v>153</v>
      </c>
      <c r="AE51" s="24" t="s">
        <v>1269</v>
      </c>
      <c r="AF51" s="24" t="s">
        <v>1270</v>
      </c>
      <c r="AG51" s="24" t="s">
        <v>45</v>
      </c>
      <c r="AH51" s="24" t="s">
        <v>1271</v>
      </c>
      <c r="AI51" s="93">
        <f t="shared" si="9"/>
        <v>11186814</v>
      </c>
      <c r="AJ51" s="93">
        <f t="shared" si="25"/>
        <v>4474725.6000000006</v>
      </c>
      <c r="AK51" s="93">
        <f t="shared" si="23"/>
        <v>0</v>
      </c>
      <c r="AL51" s="93">
        <f>IFERROR(INT(($AI51*(VLOOKUP($D51,'PORCENTAJES FACTORES'!B:N,12,0))/100)),0)</f>
        <v>5593407</v>
      </c>
      <c r="AM51" s="93">
        <f t="shared" si="24"/>
        <v>0</v>
      </c>
      <c r="AN51" s="93">
        <f t="shared" si="13"/>
        <v>0</v>
      </c>
      <c r="AO51" s="93">
        <f t="shared" si="14"/>
        <v>0</v>
      </c>
      <c r="AP51" s="95">
        <f t="shared" si="15"/>
        <v>21254946.600000001</v>
      </c>
      <c r="AQ51" s="96"/>
      <c r="AR51" s="97" t="s">
        <v>297</v>
      </c>
      <c r="AS51" s="58"/>
      <c r="AT51" s="2" t="s">
        <v>1292</v>
      </c>
      <c r="AU51" s="46">
        <v>7792285</v>
      </c>
      <c r="AV51" s="98">
        <f t="shared" si="16"/>
        <v>1015406682</v>
      </c>
      <c r="AW51" s="58"/>
      <c r="AX51" s="58"/>
      <c r="AY51" s="58"/>
      <c r="AZ51" s="58"/>
      <c r="BA51" s="48"/>
      <c r="BB51" s="48"/>
      <c r="BC51" s="48"/>
      <c r="BD51" s="48"/>
      <c r="BE51" s="48"/>
      <c r="BF51" s="48"/>
      <c r="BG51" s="48"/>
      <c r="BH51" s="48"/>
      <c r="BI51" s="48"/>
      <c r="BJ51" s="48"/>
      <c r="BK51" s="48"/>
      <c r="BL51" s="48"/>
      <c r="BM51" s="48"/>
      <c r="BN51" s="48"/>
      <c r="BO51" s="48"/>
      <c r="BP51" s="48"/>
      <c r="BQ51" s="48"/>
    </row>
    <row r="52" spans="1:69" ht="12.75" customHeight="1">
      <c r="A52" s="85">
        <v>48</v>
      </c>
      <c r="B52" s="86">
        <v>5045</v>
      </c>
      <c r="C52" s="29">
        <v>6</v>
      </c>
      <c r="D52" s="14">
        <v>1098810694</v>
      </c>
      <c r="E52" s="18" t="str">
        <f>IF(D52&gt;0,VLOOKUP(D52,'PLANTA PERNO'!A:D,4,0)&amp;" "&amp;VLOOKUP(D52,'PLANTA PERNO'!A:D,2,0)&amp;" "&amp;VLOOKUP(D52,'PLANTA PERNO'!A:D,3,0),IF(N52="","VACANTE DEFINITIVA","VACANTE TEMPORAL"))</f>
        <v>ANDRES FELIPE PUENTES DIAZ</v>
      </c>
      <c r="F52" s="20" t="s">
        <v>39</v>
      </c>
      <c r="G52" s="20" t="str">
        <f t="shared" si="0"/>
        <v>NOMBRAMIENTO ORDINARIO</v>
      </c>
      <c r="H52" s="33">
        <f t="shared" si="19"/>
        <v>45364</v>
      </c>
      <c r="I52" s="33">
        <f t="shared" si="20"/>
        <v>45364</v>
      </c>
      <c r="J52" s="31" t="str">
        <f t="shared" si="21"/>
        <v>HOMBRE</v>
      </c>
      <c r="K52" s="21">
        <f t="shared" ca="1" si="22"/>
        <v>28</v>
      </c>
      <c r="L52" s="87" t="str">
        <f t="shared" si="5"/>
        <v/>
      </c>
      <c r="M52" s="21" t="str">
        <f t="shared" si="18"/>
        <v>EN PROPIEDAD</v>
      </c>
      <c r="N52" s="21">
        <v>1098810694</v>
      </c>
      <c r="O52" s="18" t="str">
        <f>IF(N52="","VACANTE DEFINITIVA",(VLOOKUP(N52,'PLANTA PERNO'!A:D,4,0)&amp;" "&amp;VLOOKUP(N52,'PLANTA PERNO'!A:D,2,0)&amp;" "&amp;VLOOKUP(N52,'PLANTA PERNO'!A:D,3,0)))</f>
        <v>ANDRES FELIPE PUENTES DIAZ</v>
      </c>
      <c r="P52" s="21"/>
      <c r="Q52" s="21"/>
      <c r="R52" s="21"/>
      <c r="S52" s="21"/>
      <c r="T52" s="21"/>
      <c r="U52" s="21"/>
      <c r="V52" s="128"/>
      <c r="W52" s="21" t="str">
        <f t="shared" si="7"/>
        <v>OCUPADO</v>
      </c>
      <c r="X52" s="23" t="s">
        <v>22</v>
      </c>
      <c r="Y52" s="90" t="s">
        <v>23</v>
      </c>
      <c r="Z52" s="25">
        <v>9</v>
      </c>
      <c r="AA52" s="27">
        <v>7</v>
      </c>
      <c r="AB52" s="28" t="str">
        <f t="shared" si="8"/>
        <v>9-7</v>
      </c>
      <c r="AC52" s="24" t="s">
        <v>213</v>
      </c>
      <c r="AD52" s="24" t="s">
        <v>213</v>
      </c>
      <c r="AE52" s="24" t="s">
        <v>1311</v>
      </c>
      <c r="AF52" s="24" t="s">
        <v>1312</v>
      </c>
      <c r="AG52" s="24" t="s">
        <v>45</v>
      </c>
      <c r="AH52" s="24" t="s">
        <v>1313</v>
      </c>
      <c r="AI52" s="93">
        <f t="shared" si="9"/>
        <v>11186814</v>
      </c>
      <c r="AJ52" s="93">
        <f t="shared" si="25"/>
        <v>4474725.6000000006</v>
      </c>
      <c r="AK52" s="93">
        <f t="shared" si="23"/>
        <v>0</v>
      </c>
      <c r="AL52" s="93">
        <f>IFERROR(INT(($AI52*(VLOOKUP($D52,'PORCENTAJES FACTORES'!B:N,12,0))/100)),0)</f>
        <v>4250989</v>
      </c>
      <c r="AM52" s="93">
        <f t="shared" si="24"/>
        <v>0</v>
      </c>
      <c r="AN52" s="93">
        <f t="shared" si="13"/>
        <v>0</v>
      </c>
      <c r="AO52" s="93">
        <f t="shared" si="14"/>
        <v>0</v>
      </c>
      <c r="AP52" s="95">
        <f t="shared" si="15"/>
        <v>19912528.600000001</v>
      </c>
      <c r="AQ52" s="96"/>
      <c r="AR52" s="97" t="s">
        <v>297</v>
      </c>
      <c r="AS52" s="58"/>
      <c r="AT52" s="2" t="s">
        <v>1318</v>
      </c>
      <c r="AU52" s="46">
        <v>8442184</v>
      </c>
      <c r="AV52" s="98">
        <f t="shared" si="16"/>
        <v>1098810694</v>
      </c>
      <c r="AW52" s="58"/>
      <c r="AX52" s="58"/>
      <c r="AY52" s="58"/>
      <c r="AZ52" s="58"/>
      <c r="BA52" s="48"/>
      <c r="BB52" s="48"/>
      <c r="BC52" s="48"/>
      <c r="BD52" s="48"/>
      <c r="BE52" s="48"/>
      <c r="BF52" s="48"/>
      <c r="BG52" s="48"/>
      <c r="BH52" s="48"/>
      <c r="BI52" s="48"/>
      <c r="BJ52" s="48"/>
      <c r="BK52" s="48"/>
      <c r="BL52" s="48"/>
      <c r="BM52" s="48"/>
      <c r="BN52" s="48"/>
      <c r="BO52" s="48"/>
      <c r="BP52" s="48"/>
      <c r="BQ52" s="48"/>
    </row>
    <row r="53" spans="1:69" ht="12.75" customHeight="1">
      <c r="A53" s="85">
        <v>49</v>
      </c>
      <c r="B53" s="86">
        <v>5046</v>
      </c>
      <c r="C53" s="29">
        <v>3</v>
      </c>
      <c r="D53" s="171">
        <v>52966706</v>
      </c>
      <c r="E53" s="18" t="str">
        <f>IF(D53&gt;0,VLOOKUP(D53,'PLANTA PERNO'!A:D,4,0)&amp;" "&amp;VLOOKUP(D53,'PLANTA PERNO'!A:D,2,0)&amp;" "&amp;VLOOKUP(D53,'PLANTA PERNO'!A:D,3,0),IF(N53="","VACANTE DEFINITIVA","VACANTE TEMPORAL"))</f>
        <v>MARIA FERNANDA FUENTES TUTA</v>
      </c>
      <c r="F53" s="20" t="s">
        <v>39</v>
      </c>
      <c r="G53" s="20" t="str">
        <f t="shared" si="0"/>
        <v>EN ENCARGO</v>
      </c>
      <c r="H53" s="33">
        <f t="shared" si="19"/>
        <v>46237</v>
      </c>
      <c r="I53" s="33">
        <f t="shared" si="20"/>
        <v>46237</v>
      </c>
      <c r="J53" s="31" t="str">
        <f t="shared" si="21"/>
        <v>MUJER</v>
      </c>
      <c r="K53" s="21">
        <f t="shared" ca="1" si="22"/>
        <v>42</v>
      </c>
      <c r="L53" s="87" t="str">
        <f t="shared" si="5"/>
        <v>ENCARGO</v>
      </c>
      <c r="M53" s="21" t="str">
        <f t="shared" si="18"/>
        <v>EN ENCARGO</v>
      </c>
      <c r="N53" s="21">
        <v>52966706</v>
      </c>
      <c r="O53" s="18" t="str">
        <f>IF(N53="","VACANTE DEFINITIVA",(VLOOKUP(N53,'PLANTA PERNO'!A:D,4,0)&amp;" "&amp;VLOOKUP(N53,'PLANTA PERNO'!A:D,2,0)&amp;" "&amp;VLOOKUP(N53,'PLANTA PERNO'!A:D,3,0)))</f>
        <v>MARIA FERNANDA FUENTES TUTA</v>
      </c>
      <c r="P53" s="21" t="s">
        <v>290</v>
      </c>
      <c r="Q53" s="21">
        <v>1</v>
      </c>
      <c r="R53" s="21"/>
      <c r="S53" s="21"/>
      <c r="T53" s="21"/>
      <c r="U53" s="21"/>
      <c r="V53" s="128"/>
      <c r="W53" s="21" t="str">
        <f t="shared" si="7"/>
        <v>OCUPADO</v>
      </c>
      <c r="X53" s="23" t="s">
        <v>22</v>
      </c>
      <c r="Y53" s="90" t="s">
        <v>23</v>
      </c>
      <c r="Z53" s="25">
        <v>9</v>
      </c>
      <c r="AA53" s="27">
        <v>7</v>
      </c>
      <c r="AB53" s="28" t="str">
        <f t="shared" si="8"/>
        <v>9-7</v>
      </c>
      <c r="AC53" s="24" t="s">
        <v>33</v>
      </c>
      <c r="AD53" s="24" t="s">
        <v>33</v>
      </c>
      <c r="AE53" s="24" t="s">
        <v>41</v>
      </c>
      <c r="AF53" s="24" t="s">
        <v>44</v>
      </c>
      <c r="AG53" s="24" t="s">
        <v>45</v>
      </c>
      <c r="AH53" s="24" t="s">
        <v>46</v>
      </c>
      <c r="AI53" s="93">
        <f t="shared" si="9"/>
        <v>11186814</v>
      </c>
      <c r="AJ53" s="93">
        <f t="shared" si="25"/>
        <v>4474725.6000000006</v>
      </c>
      <c r="AK53" s="93">
        <f t="shared" si="23"/>
        <v>0</v>
      </c>
      <c r="AL53" s="93">
        <f>IFERROR(INT(($AI53*(VLOOKUP($D53,'PORCENTAJES FACTORES'!B:N,12,0))/100)),0)</f>
        <v>0</v>
      </c>
      <c r="AM53" s="93">
        <f t="shared" si="24"/>
        <v>0</v>
      </c>
      <c r="AN53" s="93">
        <f t="shared" si="13"/>
        <v>0</v>
      </c>
      <c r="AO53" s="93">
        <f t="shared" si="14"/>
        <v>0</v>
      </c>
      <c r="AP53" s="95">
        <f t="shared" si="15"/>
        <v>15661539.600000001</v>
      </c>
      <c r="AQ53" s="96"/>
      <c r="AR53" s="97" t="s">
        <v>297</v>
      </c>
      <c r="AS53" s="58"/>
      <c r="AT53" s="2" t="s">
        <v>1347</v>
      </c>
      <c r="AU53" s="46">
        <v>8507299</v>
      </c>
      <c r="AV53" s="98">
        <f t="shared" si="16"/>
        <v>52966706</v>
      </c>
      <c r="AW53" s="58"/>
      <c r="AX53" s="58"/>
      <c r="AY53" s="58"/>
      <c r="AZ53" s="58"/>
      <c r="BA53" s="48"/>
      <c r="BB53" s="48"/>
      <c r="BC53" s="48"/>
      <c r="BD53" s="48"/>
      <c r="BE53" s="48"/>
      <c r="BF53" s="48"/>
      <c r="BG53" s="48"/>
      <c r="BH53" s="48"/>
      <c r="BI53" s="48"/>
      <c r="BJ53" s="48"/>
      <c r="BK53" s="48"/>
      <c r="BL53" s="48"/>
      <c r="BM53" s="48"/>
      <c r="BN53" s="48"/>
      <c r="BO53" s="48"/>
      <c r="BP53" s="48"/>
      <c r="BQ53" s="48"/>
    </row>
    <row r="54" spans="1:69" ht="12.75" customHeight="1">
      <c r="A54" s="85">
        <v>50</v>
      </c>
      <c r="B54" s="86">
        <v>5047</v>
      </c>
      <c r="C54" s="29">
        <v>4</v>
      </c>
      <c r="D54" s="14">
        <v>80197320</v>
      </c>
      <c r="E54" s="18" t="str">
        <f>IF(D54&gt;0,VLOOKUP(D54,'PLANTA PERNO'!A:D,4,0)&amp;" "&amp;VLOOKUP(D54,'PLANTA PERNO'!A:D,2,0)&amp;" "&amp;VLOOKUP(D54,'PLANTA PERNO'!A:D,3,0),IF(N54="","VACANTE DEFINITIVA","VACANTE TEMPORAL"))</f>
        <v>CAMILO ALFONSO GUARIN PRIETO</v>
      </c>
      <c r="F54" s="20" t="s">
        <v>39</v>
      </c>
      <c r="G54" s="20" t="str">
        <f t="shared" si="0"/>
        <v>EN ENCARGO</v>
      </c>
      <c r="H54" s="33">
        <f t="shared" si="19"/>
        <v>45968</v>
      </c>
      <c r="I54" s="33">
        <f t="shared" si="20"/>
        <v>45968</v>
      </c>
      <c r="J54" s="31" t="str">
        <f t="shared" si="21"/>
        <v>HOMBRE</v>
      </c>
      <c r="K54" s="21">
        <f t="shared" ca="1" si="22"/>
        <v>43</v>
      </c>
      <c r="L54" s="87" t="str">
        <f t="shared" si="5"/>
        <v>ENCARGO</v>
      </c>
      <c r="M54" s="21" t="str">
        <f t="shared" si="18"/>
        <v>EN ENCARGO</v>
      </c>
      <c r="N54" s="21">
        <v>80197320</v>
      </c>
      <c r="O54" s="18" t="str">
        <f>IF(N54="","VACANTE DEFINITIVA",(VLOOKUP(N54,'PLANTA PERNO'!A:D,4,0)&amp;" "&amp;VLOOKUP(N54,'PLANTA PERNO'!A:D,2,0)&amp;" "&amp;VLOOKUP(N54,'PLANTA PERNO'!A:D,3,0)))</f>
        <v>CAMILO ALFONSO GUARIN PRIETO</v>
      </c>
      <c r="P54" s="21" t="s">
        <v>1205</v>
      </c>
      <c r="Q54" s="21">
        <v>2</v>
      </c>
      <c r="R54" s="21"/>
      <c r="S54" s="21"/>
      <c r="T54" s="21"/>
      <c r="U54" s="21"/>
      <c r="V54" s="128"/>
      <c r="W54" s="21" t="str">
        <f t="shared" si="7"/>
        <v>OCUPADO</v>
      </c>
      <c r="X54" s="23" t="s">
        <v>22</v>
      </c>
      <c r="Y54" s="90" t="s">
        <v>23</v>
      </c>
      <c r="Z54" s="25">
        <v>9</v>
      </c>
      <c r="AA54" s="27">
        <v>7</v>
      </c>
      <c r="AB54" s="28" t="str">
        <f t="shared" si="8"/>
        <v>9-7</v>
      </c>
      <c r="AC54" s="24" t="s">
        <v>150</v>
      </c>
      <c r="AD54" s="24" t="s">
        <v>150</v>
      </c>
      <c r="AE54" s="24" t="s">
        <v>1364</v>
      </c>
      <c r="AF54" s="24" t="s">
        <v>1366</v>
      </c>
      <c r="AG54" s="24" t="s">
        <v>45</v>
      </c>
      <c r="AH54" s="24" t="s">
        <v>1368</v>
      </c>
      <c r="AI54" s="93">
        <f t="shared" si="9"/>
        <v>11186814</v>
      </c>
      <c r="AJ54" s="93">
        <f t="shared" si="25"/>
        <v>4474725.6000000006</v>
      </c>
      <c r="AK54" s="93">
        <f t="shared" si="23"/>
        <v>0</v>
      </c>
      <c r="AL54" s="93">
        <f>IFERROR(INT(($AI54*(VLOOKUP($D54,'PORCENTAJES FACTORES'!B:N,12,0))/100)),0)</f>
        <v>0</v>
      </c>
      <c r="AM54" s="93">
        <f t="shared" si="24"/>
        <v>0</v>
      </c>
      <c r="AN54" s="93">
        <f t="shared" si="13"/>
        <v>0</v>
      </c>
      <c r="AO54" s="93">
        <f t="shared" si="14"/>
        <v>0</v>
      </c>
      <c r="AP54" s="95">
        <f t="shared" si="15"/>
        <v>15661539.600000001</v>
      </c>
      <c r="AQ54" s="96"/>
      <c r="AR54" s="97" t="s">
        <v>297</v>
      </c>
      <c r="AS54" s="58"/>
      <c r="AT54" s="2" t="s">
        <v>1374</v>
      </c>
      <c r="AU54" s="46">
        <v>10389374</v>
      </c>
      <c r="AV54" s="98">
        <f t="shared" si="16"/>
        <v>80197320</v>
      </c>
      <c r="AW54" s="58"/>
      <c r="AX54" s="58"/>
      <c r="AY54" s="58"/>
      <c r="AZ54" s="58"/>
      <c r="BA54" s="48"/>
      <c r="BB54" s="48"/>
      <c r="BC54" s="48"/>
      <c r="BD54" s="48"/>
      <c r="BE54" s="48"/>
      <c r="BF54" s="48"/>
      <c r="BG54" s="48"/>
      <c r="BH54" s="48"/>
      <c r="BI54" s="48"/>
      <c r="BJ54" s="48"/>
      <c r="BK54" s="48"/>
      <c r="BL54" s="48"/>
      <c r="BM54" s="48"/>
      <c r="BN54" s="48"/>
      <c r="BO54" s="48"/>
      <c r="BP54" s="48"/>
      <c r="BQ54" s="48"/>
    </row>
    <row r="55" spans="1:69" ht="12.75" customHeight="1">
      <c r="A55" s="85">
        <v>51</v>
      </c>
      <c r="B55" s="86">
        <v>5048</v>
      </c>
      <c r="C55" s="29">
        <v>10</v>
      </c>
      <c r="D55" s="14">
        <v>1075208323</v>
      </c>
      <c r="E55" s="18" t="str">
        <f>IF(D55&gt;0,VLOOKUP(D55,'PLANTA PERNO'!A:D,4,0)&amp;" "&amp;VLOOKUP(D55,'PLANTA PERNO'!A:D,2,0)&amp;" "&amp;VLOOKUP(D55,'PLANTA PERNO'!A:D,3,0),IF(N55="","VACANTE DEFINITIVA","VACANTE TEMPORAL"))</f>
        <v>LEIDY YULIETH PEREA RAMIREZ</v>
      </c>
      <c r="F55" s="20" t="s">
        <v>249</v>
      </c>
      <c r="G55" s="20" t="str">
        <f t="shared" si="0"/>
        <v>PERÍODO FIJO</v>
      </c>
      <c r="H55" s="33">
        <f t="shared" si="19"/>
        <v>46031</v>
      </c>
      <c r="I55" s="33">
        <f t="shared" si="20"/>
        <v>46031</v>
      </c>
      <c r="J55" s="31" t="str">
        <f t="shared" si="21"/>
        <v>MUJER</v>
      </c>
      <c r="K55" s="21">
        <f t="shared" ca="1" si="22"/>
        <v>41</v>
      </c>
      <c r="L55" s="87" t="str">
        <f t="shared" si="5"/>
        <v/>
      </c>
      <c r="M55" s="21" t="str">
        <f t="shared" si="18"/>
        <v>EN PROPIEDAD</v>
      </c>
      <c r="N55" s="21">
        <v>1075208323</v>
      </c>
      <c r="O55" s="18" t="str">
        <f>IF(N55="","VACANTE DEFINITIVA",(VLOOKUP(N55,'PLANTA PERNO'!A:D,4,0)&amp;" "&amp;VLOOKUP(N55,'PLANTA PERNO'!A:D,2,0)&amp;" "&amp;VLOOKUP(N55,'PLANTA PERNO'!A:D,3,0)))</f>
        <v>LEIDY YULIETH PEREA RAMIREZ</v>
      </c>
      <c r="P55" s="21"/>
      <c r="Q55" s="21"/>
      <c r="R55" s="21"/>
      <c r="S55" s="21"/>
      <c r="T55" s="21"/>
      <c r="U55" s="21"/>
      <c r="V55" s="128"/>
      <c r="W55" s="21" t="str">
        <f t="shared" si="7"/>
        <v>OCUPADO</v>
      </c>
      <c r="X55" s="23" t="s">
        <v>22</v>
      </c>
      <c r="Y55" s="90" t="s">
        <v>28</v>
      </c>
      <c r="Z55" s="25">
        <v>6</v>
      </c>
      <c r="AA55" s="27">
        <v>6</v>
      </c>
      <c r="AB55" s="28" t="str">
        <f t="shared" si="8"/>
        <v>6-6</v>
      </c>
      <c r="AC55" s="24" t="s">
        <v>138</v>
      </c>
      <c r="AD55" s="24" t="s">
        <v>138</v>
      </c>
      <c r="AE55" s="24" t="s">
        <v>1384</v>
      </c>
      <c r="AF55" s="24" t="s">
        <v>1386</v>
      </c>
      <c r="AG55" s="24" t="s">
        <v>1387</v>
      </c>
      <c r="AH55" s="24" t="s">
        <v>1389</v>
      </c>
      <c r="AI55" s="93">
        <f t="shared" si="9"/>
        <v>10208470</v>
      </c>
      <c r="AJ55" s="93">
        <f t="shared" si="25"/>
        <v>4083388</v>
      </c>
      <c r="AK55" s="93">
        <f t="shared" si="23"/>
        <v>0</v>
      </c>
      <c r="AL55" s="93">
        <f>IFERROR(INT(($AI55*(VLOOKUP($D55,'PORCENTAJES FACTORES'!B:N,12,0))/100)),0)</f>
        <v>0</v>
      </c>
      <c r="AM55" s="93">
        <f t="shared" si="24"/>
        <v>0</v>
      </c>
      <c r="AN55" s="93">
        <f t="shared" si="13"/>
        <v>0</v>
      </c>
      <c r="AO55" s="93">
        <f t="shared" si="14"/>
        <v>0</v>
      </c>
      <c r="AP55" s="95">
        <f t="shared" si="15"/>
        <v>14291858</v>
      </c>
      <c r="AQ55" s="96"/>
      <c r="AR55" s="97" t="s">
        <v>244</v>
      </c>
      <c r="AS55" s="58"/>
      <c r="AT55" s="2" t="s">
        <v>1394</v>
      </c>
      <c r="AU55" s="46">
        <v>2761734</v>
      </c>
      <c r="AV55" s="98">
        <f t="shared" si="16"/>
        <v>1075208323</v>
      </c>
      <c r="AW55" s="58"/>
      <c r="AX55" s="58"/>
      <c r="AY55" s="58"/>
      <c r="AZ55" s="58"/>
      <c r="BA55" s="48"/>
      <c r="BB55" s="48"/>
      <c r="BC55" s="48"/>
      <c r="BD55" s="48"/>
      <c r="BE55" s="48"/>
      <c r="BF55" s="48"/>
      <c r="BG55" s="48"/>
      <c r="BH55" s="48"/>
      <c r="BI55" s="48"/>
      <c r="BJ55" s="48"/>
      <c r="BK55" s="48"/>
      <c r="BL55" s="48"/>
      <c r="BM55" s="48"/>
      <c r="BN55" s="48"/>
      <c r="BO55" s="48"/>
      <c r="BP55" s="48"/>
      <c r="BQ55" s="48"/>
    </row>
    <row r="56" spans="1:69" ht="12.75" customHeight="1">
      <c r="A56" s="85">
        <v>52</v>
      </c>
      <c r="B56" s="86">
        <v>5049</v>
      </c>
      <c r="C56" s="29">
        <v>17</v>
      </c>
      <c r="D56" s="14">
        <v>79569642</v>
      </c>
      <c r="E56" s="18" t="str">
        <f>IF(D56&gt;0,VLOOKUP(D56,'PLANTA PERNO'!A:D,4,0)&amp;" "&amp;VLOOKUP(D56,'PLANTA PERNO'!A:D,2,0)&amp;" "&amp;VLOOKUP(D56,'PLANTA PERNO'!A:D,3,0),IF(N56="","VACANTE DEFINITIVA","VACANTE TEMPORAL"))</f>
        <v>NELSON JULIAN SALAZAR URRUTIA</v>
      </c>
      <c r="F56" s="20" t="s">
        <v>49</v>
      </c>
      <c r="G56" s="20" t="str">
        <f t="shared" si="0"/>
        <v>EN ENCARGO</v>
      </c>
      <c r="H56" s="33">
        <f t="shared" si="19"/>
        <v>42585</v>
      </c>
      <c r="I56" s="33">
        <f t="shared" si="20"/>
        <v>36271</v>
      </c>
      <c r="J56" s="31" t="str">
        <f t="shared" si="21"/>
        <v>HOMBRE</v>
      </c>
      <c r="K56" s="21">
        <f t="shared" ca="1" si="22"/>
        <v>54</v>
      </c>
      <c r="L56" s="87" t="str">
        <f t="shared" si="5"/>
        <v>ENCARGO</v>
      </c>
      <c r="M56" s="21" t="str">
        <f t="shared" si="18"/>
        <v>VACANTE DEFINITIVA</v>
      </c>
      <c r="N56" s="21" t="s">
        <v>25</v>
      </c>
      <c r="O56" s="18" t="str">
        <f>IF(N56="","VACANTE DEFINITIVA",(VLOOKUP(N56,'PLANTA PERNO'!A:D,4,0)&amp;" "&amp;VLOOKUP(N56,'PLANTA PERNO'!A:D,2,0)&amp;" "&amp;VLOOKUP(N56,'PLANTA PERNO'!A:D,3,0)))</f>
        <v>VACANTE DEFINITIVA</v>
      </c>
      <c r="P56" s="21" t="s">
        <v>406</v>
      </c>
      <c r="Q56" s="21">
        <v>1</v>
      </c>
      <c r="R56" s="21"/>
      <c r="S56" s="21"/>
      <c r="T56" s="21"/>
      <c r="U56" s="21"/>
      <c r="V56" s="128"/>
      <c r="W56" s="21" t="str">
        <f t="shared" si="7"/>
        <v>OCUPADO</v>
      </c>
      <c r="X56" s="23" t="s">
        <v>50</v>
      </c>
      <c r="Y56" s="90" t="s">
        <v>51</v>
      </c>
      <c r="Z56" s="25">
        <v>222</v>
      </c>
      <c r="AA56" s="27">
        <v>27</v>
      </c>
      <c r="AB56" s="28" t="str">
        <f t="shared" si="8"/>
        <v>222-27</v>
      </c>
      <c r="AC56" s="24" t="s">
        <v>147</v>
      </c>
      <c r="AD56" s="24" t="s">
        <v>147</v>
      </c>
      <c r="AE56" s="24" t="s">
        <v>1404</v>
      </c>
      <c r="AF56" s="24" t="s">
        <v>1405</v>
      </c>
      <c r="AG56" s="24" t="s">
        <v>1406</v>
      </c>
      <c r="AH56" s="24" t="s">
        <v>1407</v>
      </c>
      <c r="AI56" s="93">
        <f t="shared" si="9"/>
        <v>7358647</v>
      </c>
      <c r="AJ56" s="93">
        <v>0</v>
      </c>
      <c r="AK56" s="93">
        <f t="shared" si="23"/>
        <v>515105</v>
      </c>
      <c r="AL56" s="93">
        <f>IFERROR(INT(($AI56*(VLOOKUP($D56,'PORCENTAJES FACTORES'!B:N,12,0))/100)),0)</f>
        <v>2943458</v>
      </c>
      <c r="AM56" s="93">
        <f t="shared" si="24"/>
        <v>0</v>
      </c>
      <c r="AN56" s="93">
        <f t="shared" si="13"/>
        <v>0</v>
      </c>
      <c r="AO56" s="93">
        <f t="shared" si="14"/>
        <v>0</v>
      </c>
      <c r="AP56" s="95">
        <f t="shared" si="15"/>
        <v>10817210</v>
      </c>
      <c r="AQ56" s="96"/>
      <c r="AR56" s="97" t="s">
        <v>1237</v>
      </c>
      <c r="AS56" s="58"/>
      <c r="AT56" s="2" t="s">
        <v>1413</v>
      </c>
      <c r="AU56" s="46">
        <v>2860379</v>
      </c>
      <c r="AV56" s="98" t="e">
        <f t="shared" si="16"/>
        <v>#N/A</v>
      </c>
      <c r="AW56" s="58"/>
      <c r="AX56" s="58"/>
      <c r="AY56" s="58"/>
      <c r="AZ56" s="58"/>
      <c r="BA56" s="48"/>
      <c r="BB56" s="48"/>
      <c r="BC56" s="48"/>
      <c r="BD56" s="48"/>
      <c r="BE56" s="48"/>
      <c r="BF56" s="48"/>
      <c r="BG56" s="48"/>
      <c r="BH56" s="48"/>
      <c r="BI56" s="48"/>
      <c r="BJ56" s="48"/>
      <c r="BK56" s="48"/>
      <c r="BL56" s="48"/>
      <c r="BM56" s="48"/>
      <c r="BN56" s="48"/>
      <c r="BO56" s="48"/>
      <c r="BP56" s="48"/>
      <c r="BQ56" s="48"/>
    </row>
    <row r="57" spans="1:69" ht="12.75" customHeight="1">
      <c r="A57" s="85">
        <v>53</v>
      </c>
      <c r="B57" s="86">
        <v>5050</v>
      </c>
      <c r="C57" s="29">
        <v>18</v>
      </c>
      <c r="D57" s="14">
        <v>52282454</v>
      </c>
      <c r="E57" s="18" t="str">
        <f>IF(D57&gt;0,VLOOKUP(D57,'PLANTA PERNO'!A:D,4,0)&amp;" "&amp;VLOOKUP(D57,'PLANTA PERNO'!A:D,2,0)&amp;" "&amp;VLOOKUP(D57,'PLANTA PERNO'!A:D,3,0),IF(N57="","VACANTE DEFINITIVA","VACANTE TEMPORAL"))</f>
        <v>ADRIANA PATRICIA GUZMAN CONTRERAS</v>
      </c>
      <c r="F57" s="20" t="s">
        <v>49</v>
      </c>
      <c r="G57" s="20" t="str">
        <f t="shared" si="0"/>
        <v>CARRERA ADMINISTRATIVA</v>
      </c>
      <c r="H57" s="33">
        <f t="shared" si="19"/>
        <v>44146</v>
      </c>
      <c r="I57" s="33">
        <f t="shared" si="20"/>
        <v>39190</v>
      </c>
      <c r="J57" s="31" t="str">
        <f t="shared" si="21"/>
        <v>MUJER</v>
      </c>
      <c r="K57" s="21">
        <f t="shared" ca="1" si="22"/>
        <v>49</v>
      </c>
      <c r="L57" s="87" t="str">
        <f t="shared" si="5"/>
        <v/>
      </c>
      <c r="M57" s="21" t="str">
        <f t="shared" si="18"/>
        <v>EN PROPIEDAD</v>
      </c>
      <c r="N57" s="21">
        <v>52282454</v>
      </c>
      <c r="O57" s="18" t="str">
        <f>IF(N57="","VACANTE DEFINITIVA",(VLOOKUP(N57,'PLANTA PERNO'!A:D,4,0)&amp;" "&amp;VLOOKUP(N57,'PLANTA PERNO'!A:D,2,0)&amp;" "&amp;VLOOKUP(N57,'PLANTA PERNO'!A:D,3,0)))</f>
        <v>ADRIANA PATRICIA GUZMAN CONTRERAS</v>
      </c>
      <c r="P57" s="21"/>
      <c r="Q57" s="21"/>
      <c r="R57" s="21"/>
      <c r="S57" s="21"/>
      <c r="T57" s="21"/>
      <c r="U57" s="21"/>
      <c r="V57" s="128"/>
      <c r="W57" s="21" t="str">
        <f t="shared" si="7"/>
        <v>OCUPADO</v>
      </c>
      <c r="X57" s="23" t="s">
        <v>50</v>
      </c>
      <c r="Y57" s="90" t="s">
        <v>51</v>
      </c>
      <c r="Z57" s="25">
        <v>222</v>
      </c>
      <c r="AA57" s="27">
        <v>27</v>
      </c>
      <c r="AB57" s="28" t="str">
        <f t="shared" si="8"/>
        <v>222-27</v>
      </c>
      <c r="AC57" s="24" t="s">
        <v>147</v>
      </c>
      <c r="AD57" s="24" t="s">
        <v>147</v>
      </c>
      <c r="AE57" s="24" t="s">
        <v>1427</v>
      </c>
      <c r="AF57" s="24" t="s">
        <v>1428</v>
      </c>
      <c r="AG57" s="24" t="s">
        <v>1429</v>
      </c>
      <c r="AH57" s="24" t="s">
        <v>1430</v>
      </c>
      <c r="AI57" s="93">
        <f t="shared" si="9"/>
        <v>7358647</v>
      </c>
      <c r="AJ57" s="93">
        <v>0</v>
      </c>
      <c r="AK57" s="93">
        <f t="shared" si="23"/>
        <v>515105</v>
      </c>
      <c r="AL57" s="93">
        <f>IFERROR(INT(($AI57*(VLOOKUP($D57,'PORCENTAJES FACTORES'!B:N,12,0))/100)),0)</f>
        <v>2943458</v>
      </c>
      <c r="AM57" s="93">
        <f t="shared" si="24"/>
        <v>0</v>
      </c>
      <c r="AN57" s="93">
        <f t="shared" si="13"/>
        <v>0</v>
      </c>
      <c r="AO57" s="93">
        <f t="shared" si="14"/>
        <v>0</v>
      </c>
      <c r="AP57" s="95">
        <f t="shared" si="15"/>
        <v>10817210</v>
      </c>
      <c r="AQ57" s="96"/>
      <c r="AR57" s="97" t="s">
        <v>1237</v>
      </c>
      <c r="AS57" s="58"/>
      <c r="AT57" s="2" t="s">
        <v>1438</v>
      </c>
      <c r="AU57" s="46">
        <v>3017226</v>
      </c>
      <c r="AV57" s="98">
        <f t="shared" si="16"/>
        <v>52282454</v>
      </c>
      <c r="AW57" s="58"/>
      <c r="AX57" s="58"/>
      <c r="AY57" s="58"/>
      <c r="AZ57" s="58"/>
      <c r="BA57" s="48"/>
      <c r="BB57" s="48"/>
      <c r="BC57" s="48"/>
      <c r="BD57" s="48"/>
      <c r="BE57" s="48"/>
      <c r="BF57" s="48"/>
      <c r="BG57" s="48"/>
      <c r="BH57" s="48"/>
      <c r="BI57" s="48"/>
      <c r="BJ57" s="48"/>
      <c r="BK57" s="48"/>
      <c r="BL57" s="48"/>
      <c r="BM57" s="48"/>
      <c r="BN57" s="48"/>
      <c r="BO57" s="48"/>
      <c r="BP57" s="48"/>
      <c r="BQ57" s="48"/>
    </row>
    <row r="58" spans="1:69" ht="12.75" customHeight="1">
      <c r="A58" s="85">
        <v>54</v>
      </c>
      <c r="B58" s="86">
        <v>5051</v>
      </c>
      <c r="C58" s="29">
        <v>28</v>
      </c>
      <c r="D58" s="14">
        <v>52236487</v>
      </c>
      <c r="E58" s="18" t="str">
        <f>IF(D58&gt;0,VLOOKUP(D58,'PLANTA PERNO'!A:D,4,0)&amp;" "&amp;VLOOKUP(D58,'PLANTA PERNO'!A:D,2,0)&amp;" "&amp;VLOOKUP(D58,'PLANTA PERNO'!A:D,3,0),IF(N58="","VACANTE DEFINITIVA","VACANTE TEMPORAL"))</f>
        <v>DEYSI YANIRA MORENO GUERRERO</v>
      </c>
      <c r="F58" s="20" t="s">
        <v>49</v>
      </c>
      <c r="G58" s="20" t="str">
        <f t="shared" si="0"/>
        <v>CARRERA ADMINISTRATIVA</v>
      </c>
      <c r="H58" s="33">
        <f t="shared" si="19"/>
        <v>42585</v>
      </c>
      <c r="I58" s="33">
        <f t="shared" si="20"/>
        <v>38093</v>
      </c>
      <c r="J58" s="31" t="str">
        <f t="shared" si="21"/>
        <v>MUJER</v>
      </c>
      <c r="K58" s="21">
        <f t="shared" ca="1" si="22"/>
        <v>48</v>
      </c>
      <c r="L58" s="87" t="str">
        <f t="shared" si="5"/>
        <v/>
      </c>
      <c r="M58" s="21" t="str">
        <f t="shared" si="18"/>
        <v>EN PROPIEDAD</v>
      </c>
      <c r="N58" s="21">
        <v>52236487</v>
      </c>
      <c r="O58" s="18" t="str">
        <f>IF(N58="","VACANTE DEFINITIVA",(VLOOKUP(N58,'PLANTA PERNO'!A:D,4,0)&amp;" "&amp;VLOOKUP(N58,'PLANTA PERNO'!A:D,2,0)&amp;" "&amp;VLOOKUP(N58,'PLANTA PERNO'!A:D,3,0)))</f>
        <v>DEYSI YANIRA MORENO GUERRERO</v>
      </c>
      <c r="P58" s="21"/>
      <c r="Q58" s="21"/>
      <c r="R58" s="21"/>
      <c r="S58" s="21"/>
      <c r="T58" s="21"/>
      <c r="U58" s="21"/>
      <c r="V58" s="128"/>
      <c r="W58" s="21" t="str">
        <f t="shared" si="7"/>
        <v>OCUPADO</v>
      </c>
      <c r="X58" s="23" t="s">
        <v>50</v>
      </c>
      <c r="Y58" s="90" t="s">
        <v>51</v>
      </c>
      <c r="Z58" s="25">
        <v>222</v>
      </c>
      <c r="AA58" s="27">
        <v>27</v>
      </c>
      <c r="AB58" s="28" t="str">
        <f t="shared" si="8"/>
        <v>222-27</v>
      </c>
      <c r="AC58" s="24" t="s">
        <v>68</v>
      </c>
      <c r="AD58" s="24" t="s">
        <v>68</v>
      </c>
      <c r="AE58" s="24" t="s">
        <v>1450</v>
      </c>
      <c r="AF58" s="24" t="s">
        <v>1454</v>
      </c>
      <c r="AG58" s="24" t="s">
        <v>1455</v>
      </c>
      <c r="AH58" s="103" t="s">
        <v>1457</v>
      </c>
      <c r="AI58" s="93">
        <f t="shared" si="9"/>
        <v>7358647</v>
      </c>
      <c r="AJ58" s="93">
        <v>0</v>
      </c>
      <c r="AK58" s="93">
        <f t="shared" si="23"/>
        <v>515105</v>
      </c>
      <c r="AL58" s="93">
        <f>IFERROR(INT(($AI58*(VLOOKUP($D58,'PORCENTAJES FACTORES'!B:N,12,0))/100)),0)</f>
        <v>2943458</v>
      </c>
      <c r="AM58" s="93">
        <f t="shared" si="24"/>
        <v>0</v>
      </c>
      <c r="AN58" s="93">
        <f t="shared" si="13"/>
        <v>0</v>
      </c>
      <c r="AO58" s="93">
        <f t="shared" si="14"/>
        <v>0</v>
      </c>
      <c r="AP58" s="95">
        <f t="shared" si="15"/>
        <v>10817210</v>
      </c>
      <c r="AQ58" s="96"/>
      <c r="AR58" s="97" t="s">
        <v>1237</v>
      </c>
      <c r="AS58" s="58"/>
      <c r="AT58" s="2" t="s">
        <v>1462</v>
      </c>
      <c r="AU58" s="46">
        <v>3115016</v>
      </c>
      <c r="AV58" s="98">
        <f t="shared" si="16"/>
        <v>52236487</v>
      </c>
      <c r="AW58" s="58"/>
      <c r="AX58" s="58"/>
      <c r="AY58" s="58"/>
      <c r="AZ58" s="58"/>
      <c r="BA58" s="48"/>
      <c r="BB58" s="48"/>
      <c r="BC58" s="48"/>
      <c r="BD58" s="48"/>
      <c r="BE58" s="48"/>
      <c r="BF58" s="48"/>
      <c r="BG58" s="48"/>
      <c r="BH58" s="48"/>
      <c r="BI58" s="48"/>
      <c r="BJ58" s="48"/>
      <c r="BK58" s="48"/>
      <c r="BL58" s="48"/>
      <c r="BM58" s="48"/>
      <c r="BN58" s="48"/>
      <c r="BO58" s="48"/>
      <c r="BP58" s="48"/>
      <c r="BQ58" s="48"/>
    </row>
    <row r="59" spans="1:69" ht="12.75" customHeight="1">
      <c r="A59" s="85">
        <v>55</v>
      </c>
      <c r="B59" s="86">
        <v>5052</v>
      </c>
      <c r="C59" s="29">
        <v>29</v>
      </c>
      <c r="D59" s="14">
        <v>80222608</v>
      </c>
      <c r="E59" s="18" t="str">
        <f>IF(D59&gt;0,VLOOKUP(D59,'PLANTA PERNO'!A:D,4,0)&amp;" "&amp;VLOOKUP(D59,'PLANTA PERNO'!A:D,2,0)&amp;" "&amp;VLOOKUP(D59,'PLANTA PERNO'!A:D,3,0),IF(N59="","VACANTE DEFINITIVA","VACANTE TEMPORAL"))</f>
        <v>GERMAN ALBERTO PULIDO PULIDO</v>
      </c>
      <c r="F59" s="20" t="s">
        <v>49</v>
      </c>
      <c r="G59" s="20" t="str">
        <f t="shared" si="0"/>
        <v>CARRERA ADMINISTRATIVA</v>
      </c>
      <c r="H59" s="33">
        <f t="shared" si="19"/>
        <v>44294</v>
      </c>
      <c r="I59" s="33">
        <f t="shared" si="20"/>
        <v>40598</v>
      </c>
      <c r="J59" s="31" t="str">
        <f t="shared" si="21"/>
        <v>HOMBRE</v>
      </c>
      <c r="K59" s="21">
        <f t="shared" ca="1" si="22"/>
        <v>43</v>
      </c>
      <c r="L59" s="87" t="str">
        <f t="shared" si="5"/>
        <v/>
      </c>
      <c r="M59" s="21" t="str">
        <f t="shared" si="18"/>
        <v>EN PROPIEDAD</v>
      </c>
      <c r="N59" s="21">
        <v>80222608</v>
      </c>
      <c r="O59" s="18" t="str">
        <f>IF(N59="","VACANTE DEFINITIVA",(VLOOKUP(N59,'PLANTA PERNO'!A:D,4,0)&amp;" "&amp;VLOOKUP(N59,'PLANTA PERNO'!A:D,2,0)&amp;" "&amp;VLOOKUP(N59,'PLANTA PERNO'!A:D,3,0)))</f>
        <v>GERMAN ALBERTO PULIDO PULIDO</v>
      </c>
      <c r="P59" s="21"/>
      <c r="Q59" s="21"/>
      <c r="R59" s="21"/>
      <c r="S59" s="21"/>
      <c r="T59" s="21"/>
      <c r="U59" s="21"/>
      <c r="V59" s="128"/>
      <c r="W59" s="21" t="str">
        <f t="shared" si="7"/>
        <v>OCUPADO</v>
      </c>
      <c r="X59" s="23" t="s">
        <v>50</v>
      </c>
      <c r="Y59" s="90" t="s">
        <v>51</v>
      </c>
      <c r="Z59" s="25">
        <v>222</v>
      </c>
      <c r="AA59" s="27">
        <v>27</v>
      </c>
      <c r="AB59" s="28" t="str">
        <f t="shared" si="8"/>
        <v>222-27</v>
      </c>
      <c r="AC59" s="24" t="s">
        <v>174</v>
      </c>
      <c r="AD59" s="24" t="s">
        <v>174</v>
      </c>
      <c r="AE59" s="24" t="s">
        <v>1483</v>
      </c>
      <c r="AF59" s="24" t="s">
        <v>1486</v>
      </c>
      <c r="AG59" s="24" t="s">
        <v>1488</v>
      </c>
      <c r="AH59" s="24" t="s">
        <v>1490</v>
      </c>
      <c r="AI59" s="93">
        <f t="shared" si="9"/>
        <v>7358647</v>
      </c>
      <c r="AJ59" s="93">
        <v>0</v>
      </c>
      <c r="AK59" s="93">
        <f t="shared" si="23"/>
        <v>515105</v>
      </c>
      <c r="AL59" s="93">
        <f>IFERROR(INT(($AI59*(VLOOKUP($D59,'PORCENTAJES FACTORES'!B:N,12,0))/100)),0)</f>
        <v>2943458</v>
      </c>
      <c r="AM59" s="93">
        <f t="shared" si="24"/>
        <v>0</v>
      </c>
      <c r="AN59" s="93">
        <f t="shared" si="13"/>
        <v>0</v>
      </c>
      <c r="AO59" s="93">
        <f t="shared" si="14"/>
        <v>0</v>
      </c>
      <c r="AP59" s="95">
        <f t="shared" si="15"/>
        <v>10817210</v>
      </c>
      <c r="AQ59" s="96"/>
      <c r="AR59" s="97" t="s">
        <v>1237</v>
      </c>
      <c r="AS59" s="58"/>
      <c r="AT59" s="2" t="s">
        <v>1496</v>
      </c>
      <c r="AU59" s="46">
        <v>3212811</v>
      </c>
      <c r="AV59" s="98">
        <f t="shared" si="16"/>
        <v>80222608</v>
      </c>
      <c r="AW59" s="58"/>
      <c r="AX59" s="58"/>
      <c r="AY59" s="58"/>
      <c r="AZ59" s="58"/>
      <c r="BA59" s="48"/>
      <c r="BB59" s="48"/>
      <c r="BC59" s="48"/>
      <c r="BD59" s="48"/>
      <c r="BE59" s="48"/>
      <c r="BF59" s="48"/>
      <c r="BG59" s="48"/>
      <c r="BH59" s="48"/>
      <c r="BI59" s="48"/>
      <c r="BJ59" s="48"/>
      <c r="BK59" s="48"/>
      <c r="BL59" s="48"/>
      <c r="BM59" s="48"/>
      <c r="BN59" s="48"/>
      <c r="BO59" s="48"/>
      <c r="BP59" s="48"/>
      <c r="BQ59" s="48"/>
    </row>
    <row r="60" spans="1:69" ht="12.75" customHeight="1">
      <c r="A60" s="85">
        <v>56</v>
      </c>
      <c r="B60" s="86">
        <v>5053</v>
      </c>
      <c r="C60" s="29">
        <v>30</v>
      </c>
      <c r="D60" s="14">
        <v>28496885</v>
      </c>
      <c r="E60" s="18" t="str">
        <f>IF(D60&gt;0,VLOOKUP(D60,'PLANTA PERNO'!A:D,4,0)&amp;" "&amp;VLOOKUP(D60,'PLANTA PERNO'!A:D,2,0)&amp;" "&amp;VLOOKUP(D60,'PLANTA PERNO'!A:D,3,0),IF(N60="","VACANTE DEFINITIVA","VACANTE TEMPORAL"))</f>
        <v>ESTHER PINILLA SERRANO</v>
      </c>
      <c r="F60" s="20" t="s">
        <v>49</v>
      </c>
      <c r="G60" s="20" t="str">
        <f t="shared" si="0"/>
        <v>CARRERA ADMINISTRATIVA</v>
      </c>
      <c r="H60" s="33">
        <f t="shared" si="19"/>
        <v>44229</v>
      </c>
      <c r="I60" s="33">
        <f t="shared" si="20"/>
        <v>44229</v>
      </c>
      <c r="J60" s="31" t="str">
        <f t="shared" si="21"/>
        <v>MUJER</v>
      </c>
      <c r="K60" s="21">
        <f t="shared" ca="1" si="22"/>
        <v>54</v>
      </c>
      <c r="L60" s="87" t="str">
        <f t="shared" si="5"/>
        <v/>
      </c>
      <c r="M60" s="21" t="str">
        <f t="shared" si="18"/>
        <v>EN PROPIEDAD</v>
      </c>
      <c r="N60" s="21">
        <v>28496885</v>
      </c>
      <c r="O60" s="18" t="str">
        <f>IF(N60="","VACANTE DEFINITIVA",(VLOOKUP(N60,'PLANTA PERNO'!A:D,4,0)&amp;" "&amp;VLOOKUP(N60,'PLANTA PERNO'!A:D,2,0)&amp;" "&amp;VLOOKUP(N60,'PLANTA PERNO'!A:D,3,0)))</f>
        <v>ESTHER PINILLA SERRANO</v>
      </c>
      <c r="P60" s="21"/>
      <c r="Q60" s="21"/>
      <c r="R60" s="21"/>
      <c r="S60" s="21"/>
      <c r="T60" s="21"/>
      <c r="U60" s="21"/>
      <c r="V60" s="128"/>
      <c r="W60" s="21" t="str">
        <f t="shared" si="7"/>
        <v>OCUPADO</v>
      </c>
      <c r="X60" s="23" t="s">
        <v>50</v>
      </c>
      <c r="Y60" s="90" t="s">
        <v>51</v>
      </c>
      <c r="Z60" s="25">
        <v>222</v>
      </c>
      <c r="AA60" s="27">
        <v>27</v>
      </c>
      <c r="AB60" s="28" t="str">
        <f t="shared" si="8"/>
        <v>222-27</v>
      </c>
      <c r="AC60" s="24" t="s">
        <v>174</v>
      </c>
      <c r="AD60" s="24" t="s">
        <v>174</v>
      </c>
      <c r="AE60" s="24" t="s">
        <v>1522</v>
      </c>
      <c r="AF60" s="24" t="s">
        <v>1523</v>
      </c>
      <c r="AG60" s="24" t="s">
        <v>56</v>
      </c>
      <c r="AH60" s="103" t="s">
        <v>1524</v>
      </c>
      <c r="AI60" s="93">
        <f t="shared" si="9"/>
        <v>7358647</v>
      </c>
      <c r="AJ60" s="93">
        <v>0</v>
      </c>
      <c r="AK60" s="93">
        <f t="shared" si="23"/>
        <v>220759</v>
      </c>
      <c r="AL60" s="93">
        <f>IFERROR(INT(($AI60*(VLOOKUP($D60,'PORCENTAJES FACTORES'!B:N,12,0))/100)),0)</f>
        <v>2943458</v>
      </c>
      <c r="AM60" s="93">
        <f t="shared" si="24"/>
        <v>0</v>
      </c>
      <c r="AN60" s="93">
        <f t="shared" si="13"/>
        <v>0</v>
      </c>
      <c r="AO60" s="93">
        <f t="shared" si="14"/>
        <v>0</v>
      </c>
      <c r="AP60" s="95">
        <f t="shared" si="15"/>
        <v>10522864</v>
      </c>
      <c r="AQ60" s="96"/>
      <c r="AR60" s="97" t="s">
        <v>1237</v>
      </c>
      <c r="AS60" s="58"/>
      <c r="AT60" s="2" t="s">
        <v>1530</v>
      </c>
      <c r="AU60" s="46">
        <v>3338526</v>
      </c>
      <c r="AV60" s="98">
        <f t="shared" si="16"/>
        <v>28496885</v>
      </c>
      <c r="AW60" s="58"/>
      <c r="AX60" s="58"/>
      <c r="AY60" s="58"/>
      <c r="AZ60" s="58"/>
      <c r="BA60" s="48"/>
      <c r="BB60" s="48"/>
      <c r="BC60" s="48"/>
      <c r="BD60" s="48"/>
      <c r="BE60" s="48"/>
      <c r="BF60" s="48"/>
      <c r="BG60" s="48"/>
      <c r="BH60" s="48"/>
      <c r="BI60" s="48"/>
      <c r="BJ60" s="48"/>
      <c r="BK60" s="48"/>
      <c r="BL60" s="48"/>
      <c r="BM60" s="48"/>
      <c r="BN60" s="48"/>
      <c r="BO60" s="48"/>
      <c r="BP60" s="48"/>
      <c r="BQ60" s="48"/>
    </row>
    <row r="61" spans="1:69" ht="12.75" customHeight="1">
      <c r="A61" s="85">
        <v>57</v>
      </c>
      <c r="B61" s="86">
        <v>5072</v>
      </c>
      <c r="C61" s="29">
        <v>31</v>
      </c>
      <c r="D61" s="14">
        <v>80850931</v>
      </c>
      <c r="E61" s="18" t="str">
        <f>IF(D61&gt;0,VLOOKUP(D61,'PLANTA PERNO'!A:D,4,0)&amp;" "&amp;VLOOKUP(D61,'PLANTA PERNO'!A:D,2,0)&amp;" "&amp;VLOOKUP(D61,'PLANTA PERNO'!A:D,3,0),IF(N61="","VACANTE DEFINITIVA","VACANTE TEMPORAL"))</f>
        <v>RUBEN DARIO GALLEGO GONZALEZ</v>
      </c>
      <c r="F61" s="20" t="s">
        <v>49</v>
      </c>
      <c r="G61" s="20" t="str">
        <f t="shared" si="0"/>
        <v>CARRERA ADMINISTRATIVA</v>
      </c>
      <c r="H61" s="33">
        <f t="shared" si="19"/>
        <v>43049</v>
      </c>
      <c r="I61" s="33">
        <f t="shared" si="20"/>
        <v>43049</v>
      </c>
      <c r="J61" s="31" t="str">
        <f t="shared" si="21"/>
        <v>HOMBRE</v>
      </c>
      <c r="K61" s="21">
        <f t="shared" ca="1" si="22"/>
        <v>42</v>
      </c>
      <c r="L61" s="87" t="str">
        <f t="shared" si="5"/>
        <v/>
      </c>
      <c r="M61" s="21" t="str">
        <f t="shared" si="18"/>
        <v>EN PROPIEDAD</v>
      </c>
      <c r="N61" s="21">
        <v>80850931</v>
      </c>
      <c r="O61" s="18" t="str">
        <f>IF(N61="","VACANTE DEFINITIVA",(VLOOKUP(N61,'PLANTA PERNO'!A:D,4,0)&amp;" "&amp;VLOOKUP(N61,'PLANTA PERNO'!A:D,2,0)&amp;" "&amp;VLOOKUP(N61,'PLANTA PERNO'!A:D,3,0)))</f>
        <v>RUBEN DARIO GALLEGO GONZALEZ</v>
      </c>
      <c r="P61" s="21"/>
      <c r="Q61" s="21"/>
      <c r="R61" s="21"/>
      <c r="S61" s="21"/>
      <c r="T61" s="21"/>
      <c r="U61" s="21"/>
      <c r="V61" s="128"/>
      <c r="W61" s="21" t="str">
        <f t="shared" si="7"/>
        <v>OCUPADO</v>
      </c>
      <c r="X61" s="23" t="s">
        <v>50</v>
      </c>
      <c r="Y61" s="90" t="s">
        <v>51</v>
      </c>
      <c r="Z61" s="25">
        <v>222</v>
      </c>
      <c r="AA61" s="27">
        <v>27</v>
      </c>
      <c r="AB61" s="28" t="str">
        <f t="shared" si="8"/>
        <v>222-27</v>
      </c>
      <c r="AC61" s="24" t="s">
        <v>174</v>
      </c>
      <c r="AD61" s="24" t="s">
        <v>174</v>
      </c>
      <c r="AE61" s="24" t="s">
        <v>1555</v>
      </c>
      <c r="AF61" s="24" t="s">
        <v>1523</v>
      </c>
      <c r="AG61" s="24" t="s">
        <v>56</v>
      </c>
      <c r="AH61" s="103" t="s">
        <v>1524</v>
      </c>
      <c r="AI61" s="93">
        <f t="shared" si="9"/>
        <v>7358647</v>
      </c>
      <c r="AJ61" s="93">
        <v>0</v>
      </c>
      <c r="AK61" s="93">
        <f t="shared" si="23"/>
        <v>220759</v>
      </c>
      <c r="AL61" s="93">
        <f>IFERROR(INT(($AI61*(VLOOKUP($D61,'PORCENTAJES FACTORES'!B:N,12,0))/100)),0)</f>
        <v>2943458</v>
      </c>
      <c r="AM61" s="93">
        <f t="shared" si="24"/>
        <v>0</v>
      </c>
      <c r="AN61" s="93">
        <f t="shared" si="13"/>
        <v>0</v>
      </c>
      <c r="AO61" s="93">
        <f t="shared" si="14"/>
        <v>0</v>
      </c>
      <c r="AP61" s="95">
        <f t="shared" si="15"/>
        <v>10522864</v>
      </c>
      <c r="AQ61" s="96"/>
      <c r="AR61" s="97" t="s">
        <v>1237</v>
      </c>
      <c r="AS61" s="58"/>
      <c r="AT61" s="2" t="s">
        <v>1561</v>
      </c>
      <c r="AU61" s="46">
        <v>3436326</v>
      </c>
      <c r="AV61" s="98">
        <f t="shared" si="16"/>
        <v>80850931</v>
      </c>
      <c r="AW61" s="58"/>
      <c r="AX61" s="58"/>
      <c r="AY61" s="58"/>
      <c r="AZ61" s="58"/>
      <c r="BA61" s="48"/>
      <c r="BB61" s="48"/>
      <c r="BC61" s="48"/>
      <c r="BD61" s="48"/>
      <c r="BE61" s="48"/>
      <c r="BF61" s="48"/>
      <c r="BG61" s="48"/>
      <c r="BH61" s="48"/>
      <c r="BI61" s="48"/>
      <c r="BJ61" s="48"/>
      <c r="BK61" s="48"/>
      <c r="BL61" s="48"/>
      <c r="BM61" s="48"/>
      <c r="BN61" s="48"/>
      <c r="BO61" s="48"/>
      <c r="BP61" s="48"/>
      <c r="BQ61" s="48"/>
    </row>
    <row r="62" spans="1:69" ht="12.75" customHeight="1">
      <c r="A62" s="85">
        <v>58</v>
      </c>
      <c r="B62" s="86">
        <v>5054</v>
      </c>
      <c r="C62" s="29">
        <v>32</v>
      </c>
      <c r="D62" s="14"/>
      <c r="E62" s="18" t="s">
        <v>20</v>
      </c>
      <c r="F62" s="20"/>
      <c r="G62" s="20" t="str">
        <f t="shared" si="0"/>
        <v>VACANTE DEFINITIVA</v>
      </c>
      <c r="H62" s="33" t="str">
        <f t="shared" si="19"/>
        <v xml:space="preserve"> </v>
      </c>
      <c r="I62" s="33" t="str">
        <f t="shared" si="20"/>
        <v/>
      </c>
      <c r="J62" s="31" t="str">
        <f t="shared" si="21"/>
        <v/>
      </c>
      <c r="K62" s="21" t="str">
        <f t="shared" ca="1" si="22"/>
        <v/>
      </c>
      <c r="L62" s="87" t="str">
        <f t="shared" si="5"/>
        <v/>
      </c>
      <c r="M62" s="21" t="str">
        <f t="shared" si="18"/>
        <v>VACANTE DEFINITIVA</v>
      </c>
      <c r="N62" s="21"/>
      <c r="O62" s="18" t="str">
        <f>IF(N62="","VACANTE DEFINITIVA",(VLOOKUP(N62,'PLANTA PERNO'!A:D,4,0)&amp;" "&amp;VLOOKUP(N62,'PLANTA PERNO'!A:D,2,0)&amp;" "&amp;VLOOKUP(N62,'PLANTA PERNO'!A:D,3,0)))</f>
        <v>VACANTE DEFINITIVA</v>
      </c>
      <c r="P62" s="21"/>
      <c r="Q62" s="21"/>
      <c r="R62" s="21"/>
      <c r="S62" s="21"/>
      <c r="T62" s="21"/>
      <c r="U62" s="21"/>
      <c r="V62" s="129">
        <v>220274</v>
      </c>
      <c r="W62" s="21" t="str">
        <f t="shared" si="7"/>
        <v>VACANTE DEFINITIVA</v>
      </c>
      <c r="X62" s="23" t="s">
        <v>50</v>
      </c>
      <c r="Y62" s="90" t="s">
        <v>51</v>
      </c>
      <c r="Z62" s="25">
        <v>222</v>
      </c>
      <c r="AA62" s="27">
        <v>27</v>
      </c>
      <c r="AB62" s="28" t="str">
        <f t="shared" si="8"/>
        <v>222-27</v>
      </c>
      <c r="AC62" s="24" t="s">
        <v>153</v>
      </c>
      <c r="AD62" s="24" t="s">
        <v>153</v>
      </c>
      <c r="AE62" s="24" t="s">
        <v>1573</v>
      </c>
      <c r="AF62" s="24" t="s">
        <v>1576</v>
      </c>
      <c r="AG62" s="24" t="s">
        <v>1577</v>
      </c>
      <c r="AH62" s="24" t="s">
        <v>1578</v>
      </c>
      <c r="AI62" s="93">
        <f t="shared" si="9"/>
        <v>7358647</v>
      </c>
      <c r="AJ62" s="93">
        <v>0</v>
      </c>
      <c r="AK62" s="93">
        <f t="shared" si="23"/>
        <v>0</v>
      </c>
      <c r="AL62" s="93">
        <f>IFERROR(INT(($AI62*(VLOOKUP($D62,'PORCENTAJES FACTORES'!B:N,12,0))/100)),0)</f>
        <v>0</v>
      </c>
      <c r="AM62" s="93">
        <f t="shared" si="24"/>
        <v>0</v>
      </c>
      <c r="AN62" s="93">
        <f t="shared" si="13"/>
        <v>0</v>
      </c>
      <c r="AO62" s="93">
        <f t="shared" si="14"/>
        <v>0</v>
      </c>
      <c r="AP62" s="95">
        <f t="shared" si="15"/>
        <v>7358647</v>
      </c>
      <c r="AQ62" s="96"/>
      <c r="AR62" s="97" t="s">
        <v>1237</v>
      </c>
      <c r="AS62" s="58"/>
      <c r="AT62" s="2" t="s">
        <v>1585</v>
      </c>
      <c r="AU62" s="46">
        <v>3548084</v>
      </c>
      <c r="AV62" s="98" t="e">
        <f t="shared" si="16"/>
        <v>#N/A</v>
      </c>
      <c r="AW62" s="58"/>
      <c r="AX62" s="58"/>
      <c r="AY62" s="58"/>
      <c r="AZ62" s="58"/>
      <c r="BA62" s="48"/>
      <c r="BB62" s="48"/>
      <c r="BC62" s="48"/>
      <c r="BD62" s="48"/>
      <c r="BE62" s="48"/>
      <c r="BF62" s="48"/>
      <c r="BG62" s="48"/>
      <c r="BH62" s="48"/>
      <c r="BI62" s="48"/>
      <c r="BJ62" s="48"/>
      <c r="BK62" s="48"/>
      <c r="BL62" s="48"/>
      <c r="BM62" s="48"/>
      <c r="BN62" s="48"/>
      <c r="BO62" s="48"/>
      <c r="BP62" s="48"/>
      <c r="BQ62" s="48"/>
    </row>
    <row r="63" spans="1:69" ht="12.75" customHeight="1">
      <c r="A63" s="85">
        <v>59</v>
      </c>
      <c r="B63" s="86">
        <v>5055</v>
      </c>
      <c r="C63" s="29">
        <v>33</v>
      </c>
      <c r="D63" s="14">
        <v>3085860</v>
      </c>
      <c r="E63" s="18" t="str">
        <f>IF(D63&gt;0,VLOOKUP(D63,'PLANTA PERNO'!A:D,4,0)&amp;" "&amp;VLOOKUP(D63,'PLANTA PERNO'!A:D,2,0)&amp;" "&amp;VLOOKUP(D63,'PLANTA PERNO'!A:D,3,0),IF(N63="","VACANTE DEFINITIVA","VACANTE TEMPORAL"))</f>
        <v>LUIS ALFONSO CASTIBLANCO URQUIJO</v>
      </c>
      <c r="F63" s="20" t="s">
        <v>247</v>
      </c>
      <c r="G63" s="20" t="str">
        <f t="shared" si="0"/>
        <v>EN ENCARGO</v>
      </c>
      <c r="H63" s="33">
        <f t="shared" si="19"/>
        <v>42585</v>
      </c>
      <c r="I63" s="33">
        <f t="shared" si="20"/>
        <v>38443</v>
      </c>
      <c r="J63" s="31" t="str">
        <f t="shared" si="21"/>
        <v>HOMBRE</v>
      </c>
      <c r="K63" s="21">
        <f t="shared" ca="1" si="22"/>
        <v>58</v>
      </c>
      <c r="L63" s="87" t="str">
        <f t="shared" si="5"/>
        <v>ENCARGO</v>
      </c>
      <c r="M63" s="21" t="str">
        <f t="shared" si="18"/>
        <v>EN ENCARGO</v>
      </c>
      <c r="N63" s="21">
        <v>3085860</v>
      </c>
      <c r="O63" s="18" t="str">
        <f>IF(N63="","VACANTE DEFINITIVA",(VLOOKUP(N63,'PLANTA PERNO'!A:D,4,0)&amp;" "&amp;VLOOKUP(N63,'PLANTA PERNO'!A:D,2,0)&amp;" "&amp;VLOOKUP(N63,'PLANTA PERNO'!A:D,3,0)))</f>
        <v>LUIS ALFONSO CASTIBLANCO URQUIJO</v>
      </c>
      <c r="P63" s="21" t="s">
        <v>1602</v>
      </c>
      <c r="Q63" s="21">
        <v>1</v>
      </c>
      <c r="R63" s="21"/>
      <c r="S63" s="21"/>
      <c r="T63" s="21"/>
      <c r="U63" s="21"/>
      <c r="V63" s="123">
        <v>203198</v>
      </c>
      <c r="W63" s="21" t="str">
        <f t="shared" si="7"/>
        <v>OCUPADO</v>
      </c>
      <c r="X63" s="23" t="s">
        <v>50</v>
      </c>
      <c r="Y63" s="90" t="s">
        <v>51</v>
      </c>
      <c r="Z63" s="25">
        <v>222</v>
      </c>
      <c r="AA63" s="27">
        <v>27</v>
      </c>
      <c r="AB63" s="28" t="str">
        <f t="shared" si="8"/>
        <v>222-27</v>
      </c>
      <c r="AC63" s="24" t="s">
        <v>153</v>
      </c>
      <c r="AD63" s="24" t="s">
        <v>153</v>
      </c>
      <c r="AE63" s="24" t="s">
        <v>1573</v>
      </c>
      <c r="AF63" s="24" t="s">
        <v>1576</v>
      </c>
      <c r="AG63" s="24" t="s">
        <v>1604</v>
      </c>
      <c r="AH63" s="24" t="s">
        <v>1578</v>
      </c>
      <c r="AI63" s="93">
        <f t="shared" si="9"/>
        <v>7358647</v>
      </c>
      <c r="AJ63" s="93">
        <v>0</v>
      </c>
      <c r="AK63" s="93">
        <f t="shared" si="23"/>
        <v>515105</v>
      </c>
      <c r="AL63" s="93">
        <f>IFERROR(INT(($AI63*(VLOOKUP($D63,'PORCENTAJES FACTORES'!B:N,12,0))/100)),0)</f>
        <v>3679323</v>
      </c>
      <c r="AM63" s="93">
        <f t="shared" si="24"/>
        <v>0</v>
      </c>
      <c r="AN63" s="93">
        <f t="shared" si="13"/>
        <v>0</v>
      </c>
      <c r="AO63" s="93">
        <f t="shared" si="14"/>
        <v>0</v>
      </c>
      <c r="AP63" s="95">
        <f t="shared" si="15"/>
        <v>11553075</v>
      </c>
      <c r="AQ63" s="96"/>
      <c r="AR63" s="97" t="s">
        <v>1237</v>
      </c>
      <c r="AS63" s="58"/>
      <c r="AT63" s="2" t="s">
        <v>1611</v>
      </c>
      <c r="AU63" s="46">
        <v>3687785</v>
      </c>
      <c r="AV63" s="98">
        <f t="shared" si="16"/>
        <v>3085860</v>
      </c>
      <c r="AW63" s="58"/>
      <c r="AX63" s="58"/>
      <c r="AY63" s="58"/>
      <c r="AZ63" s="58"/>
      <c r="BA63" s="48"/>
      <c r="BB63" s="48"/>
      <c r="BC63" s="48"/>
      <c r="BD63" s="48"/>
      <c r="BE63" s="48"/>
      <c r="BF63" s="48"/>
      <c r="BG63" s="48"/>
      <c r="BH63" s="48"/>
      <c r="BI63" s="48"/>
      <c r="BJ63" s="48"/>
      <c r="BK63" s="48"/>
      <c r="BL63" s="48"/>
      <c r="BM63" s="48"/>
      <c r="BN63" s="48"/>
      <c r="BO63" s="48"/>
      <c r="BP63" s="48"/>
      <c r="BQ63" s="48"/>
    </row>
    <row r="64" spans="1:69" ht="12.75" customHeight="1">
      <c r="A64" s="85">
        <v>60</v>
      </c>
      <c r="B64" s="86">
        <v>5056</v>
      </c>
      <c r="C64" s="29">
        <v>34</v>
      </c>
      <c r="D64" s="14"/>
      <c r="E64" s="18" t="str">
        <f>IF(D64&gt;0,VLOOKUP(D64,'PLANTA PERNO'!A:D,4,0)&amp;" "&amp;VLOOKUP(D64,'PLANTA PERNO'!A:D,2,0)&amp;" "&amp;VLOOKUP(D64,'PLANTA PERNO'!A:D,3,0),IF(N64="","VACANTE DEFINITIVA","VACANTE TEMPORAL"))</f>
        <v>VACANTE DEFINITIVA</v>
      </c>
      <c r="F64" s="20"/>
      <c r="G64" s="20" t="str">
        <f t="shared" si="0"/>
        <v>VACANTE DEFINITIVA</v>
      </c>
      <c r="H64" s="33" t="str">
        <f t="shared" si="19"/>
        <v xml:space="preserve"> </v>
      </c>
      <c r="I64" s="33" t="str">
        <f t="shared" si="20"/>
        <v/>
      </c>
      <c r="J64" s="31" t="str">
        <f t="shared" si="21"/>
        <v/>
      </c>
      <c r="K64" s="21" t="str">
        <f t="shared" ca="1" si="22"/>
        <v/>
      </c>
      <c r="L64" s="87" t="str">
        <f t="shared" si="5"/>
        <v/>
      </c>
      <c r="M64" s="21" t="str">
        <f t="shared" si="18"/>
        <v>VACANTE DEFINITIVA</v>
      </c>
      <c r="N64" s="21"/>
      <c r="O64" s="18" t="str">
        <f>IF(N64="","VACANTE DEFINITIVA",(VLOOKUP(N64,'PLANTA PERNO'!A:D,4,0)&amp;" "&amp;VLOOKUP(N64,'PLANTA PERNO'!A:D,2,0)&amp;" "&amp;VLOOKUP(N64,'PLANTA PERNO'!A:D,3,0)))</f>
        <v>VACANTE DEFINITIVA</v>
      </c>
      <c r="P64" s="21"/>
      <c r="Q64" s="21"/>
      <c r="R64" s="21"/>
      <c r="S64" s="21"/>
      <c r="T64" s="21"/>
      <c r="U64" s="21"/>
      <c r="V64" s="128"/>
      <c r="W64" s="21" t="str">
        <f t="shared" si="7"/>
        <v>VACANTE DEFINITIVA</v>
      </c>
      <c r="X64" s="23" t="s">
        <v>50</v>
      </c>
      <c r="Y64" s="90" t="s">
        <v>51</v>
      </c>
      <c r="Z64" s="25">
        <v>222</v>
      </c>
      <c r="AA64" s="27">
        <v>27</v>
      </c>
      <c r="AB64" s="28" t="str">
        <f t="shared" si="8"/>
        <v>222-27</v>
      </c>
      <c r="AC64" s="24" t="s">
        <v>153</v>
      </c>
      <c r="AD64" s="24" t="s">
        <v>153</v>
      </c>
      <c r="AE64" s="24" t="s">
        <v>1573</v>
      </c>
      <c r="AF64" s="24" t="s">
        <v>1576</v>
      </c>
      <c r="AG64" s="24" t="s">
        <v>1622</v>
      </c>
      <c r="AH64" s="24" t="s">
        <v>1578</v>
      </c>
      <c r="AI64" s="93">
        <f t="shared" si="9"/>
        <v>7358647</v>
      </c>
      <c r="AJ64" s="93">
        <v>0</v>
      </c>
      <c r="AK64" s="93">
        <f t="shared" si="23"/>
        <v>0</v>
      </c>
      <c r="AL64" s="93">
        <f>IFERROR(INT(($AI64*(VLOOKUP($D64,'PORCENTAJES FACTORES'!B:N,12,0))/100)),0)</f>
        <v>0</v>
      </c>
      <c r="AM64" s="93">
        <f t="shared" si="24"/>
        <v>0</v>
      </c>
      <c r="AN64" s="93">
        <f t="shared" si="13"/>
        <v>0</v>
      </c>
      <c r="AO64" s="93">
        <f t="shared" si="14"/>
        <v>0</v>
      </c>
      <c r="AP64" s="95">
        <f t="shared" si="15"/>
        <v>7358647</v>
      </c>
      <c r="AQ64" s="96"/>
      <c r="AR64" s="97" t="s">
        <v>1237</v>
      </c>
      <c r="AS64" s="58"/>
      <c r="AT64" s="2" t="s">
        <v>1627</v>
      </c>
      <c r="AU64" s="46">
        <v>2763139</v>
      </c>
      <c r="AV64" s="98" t="e">
        <f t="shared" si="16"/>
        <v>#N/A</v>
      </c>
      <c r="AW64" s="58"/>
      <c r="AX64" s="58"/>
      <c r="AY64" s="58"/>
      <c r="AZ64" s="58"/>
      <c r="BA64" s="48"/>
      <c r="BB64" s="48"/>
      <c r="BC64" s="48"/>
      <c r="BD64" s="48"/>
      <c r="BE64" s="48"/>
      <c r="BF64" s="48"/>
      <c r="BG64" s="48"/>
      <c r="BH64" s="48"/>
      <c r="BI64" s="48"/>
      <c r="BJ64" s="48"/>
      <c r="BK64" s="48"/>
      <c r="BL64" s="48"/>
      <c r="BM64" s="48"/>
      <c r="BN64" s="48"/>
      <c r="BO64" s="48"/>
      <c r="BP64" s="48"/>
      <c r="BQ64" s="48"/>
    </row>
    <row r="65" spans="1:69" ht="12.75" customHeight="1">
      <c r="A65" s="85">
        <v>61</v>
      </c>
      <c r="B65" s="86">
        <v>5057</v>
      </c>
      <c r="C65" s="29">
        <v>39</v>
      </c>
      <c r="D65" s="14">
        <v>79575101</v>
      </c>
      <c r="E65" s="18" t="str">
        <f>IF(D65&gt;0,VLOOKUP(D65,'PLANTA PERNO'!A:D,4,0)&amp;" "&amp;VLOOKUP(D65,'PLANTA PERNO'!A:D,2,0)&amp;" "&amp;VLOOKUP(D65,'PLANTA PERNO'!A:D,3,0),IF(N65="","VACANTE DEFINITIVA","VACANTE TEMPORAL"))</f>
        <v>PEDRO ALFONSO MEJIA SIERRA</v>
      </c>
      <c r="F65" s="20" t="s">
        <v>49</v>
      </c>
      <c r="G65" s="20" t="str">
        <f t="shared" si="0"/>
        <v>CARRERA ADMINISTRATIVA</v>
      </c>
      <c r="H65" s="33">
        <f t="shared" si="19"/>
        <v>44378</v>
      </c>
      <c r="I65" s="33">
        <f t="shared" si="20"/>
        <v>33158</v>
      </c>
      <c r="J65" s="31" t="str">
        <f t="shared" si="21"/>
        <v>HOMBRE</v>
      </c>
      <c r="K65" s="21">
        <f t="shared" ca="1" si="22"/>
        <v>55</v>
      </c>
      <c r="L65" s="87" t="str">
        <f t="shared" si="5"/>
        <v/>
      </c>
      <c r="M65" s="21" t="str">
        <f t="shared" si="18"/>
        <v>EN PROPIEDAD</v>
      </c>
      <c r="N65" s="21">
        <v>79575101</v>
      </c>
      <c r="O65" s="18" t="str">
        <f>IF(N65="","VACANTE DEFINITIVA",(VLOOKUP(N65,'PLANTA PERNO'!A:D,4,0)&amp;" "&amp;VLOOKUP(N65,'PLANTA PERNO'!A:D,2,0)&amp;" "&amp;VLOOKUP(N65,'PLANTA PERNO'!A:D,3,0)))</f>
        <v>PEDRO ALFONSO MEJIA SIERRA</v>
      </c>
      <c r="P65" s="21"/>
      <c r="Q65" s="21"/>
      <c r="R65" s="21"/>
      <c r="S65" s="21"/>
      <c r="T65" s="21"/>
      <c r="U65" s="21"/>
      <c r="V65" s="128"/>
      <c r="W65" s="21" t="str">
        <f t="shared" si="7"/>
        <v>OCUPADO</v>
      </c>
      <c r="X65" s="23" t="s">
        <v>50</v>
      </c>
      <c r="Y65" s="90" t="s">
        <v>51</v>
      </c>
      <c r="Z65" s="25">
        <v>222</v>
      </c>
      <c r="AA65" s="27">
        <v>27</v>
      </c>
      <c r="AB65" s="28" t="str">
        <f t="shared" si="8"/>
        <v>222-27</v>
      </c>
      <c r="AC65" s="24" t="s">
        <v>147</v>
      </c>
      <c r="AD65" s="24" t="s">
        <v>147</v>
      </c>
      <c r="AE65" s="24" t="s">
        <v>1644</v>
      </c>
      <c r="AF65" s="24" t="s">
        <v>1646</v>
      </c>
      <c r="AG65" s="24" t="s">
        <v>1647</v>
      </c>
      <c r="AH65" s="24" t="s">
        <v>1648</v>
      </c>
      <c r="AI65" s="93">
        <f t="shared" si="9"/>
        <v>7358647</v>
      </c>
      <c r="AJ65" s="93">
        <v>0</v>
      </c>
      <c r="AK65" s="93">
        <f t="shared" si="23"/>
        <v>515105</v>
      </c>
      <c r="AL65" s="93">
        <f>IFERROR(INT(($AI65*(VLOOKUP($D65,'PORCENTAJES FACTORES'!B:N,12,0))/100)),0)</f>
        <v>2943458</v>
      </c>
      <c r="AM65" s="93">
        <f t="shared" si="24"/>
        <v>0</v>
      </c>
      <c r="AN65" s="93">
        <f t="shared" si="13"/>
        <v>0</v>
      </c>
      <c r="AO65" s="93">
        <f t="shared" si="14"/>
        <v>0</v>
      </c>
      <c r="AP65" s="95">
        <f t="shared" si="15"/>
        <v>10817210</v>
      </c>
      <c r="AQ65" s="96"/>
      <c r="AR65" s="97" t="s">
        <v>1237</v>
      </c>
      <c r="AS65" s="58"/>
      <c r="AT65" s="2" t="s">
        <v>1657</v>
      </c>
      <c r="AU65" s="46">
        <v>3926297</v>
      </c>
      <c r="AV65" s="98">
        <f t="shared" si="16"/>
        <v>79575101</v>
      </c>
      <c r="AW65" s="58"/>
      <c r="AX65" s="58"/>
      <c r="AY65" s="58"/>
      <c r="AZ65" s="58"/>
      <c r="BA65" s="48"/>
      <c r="BB65" s="48"/>
      <c r="BC65" s="48"/>
      <c r="BD65" s="48"/>
      <c r="BE65" s="48"/>
      <c r="BF65" s="48"/>
      <c r="BG65" s="48"/>
      <c r="BH65" s="48"/>
      <c r="BI65" s="48"/>
      <c r="BJ65" s="48"/>
      <c r="BK65" s="48"/>
      <c r="BL65" s="48"/>
      <c r="BM65" s="48"/>
      <c r="BN65" s="48"/>
      <c r="BO65" s="48"/>
      <c r="BP65" s="48"/>
      <c r="BQ65" s="48"/>
    </row>
    <row r="66" spans="1:69" ht="12.75" customHeight="1">
      <c r="A66" s="85">
        <v>62</v>
      </c>
      <c r="B66" s="86">
        <v>5058</v>
      </c>
      <c r="C66" s="29">
        <v>35</v>
      </c>
      <c r="D66" s="14">
        <v>79709902</v>
      </c>
      <c r="E66" s="18" t="str">
        <f>IF(D66&gt;0,VLOOKUP(D66,'PLANTA PERNO'!A:D,4,0)&amp;" "&amp;VLOOKUP(D66,'PLANTA PERNO'!A:D,2,0)&amp;" "&amp;VLOOKUP(D66,'PLANTA PERNO'!A:D,3,0),IF(N66="","VACANTE DEFINITIVA","VACANTE TEMPORAL"))</f>
        <v>ALVARO ARDILA MORA</v>
      </c>
      <c r="F66" s="20" t="s">
        <v>49</v>
      </c>
      <c r="G66" s="20" t="str">
        <f t="shared" si="0"/>
        <v>CARRERA ADMINISTRATIVA</v>
      </c>
      <c r="H66" s="33">
        <f t="shared" si="19"/>
        <v>44148</v>
      </c>
      <c r="I66" s="33">
        <f t="shared" si="20"/>
        <v>44148</v>
      </c>
      <c r="J66" s="31" t="str">
        <f t="shared" si="21"/>
        <v>HOMBRE</v>
      </c>
      <c r="K66" s="21">
        <f t="shared" ca="1" si="22"/>
        <v>51</v>
      </c>
      <c r="L66" s="87" t="str">
        <f t="shared" si="5"/>
        <v/>
      </c>
      <c r="M66" s="21" t="str">
        <f t="shared" si="18"/>
        <v>EN PROPIEDAD</v>
      </c>
      <c r="N66" s="21">
        <v>79709902</v>
      </c>
      <c r="O66" s="18" t="str">
        <f>IF(N66="","VACANTE DEFINITIVA",(VLOOKUP(N66,'PLANTA PERNO'!A:D,4,0)&amp;" "&amp;VLOOKUP(N66,'PLANTA PERNO'!A:D,2,0)&amp;" "&amp;VLOOKUP(N66,'PLANTA PERNO'!A:D,3,0)))</f>
        <v>ALVARO ARDILA MORA</v>
      </c>
      <c r="P66" s="21"/>
      <c r="Q66" s="21"/>
      <c r="R66" s="21"/>
      <c r="S66" s="21"/>
      <c r="T66" s="21"/>
      <c r="U66" s="21"/>
      <c r="V66" s="128"/>
      <c r="W66" s="21" t="str">
        <f t="shared" si="7"/>
        <v>OCUPADO</v>
      </c>
      <c r="X66" s="23" t="s">
        <v>50</v>
      </c>
      <c r="Y66" s="90" t="s">
        <v>51</v>
      </c>
      <c r="Z66" s="25">
        <v>222</v>
      </c>
      <c r="AA66" s="27">
        <v>27</v>
      </c>
      <c r="AB66" s="28" t="str">
        <f t="shared" si="8"/>
        <v>222-27</v>
      </c>
      <c r="AC66" s="24" t="s">
        <v>153</v>
      </c>
      <c r="AD66" s="24" t="s">
        <v>153</v>
      </c>
      <c r="AE66" s="24" t="s">
        <v>1671</v>
      </c>
      <c r="AF66" s="24" t="s">
        <v>1672</v>
      </c>
      <c r="AG66" s="24" t="s">
        <v>1673</v>
      </c>
      <c r="AH66" s="24" t="s">
        <v>1578</v>
      </c>
      <c r="AI66" s="93">
        <f t="shared" si="9"/>
        <v>7358647</v>
      </c>
      <c r="AJ66" s="93">
        <v>0</v>
      </c>
      <c r="AK66" s="93">
        <f t="shared" si="23"/>
        <v>220759</v>
      </c>
      <c r="AL66" s="93">
        <f>IFERROR(INT(($AI66*(VLOOKUP($D66,'PORCENTAJES FACTORES'!B:N,12,0))/100)),0)</f>
        <v>2943458</v>
      </c>
      <c r="AM66" s="93">
        <f t="shared" si="24"/>
        <v>0</v>
      </c>
      <c r="AN66" s="93">
        <f t="shared" si="13"/>
        <v>0</v>
      </c>
      <c r="AO66" s="93">
        <f t="shared" si="14"/>
        <v>0</v>
      </c>
      <c r="AP66" s="95">
        <f t="shared" si="15"/>
        <v>10522864</v>
      </c>
      <c r="AQ66" s="96"/>
      <c r="AR66" s="97" t="s">
        <v>1237</v>
      </c>
      <c r="AS66" s="58"/>
      <c r="AT66" s="2" t="s">
        <v>1682</v>
      </c>
      <c r="AU66" s="46">
        <v>3962738</v>
      </c>
      <c r="AV66" s="98">
        <f t="shared" si="16"/>
        <v>79709902</v>
      </c>
      <c r="AW66" s="58"/>
      <c r="AX66" s="58"/>
      <c r="AY66" s="58"/>
      <c r="AZ66" s="58"/>
      <c r="BA66" s="48"/>
      <c r="BB66" s="48"/>
      <c r="BC66" s="48"/>
      <c r="BD66" s="48"/>
      <c r="BE66" s="48"/>
      <c r="BF66" s="48"/>
      <c r="BG66" s="48"/>
      <c r="BH66" s="48"/>
      <c r="BI66" s="48"/>
      <c r="BJ66" s="48"/>
      <c r="BK66" s="48"/>
      <c r="BL66" s="48"/>
      <c r="BM66" s="48"/>
      <c r="BN66" s="48"/>
      <c r="BO66" s="48"/>
      <c r="BP66" s="48"/>
      <c r="BQ66" s="48"/>
    </row>
    <row r="67" spans="1:69" ht="12.75" customHeight="1">
      <c r="A67" s="85">
        <v>63</v>
      </c>
      <c r="B67" s="86">
        <v>5062</v>
      </c>
      <c r="C67" s="29">
        <v>40</v>
      </c>
      <c r="D67" s="14"/>
      <c r="E67" s="18" t="s">
        <v>20</v>
      </c>
      <c r="F67" s="20"/>
      <c r="G67" s="20" t="str">
        <f t="shared" si="0"/>
        <v>VACANTE DEFINITIVA</v>
      </c>
      <c r="H67" s="33" t="str">
        <f t="shared" si="19"/>
        <v xml:space="preserve"> </v>
      </c>
      <c r="I67" s="33" t="str">
        <f t="shared" si="20"/>
        <v/>
      </c>
      <c r="J67" s="31" t="str">
        <f t="shared" si="21"/>
        <v/>
      </c>
      <c r="K67" s="21" t="str">
        <f t="shared" ca="1" si="22"/>
        <v/>
      </c>
      <c r="L67" s="87" t="str">
        <f t="shared" si="5"/>
        <v/>
      </c>
      <c r="M67" s="21" t="str">
        <f t="shared" si="18"/>
        <v>VACANTE DEFINITIVA</v>
      </c>
      <c r="N67" s="21"/>
      <c r="O67" s="18" t="str">
        <f>IF(N67="","VACANTE DEFINITIVA",(VLOOKUP(N67,'PLANTA PERNO'!A:D,4,0)&amp;" "&amp;VLOOKUP(N67,'PLANTA PERNO'!A:D,2,0)&amp;" "&amp;VLOOKUP(N67,'PLANTA PERNO'!A:D,3,0)))</f>
        <v>VACANTE DEFINITIVA</v>
      </c>
      <c r="P67" s="21"/>
      <c r="Q67" s="21"/>
      <c r="R67" s="21"/>
      <c r="S67" s="21"/>
      <c r="T67" s="21"/>
      <c r="U67" s="21"/>
      <c r="V67" s="128"/>
      <c r="W67" s="21" t="str">
        <f t="shared" si="7"/>
        <v>VACANTE DEFINITIVA</v>
      </c>
      <c r="X67" s="23" t="s">
        <v>50</v>
      </c>
      <c r="Y67" s="90" t="s">
        <v>51</v>
      </c>
      <c r="Z67" s="25">
        <v>222</v>
      </c>
      <c r="AA67" s="27">
        <v>27</v>
      </c>
      <c r="AB67" s="28" t="str">
        <f t="shared" si="8"/>
        <v>222-27</v>
      </c>
      <c r="AC67" s="24" t="s">
        <v>153</v>
      </c>
      <c r="AD67" s="24" t="s">
        <v>153</v>
      </c>
      <c r="AE67" s="24" t="s">
        <v>1671</v>
      </c>
      <c r="AF67" s="24" t="s">
        <v>1672</v>
      </c>
      <c r="AG67" s="24" t="s">
        <v>1673</v>
      </c>
      <c r="AH67" s="24" t="s">
        <v>1578</v>
      </c>
      <c r="AI67" s="93">
        <f t="shared" si="9"/>
        <v>7358647</v>
      </c>
      <c r="AJ67" s="93">
        <v>0</v>
      </c>
      <c r="AK67" s="93">
        <f t="shared" si="23"/>
        <v>0</v>
      </c>
      <c r="AL67" s="93">
        <f>IFERROR(INT(($AI67*(VLOOKUP($D67,'PORCENTAJES FACTORES'!B:N,12,0))/100)),0)</f>
        <v>0</v>
      </c>
      <c r="AM67" s="93">
        <f t="shared" si="24"/>
        <v>0</v>
      </c>
      <c r="AN67" s="93">
        <f t="shared" si="13"/>
        <v>0</v>
      </c>
      <c r="AO67" s="93">
        <f t="shared" si="14"/>
        <v>0</v>
      </c>
      <c r="AP67" s="95">
        <f t="shared" si="15"/>
        <v>7358647</v>
      </c>
      <c r="AQ67" s="96"/>
      <c r="AR67" s="97" t="s">
        <v>1237</v>
      </c>
      <c r="AS67" s="58"/>
      <c r="AT67" s="2" t="s">
        <v>1697</v>
      </c>
      <c r="AU67" s="46">
        <v>4078933</v>
      </c>
      <c r="AV67" s="98" t="e">
        <f t="shared" si="16"/>
        <v>#N/A</v>
      </c>
      <c r="AW67" s="58"/>
      <c r="AX67" s="58"/>
      <c r="AY67" s="58"/>
      <c r="AZ67" s="58"/>
      <c r="BA67" s="48"/>
      <c r="BB67" s="48"/>
      <c r="BC67" s="48"/>
      <c r="BD67" s="48"/>
      <c r="BE67" s="48"/>
      <c r="BF67" s="48"/>
      <c r="BG67" s="48"/>
      <c r="BH67" s="48"/>
      <c r="BI67" s="48"/>
      <c r="BJ67" s="48"/>
      <c r="BK67" s="48"/>
      <c r="BL67" s="48"/>
      <c r="BM67" s="48"/>
      <c r="BN67" s="48"/>
      <c r="BO67" s="48"/>
      <c r="BP67" s="48"/>
      <c r="BQ67" s="48"/>
    </row>
    <row r="68" spans="1:69" ht="12.75" customHeight="1">
      <c r="A68" s="85">
        <v>64</v>
      </c>
      <c r="B68" s="86">
        <v>5060</v>
      </c>
      <c r="C68" s="29">
        <v>37</v>
      </c>
      <c r="D68" s="14">
        <v>79802044</v>
      </c>
      <c r="E68" s="18" t="str">
        <f>IF(D68&gt;0,VLOOKUP(D68,'PLANTA PERNO'!A:D,4,0)&amp;" "&amp;VLOOKUP(D68,'PLANTA PERNO'!A:D,2,0)&amp;" "&amp;VLOOKUP(D68,'PLANTA PERNO'!A:D,3,0),IF(N68="","VACANTE DEFINITIVA","VACANTE TEMPORAL"))</f>
        <v>ALVARO CAMILO BERNATE NAVARRO</v>
      </c>
      <c r="F68" s="20" t="s">
        <v>49</v>
      </c>
      <c r="G68" s="20" t="str">
        <f t="shared" si="0"/>
        <v>CARRERA ADMINISTRATIVA</v>
      </c>
      <c r="H68" s="33">
        <f t="shared" si="19"/>
        <v>42585</v>
      </c>
      <c r="I68" s="33">
        <f t="shared" si="20"/>
        <v>38294</v>
      </c>
      <c r="J68" s="31" t="str">
        <f t="shared" si="21"/>
        <v>HOMBRE</v>
      </c>
      <c r="K68" s="21">
        <f t="shared" ca="1" si="22"/>
        <v>50</v>
      </c>
      <c r="L68" s="87" t="str">
        <f t="shared" si="5"/>
        <v/>
      </c>
      <c r="M68" s="21" t="str">
        <f t="shared" si="18"/>
        <v>EN PROPIEDAD</v>
      </c>
      <c r="N68" s="21">
        <v>79802044</v>
      </c>
      <c r="O68" s="18" t="str">
        <f>IF(N68="","VACANTE DEFINITIVA",(VLOOKUP(N68,'PLANTA PERNO'!A:D,4,0)&amp;" "&amp;VLOOKUP(N68,'PLANTA PERNO'!A:D,2,0)&amp;" "&amp;VLOOKUP(N68,'PLANTA PERNO'!A:D,3,0)))</f>
        <v>ALVARO CAMILO BERNATE NAVARRO</v>
      </c>
      <c r="P68" s="21"/>
      <c r="Q68" s="21"/>
      <c r="R68" s="21"/>
      <c r="S68" s="21"/>
      <c r="T68" s="21"/>
      <c r="U68" s="21"/>
      <c r="V68" s="128"/>
      <c r="W68" s="21" t="str">
        <f t="shared" si="7"/>
        <v>OCUPADO</v>
      </c>
      <c r="X68" s="23" t="s">
        <v>50</v>
      </c>
      <c r="Y68" s="90" t="s">
        <v>51</v>
      </c>
      <c r="Z68" s="25">
        <v>222</v>
      </c>
      <c r="AA68" s="27">
        <v>27</v>
      </c>
      <c r="AB68" s="28" t="str">
        <f t="shared" si="8"/>
        <v>222-27</v>
      </c>
      <c r="AC68" s="24" t="s">
        <v>153</v>
      </c>
      <c r="AD68" s="24" t="s">
        <v>153</v>
      </c>
      <c r="AE68" s="24" t="s">
        <v>1671</v>
      </c>
      <c r="AF68" s="24" t="s">
        <v>1672</v>
      </c>
      <c r="AG68" s="24" t="s">
        <v>1673</v>
      </c>
      <c r="AH68" s="24" t="s">
        <v>1578</v>
      </c>
      <c r="AI68" s="93">
        <f t="shared" si="9"/>
        <v>7358647</v>
      </c>
      <c r="AJ68" s="93">
        <v>0</v>
      </c>
      <c r="AK68" s="93">
        <f t="shared" si="23"/>
        <v>515105</v>
      </c>
      <c r="AL68" s="93">
        <f>IFERROR(INT(($AI68*(VLOOKUP($D68,'PORCENTAJES FACTORES'!B:N,12,0))/100)),0)</f>
        <v>2943458</v>
      </c>
      <c r="AM68" s="93">
        <f t="shared" si="24"/>
        <v>0</v>
      </c>
      <c r="AN68" s="93">
        <f t="shared" si="13"/>
        <v>0</v>
      </c>
      <c r="AO68" s="93">
        <f t="shared" si="14"/>
        <v>0</v>
      </c>
      <c r="AP68" s="95">
        <f t="shared" si="15"/>
        <v>10817210</v>
      </c>
      <c r="AQ68" s="96"/>
      <c r="AR68" s="97" t="s">
        <v>1237</v>
      </c>
      <c r="AS68" s="58"/>
      <c r="AT68" s="2" t="s">
        <v>1728</v>
      </c>
      <c r="AU68" s="46">
        <v>4204656</v>
      </c>
      <c r="AV68" s="98">
        <f t="shared" si="16"/>
        <v>79802044</v>
      </c>
      <c r="AW68" s="58"/>
      <c r="AX68" s="58"/>
      <c r="AY68" s="58"/>
      <c r="AZ68" s="58"/>
      <c r="BA68" s="48"/>
      <c r="BB68" s="48"/>
      <c r="BC68" s="48"/>
      <c r="BD68" s="48"/>
      <c r="BE68" s="48"/>
      <c r="BF68" s="48"/>
      <c r="BG68" s="48"/>
      <c r="BH68" s="48"/>
      <c r="BI68" s="48"/>
      <c r="BJ68" s="48"/>
      <c r="BK68" s="48"/>
      <c r="BL68" s="48"/>
      <c r="BM68" s="48"/>
      <c r="BN68" s="48"/>
      <c r="BO68" s="48"/>
      <c r="BP68" s="48"/>
      <c r="BQ68" s="48"/>
    </row>
    <row r="69" spans="1:69" ht="12.75" customHeight="1">
      <c r="A69" s="85">
        <v>65</v>
      </c>
      <c r="B69" s="86">
        <v>5061</v>
      </c>
      <c r="C69" s="29">
        <v>38</v>
      </c>
      <c r="D69" s="14">
        <v>46677766</v>
      </c>
      <c r="E69" s="18" t="str">
        <f>IF(D69&gt;0,VLOOKUP(D69,'PLANTA PERNO'!A:D,4,0)&amp;" "&amp;VLOOKUP(D69,'PLANTA PERNO'!A:D,2,0)&amp;" "&amp;VLOOKUP(D69,'PLANTA PERNO'!A:D,3,0),IF(N69="","VACANTE DEFINITIVA","VACANTE TEMPORAL"))</f>
        <v>MARTHA YANETH ORTIZ LEON</v>
      </c>
      <c r="F69" s="20" t="s">
        <v>49</v>
      </c>
      <c r="G69" s="20" t="str">
        <f t="shared" si="0"/>
        <v>CARRERA ADMINISTRATIVA</v>
      </c>
      <c r="H69" s="33">
        <f t="shared" ref="H69:H100" si="26">IFERROR(VLOOKUP($D69,PLANTA_PERNO,16,0)," ")</f>
        <v>44152</v>
      </c>
      <c r="I69" s="33">
        <f t="shared" ref="I69:I100" si="27">IFERROR(VLOOKUP($D69,PLANTA_PERNO,17,0),"")</f>
        <v>44152</v>
      </c>
      <c r="J69" s="31" t="str">
        <f t="shared" ref="J69:J100" si="28">IF(IFERROR((VLOOKUP($D69,PLANTA_PERNO,9,0)),"")="F","MUJER",IF(IFERROR((VLOOKUP($D69,PLANTA_PERNO,9,0)),"")="M","HOMBRE",""))</f>
        <v>MUJER</v>
      </c>
      <c r="K69" s="21">
        <f t="shared" ref="K69:K100" ca="1" si="29">IFERROR(DATEDIF((VLOOKUP($D69,PLANTA_PERNO,6,0)),$K$3,"Y"),"")</f>
        <v>50</v>
      </c>
      <c r="L69" s="87" t="str">
        <f t="shared" si="5"/>
        <v/>
      </c>
      <c r="M69" s="21" t="str">
        <f t="shared" si="18"/>
        <v>EN PROPIEDAD</v>
      </c>
      <c r="N69" s="21">
        <v>46677766</v>
      </c>
      <c r="O69" s="18" t="str">
        <f>IF(N69="","VACANTE DEFINITIVA",(VLOOKUP(N69,'PLANTA PERNO'!A:D,4,0)&amp;" "&amp;VLOOKUP(N69,'PLANTA PERNO'!A:D,2,0)&amp;" "&amp;VLOOKUP(N69,'PLANTA PERNO'!A:D,3,0)))</f>
        <v>MARTHA YANETH ORTIZ LEON</v>
      </c>
      <c r="P69" s="21"/>
      <c r="Q69" s="21"/>
      <c r="R69" s="21"/>
      <c r="S69" s="21"/>
      <c r="T69" s="21"/>
      <c r="U69" s="21"/>
      <c r="V69" s="128"/>
      <c r="W69" s="21" t="str">
        <f t="shared" si="7"/>
        <v>OCUPADO</v>
      </c>
      <c r="X69" s="23" t="s">
        <v>50</v>
      </c>
      <c r="Y69" s="90" t="s">
        <v>51</v>
      </c>
      <c r="Z69" s="25">
        <v>222</v>
      </c>
      <c r="AA69" s="27">
        <v>27</v>
      </c>
      <c r="AB69" s="28" t="str">
        <f t="shared" si="8"/>
        <v>222-27</v>
      </c>
      <c r="AC69" s="24" t="s">
        <v>153</v>
      </c>
      <c r="AD69" s="24" t="s">
        <v>153</v>
      </c>
      <c r="AE69" s="24" t="s">
        <v>1671</v>
      </c>
      <c r="AF69" s="24" t="s">
        <v>1672</v>
      </c>
      <c r="AG69" s="24" t="s">
        <v>1673</v>
      </c>
      <c r="AH69" s="24" t="s">
        <v>1578</v>
      </c>
      <c r="AI69" s="93">
        <f t="shared" si="9"/>
        <v>7358647</v>
      </c>
      <c r="AJ69" s="93">
        <v>0</v>
      </c>
      <c r="AK69" s="93">
        <f t="shared" ref="AK69:AK100" si="30">IFERROR(INT(($AI69*(VLOOKUP($D69,BASE_PORCENTAJES,10,0))/100)),0)</f>
        <v>220759</v>
      </c>
      <c r="AL69" s="93">
        <f>IFERROR(INT(($AI69*(VLOOKUP($D69,'PORCENTAJES FACTORES'!B:N,12,0))/100)),0)</f>
        <v>2943458</v>
      </c>
      <c r="AM69" s="93">
        <f t="shared" ref="AM69:AM100" si="31">IFERROR(INT(($AI69*(VLOOKUP($D69,BASE_PORCENTAJES,13,0))/100)),0)</f>
        <v>0</v>
      </c>
      <c r="AN69" s="93">
        <f t="shared" si="13"/>
        <v>0</v>
      </c>
      <c r="AO69" s="93">
        <f t="shared" si="14"/>
        <v>0</v>
      </c>
      <c r="AP69" s="95">
        <f t="shared" si="15"/>
        <v>10522864</v>
      </c>
      <c r="AQ69" s="96"/>
      <c r="AR69" s="97" t="s">
        <v>1237</v>
      </c>
      <c r="AS69" s="58"/>
      <c r="AT69" s="2" t="s">
        <v>1748</v>
      </c>
      <c r="AU69" s="46">
        <v>4226650</v>
      </c>
      <c r="AV69" s="98">
        <f t="shared" si="16"/>
        <v>46677766</v>
      </c>
      <c r="AW69" s="58"/>
      <c r="AX69" s="58"/>
      <c r="AY69" s="58"/>
      <c r="AZ69" s="58"/>
      <c r="BA69" s="48"/>
      <c r="BB69" s="48"/>
      <c r="BC69" s="48"/>
      <c r="BD69" s="48"/>
      <c r="BE69" s="48"/>
      <c r="BF69" s="48"/>
      <c r="BG69" s="48"/>
      <c r="BH69" s="48"/>
      <c r="BI69" s="48"/>
      <c r="BJ69" s="48"/>
      <c r="BK69" s="48"/>
      <c r="BL69" s="48"/>
      <c r="BM69" s="48"/>
      <c r="BN69" s="48"/>
      <c r="BO69" s="48"/>
      <c r="BP69" s="48"/>
      <c r="BQ69" s="48"/>
    </row>
    <row r="70" spans="1:69" ht="12.75" customHeight="1">
      <c r="A70" s="85">
        <v>66</v>
      </c>
      <c r="B70" s="86">
        <v>5059</v>
      </c>
      <c r="C70" s="29">
        <v>36</v>
      </c>
      <c r="D70" s="14">
        <v>23582747</v>
      </c>
      <c r="E70" s="18" t="str">
        <f>IF(D70&gt;0,VLOOKUP(D70,'PLANTA PERNO'!A:D,4,0)&amp;" "&amp;VLOOKUP(D70,'PLANTA PERNO'!A:D,2,0)&amp;" "&amp;VLOOKUP(D70,'PLANTA PERNO'!A:D,3,0),IF(N70="","VACANTE DEFINITIVA","VACANTE TEMPORAL"))</f>
        <v>MAGDA EDITH GUERRERO BONILLA</v>
      </c>
      <c r="F70" s="20" t="s">
        <v>49</v>
      </c>
      <c r="G70" s="20" t="str">
        <f t="shared" si="0"/>
        <v>CARRERA ADMINISTRATIVA</v>
      </c>
      <c r="H70" s="33">
        <f t="shared" si="26"/>
        <v>44267</v>
      </c>
      <c r="I70" s="33">
        <f t="shared" si="27"/>
        <v>44267</v>
      </c>
      <c r="J70" s="31" t="str">
        <f t="shared" si="28"/>
        <v>MUJER</v>
      </c>
      <c r="K70" s="21">
        <f t="shared" ca="1" si="29"/>
        <v>49</v>
      </c>
      <c r="L70" s="87" t="str">
        <f t="shared" si="5"/>
        <v/>
      </c>
      <c r="M70" s="21" t="str">
        <f t="shared" si="18"/>
        <v>EN PROPIEDAD</v>
      </c>
      <c r="N70" s="21">
        <v>23582747</v>
      </c>
      <c r="O70" s="18" t="str">
        <f>IF(N70="","VACANTE DEFINITIVA",(VLOOKUP(N70,'PLANTA PERNO'!A:D,4,0)&amp;" "&amp;VLOOKUP(N70,'PLANTA PERNO'!A:D,2,0)&amp;" "&amp;VLOOKUP(N70,'PLANTA PERNO'!A:D,3,0)))</f>
        <v>MAGDA EDITH GUERRERO BONILLA</v>
      </c>
      <c r="P70" s="21"/>
      <c r="Q70" s="21"/>
      <c r="R70" s="21"/>
      <c r="S70" s="21"/>
      <c r="T70" s="21"/>
      <c r="U70" s="21"/>
      <c r="V70" s="128"/>
      <c r="W70" s="21" t="str">
        <f t="shared" si="7"/>
        <v>OCUPADO</v>
      </c>
      <c r="X70" s="23" t="s">
        <v>50</v>
      </c>
      <c r="Y70" s="90" t="s">
        <v>51</v>
      </c>
      <c r="Z70" s="25">
        <v>222</v>
      </c>
      <c r="AA70" s="27">
        <v>27</v>
      </c>
      <c r="AB70" s="28" t="str">
        <f t="shared" si="8"/>
        <v>222-27</v>
      </c>
      <c r="AC70" s="24" t="s">
        <v>153</v>
      </c>
      <c r="AD70" s="24" t="s">
        <v>153</v>
      </c>
      <c r="AE70" s="24" t="s">
        <v>1671</v>
      </c>
      <c r="AF70" s="24" t="s">
        <v>1672</v>
      </c>
      <c r="AG70" s="24" t="s">
        <v>1673</v>
      </c>
      <c r="AH70" s="24" t="s">
        <v>1578</v>
      </c>
      <c r="AI70" s="93">
        <f t="shared" si="9"/>
        <v>7358647</v>
      </c>
      <c r="AJ70" s="93">
        <v>0</v>
      </c>
      <c r="AK70" s="93">
        <f t="shared" si="30"/>
        <v>220759</v>
      </c>
      <c r="AL70" s="93">
        <f>IFERROR(INT(($AI70*(VLOOKUP($D70,'PORCENTAJES FACTORES'!B:N,12,0))/100)),0)</f>
        <v>2943458</v>
      </c>
      <c r="AM70" s="93">
        <f t="shared" si="31"/>
        <v>0</v>
      </c>
      <c r="AN70" s="93">
        <f t="shared" si="13"/>
        <v>0</v>
      </c>
      <c r="AO70" s="93">
        <f t="shared" si="14"/>
        <v>0</v>
      </c>
      <c r="AP70" s="95">
        <f t="shared" si="15"/>
        <v>10522864</v>
      </c>
      <c r="AQ70" s="96"/>
      <c r="AR70" s="97" t="s">
        <v>1237</v>
      </c>
      <c r="AS70" s="58"/>
      <c r="AT70" s="2" t="s">
        <v>1794</v>
      </c>
      <c r="AU70" s="46">
        <v>4316410</v>
      </c>
      <c r="AV70" s="98">
        <f t="shared" si="16"/>
        <v>23582747</v>
      </c>
      <c r="AW70" s="58"/>
      <c r="AX70" s="58"/>
      <c r="AY70" s="58"/>
      <c r="AZ70" s="58"/>
      <c r="BA70" s="48"/>
      <c r="BB70" s="48"/>
      <c r="BC70" s="48"/>
      <c r="BD70" s="48"/>
      <c r="BE70" s="48"/>
      <c r="BF70" s="48"/>
      <c r="BG70" s="48"/>
      <c r="BH70" s="48"/>
      <c r="BI70" s="48"/>
      <c r="BJ70" s="48"/>
      <c r="BK70" s="48"/>
      <c r="BL70" s="48"/>
      <c r="BM70" s="48"/>
      <c r="BN70" s="48"/>
      <c r="BO70" s="48"/>
      <c r="BP70" s="48"/>
      <c r="BQ70" s="48"/>
    </row>
    <row r="71" spans="1:69" ht="12.75" customHeight="1">
      <c r="A71" s="85">
        <v>67</v>
      </c>
      <c r="B71" s="86">
        <v>5063</v>
      </c>
      <c r="C71" s="29">
        <v>41</v>
      </c>
      <c r="D71" s="14">
        <v>52363895</v>
      </c>
      <c r="E71" s="18" t="str">
        <f>IF(D71&gt;0,VLOOKUP(D71,'PLANTA PERNO'!A:D,4,0)&amp;" "&amp;VLOOKUP(D71,'PLANTA PERNO'!A:D,2,0)&amp;" "&amp;VLOOKUP(D71,'PLANTA PERNO'!A:D,3,0),IF(N71="","VACANTE DEFINITIVA","VACANTE TEMPORAL"))</f>
        <v>ELVIRA LILIANA HERNANDEZ LIBREROS</v>
      </c>
      <c r="F71" s="20" t="s">
        <v>49</v>
      </c>
      <c r="G71" s="20" t="str">
        <f t="shared" si="0"/>
        <v>CARRERA ADMINISTRATIVA</v>
      </c>
      <c r="H71" s="33">
        <f t="shared" si="26"/>
        <v>42585</v>
      </c>
      <c r="I71" s="33">
        <f t="shared" si="27"/>
        <v>37994</v>
      </c>
      <c r="J71" s="31" t="str">
        <f t="shared" si="28"/>
        <v>MUJER</v>
      </c>
      <c r="K71" s="21">
        <f t="shared" ca="1" si="29"/>
        <v>50</v>
      </c>
      <c r="L71" s="87" t="str">
        <f t="shared" si="5"/>
        <v/>
      </c>
      <c r="M71" s="21" t="str">
        <f t="shared" si="18"/>
        <v>EN PROPIEDAD</v>
      </c>
      <c r="N71" s="21">
        <v>52363895</v>
      </c>
      <c r="O71" s="18" t="str">
        <f>IF(N71="","VACANTE DEFINITIVA",(VLOOKUP(N71,'PLANTA PERNO'!A:D,4,0)&amp;" "&amp;VLOOKUP(N71,'PLANTA PERNO'!A:D,2,0)&amp;" "&amp;VLOOKUP(N71,'PLANTA PERNO'!A:D,3,0)))</f>
        <v>ELVIRA LILIANA HERNANDEZ LIBREROS</v>
      </c>
      <c r="P71" s="21"/>
      <c r="Q71" s="21"/>
      <c r="R71" s="21"/>
      <c r="S71" s="21"/>
      <c r="T71" s="21"/>
      <c r="U71" s="21"/>
      <c r="V71" s="128"/>
      <c r="W71" s="21" t="str">
        <f t="shared" si="7"/>
        <v>OCUPADO</v>
      </c>
      <c r="X71" s="23" t="s">
        <v>50</v>
      </c>
      <c r="Y71" s="90" t="s">
        <v>51</v>
      </c>
      <c r="Z71" s="25">
        <v>222</v>
      </c>
      <c r="AA71" s="27">
        <v>27</v>
      </c>
      <c r="AB71" s="28" t="str">
        <f t="shared" si="8"/>
        <v>222-27</v>
      </c>
      <c r="AC71" s="24" t="s">
        <v>213</v>
      </c>
      <c r="AD71" s="24" t="s">
        <v>33</v>
      </c>
      <c r="AE71" s="24" t="s">
        <v>1818</v>
      </c>
      <c r="AF71" s="24" t="s">
        <v>1819</v>
      </c>
      <c r="AG71" s="24" t="s">
        <v>1820</v>
      </c>
      <c r="AH71" s="24" t="s">
        <v>1821</v>
      </c>
      <c r="AI71" s="93">
        <f t="shared" si="9"/>
        <v>7358647</v>
      </c>
      <c r="AJ71" s="93">
        <v>0</v>
      </c>
      <c r="AK71" s="93">
        <f t="shared" si="30"/>
        <v>515105</v>
      </c>
      <c r="AL71" s="93">
        <f>IFERROR(INT(($AI71*(VLOOKUP($D71,'PORCENTAJES FACTORES'!B:N,12,0))/100)),0)</f>
        <v>2943458</v>
      </c>
      <c r="AM71" s="93">
        <f t="shared" si="31"/>
        <v>0</v>
      </c>
      <c r="AN71" s="93">
        <f t="shared" si="13"/>
        <v>0</v>
      </c>
      <c r="AO71" s="93">
        <f t="shared" si="14"/>
        <v>0</v>
      </c>
      <c r="AP71" s="95">
        <f t="shared" si="15"/>
        <v>10817210</v>
      </c>
      <c r="AQ71" s="96" t="s">
        <v>1825</v>
      </c>
      <c r="AR71" s="97" t="s">
        <v>1237</v>
      </c>
      <c r="AS71" s="58"/>
      <c r="AT71" s="2" t="s">
        <v>1826</v>
      </c>
      <c r="AU71" s="46">
        <v>4471397</v>
      </c>
      <c r="AV71" s="98">
        <f t="shared" si="16"/>
        <v>52363895</v>
      </c>
      <c r="AW71" s="58"/>
      <c r="AX71" s="58"/>
      <c r="AY71" s="58"/>
      <c r="AZ71" s="58"/>
      <c r="BA71" s="48"/>
      <c r="BB71" s="48"/>
      <c r="BC71" s="48"/>
      <c r="BD71" s="48"/>
      <c r="BE71" s="48"/>
      <c r="BF71" s="48"/>
      <c r="BG71" s="48"/>
      <c r="BH71" s="48"/>
      <c r="BI71" s="48"/>
      <c r="BJ71" s="48"/>
      <c r="BK71" s="48"/>
      <c r="BL71" s="48"/>
      <c r="BM71" s="48"/>
      <c r="BN71" s="48"/>
      <c r="BO71" s="48"/>
      <c r="BP71" s="48"/>
      <c r="BQ71" s="48"/>
    </row>
    <row r="72" spans="1:69" ht="12.75" customHeight="1">
      <c r="A72" s="85">
        <v>68</v>
      </c>
      <c r="B72" s="86">
        <v>5064</v>
      </c>
      <c r="C72" s="29">
        <v>42</v>
      </c>
      <c r="D72" s="14">
        <v>52146157</v>
      </c>
      <c r="E72" s="18" t="str">
        <f>IF(D72&gt;0,VLOOKUP(D72,'PLANTA PERNO'!A:D,4,0)&amp;" "&amp;VLOOKUP(D72,'PLANTA PERNO'!A:D,2,0)&amp;" "&amp;VLOOKUP(D72,'PLANTA PERNO'!A:D,3,0),IF(N72="","VACANTE DEFINITIVA","VACANTE TEMPORAL"))</f>
        <v>MARIA CAMILA COTAMO JAIMES</v>
      </c>
      <c r="F72" s="20" t="s">
        <v>49</v>
      </c>
      <c r="G72" s="20" t="str">
        <f t="shared" si="0"/>
        <v>CARRERA ADMINISTRATIVA</v>
      </c>
      <c r="H72" s="33">
        <f t="shared" si="26"/>
        <v>45111</v>
      </c>
      <c r="I72" s="33">
        <f t="shared" si="27"/>
        <v>45111</v>
      </c>
      <c r="J72" s="31" t="str">
        <f t="shared" si="28"/>
        <v>MUJER</v>
      </c>
      <c r="K72" s="21">
        <f t="shared" ca="1" si="29"/>
        <v>53</v>
      </c>
      <c r="L72" s="87" t="str">
        <f t="shared" si="5"/>
        <v/>
      </c>
      <c r="M72" s="21" t="str">
        <f t="shared" si="18"/>
        <v>EN PROPIEDAD</v>
      </c>
      <c r="N72" s="21">
        <v>52146157</v>
      </c>
      <c r="O72" s="18" t="str">
        <f>IF(N72="","VACANTE DEFINITIVA",(VLOOKUP(N72,'PLANTA PERNO'!A:D,4,0)&amp;" "&amp;VLOOKUP(N72,'PLANTA PERNO'!A:D,2,0)&amp;" "&amp;VLOOKUP(N72,'PLANTA PERNO'!A:D,3,0)))</f>
        <v>MARIA CAMILA COTAMO JAIMES</v>
      </c>
      <c r="P72" s="21"/>
      <c r="Q72" s="21"/>
      <c r="R72" s="21"/>
      <c r="S72" s="21"/>
      <c r="T72" s="21"/>
      <c r="U72" s="21"/>
      <c r="V72" s="128"/>
      <c r="W72" s="21" t="str">
        <f t="shared" si="7"/>
        <v>OCUPADO</v>
      </c>
      <c r="X72" s="23" t="s">
        <v>50</v>
      </c>
      <c r="Y72" s="90" t="s">
        <v>51</v>
      </c>
      <c r="Z72" s="25">
        <v>222</v>
      </c>
      <c r="AA72" s="27">
        <v>27</v>
      </c>
      <c r="AB72" s="28" t="str">
        <f t="shared" si="8"/>
        <v>222-27</v>
      </c>
      <c r="AC72" s="24" t="s">
        <v>213</v>
      </c>
      <c r="AD72" s="24" t="s">
        <v>213</v>
      </c>
      <c r="AE72" s="24" t="s">
        <v>1818</v>
      </c>
      <c r="AF72" s="24" t="s">
        <v>1819</v>
      </c>
      <c r="AG72" s="24" t="s">
        <v>1820</v>
      </c>
      <c r="AH72" s="24" t="s">
        <v>1821</v>
      </c>
      <c r="AI72" s="93">
        <f t="shared" si="9"/>
        <v>7358647</v>
      </c>
      <c r="AJ72" s="93">
        <v>0</v>
      </c>
      <c r="AK72" s="93">
        <f t="shared" si="30"/>
        <v>0</v>
      </c>
      <c r="AL72" s="93">
        <f>IFERROR(INT(($AI72*(VLOOKUP($D72,'PORCENTAJES FACTORES'!B:N,12,0))/100)),0)</f>
        <v>2943458</v>
      </c>
      <c r="AM72" s="93">
        <f t="shared" si="31"/>
        <v>0</v>
      </c>
      <c r="AN72" s="93">
        <f t="shared" si="13"/>
        <v>0</v>
      </c>
      <c r="AO72" s="93">
        <f t="shared" si="14"/>
        <v>0</v>
      </c>
      <c r="AP72" s="95">
        <f t="shared" si="15"/>
        <v>10302105</v>
      </c>
      <c r="AQ72" s="96"/>
      <c r="AR72" s="97" t="s">
        <v>1237</v>
      </c>
      <c r="AS72" s="58"/>
      <c r="AT72" s="2" t="s">
        <v>1841</v>
      </c>
      <c r="AU72" s="46">
        <v>4475771</v>
      </c>
      <c r="AV72" s="98">
        <f t="shared" si="16"/>
        <v>52146157</v>
      </c>
      <c r="AW72" s="58"/>
      <c r="AX72" s="58"/>
      <c r="AY72" s="58"/>
      <c r="AZ72" s="58"/>
      <c r="BA72" s="48"/>
      <c r="BB72" s="48"/>
      <c r="BC72" s="48"/>
      <c r="BD72" s="48"/>
      <c r="BE72" s="48"/>
      <c r="BF72" s="48"/>
      <c r="BG72" s="48"/>
      <c r="BH72" s="48"/>
      <c r="BI72" s="48"/>
      <c r="BJ72" s="48"/>
      <c r="BK72" s="48"/>
      <c r="BL72" s="48"/>
      <c r="BM72" s="48"/>
      <c r="BN72" s="48"/>
      <c r="BO72" s="48"/>
      <c r="BP72" s="48"/>
      <c r="BQ72" s="48"/>
    </row>
    <row r="73" spans="1:69" ht="12.75" customHeight="1">
      <c r="A73" s="85">
        <v>69</v>
      </c>
      <c r="B73" s="86">
        <v>5065</v>
      </c>
      <c r="C73" s="29">
        <v>43</v>
      </c>
      <c r="D73" s="14">
        <v>52033530</v>
      </c>
      <c r="E73" s="18" t="str">
        <f>IF(D73&gt;0,VLOOKUP(D73,'PLANTA PERNO'!A:D,4,0)&amp;" "&amp;VLOOKUP(D73,'PLANTA PERNO'!A:D,2,0)&amp;" "&amp;VLOOKUP(D73,'PLANTA PERNO'!A:D,3,0),IF(N73="","VACANTE DEFINITIVA","VACANTE TEMPORAL"))</f>
        <v>LINA MARCELA MELO RODRIGUEZ</v>
      </c>
      <c r="F73" s="20" t="s">
        <v>49</v>
      </c>
      <c r="G73" s="20" t="str">
        <f t="shared" si="0"/>
        <v>CARRERA ADMINISTRATIVA</v>
      </c>
      <c r="H73" s="33">
        <f t="shared" si="26"/>
        <v>44774</v>
      </c>
      <c r="I73" s="33">
        <f t="shared" si="27"/>
        <v>44506</v>
      </c>
      <c r="J73" s="31" t="str">
        <f t="shared" si="28"/>
        <v>MUJER</v>
      </c>
      <c r="K73" s="21">
        <f t="shared" ca="1" si="29"/>
        <v>55</v>
      </c>
      <c r="L73" s="87" t="str">
        <f t="shared" si="5"/>
        <v/>
      </c>
      <c r="M73" s="21" t="str">
        <f t="shared" si="18"/>
        <v>EN PROPIEDAD</v>
      </c>
      <c r="N73" s="21">
        <v>52033530</v>
      </c>
      <c r="O73" s="18" t="str">
        <f>IF(N73="","VACANTE DEFINITIVA",(VLOOKUP(N73,'PLANTA PERNO'!A:D,4,0)&amp;" "&amp;VLOOKUP(N73,'PLANTA PERNO'!A:D,2,0)&amp;" "&amp;VLOOKUP(N73,'PLANTA PERNO'!A:D,3,0)))</f>
        <v>LINA MARCELA MELO RODRIGUEZ</v>
      </c>
      <c r="P73" s="21"/>
      <c r="Q73" s="21"/>
      <c r="R73" s="21"/>
      <c r="S73" s="21"/>
      <c r="T73" s="21"/>
      <c r="U73" s="21"/>
      <c r="V73" s="128"/>
      <c r="W73" s="21" t="str">
        <f t="shared" si="7"/>
        <v>OCUPADO</v>
      </c>
      <c r="X73" s="23" t="s">
        <v>50</v>
      </c>
      <c r="Y73" s="90" t="s">
        <v>51</v>
      </c>
      <c r="Z73" s="25">
        <v>222</v>
      </c>
      <c r="AA73" s="27">
        <v>27</v>
      </c>
      <c r="AB73" s="28" t="str">
        <f t="shared" si="8"/>
        <v>222-27</v>
      </c>
      <c r="AC73" s="24" t="s">
        <v>213</v>
      </c>
      <c r="AD73" s="24" t="s">
        <v>213</v>
      </c>
      <c r="AE73" s="24" t="s">
        <v>1854</v>
      </c>
      <c r="AF73" s="24" t="s">
        <v>1855</v>
      </c>
      <c r="AG73" s="24" t="s">
        <v>1856</v>
      </c>
      <c r="AH73" s="24" t="s">
        <v>1821</v>
      </c>
      <c r="AI73" s="93">
        <f t="shared" si="9"/>
        <v>7358647</v>
      </c>
      <c r="AJ73" s="93">
        <v>0</v>
      </c>
      <c r="AK73" s="93">
        <f t="shared" si="30"/>
        <v>0</v>
      </c>
      <c r="AL73" s="93">
        <f>IFERROR(INT(($AI73*(VLOOKUP($D73,'PORCENTAJES FACTORES'!B:N,12,0))/100)),0)</f>
        <v>2943458</v>
      </c>
      <c r="AM73" s="93">
        <f t="shared" si="31"/>
        <v>0</v>
      </c>
      <c r="AN73" s="93">
        <f t="shared" si="13"/>
        <v>0</v>
      </c>
      <c r="AO73" s="93">
        <f t="shared" si="14"/>
        <v>0</v>
      </c>
      <c r="AP73" s="95">
        <f t="shared" si="15"/>
        <v>10302105</v>
      </c>
      <c r="AQ73" s="96"/>
      <c r="AR73" s="97" t="s">
        <v>1237</v>
      </c>
      <c r="AS73" s="58"/>
      <c r="AT73" s="2" t="s">
        <v>1867</v>
      </c>
      <c r="AU73" s="46">
        <v>4475871</v>
      </c>
      <c r="AV73" s="98">
        <f t="shared" si="16"/>
        <v>52033530</v>
      </c>
      <c r="AW73" s="58"/>
      <c r="AX73" s="58"/>
      <c r="AY73" s="58"/>
      <c r="AZ73" s="58"/>
      <c r="BA73" s="48"/>
      <c r="BB73" s="48"/>
      <c r="BC73" s="48"/>
      <c r="BD73" s="48"/>
      <c r="BE73" s="48"/>
      <c r="BF73" s="48"/>
      <c r="BG73" s="48"/>
      <c r="BH73" s="48"/>
      <c r="BI73" s="48"/>
      <c r="BJ73" s="48"/>
      <c r="BK73" s="48"/>
      <c r="BL73" s="48"/>
      <c r="BM73" s="48"/>
      <c r="BN73" s="48"/>
      <c r="BO73" s="48"/>
      <c r="BP73" s="48"/>
      <c r="BQ73" s="48"/>
    </row>
    <row r="74" spans="1:69" ht="12.75" customHeight="1">
      <c r="A74" s="85">
        <v>70</v>
      </c>
      <c r="B74" s="86">
        <v>5066</v>
      </c>
      <c r="C74" s="29">
        <v>44</v>
      </c>
      <c r="D74" s="14">
        <v>24179106</v>
      </c>
      <c r="E74" s="18" t="str">
        <f>IF(D74&gt;0,VLOOKUP(D74,'PLANTA PERNO'!A:D,4,0)&amp;" "&amp;VLOOKUP(D74,'PLANTA PERNO'!A:D,2,0)&amp;" "&amp;VLOOKUP(D74,'PLANTA PERNO'!A:D,3,0),IF(N74="","VACANTE DEFINITIVA","VACANTE TEMPORAL"))</f>
        <v>ZULMA ROJAS SUAREZ</v>
      </c>
      <c r="F74" s="20" t="s">
        <v>49</v>
      </c>
      <c r="G74" s="20" t="str">
        <f t="shared" si="0"/>
        <v>CARRERA ADMINISTRATIVA</v>
      </c>
      <c r="H74" s="33">
        <f t="shared" si="26"/>
        <v>42585</v>
      </c>
      <c r="I74" s="33">
        <f t="shared" si="27"/>
        <v>38343</v>
      </c>
      <c r="J74" s="31" t="str">
        <f t="shared" si="28"/>
        <v>MUJER</v>
      </c>
      <c r="K74" s="21">
        <f t="shared" ca="1" si="29"/>
        <v>50</v>
      </c>
      <c r="L74" s="87" t="str">
        <f t="shared" si="5"/>
        <v/>
      </c>
      <c r="M74" s="21" t="str">
        <f t="shared" si="18"/>
        <v>EN PROPIEDAD</v>
      </c>
      <c r="N74" s="21">
        <v>24179106</v>
      </c>
      <c r="O74" s="18" t="str">
        <f>IF(N74="","VACANTE DEFINITIVA",(VLOOKUP(N74,'PLANTA PERNO'!A:D,4,0)&amp;" "&amp;VLOOKUP(N74,'PLANTA PERNO'!A:D,2,0)&amp;" "&amp;VLOOKUP(N74,'PLANTA PERNO'!A:D,3,0)))</f>
        <v>ZULMA ROJAS SUAREZ</v>
      </c>
      <c r="P74" s="21"/>
      <c r="Q74" s="21"/>
      <c r="R74" s="21"/>
      <c r="S74" s="21"/>
      <c r="T74" s="21"/>
      <c r="U74" s="21"/>
      <c r="V74" s="128"/>
      <c r="W74" s="21" t="str">
        <f t="shared" si="7"/>
        <v>OCUPADO</v>
      </c>
      <c r="X74" s="23" t="s">
        <v>50</v>
      </c>
      <c r="Y74" s="90" t="s">
        <v>51</v>
      </c>
      <c r="Z74" s="25">
        <v>222</v>
      </c>
      <c r="AA74" s="27">
        <v>27</v>
      </c>
      <c r="AB74" s="28" t="str">
        <f t="shared" si="8"/>
        <v>222-27</v>
      </c>
      <c r="AC74" s="24" t="s">
        <v>213</v>
      </c>
      <c r="AD74" s="24" t="s">
        <v>213</v>
      </c>
      <c r="AE74" s="24" t="s">
        <v>54</v>
      </c>
      <c r="AF74" s="24" t="s">
        <v>55</v>
      </c>
      <c r="AG74" s="24" t="s">
        <v>1890</v>
      </c>
      <c r="AH74" s="24" t="s">
        <v>57</v>
      </c>
      <c r="AI74" s="93">
        <f t="shared" si="9"/>
        <v>7358647</v>
      </c>
      <c r="AJ74" s="93">
        <v>0</v>
      </c>
      <c r="AK74" s="93">
        <f t="shared" si="30"/>
        <v>515105</v>
      </c>
      <c r="AL74" s="93">
        <f>IFERROR(INT(($AI74*(VLOOKUP($D74,'PORCENTAJES FACTORES'!B:N,12,0))/100)),0)</f>
        <v>2943458</v>
      </c>
      <c r="AM74" s="93">
        <f t="shared" si="31"/>
        <v>0</v>
      </c>
      <c r="AN74" s="93">
        <f t="shared" si="13"/>
        <v>0</v>
      </c>
      <c r="AO74" s="93">
        <f t="shared" si="14"/>
        <v>0</v>
      </c>
      <c r="AP74" s="95">
        <f t="shared" si="15"/>
        <v>10817210</v>
      </c>
      <c r="AQ74" s="187" t="s">
        <v>1896</v>
      </c>
      <c r="AR74" s="97" t="s">
        <v>1237</v>
      </c>
      <c r="AS74" s="58"/>
      <c r="AT74" s="2" t="s">
        <v>1897</v>
      </c>
      <c r="AU74" s="188">
        <v>4789274</v>
      </c>
      <c r="AV74" s="98">
        <f t="shared" si="16"/>
        <v>24179106</v>
      </c>
      <c r="AW74" s="58"/>
      <c r="AX74" s="58"/>
      <c r="AY74" s="58"/>
      <c r="AZ74" s="58"/>
      <c r="BA74" s="48"/>
      <c r="BB74" s="48"/>
      <c r="BC74" s="48"/>
      <c r="BD74" s="48"/>
      <c r="BE74" s="48"/>
      <c r="BF74" s="48"/>
      <c r="BG74" s="48"/>
      <c r="BH74" s="48"/>
      <c r="BI74" s="48"/>
      <c r="BJ74" s="48"/>
      <c r="BK74" s="48"/>
      <c r="BL74" s="48"/>
      <c r="BM74" s="48"/>
      <c r="BN74" s="48"/>
      <c r="BO74" s="48"/>
      <c r="BP74" s="48"/>
      <c r="BQ74" s="48"/>
    </row>
    <row r="75" spans="1:69" ht="12.75" customHeight="1">
      <c r="A75" s="85">
        <v>71</v>
      </c>
      <c r="B75" s="86">
        <v>5067</v>
      </c>
      <c r="C75" s="29">
        <v>45</v>
      </c>
      <c r="D75" s="14">
        <v>64586540</v>
      </c>
      <c r="E75" s="18" t="str">
        <f>IF(D75&gt;0,VLOOKUP(D75,'PLANTA PERNO'!A:D,4,0)&amp;" "&amp;VLOOKUP(D75,'PLANTA PERNO'!A:D,2,0)&amp;" "&amp;VLOOKUP(D75,'PLANTA PERNO'!A:D,3,0),IF(N75="","VACANTE DEFINITIVA","VACANTE TEMPORAL"))</f>
        <v>ALMA ROSA RAMOS MARIA</v>
      </c>
      <c r="F75" s="20" t="s">
        <v>49</v>
      </c>
      <c r="G75" s="20" t="str">
        <f t="shared" si="0"/>
        <v>EN ENCARGO</v>
      </c>
      <c r="H75" s="33">
        <f t="shared" si="26"/>
        <v>44603</v>
      </c>
      <c r="I75" s="33">
        <f t="shared" si="27"/>
        <v>44603</v>
      </c>
      <c r="J75" s="31" t="str">
        <f t="shared" si="28"/>
        <v>MUJER</v>
      </c>
      <c r="K75" s="21">
        <f t="shared" ca="1" si="29"/>
        <v>46</v>
      </c>
      <c r="L75" s="87" t="str">
        <f t="shared" si="5"/>
        <v>ENCARGO</v>
      </c>
      <c r="M75" s="21" t="str">
        <f t="shared" si="18"/>
        <v>EN ENCARGO</v>
      </c>
      <c r="N75" s="21">
        <v>64586540</v>
      </c>
      <c r="O75" s="18" t="str">
        <f>IF(N75="","VACANTE DEFINITIVA",(VLOOKUP(N75,'PLANTA PERNO'!A:D,4,0)&amp;" "&amp;VLOOKUP(N75,'PLANTA PERNO'!A:D,2,0)&amp;" "&amp;VLOOKUP(N75,'PLANTA PERNO'!A:D,3,0)))</f>
        <v>ALMA ROSA RAMOS MARIA</v>
      </c>
      <c r="P75" s="21" t="s">
        <v>256</v>
      </c>
      <c r="Q75" s="21">
        <v>2</v>
      </c>
      <c r="R75" s="21"/>
      <c r="S75" s="21"/>
      <c r="T75" s="21"/>
      <c r="U75" s="21"/>
      <c r="V75" s="128"/>
      <c r="W75" s="21" t="str">
        <f t="shared" si="7"/>
        <v>OCUPADO</v>
      </c>
      <c r="X75" s="23" t="s">
        <v>50</v>
      </c>
      <c r="Y75" s="90" t="s">
        <v>51</v>
      </c>
      <c r="Z75" s="25">
        <v>222</v>
      </c>
      <c r="AA75" s="27">
        <v>27</v>
      </c>
      <c r="AB75" s="28" t="str">
        <f t="shared" si="8"/>
        <v>222-27</v>
      </c>
      <c r="AC75" s="24" t="s">
        <v>33</v>
      </c>
      <c r="AD75" s="24" t="s">
        <v>33</v>
      </c>
      <c r="AE75" s="24" t="s">
        <v>59</v>
      </c>
      <c r="AF75" s="24" t="s">
        <v>60</v>
      </c>
      <c r="AG75" s="24" t="s">
        <v>56</v>
      </c>
      <c r="AH75" s="24" t="s">
        <v>57</v>
      </c>
      <c r="AI75" s="93">
        <f t="shared" si="9"/>
        <v>7358647</v>
      </c>
      <c r="AJ75" s="93">
        <v>0</v>
      </c>
      <c r="AK75" s="93">
        <f t="shared" si="30"/>
        <v>0</v>
      </c>
      <c r="AL75" s="93">
        <f>IFERROR(INT(($AI75*(VLOOKUP($D75,'PORCENTAJES FACTORES'!B:N,12,0))/100)),0)</f>
        <v>2943458</v>
      </c>
      <c r="AM75" s="93">
        <f t="shared" si="31"/>
        <v>0</v>
      </c>
      <c r="AN75" s="93">
        <f t="shared" si="13"/>
        <v>0</v>
      </c>
      <c r="AO75" s="93">
        <f t="shared" si="14"/>
        <v>0</v>
      </c>
      <c r="AP75" s="95">
        <f t="shared" si="15"/>
        <v>10302105</v>
      </c>
      <c r="AQ75" s="96"/>
      <c r="AR75" s="97" t="s">
        <v>1237</v>
      </c>
      <c r="AS75" s="58"/>
      <c r="AT75" s="2" t="s">
        <v>1924</v>
      </c>
      <c r="AU75" s="188">
        <v>4789389</v>
      </c>
      <c r="AV75" s="98">
        <f t="shared" si="16"/>
        <v>64586540</v>
      </c>
      <c r="AW75" s="58"/>
      <c r="AX75" s="58"/>
      <c r="AY75" s="58"/>
      <c r="AZ75" s="58"/>
      <c r="BA75" s="48"/>
      <c r="BB75" s="48"/>
      <c r="BC75" s="48"/>
      <c r="BD75" s="48"/>
      <c r="BE75" s="48"/>
      <c r="BF75" s="48"/>
      <c r="BG75" s="48"/>
      <c r="BH75" s="48"/>
      <c r="BI75" s="48"/>
      <c r="BJ75" s="48"/>
      <c r="BK75" s="48"/>
      <c r="BL75" s="48"/>
      <c r="BM75" s="48"/>
      <c r="BN75" s="48"/>
      <c r="BO75" s="48"/>
      <c r="BP75" s="48"/>
      <c r="BQ75" s="48"/>
    </row>
    <row r="76" spans="1:69" ht="12.75" customHeight="1">
      <c r="A76" s="85">
        <v>72</v>
      </c>
      <c r="B76" s="86">
        <v>5068</v>
      </c>
      <c r="C76" s="29">
        <v>46</v>
      </c>
      <c r="D76" s="14">
        <v>19347862</v>
      </c>
      <c r="E76" s="18" t="str">
        <f>IF(D76&gt;0,VLOOKUP(D76,'PLANTA PERNO'!A:D,4,0)&amp;" "&amp;VLOOKUP(D76,'PLANTA PERNO'!A:D,2,0)&amp;" "&amp;VLOOKUP(D76,'PLANTA PERNO'!A:D,3,0),IF(N76="","VACANTE DEFINITIVA","VACANTE TEMPORAL"))</f>
        <v>JORGE ELIECER HERNANDEZ ALBARRACIN</v>
      </c>
      <c r="F76" s="20" t="s">
        <v>49</v>
      </c>
      <c r="G76" s="20" t="str">
        <f t="shared" si="0"/>
        <v>CARRERA ADMINISTRATIVA</v>
      </c>
      <c r="H76" s="33">
        <f t="shared" si="26"/>
        <v>42585</v>
      </c>
      <c r="I76" s="33">
        <f t="shared" si="27"/>
        <v>34696</v>
      </c>
      <c r="J76" s="31" t="str">
        <f t="shared" si="28"/>
        <v>HOMBRE</v>
      </c>
      <c r="K76" s="21">
        <f t="shared" ca="1" si="29"/>
        <v>69</v>
      </c>
      <c r="L76" s="87" t="str">
        <f t="shared" si="5"/>
        <v/>
      </c>
      <c r="M76" s="21" t="str">
        <f t="shared" si="18"/>
        <v>EN PROPIEDAD</v>
      </c>
      <c r="N76" s="21">
        <v>19347862</v>
      </c>
      <c r="O76" s="18" t="str">
        <f>IF(N76="","VACANTE DEFINITIVA",(VLOOKUP(N76,'PLANTA PERNO'!A:D,4,0)&amp;" "&amp;VLOOKUP(N76,'PLANTA PERNO'!A:D,2,0)&amp;" "&amp;VLOOKUP(N76,'PLANTA PERNO'!A:D,3,0)))</f>
        <v>JORGE ELIECER HERNANDEZ ALBARRACIN</v>
      </c>
      <c r="P76" s="21"/>
      <c r="Q76" s="21"/>
      <c r="R76" s="21"/>
      <c r="S76" s="21"/>
      <c r="T76" s="21"/>
      <c r="U76" s="21"/>
      <c r="V76" s="128"/>
      <c r="W76" s="21" t="str">
        <f t="shared" si="7"/>
        <v>OCUPADO</v>
      </c>
      <c r="X76" s="23" t="s">
        <v>50</v>
      </c>
      <c r="Y76" s="90" t="s">
        <v>51</v>
      </c>
      <c r="Z76" s="25">
        <v>222</v>
      </c>
      <c r="AA76" s="27">
        <v>27</v>
      </c>
      <c r="AB76" s="28" t="str">
        <f t="shared" si="8"/>
        <v>222-27</v>
      </c>
      <c r="AC76" s="24" t="s">
        <v>150</v>
      </c>
      <c r="AD76" s="24" t="s">
        <v>150</v>
      </c>
      <c r="AE76" s="24" t="s">
        <v>1945</v>
      </c>
      <c r="AF76" s="24" t="s">
        <v>1946</v>
      </c>
      <c r="AG76" s="24" t="s">
        <v>1947</v>
      </c>
      <c r="AH76" s="24" t="s">
        <v>1948</v>
      </c>
      <c r="AI76" s="93">
        <f t="shared" si="9"/>
        <v>7358647</v>
      </c>
      <c r="AJ76" s="93">
        <v>0</v>
      </c>
      <c r="AK76" s="93">
        <f t="shared" si="30"/>
        <v>515105</v>
      </c>
      <c r="AL76" s="93">
        <f>IFERROR(INT(($AI76*(VLOOKUP($D76,'PORCENTAJES FACTORES'!B:N,12,0))/100)),0)</f>
        <v>2943458</v>
      </c>
      <c r="AM76" s="93">
        <f t="shared" si="31"/>
        <v>0</v>
      </c>
      <c r="AN76" s="93">
        <f t="shared" si="13"/>
        <v>0</v>
      </c>
      <c r="AO76" s="93">
        <f t="shared" si="14"/>
        <v>0</v>
      </c>
      <c r="AP76" s="95">
        <f t="shared" si="15"/>
        <v>10817210</v>
      </c>
      <c r="AQ76" s="96"/>
      <c r="AR76" s="97" t="s">
        <v>1237</v>
      </c>
      <c r="AS76" s="58"/>
      <c r="AT76" s="2" t="s">
        <v>1952</v>
      </c>
      <c r="AU76" s="46">
        <v>4476171</v>
      </c>
      <c r="AV76" s="98">
        <f t="shared" si="16"/>
        <v>19347862</v>
      </c>
      <c r="AW76" s="58"/>
      <c r="AX76" s="58"/>
      <c r="AY76" s="58"/>
      <c r="AZ76" s="58"/>
      <c r="BA76" s="48"/>
      <c r="BB76" s="48"/>
      <c r="BC76" s="48"/>
      <c r="BD76" s="48"/>
      <c r="BE76" s="48"/>
      <c r="BF76" s="48"/>
      <c r="BG76" s="48"/>
      <c r="BH76" s="48"/>
      <c r="BI76" s="48"/>
      <c r="BJ76" s="48"/>
      <c r="BK76" s="48"/>
      <c r="BL76" s="48"/>
      <c r="BM76" s="48"/>
      <c r="BN76" s="48"/>
      <c r="BO76" s="48"/>
      <c r="BP76" s="48"/>
      <c r="BQ76" s="48"/>
    </row>
    <row r="77" spans="1:69" ht="12.75" customHeight="1">
      <c r="A77" s="85">
        <v>73</v>
      </c>
      <c r="B77" s="86">
        <v>5069</v>
      </c>
      <c r="C77" s="29">
        <v>47</v>
      </c>
      <c r="D77" s="14">
        <v>51937185</v>
      </c>
      <c r="E77" s="18" t="str">
        <f>IF(D77&gt;0,VLOOKUP(D77,'PLANTA PERNO'!A:D,4,0)&amp;" "&amp;VLOOKUP(D77,'PLANTA PERNO'!A:D,2,0)&amp;" "&amp;VLOOKUP(D77,'PLANTA PERNO'!A:D,3,0),IF(N77="","VACANTE DEFINITIVA","VACANTE TEMPORAL"))</f>
        <v>MARTHA LILIANA BARRERA DIAZ</v>
      </c>
      <c r="F77" s="20" t="s">
        <v>247</v>
      </c>
      <c r="G77" s="20" t="str">
        <f t="shared" si="0"/>
        <v>EN PERIODO DE PRUEBA</v>
      </c>
      <c r="H77" s="33">
        <f t="shared" si="26"/>
        <v>42585</v>
      </c>
      <c r="I77" s="33">
        <f t="shared" si="27"/>
        <v>35499</v>
      </c>
      <c r="J77" s="31" t="str">
        <f t="shared" si="28"/>
        <v>MUJER</v>
      </c>
      <c r="K77" s="21">
        <f t="shared" ca="1" si="29"/>
        <v>57</v>
      </c>
      <c r="L77" s="87" t="str">
        <f t="shared" si="5"/>
        <v/>
      </c>
      <c r="M77" s="21" t="str">
        <f t="shared" si="18"/>
        <v>EN PROPIEDAD</v>
      </c>
      <c r="N77" s="21">
        <v>51937185</v>
      </c>
      <c r="O77" s="18" t="str">
        <f>IF(N77="","VACANTE DEFINITIVA",(VLOOKUP(N77,'PLANTA PERNO'!A:D,4,0)&amp;" "&amp;VLOOKUP(N77,'PLANTA PERNO'!A:D,2,0)&amp;" "&amp;VLOOKUP(N77,'PLANTA PERNO'!A:D,3,0)))</f>
        <v>MARTHA LILIANA BARRERA DIAZ</v>
      </c>
      <c r="P77" s="21"/>
      <c r="Q77" s="21"/>
      <c r="R77" s="21"/>
      <c r="S77" s="21"/>
      <c r="T77" s="21"/>
      <c r="U77" s="21"/>
      <c r="V77" s="123">
        <v>220283</v>
      </c>
      <c r="W77" s="21" t="str">
        <f t="shared" si="7"/>
        <v>OCUPADO</v>
      </c>
      <c r="X77" s="23" t="s">
        <v>50</v>
      </c>
      <c r="Y77" s="90" t="s">
        <v>51</v>
      </c>
      <c r="Z77" s="25">
        <v>222</v>
      </c>
      <c r="AA77" s="27">
        <v>27</v>
      </c>
      <c r="AB77" s="28" t="str">
        <f t="shared" si="8"/>
        <v>222-27</v>
      </c>
      <c r="AC77" s="24" t="s">
        <v>150</v>
      </c>
      <c r="AD77" s="24" t="s">
        <v>150</v>
      </c>
      <c r="AE77" s="24" t="s">
        <v>1969</v>
      </c>
      <c r="AF77" s="24" t="s">
        <v>1970</v>
      </c>
      <c r="AG77" s="24" t="s">
        <v>1971</v>
      </c>
      <c r="AH77" s="24" t="s">
        <v>1972</v>
      </c>
      <c r="AI77" s="93">
        <f t="shared" si="9"/>
        <v>7358647</v>
      </c>
      <c r="AJ77" s="93">
        <v>0</v>
      </c>
      <c r="AK77" s="93">
        <f t="shared" si="30"/>
        <v>515105</v>
      </c>
      <c r="AL77" s="93">
        <f>IFERROR(INT(($AI77*(VLOOKUP($D77,'PORCENTAJES FACTORES'!B:N,12,0))/100)),0)</f>
        <v>2943458</v>
      </c>
      <c r="AM77" s="93">
        <f t="shared" si="31"/>
        <v>0</v>
      </c>
      <c r="AN77" s="93">
        <f t="shared" si="13"/>
        <v>0</v>
      </c>
      <c r="AO77" s="93">
        <f t="shared" si="14"/>
        <v>0</v>
      </c>
      <c r="AP77" s="95">
        <f t="shared" si="15"/>
        <v>10817210</v>
      </c>
      <c r="AQ77" s="96"/>
      <c r="AR77" s="97" t="s">
        <v>1237</v>
      </c>
      <c r="AS77" s="58"/>
      <c r="AT77" s="2" t="s">
        <v>1975</v>
      </c>
      <c r="AU77" s="46">
        <v>2027393</v>
      </c>
      <c r="AV77" s="98">
        <f t="shared" si="16"/>
        <v>51937185</v>
      </c>
      <c r="AW77" s="58"/>
      <c r="AX77" s="58"/>
      <c r="AY77" s="58"/>
      <c r="AZ77" s="58"/>
      <c r="BA77" s="48"/>
      <c r="BB77" s="48"/>
      <c r="BC77" s="48"/>
      <c r="BD77" s="48"/>
      <c r="BE77" s="48"/>
      <c r="BF77" s="48"/>
      <c r="BG77" s="48"/>
      <c r="BH77" s="48"/>
      <c r="BI77" s="48"/>
      <c r="BJ77" s="48"/>
      <c r="BK77" s="48"/>
      <c r="BL77" s="48"/>
      <c r="BM77" s="48"/>
      <c r="BN77" s="48"/>
      <c r="BO77" s="48"/>
      <c r="BP77" s="48"/>
      <c r="BQ77" s="48"/>
    </row>
    <row r="78" spans="1:69" ht="12.75" customHeight="1">
      <c r="A78" s="85">
        <v>74</v>
      </c>
      <c r="B78" s="86">
        <v>5071</v>
      </c>
      <c r="C78" s="29">
        <v>49</v>
      </c>
      <c r="D78" s="14">
        <v>52380066</v>
      </c>
      <c r="E78" s="18" t="str">
        <f>IF(D78&gt;0,VLOOKUP(D78,'PLANTA PERNO'!A:D,4,0)&amp;" "&amp;VLOOKUP(D78,'PLANTA PERNO'!A:D,2,0)&amp;" "&amp;VLOOKUP(D78,'PLANTA PERNO'!A:D,3,0),IF(N78="","VACANTE DEFINITIVA","VACANTE TEMPORAL"))</f>
        <v>YUDY ZULEYMA RODRIGUEZ BLANCO</v>
      </c>
      <c r="F78" s="20" t="s">
        <v>49</v>
      </c>
      <c r="G78" s="20" t="str">
        <f t="shared" si="0"/>
        <v>CARRERA ADMINISTRATIVA</v>
      </c>
      <c r="H78" s="33">
        <f t="shared" si="26"/>
        <v>44649</v>
      </c>
      <c r="I78" s="33">
        <f t="shared" si="27"/>
        <v>39259</v>
      </c>
      <c r="J78" s="31" t="str">
        <f t="shared" si="28"/>
        <v>MUJER</v>
      </c>
      <c r="K78" s="21">
        <f t="shared" ca="1" si="29"/>
        <v>49</v>
      </c>
      <c r="L78" s="87" t="str">
        <f t="shared" si="5"/>
        <v/>
      </c>
      <c r="M78" s="21" t="str">
        <f t="shared" si="18"/>
        <v>EN PROPIEDAD</v>
      </c>
      <c r="N78" s="21">
        <v>52380066</v>
      </c>
      <c r="O78" s="18" t="str">
        <f>IF(N78="","VACANTE DEFINITIVA",(VLOOKUP(N78,'PLANTA PERNO'!A:D,4,0)&amp;" "&amp;VLOOKUP(N78,'PLANTA PERNO'!A:D,2,0)&amp;" "&amp;VLOOKUP(N78,'PLANTA PERNO'!A:D,3,0)))</f>
        <v>YUDY ZULEYMA RODRIGUEZ BLANCO</v>
      </c>
      <c r="P78" s="21"/>
      <c r="Q78" s="21"/>
      <c r="R78" s="21"/>
      <c r="S78" s="21"/>
      <c r="T78" s="21"/>
      <c r="U78" s="21"/>
      <c r="V78" s="128"/>
      <c r="W78" s="21" t="str">
        <f t="shared" si="7"/>
        <v>OCUPADO</v>
      </c>
      <c r="X78" s="23" t="s">
        <v>50</v>
      </c>
      <c r="Y78" s="90" t="s">
        <v>51</v>
      </c>
      <c r="Z78" s="25">
        <v>222</v>
      </c>
      <c r="AA78" s="27">
        <v>27</v>
      </c>
      <c r="AB78" s="28" t="str">
        <f t="shared" si="8"/>
        <v>222-27</v>
      </c>
      <c r="AC78" s="24" t="s">
        <v>150</v>
      </c>
      <c r="AD78" s="24" t="s">
        <v>150</v>
      </c>
      <c r="AE78" s="24" t="s">
        <v>1985</v>
      </c>
      <c r="AF78" s="24" t="s">
        <v>1986</v>
      </c>
      <c r="AG78" s="24" t="s">
        <v>1987</v>
      </c>
      <c r="AH78" s="24" t="s">
        <v>1948</v>
      </c>
      <c r="AI78" s="93">
        <f t="shared" si="9"/>
        <v>7358647</v>
      </c>
      <c r="AJ78" s="93">
        <v>0</v>
      </c>
      <c r="AK78" s="93">
        <f t="shared" si="30"/>
        <v>515105</v>
      </c>
      <c r="AL78" s="93">
        <f>IFERROR(INT(($AI78*(VLOOKUP($D78,'PORCENTAJES FACTORES'!B:N,12,0))/100)),0)</f>
        <v>2943458</v>
      </c>
      <c r="AM78" s="93">
        <f t="shared" si="31"/>
        <v>0</v>
      </c>
      <c r="AN78" s="93">
        <f t="shared" si="13"/>
        <v>0</v>
      </c>
      <c r="AO78" s="93">
        <f t="shared" si="14"/>
        <v>0</v>
      </c>
      <c r="AP78" s="95">
        <f t="shared" si="15"/>
        <v>10817210</v>
      </c>
      <c r="AQ78" s="96"/>
      <c r="AR78" s="97" t="s">
        <v>1237</v>
      </c>
      <c r="AS78" s="58"/>
      <c r="AT78" s="2" t="s">
        <v>1997</v>
      </c>
      <c r="AU78" s="46">
        <v>2113071</v>
      </c>
      <c r="AV78" s="98">
        <f t="shared" si="16"/>
        <v>52380066</v>
      </c>
      <c r="AW78" s="58"/>
      <c r="AX78" s="58"/>
      <c r="AY78" s="58"/>
      <c r="AZ78" s="58"/>
      <c r="BA78" s="48"/>
      <c r="BB78" s="48"/>
      <c r="BC78" s="48"/>
      <c r="BD78" s="48"/>
      <c r="BE78" s="48"/>
      <c r="BF78" s="48"/>
      <c r="BG78" s="48"/>
      <c r="BH78" s="48"/>
      <c r="BI78" s="48"/>
      <c r="BJ78" s="48"/>
      <c r="BK78" s="48"/>
      <c r="BL78" s="48"/>
      <c r="BM78" s="48"/>
      <c r="BN78" s="48"/>
      <c r="BO78" s="48"/>
      <c r="BP78" s="48"/>
      <c r="BQ78" s="48"/>
    </row>
    <row r="79" spans="1:69" ht="12.75" customHeight="1">
      <c r="A79" s="85">
        <v>75</v>
      </c>
      <c r="B79" s="86">
        <v>5070</v>
      </c>
      <c r="C79" s="29">
        <v>48</v>
      </c>
      <c r="D79" s="14">
        <v>19444915</v>
      </c>
      <c r="E79" s="18" t="str">
        <f>IF(D79&gt;0,VLOOKUP(D79,'PLANTA PERNO'!A:D,4,0)&amp;" "&amp;VLOOKUP(D79,'PLANTA PERNO'!A:D,2,0)&amp;" "&amp;VLOOKUP(D79,'PLANTA PERNO'!A:D,3,0),IF(N79="","VACANTE DEFINITIVA","VACANTE TEMPORAL"))</f>
        <v>OCTAVIO QUINTERO LARA</v>
      </c>
      <c r="F79" s="20" t="s">
        <v>49</v>
      </c>
      <c r="G79" s="20" t="str">
        <f t="shared" si="0"/>
        <v>CARRERA ADMINISTRATIVA</v>
      </c>
      <c r="H79" s="33">
        <f t="shared" si="26"/>
        <v>44400</v>
      </c>
      <c r="I79" s="33">
        <f t="shared" si="27"/>
        <v>44400</v>
      </c>
      <c r="J79" s="31" t="str">
        <f t="shared" si="28"/>
        <v>HOMBRE</v>
      </c>
      <c r="K79" s="21">
        <f t="shared" ca="1" si="29"/>
        <v>65</v>
      </c>
      <c r="L79" s="87" t="str">
        <f t="shared" si="5"/>
        <v/>
      </c>
      <c r="M79" s="21" t="str">
        <f t="shared" si="18"/>
        <v>EN PROPIEDAD</v>
      </c>
      <c r="N79" s="21">
        <v>19444915</v>
      </c>
      <c r="O79" s="18" t="str">
        <f>IF(N79="","VACANTE DEFINITIVA",(VLOOKUP(N79,'PLANTA PERNO'!A:D,4,0)&amp;" "&amp;VLOOKUP(N79,'PLANTA PERNO'!A:D,2,0)&amp;" "&amp;VLOOKUP(N79,'PLANTA PERNO'!A:D,3,0)))</f>
        <v>OCTAVIO QUINTERO LARA</v>
      </c>
      <c r="P79" s="21"/>
      <c r="Q79" s="21"/>
      <c r="R79" s="21"/>
      <c r="S79" s="21"/>
      <c r="T79" s="21"/>
      <c r="U79" s="21"/>
      <c r="V79" s="128"/>
      <c r="W79" s="21" t="str">
        <f t="shared" si="7"/>
        <v>OCUPADO</v>
      </c>
      <c r="X79" s="23" t="s">
        <v>50</v>
      </c>
      <c r="Y79" s="90" t="s">
        <v>51</v>
      </c>
      <c r="Z79" s="25">
        <v>222</v>
      </c>
      <c r="AA79" s="27">
        <v>27</v>
      </c>
      <c r="AB79" s="28" t="str">
        <f t="shared" si="8"/>
        <v>222-27</v>
      </c>
      <c r="AC79" s="24" t="s">
        <v>150</v>
      </c>
      <c r="AD79" s="24" t="s">
        <v>150</v>
      </c>
      <c r="AE79" s="24" t="s">
        <v>1985</v>
      </c>
      <c r="AF79" s="24" t="s">
        <v>1986</v>
      </c>
      <c r="AG79" s="24" t="s">
        <v>1987</v>
      </c>
      <c r="AH79" s="24" t="s">
        <v>1948</v>
      </c>
      <c r="AI79" s="93">
        <f t="shared" si="9"/>
        <v>7358647</v>
      </c>
      <c r="AJ79" s="93">
        <v>0</v>
      </c>
      <c r="AK79" s="93">
        <f t="shared" si="30"/>
        <v>220759</v>
      </c>
      <c r="AL79" s="93">
        <f>IFERROR(INT(($AI79*(VLOOKUP($D79,'PORCENTAJES FACTORES'!B:N,12,0))/100)),0)</f>
        <v>2943458</v>
      </c>
      <c r="AM79" s="93">
        <f t="shared" si="31"/>
        <v>0</v>
      </c>
      <c r="AN79" s="93">
        <f t="shared" si="13"/>
        <v>0</v>
      </c>
      <c r="AO79" s="93">
        <f t="shared" si="14"/>
        <v>0</v>
      </c>
      <c r="AP79" s="95">
        <f t="shared" si="15"/>
        <v>10522864</v>
      </c>
      <c r="AQ79" s="96"/>
      <c r="AR79" s="97" t="s">
        <v>1237</v>
      </c>
      <c r="AS79" s="58"/>
      <c r="AT79" s="2" t="s">
        <v>1180</v>
      </c>
      <c r="AU79" s="46">
        <v>2188251</v>
      </c>
      <c r="AV79" s="98">
        <f t="shared" si="16"/>
        <v>19444915</v>
      </c>
      <c r="AW79" s="58"/>
      <c r="AX79" s="58"/>
      <c r="AY79" s="58"/>
      <c r="AZ79" s="58"/>
      <c r="BA79" s="48"/>
      <c r="BB79" s="48"/>
      <c r="BC79" s="48"/>
      <c r="BD79" s="48"/>
      <c r="BE79" s="48"/>
      <c r="BF79" s="48"/>
      <c r="BG79" s="48"/>
      <c r="BH79" s="48"/>
      <c r="BI79" s="48"/>
      <c r="BJ79" s="48"/>
      <c r="BK79" s="48"/>
      <c r="BL79" s="48"/>
      <c r="BM79" s="48"/>
      <c r="BN79" s="48"/>
      <c r="BO79" s="48"/>
      <c r="BP79" s="48"/>
      <c r="BQ79" s="48"/>
    </row>
    <row r="80" spans="1:69" ht="12.75" customHeight="1">
      <c r="A80" s="85">
        <v>76</v>
      </c>
      <c r="B80" s="86">
        <v>5073</v>
      </c>
      <c r="C80" s="29">
        <v>50</v>
      </c>
      <c r="D80" s="14">
        <v>79567977</v>
      </c>
      <c r="E80" s="18" t="str">
        <f>IF(D80&gt;0,VLOOKUP(D80,'PLANTA PERNO'!A:D,4,0)&amp;" "&amp;VLOOKUP(D80,'PLANTA PERNO'!A:D,2,0)&amp;" "&amp;VLOOKUP(D80,'PLANTA PERNO'!A:D,3,0),IF(N80="","VACANTE DEFINITIVA","VACANTE TEMPORAL"))</f>
        <v>FERNANDO PACHON PIÃ‘EROS</v>
      </c>
      <c r="F80" s="20" t="s">
        <v>49</v>
      </c>
      <c r="G80" s="20" t="str">
        <f t="shared" si="0"/>
        <v>EN ENCARGO</v>
      </c>
      <c r="H80" s="33">
        <f t="shared" si="26"/>
        <v>42585</v>
      </c>
      <c r="I80" s="33">
        <f t="shared" si="27"/>
        <v>40267</v>
      </c>
      <c r="J80" s="31" t="str">
        <f t="shared" si="28"/>
        <v>HOMBRE</v>
      </c>
      <c r="K80" s="21">
        <f t="shared" ca="1" si="29"/>
        <v>53</v>
      </c>
      <c r="L80" s="87" t="str">
        <f t="shared" si="5"/>
        <v>ENCARGO</v>
      </c>
      <c r="M80" s="21" t="str">
        <f t="shared" si="18"/>
        <v>VACANTE DEFINITIVA</v>
      </c>
      <c r="N80" s="21"/>
      <c r="O80" s="18" t="str">
        <f>IF(N80="","VACANTE DEFINITIVA",(VLOOKUP(N80,'PLANTA PERNO'!A:D,4,0)&amp;" "&amp;VLOOKUP(N80,'PLANTA PERNO'!A:D,2,0)&amp;" "&amp;VLOOKUP(N80,'PLANTA PERNO'!A:D,3,0)))</f>
        <v>VACANTE DEFINITIVA</v>
      </c>
      <c r="P80" s="21" t="s">
        <v>1823</v>
      </c>
      <c r="Q80" s="21">
        <v>1</v>
      </c>
      <c r="R80" s="21"/>
      <c r="S80" s="21"/>
      <c r="T80" s="21"/>
      <c r="U80" s="21"/>
      <c r="V80" s="128"/>
      <c r="W80" s="21" t="str">
        <f t="shared" si="7"/>
        <v>OCUPADO</v>
      </c>
      <c r="X80" s="23" t="s">
        <v>50</v>
      </c>
      <c r="Y80" s="90" t="s">
        <v>51</v>
      </c>
      <c r="Z80" s="25">
        <v>222</v>
      </c>
      <c r="AA80" s="27">
        <v>26</v>
      </c>
      <c r="AB80" s="28" t="str">
        <f t="shared" si="8"/>
        <v>222-26</v>
      </c>
      <c r="AC80" s="24" t="s">
        <v>153</v>
      </c>
      <c r="AD80" s="24" t="s">
        <v>153</v>
      </c>
      <c r="AE80" s="24" t="s">
        <v>2049</v>
      </c>
      <c r="AF80" s="24" t="s">
        <v>2050</v>
      </c>
      <c r="AG80" s="24" t="s">
        <v>2051</v>
      </c>
      <c r="AH80" s="24" t="s">
        <v>2052</v>
      </c>
      <c r="AI80" s="93">
        <f t="shared" si="9"/>
        <v>7296816</v>
      </c>
      <c r="AJ80" s="93">
        <f>+AI80*0.2</f>
        <v>1459363.2000000002</v>
      </c>
      <c r="AK80" s="93">
        <f t="shared" si="30"/>
        <v>510777</v>
      </c>
      <c r="AL80" s="93">
        <f>IFERROR(INT(($AI80*(VLOOKUP($D80,'PORCENTAJES FACTORES'!B:N,12,0))/100)),0)</f>
        <v>2918726</v>
      </c>
      <c r="AM80" s="93">
        <f t="shared" si="31"/>
        <v>0</v>
      </c>
      <c r="AN80" s="93">
        <f t="shared" si="13"/>
        <v>0</v>
      </c>
      <c r="AO80" s="93">
        <f t="shared" si="14"/>
        <v>0</v>
      </c>
      <c r="AP80" s="95">
        <f t="shared" si="15"/>
        <v>12185682.199999999</v>
      </c>
      <c r="AQ80" s="96"/>
      <c r="AR80" s="97" t="s">
        <v>1216</v>
      </c>
      <c r="AS80" s="58"/>
      <c r="AT80" s="2" t="s">
        <v>2058</v>
      </c>
      <c r="AU80" s="46">
        <v>2341536</v>
      </c>
      <c r="AV80" s="98" t="e">
        <f t="shared" si="16"/>
        <v>#N/A</v>
      </c>
      <c r="AW80" s="58"/>
      <c r="AX80" s="58"/>
      <c r="AY80" s="58"/>
      <c r="AZ80" s="58"/>
      <c r="BA80" s="48"/>
      <c r="BB80" s="48"/>
      <c r="BC80" s="48"/>
      <c r="BD80" s="48"/>
      <c r="BE80" s="48"/>
      <c r="BF80" s="48"/>
      <c r="BG80" s="48"/>
      <c r="BH80" s="48"/>
      <c r="BI80" s="48"/>
      <c r="BJ80" s="48"/>
      <c r="BK80" s="48"/>
      <c r="BL80" s="48"/>
      <c r="BM80" s="48"/>
      <c r="BN80" s="48"/>
      <c r="BO80" s="48"/>
      <c r="BP80" s="48"/>
      <c r="BQ80" s="48"/>
    </row>
    <row r="81" spans="1:69" ht="12.75" customHeight="1">
      <c r="A81" s="85">
        <v>77</v>
      </c>
      <c r="B81" s="86">
        <v>5074</v>
      </c>
      <c r="C81" s="29">
        <v>51</v>
      </c>
      <c r="D81" s="14">
        <v>42161948</v>
      </c>
      <c r="E81" s="18" t="str">
        <f>IF(D81&gt;0,VLOOKUP(D81,'PLANTA PERNO'!A:D,4,0)&amp;" "&amp;VLOOKUP(D81,'PLANTA PERNO'!A:D,2,0)&amp;" "&amp;VLOOKUP(D81,'PLANTA PERNO'!A:D,3,0),IF(N81="","VACANTE DEFINITIVA","VACANTE TEMPORAL"))</f>
        <v>ANGELA MARCELA RODRIGUEZ DIAZ</v>
      </c>
      <c r="F81" s="20" t="s">
        <v>247</v>
      </c>
      <c r="G81" s="20" t="str">
        <f t="shared" si="0"/>
        <v>EN PERIODO DE PRUEBA</v>
      </c>
      <c r="H81" s="33">
        <f t="shared" si="26"/>
        <v>46099</v>
      </c>
      <c r="I81" s="33">
        <f t="shared" si="27"/>
        <v>46099</v>
      </c>
      <c r="J81" s="31" t="str">
        <f t="shared" si="28"/>
        <v>MUJER</v>
      </c>
      <c r="K81" s="21">
        <f t="shared" ca="1" si="29"/>
        <v>41</v>
      </c>
      <c r="L81" s="87" t="str">
        <f t="shared" si="5"/>
        <v/>
      </c>
      <c r="M81" s="21" t="str">
        <f t="shared" si="18"/>
        <v>EN PROPIEDAD</v>
      </c>
      <c r="N81" s="21">
        <v>42161948</v>
      </c>
      <c r="O81" s="18" t="str">
        <f>IF(N81="","VACANTE DEFINITIVA",(VLOOKUP(N81,'PLANTA PERNO'!A:D,4,0)&amp;" "&amp;VLOOKUP(N81,'PLANTA PERNO'!A:D,2,0)&amp;" "&amp;VLOOKUP(N81,'PLANTA PERNO'!A:D,3,0)))</f>
        <v>ANGELA MARCELA RODRIGUEZ DIAZ</v>
      </c>
      <c r="P81" s="21"/>
      <c r="Q81" s="21"/>
      <c r="R81" s="21"/>
      <c r="S81" s="21"/>
      <c r="T81" s="21"/>
      <c r="U81" s="21"/>
      <c r="V81" s="123">
        <v>203199</v>
      </c>
      <c r="W81" s="21" t="str">
        <f t="shared" si="7"/>
        <v>OCUPADO</v>
      </c>
      <c r="X81" s="23" t="s">
        <v>50</v>
      </c>
      <c r="Y81" s="90" t="s">
        <v>51</v>
      </c>
      <c r="Z81" s="25">
        <v>222</v>
      </c>
      <c r="AA81" s="27">
        <v>26</v>
      </c>
      <c r="AB81" s="28" t="str">
        <f t="shared" si="8"/>
        <v>222-26</v>
      </c>
      <c r="AC81" s="24" t="s">
        <v>147</v>
      </c>
      <c r="AD81" s="24" t="s">
        <v>147</v>
      </c>
      <c r="AE81" s="24" t="s">
        <v>2073</v>
      </c>
      <c r="AF81" s="24" t="s">
        <v>2074</v>
      </c>
      <c r="AG81" s="24" t="s">
        <v>2075</v>
      </c>
      <c r="AH81" s="24" t="s">
        <v>2076</v>
      </c>
      <c r="AI81" s="93">
        <f t="shared" si="9"/>
        <v>7296816</v>
      </c>
      <c r="AJ81" s="93">
        <v>0</v>
      </c>
      <c r="AK81" s="93">
        <f t="shared" si="30"/>
        <v>0</v>
      </c>
      <c r="AL81" s="93">
        <f>IFERROR(INT(($AI81*(VLOOKUP($D81,'PORCENTAJES FACTORES'!B:N,12,0))/100)),0)</f>
        <v>0</v>
      </c>
      <c r="AM81" s="93">
        <f t="shared" si="31"/>
        <v>0</v>
      </c>
      <c r="AN81" s="93">
        <f t="shared" si="13"/>
        <v>0</v>
      </c>
      <c r="AO81" s="93">
        <f t="shared" si="14"/>
        <v>0</v>
      </c>
      <c r="AP81" s="95">
        <f t="shared" si="15"/>
        <v>7296816</v>
      </c>
      <c r="AQ81" s="96"/>
      <c r="AR81" s="97" t="s">
        <v>1216</v>
      </c>
      <c r="AS81" s="58"/>
      <c r="AT81" s="2" t="s">
        <v>2081</v>
      </c>
      <c r="AU81" s="46">
        <v>2441489</v>
      </c>
      <c r="AV81" s="98">
        <f t="shared" si="16"/>
        <v>42161948</v>
      </c>
      <c r="AW81" s="58"/>
      <c r="AX81" s="58"/>
      <c r="AY81" s="58"/>
      <c r="AZ81" s="58"/>
      <c r="BA81" s="48"/>
      <c r="BB81" s="48"/>
      <c r="BC81" s="48"/>
      <c r="BD81" s="48"/>
      <c r="BE81" s="48"/>
      <c r="BF81" s="48"/>
      <c r="BG81" s="48"/>
      <c r="BH81" s="48"/>
      <c r="BI81" s="48"/>
      <c r="BJ81" s="48"/>
      <c r="BK81" s="48"/>
      <c r="BL81" s="48"/>
      <c r="BM81" s="48"/>
      <c r="BN81" s="48"/>
      <c r="BO81" s="48"/>
      <c r="BP81" s="48"/>
      <c r="BQ81" s="48"/>
    </row>
    <row r="82" spans="1:69" ht="12.75" customHeight="1">
      <c r="A82" s="85">
        <v>78</v>
      </c>
      <c r="B82" s="86">
        <v>5075</v>
      </c>
      <c r="C82" s="29">
        <v>52</v>
      </c>
      <c r="D82" s="14">
        <v>79954654</v>
      </c>
      <c r="E82" s="18" t="str">
        <f>IF(D82&gt;0,VLOOKUP(D82,'PLANTA PERNO'!A:D,4,0)&amp;" "&amp;VLOOKUP(D82,'PLANTA PERNO'!A:D,2,0)&amp;" "&amp;VLOOKUP(D82,'PLANTA PERNO'!A:D,3,0),IF(N82="","VACANTE DEFINITIVA","VACANTE TEMPORAL"))</f>
        <v>CAMILO ANDRES RODRIGUEZ RODRIGUEZ</v>
      </c>
      <c r="F82" s="20" t="s">
        <v>49</v>
      </c>
      <c r="G82" s="20" t="str">
        <f t="shared" si="0"/>
        <v>CARRERA ADMINISTRATIVA</v>
      </c>
      <c r="H82" s="33">
        <f t="shared" si="26"/>
        <v>42817</v>
      </c>
      <c r="I82" s="33">
        <f t="shared" si="27"/>
        <v>42817</v>
      </c>
      <c r="J82" s="31" t="str">
        <f t="shared" si="28"/>
        <v>HOMBRE</v>
      </c>
      <c r="K82" s="21">
        <f t="shared" ca="1" si="29"/>
        <v>46</v>
      </c>
      <c r="L82" s="87" t="str">
        <f t="shared" si="5"/>
        <v/>
      </c>
      <c r="M82" s="21" t="str">
        <f t="shared" si="18"/>
        <v>EN PROPIEDAD</v>
      </c>
      <c r="N82" s="21">
        <v>79954654</v>
      </c>
      <c r="O82" s="18" t="str">
        <f>IF(N82="","VACANTE DEFINITIVA",(VLOOKUP(N82,'PLANTA PERNO'!A:D,4,0)&amp;" "&amp;VLOOKUP(N82,'PLANTA PERNO'!A:D,2,0)&amp;" "&amp;VLOOKUP(N82,'PLANTA PERNO'!A:D,3,0)))</f>
        <v>CAMILO ANDRES RODRIGUEZ RODRIGUEZ</v>
      </c>
      <c r="P82" s="21"/>
      <c r="Q82" s="21"/>
      <c r="R82" s="21"/>
      <c r="S82" s="21"/>
      <c r="T82" s="21"/>
      <c r="U82" s="21"/>
      <c r="V82" s="128"/>
      <c r="W82" s="21" t="str">
        <f t="shared" si="7"/>
        <v>OCUPADO</v>
      </c>
      <c r="X82" s="23" t="s">
        <v>50</v>
      </c>
      <c r="Y82" s="90" t="s">
        <v>51</v>
      </c>
      <c r="Z82" s="25">
        <v>222</v>
      </c>
      <c r="AA82" s="27">
        <v>25</v>
      </c>
      <c r="AB82" s="28" t="str">
        <f t="shared" si="8"/>
        <v>222-25</v>
      </c>
      <c r="AC82" s="24" t="s">
        <v>150</v>
      </c>
      <c r="AD82" s="24" t="s">
        <v>150</v>
      </c>
      <c r="AE82" s="24" t="s">
        <v>2095</v>
      </c>
      <c r="AF82" s="24" t="s">
        <v>2096</v>
      </c>
      <c r="AG82" s="24" t="s">
        <v>56</v>
      </c>
      <c r="AH82" s="24" t="s">
        <v>2099</v>
      </c>
      <c r="AI82" s="93">
        <f t="shared" si="9"/>
        <v>6982028</v>
      </c>
      <c r="AJ82" s="93">
        <v>0</v>
      </c>
      <c r="AK82" s="93">
        <f t="shared" si="30"/>
        <v>209460</v>
      </c>
      <c r="AL82" s="93">
        <f>IFERROR(INT(($AI82*(VLOOKUP($D82,'PORCENTAJES FACTORES'!B:N,12,0))/100)),0)</f>
        <v>2792811</v>
      </c>
      <c r="AM82" s="93">
        <f t="shared" si="31"/>
        <v>0</v>
      </c>
      <c r="AN82" s="93">
        <f t="shared" si="13"/>
        <v>0</v>
      </c>
      <c r="AO82" s="93">
        <f t="shared" si="14"/>
        <v>0</v>
      </c>
      <c r="AP82" s="95">
        <f t="shared" si="15"/>
        <v>9984299</v>
      </c>
      <c r="AQ82" s="96"/>
      <c r="AR82" s="97" t="s">
        <v>1198</v>
      </c>
      <c r="AS82" s="58"/>
      <c r="AT82" s="2" t="s">
        <v>2108</v>
      </c>
      <c r="AU82" s="46">
        <v>2527169</v>
      </c>
      <c r="AV82" s="98">
        <f t="shared" si="16"/>
        <v>79954654</v>
      </c>
      <c r="AW82" s="58"/>
      <c r="AX82" s="58"/>
      <c r="AY82" s="58"/>
      <c r="AZ82" s="58"/>
      <c r="BA82" s="48"/>
      <c r="BB82" s="48"/>
      <c r="BC82" s="48"/>
      <c r="BD82" s="48"/>
      <c r="BE82" s="48"/>
      <c r="BF82" s="48"/>
      <c r="BG82" s="48"/>
      <c r="BH82" s="48"/>
      <c r="BI82" s="48"/>
      <c r="BJ82" s="48"/>
      <c r="BK82" s="48"/>
      <c r="BL82" s="48"/>
      <c r="BM82" s="48"/>
      <c r="BN82" s="48"/>
      <c r="BO82" s="48"/>
      <c r="BP82" s="48"/>
      <c r="BQ82" s="48"/>
    </row>
    <row r="83" spans="1:69" ht="12.75" customHeight="1">
      <c r="A83" s="85">
        <v>79</v>
      </c>
      <c r="B83" s="86">
        <v>5076</v>
      </c>
      <c r="C83" s="29">
        <v>54</v>
      </c>
      <c r="D83" s="14">
        <v>86058268</v>
      </c>
      <c r="E83" s="18" t="str">
        <f>IF(D83&gt;0,VLOOKUP(D83,'PLANTA PERNO'!A:D,4,0)&amp;" "&amp;VLOOKUP(D83,'PLANTA PERNO'!A:D,2,0)&amp;" "&amp;VLOOKUP(D83,'PLANTA PERNO'!A:D,3,0),IF(N83="","VACANTE DEFINITIVA","VACANTE TEMPORAL"))</f>
        <v>IAM ALEXANDER OJEDA CARDENAS</v>
      </c>
      <c r="F83" s="20" t="s">
        <v>49</v>
      </c>
      <c r="G83" s="20" t="str">
        <f t="shared" si="0"/>
        <v>EN ENCARGO</v>
      </c>
      <c r="H83" s="33">
        <f t="shared" si="26"/>
        <v>44152</v>
      </c>
      <c r="I83" s="33">
        <f t="shared" si="27"/>
        <v>44152</v>
      </c>
      <c r="J83" s="31" t="str">
        <f t="shared" si="28"/>
        <v>HOMBRE</v>
      </c>
      <c r="K83" s="21">
        <f t="shared" ca="1" si="29"/>
        <v>48</v>
      </c>
      <c r="L83" s="87" t="str">
        <f t="shared" si="5"/>
        <v>ENCARGO</v>
      </c>
      <c r="M83" s="21" t="str">
        <f t="shared" si="18"/>
        <v>VACANTE DEFINITIVA</v>
      </c>
      <c r="N83" s="21" t="s">
        <v>25</v>
      </c>
      <c r="O83" s="18" t="str">
        <f>IF(N83="","VACANTE DEFINITIVA",(VLOOKUP(N83,'PLANTA PERNO'!A:D,4,0)&amp;" "&amp;VLOOKUP(N83,'PLANTA PERNO'!A:D,2,0)&amp;" "&amp;VLOOKUP(N83,'PLANTA PERNO'!A:D,3,0)))</f>
        <v>VACANTE DEFINITIVA</v>
      </c>
      <c r="P83" s="21" t="s">
        <v>82</v>
      </c>
      <c r="Q83" s="21">
        <v>1</v>
      </c>
      <c r="R83" s="21"/>
      <c r="S83" s="21"/>
      <c r="T83" s="21"/>
      <c r="U83" s="21"/>
      <c r="V83" s="128"/>
      <c r="W83" s="21" t="str">
        <f t="shared" si="7"/>
        <v>OCUPADO</v>
      </c>
      <c r="X83" s="23" t="s">
        <v>50</v>
      </c>
      <c r="Y83" s="90" t="s">
        <v>51</v>
      </c>
      <c r="Z83" s="25">
        <v>222</v>
      </c>
      <c r="AA83" s="27">
        <v>24</v>
      </c>
      <c r="AB83" s="28" t="str">
        <f t="shared" si="8"/>
        <v>222-24</v>
      </c>
      <c r="AC83" s="24" t="s">
        <v>75</v>
      </c>
      <c r="AD83" s="24" t="s">
        <v>75</v>
      </c>
      <c r="AE83" s="24" t="s">
        <v>2129</v>
      </c>
      <c r="AF83" s="24" t="s">
        <v>2130</v>
      </c>
      <c r="AG83" s="24" t="s">
        <v>2131</v>
      </c>
      <c r="AH83" s="24" t="s">
        <v>2132</v>
      </c>
      <c r="AI83" s="93">
        <f t="shared" si="9"/>
        <v>6809900</v>
      </c>
      <c r="AJ83" s="93">
        <v>0</v>
      </c>
      <c r="AK83" s="93">
        <f t="shared" si="30"/>
        <v>204297</v>
      </c>
      <c r="AL83" s="93">
        <f>IFERROR(INT(($AI83*(VLOOKUP($D83,'PORCENTAJES FACTORES'!B:N,12,0))/100)),0)</f>
        <v>2723960</v>
      </c>
      <c r="AM83" s="93">
        <f t="shared" si="31"/>
        <v>0</v>
      </c>
      <c r="AN83" s="93">
        <f t="shared" si="13"/>
        <v>0</v>
      </c>
      <c r="AO83" s="93">
        <f t="shared" si="14"/>
        <v>0</v>
      </c>
      <c r="AP83" s="95">
        <f t="shared" si="15"/>
        <v>9738157</v>
      </c>
      <c r="AQ83" s="96"/>
      <c r="AR83" s="97" t="s">
        <v>1181</v>
      </c>
      <c r="AS83" s="58"/>
      <c r="AT83" s="2" t="s">
        <v>1154</v>
      </c>
      <c r="AU83" s="46">
        <v>2623189</v>
      </c>
      <c r="AV83" s="98" t="e">
        <f t="shared" si="16"/>
        <v>#N/A</v>
      </c>
      <c r="AW83" s="58"/>
      <c r="AX83" s="58"/>
      <c r="AY83" s="58"/>
      <c r="AZ83" s="58"/>
      <c r="BA83" s="48"/>
      <c r="BB83" s="48"/>
      <c r="BC83" s="48"/>
      <c r="BD83" s="48"/>
      <c r="BE83" s="48"/>
      <c r="BF83" s="48"/>
      <c r="BG83" s="48"/>
      <c r="BH83" s="48"/>
      <c r="BI83" s="48"/>
      <c r="BJ83" s="48"/>
      <c r="BK83" s="48"/>
      <c r="BL83" s="48"/>
      <c r="BM83" s="48"/>
      <c r="BN83" s="48"/>
      <c r="BO83" s="48"/>
      <c r="BP83" s="48"/>
      <c r="BQ83" s="48"/>
    </row>
    <row r="84" spans="1:69" ht="12.75" customHeight="1">
      <c r="A84" s="85">
        <v>80</v>
      </c>
      <c r="B84" s="86">
        <v>5077</v>
      </c>
      <c r="C84" s="29">
        <v>53</v>
      </c>
      <c r="D84" s="14">
        <v>79349710</v>
      </c>
      <c r="E84" s="18" t="str">
        <f>IF(D84&gt;0,VLOOKUP(D84,'PLANTA PERNO'!A:D,4,0)&amp;" "&amp;VLOOKUP(D84,'PLANTA PERNO'!A:D,2,0)&amp;" "&amp;VLOOKUP(D84,'PLANTA PERNO'!A:D,3,0),IF(N84="","VACANTE DEFINITIVA","VACANTE TEMPORAL"))</f>
        <v>EDGAR ENRIQUE OVALLE CUERVO</v>
      </c>
      <c r="F84" s="20" t="s">
        <v>49</v>
      </c>
      <c r="G84" s="20" t="str">
        <f t="shared" si="0"/>
        <v>CARRERA ADMINISTRATIVA</v>
      </c>
      <c r="H84" s="33">
        <f t="shared" si="26"/>
        <v>42585</v>
      </c>
      <c r="I84" s="33">
        <f t="shared" si="27"/>
        <v>35786</v>
      </c>
      <c r="J84" s="31" t="str">
        <f t="shared" si="28"/>
        <v>HOMBRE</v>
      </c>
      <c r="K84" s="21">
        <f t="shared" ca="1" si="29"/>
        <v>62</v>
      </c>
      <c r="L84" s="87" t="str">
        <f t="shared" si="5"/>
        <v/>
      </c>
      <c r="M84" s="21" t="str">
        <f t="shared" si="18"/>
        <v>EN PROPIEDAD</v>
      </c>
      <c r="N84" s="21">
        <v>79349710</v>
      </c>
      <c r="O84" s="18" t="str">
        <f>IF(N84="","VACANTE DEFINITIVA",(VLOOKUP(N84,'PLANTA PERNO'!A:D,4,0)&amp;" "&amp;VLOOKUP(N84,'PLANTA PERNO'!A:D,2,0)&amp;" "&amp;VLOOKUP(N84,'PLANTA PERNO'!A:D,3,0)))</f>
        <v>EDGAR ENRIQUE OVALLE CUERVO</v>
      </c>
      <c r="P84" s="21"/>
      <c r="Q84" s="21"/>
      <c r="R84" s="21"/>
      <c r="S84" s="21"/>
      <c r="T84" s="21"/>
      <c r="U84" s="21"/>
      <c r="V84" s="128"/>
      <c r="W84" s="21" t="str">
        <f t="shared" si="7"/>
        <v>OCUPADO</v>
      </c>
      <c r="X84" s="23" t="s">
        <v>50</v>
      </c>
      <c r="Y84" s="90" t="s">
        <v>51</v>
      </c>
      <c r="Z84" s="25">
        <v>222</v>
      </c>
      <c r="AA84" s="27">
        <v>24</v>
      </c>
      <c r="AB84" s="28" t="str">
        <f t="shared" si="8"/>
        <v>222-24</v>
      </c>
      <c r="AC84" s="24" t="s">
        <v>75</v>
      </c>
      <c r="AD84" s="24" t="s">
        <v>75</v>
      </c>
      <c r="AE84" s="24" t="s">
        <v>2150</v>
      </c>
      <c r="AF84" s="24" t="s">
        <v>2151</v>
      </c>
      <c r="AG84" s="24" t="s">
        <v>2152</v>
      </c>
      <c r="AH84" s="24" t="s">
        <v>2132</v>
      </c>
      <c r="AI84" s="93">
        <f t="shared" si="9"/>
        <v>6809900</v>
      </c>
      <c r="AJ84" s="93">
        <v>0</v>
      </c>
      <c r="AK84" s="93">
        <f t="shared" si="30"/>
        <v>476693</v>
      </c>
      <c r="AL84" s="93">
        <f>IFERROR(INT(($AI84*(VLOOKUP($D84,'PORCENTAJES FACTORES'!B:N,12,0))/100)),0)</f>
        <v>2723960</v>
      </c>
      <c r="AM84" s="93">
        <f t="shared" si="31"/>
        <v>0</v>
      </c>
      <c r="AN84" s="93">
        <f t="shared" si="13"/>
        <v>0</v>
      </c>
      <c r="AO84" s="93">
        <f t="shared" si="14"/>
        <v>0</v>
      </c>
      <c r="AP84" s="95">
        <f t="shared" si="15"/>
        <v>10010553</v>
      </c>
      <c r="AQ84" s="96"/>
      <c r="AR84" s="97" t="s">
        <v>1181</v>
      </c>
      <c r="AS84" s="58"/>
      <c r="AT84" s="2" t="s">
        <v>2158</v>
      </c>
      <c r="AU84" s="46">
        <v>2674650</v>
      </c>
      <c r="AV84" s="98">
        <f t="shared" si="16"/>
        <v>79349710</v>
      </c>
      <c r="AW84" s="58"/>
      <c r="AX84" s="58"/>
      <c r="AY84" s="58"/>
      <c r="AZ84" s="58"/>
      <c r="BA84" s="48"/>
      <c r="BB84" s="48"/>
      <c r="BC84" s="48"/>
      <c r="BD84" s="48"/>
      <c r="BE84" s="48"/>
      <c r="BF84" s="48"/>
      <c r="BG84" s="48"/>
      <c r="BH84" s="48"/>
      <c r="BI84" s="48"/>
      <c r="BJ84" s="48"/>
      <c r="BK84" s="48"/>
      <c r="BL84" s="48"/>
      <c r="BM84" s="48"/>
      <c r="BN84" s="48"/>
      <c r="BO84" s="48"/>
      <c r="BP84" s="48"/>
      <c r="BQ84" s="48"/>
    </row>
    <row r="85" spans="1:69" ht="12.75" customHeight="1">
      <c r="A85" s="85">
        <v>81</v>
      </c>
      <c r="B85" s="86">
        <v>5083</v>
      </c>
      <c r="C85" s="29">
        <v>21</v>
      </c>
      <c r="D85" s="14">
        <v>28963444</v>
      </c>
      <c r="E85" s="18" t="str">
        <f>IF(D85&gt;0,VLOOKUP(D85,'PLANTA PERNO'!A:D,4,0)&amp;" "&amp;VLOOKUP(D85,'PLANTA PERNO'!A:D,2,0)&amp;" "&amp;VLOOKUP(D85,'PLANTA PERNO'!A:D,3,0),IF(N85="","VACANTE DEFINITIVA","VACANTE TEMPORAL"))</f>
        <v>GLORIA ESTHER SALCEDO TAMAYO</v>
      </c>
      <c r="F85" s="20" t="s">
        <v>49</v>
      </c>
      <c r="G85" s="20" t="str">
        <f t="shared" si="0"/>
        <v>CARRERA ADMINISTRATIVA</v>
      </c>
      <c r="H85" s="33">
        <f t="shared" si="26"/>
        <v>42585</v>
      </c>
      <c r="I85" s="33">
        <f t="shared" si="27"/>
        <v>34257</v>
      </c>
      <c r="J85" s="31" t="str">
        <f t="shared" si="28"/>
        <v>MUJER</v>
      </c>
      <c r="K85" s="21">
        <f t="shared" ca="1" si="29"/>
        <v>62</v>
      </c>
      <c r="L85" s="87" t="str">
        <f t="shared" si="5"/>
        <v/>
      </c>
      <c r="M85" s="21" t="str">
        <f t="shared" si="18"/>
        <v>EN PROPIEDAD</v>
      </c>
      <c r="N85" s="21">
        <v>28963444</v>
      </c>
      <c r="O85" s="18" t="str">
        <f>IF(N85="","VACANTE DEFINITIVA",(VLOOKUP(N85,'PLANTA PERNO'!A:D,4,0)&amp;" "&amp;VLOOKUP(N85,'PLANTA PERNO'!A:D,2,0)&amp;" "&amp;VLOOKUP(N85,'PLANTA PERNO'!A:D,3,0)))</f>
        <v>GLORIA ESTHER SALCEDO TAMAYO</v>
      </c>
      <c r="P85" s="21"/>
      <c r="Q85" s="21"/>
      <c r="R85" s="21"/>
      <c r="S85" s="21"/>
      <c r="T85" s="21"/>
      <c r="U85" s="21"/>
      <c r="V85" s="128"/>
      <c r="W85" s="21" t="str">
        <f t="shared" si="7"/>
        <v>OCUPADO</v>
      </c>
      <c r="X85" s="23" t="s">
        <v>50</v>
      </c>
      <c r="Y85" s="90" t="s">
        <v>51</v>
      </c>
      <c r="Z85" s="25">
        <v>222</v>
      </c>
      <c r="AA85" s="27">
        <v>24</v>
      </c>
      <c r="AB85" s="28" t="str">
        <f t="shared" si="8"/>
        <v>222-24</v>
      </c>
      <c r="AC85" s="24" t="s">
        <v>147</v>
      </c>
      <c r="AD85" s="24" t="s">
        <v>147</v>
      </c>
      <c r="AE85" s="24" t="s">
        <v>2167</v>
      </c>
      <c r="AF85" s="24" t="s">
        <v>2168</v>
      </c>
      <c r="AG85" s="24" t="s">
        <v>2169</v>
      </c>
      <c r="AH85" s="24" t="s">
        <v>2170</v>
      </c>
      <c r="AI85" s="93">
        <f t="shared" si="9"/>
        <v>6809900</v>
      </c>
      <c r="AJ85" s="93">
        <v>0</v>
      </c>
      <c r="AK85" s="93">
        <f t="shared" si="30"/>
        <v>476693</v>
      </c>
      <c r="AL85" s="93">
        <f>IFERROR(INT(($AI85*(VLOOKUP($D85,'PORCENTAJES FACTORES'!B:N,12,0))/100)),0)</f>
        <v>2723960</v>
      </c>
      <c r="AM85" s="93">
        <f t="shared" si="31"/>
        <v>0</v>
      </c>
      <c r="AN85" s="93">
        <f t="shared" si="13"/>
        <v>0</v>
      </c>
      <c r="AO85" s="93">
        <f t="shared" si="14"/>
        <v>0</v>
      </c>
      <c r="AP85" s="95">
        <f t="shared" si="15"/>
        <v>10010553</v>
      </c>
      <c r="AQ85" s="96"/>
      <c r="AR85" s="97" t="s">
        <v>1181</v>
      </c>
      <c r="AS85" s="58"/>
      <c r="AT85" s="2" t="s">
        <v>929</v>
      </c>
      <c r="AU85" s="46">
        <v>2675559</v>
      </c>
      <c r="AV85" s="98">
        <f t="shared" si="16"/>
        <v>28963444</v>
      </c>
      <c r="AW85" s="58"/>
      <c r="AX85" s="58"/>
      <c r="AY85" s="58"/>
      <c r="AZ85" s="58"/>
      <c r="BA85" s="48"/>
      <c r="BB85" s="48"/>
      <c r="BC85" s="48"/>
      <c r="BD85" s="48"/>
      <c r="BE85" s="48"/>
      <c r="BF85" s="48"/>
      <c r="BG85" s="48"/>
      <c r="BH85" s="48"/>
      <c r="BI85" s="48"/>
      <c r="BJ85" s="48"/>
      <c r="BK85" s="48"/>
      <c r="BL85" s="48"/>
      <c r="BM85" s="48"/>
      <c r="BN85" s="48"/>
      <c r="BO85" s="48"/>
      <c r="BP85" s="48"/>
      <c r="BQ85" s="48"/>
    </row>
    <row r="86" spans="1:69" ht="12.75" customHeight="1">
      <c r="A86" s="85">
        <v>82</v>
      </c>
      <c r="B86" s="86">
        <v>5081</v>
      </c>
      <c r="C86" s="29">
        <v>55</v>
      </c>
      <c r="D86" s="14"/>
      <c r="E86" s="18" t="str">
        <f>IF(D86&gt;0,VLOOKUP(D86,'PLANTA PERNO'!A:D,4,0)&amp;" "&amp;VLOOKUP(D86,'PLANTA PERNO'!A:D,2,0)&amp;" "&amp;VLOOKUP(D86,'PLANTA PERNO'!A:D,3,0),IF(N86="","VACANTE DEFINITIVA","VACANTE TEMPORAL"))</f>
        <v>VACANTE DEFINITIVA</v>
      </c>
      <c r="F86" s="20"/>
      <c r="G86" s="20" t="str">
        <f t="shared" si="0"/>
        <v>VACANTE DEFINITIVA</v>
      </c>
      <c r="H86" s="33" t="str">
        <f t="shared" si="26"/>
        <v xml:space="preserve"> </v>
      </c>
      <c r="I86" s="33" t="str">
        <f t="shared" si="27"/>
        <v/>
      </c>
      <c r="J86" s="31" t="str">
        <f t="shared" si="28"/>
        <v/>
      </c>
      <c r="K86" s="21" t="str">
        <f t="shared" ca="1" si="29"/>
        <v/>
      </c>
      <c r="L86" s="87" t="str">
        <f t="shared" si="5"/>
        <v/>
      </c>
      <c r="M86" s="21" t="str">
        <f t="shared" si="18"/>
        <v>VACANTE DEFINITIVA</v>
      </c>
      <c r="N86" s="21"/>
      <c r="O86" s="18" t="str">
        <f>IF(N86="","VACANTE DEFINITIVA",(VLOOKUP(N86,'PLANTA PERNO'!A:D,4,0)&amp;" "&amp;VLOOKUP(N86,'PLANTA PERNO'!A:D,2,0)&amp;" "&amp;VLOOKUP(N86,'PLANTA PERNO'!A:D,3,0)))</f>
        <v>VACANTE DEFINITIVA</v>
      </c>
      <c r="P86" s="21"/>
      <c r="Q86" s="21"/>
      <c r="R86" s="21"/>
      <c r="S86" s="21"/>
      <c r="T86" s="21"/>
      <c r="U86" s="21"/>
      <c r="V86" s="128"/>
      <c r="W86" s="21" t="str">
        <f t="shared" si="7"/>
        <v>VACANTE DEFINITIVA</v>
      </c>
      <c r="X86" s="23" t="s">
        <v>50</v>
      </c>
      <c r="Y86" s="90" t="s">
        <v>51</v>
      </c>
      <c r="Z86" s="25">
        <v>222</v>
      </c>
      <c r="AA86" s="27">
        <v>24</v>
      </c>
      <c r="AB86" s="28" t="str">
        <f t="shared" si="8"/>
        <v>222-24</v>
      </c>
      <c r="AC86" s="24" t="s">
        <v>213</v>
      </c>
      <c r="AD86" s="63" t="s">
        <v>213</v>
      </c>
      <c r="AE86" s="24" t="s">
        <v>2186</v>
      </c>
      <c r="AF86" s="24" t="s">
        <v>2189</v>
      </c>
      <c r="AG86" s="24" t="s">
        <v>2191</v>
      </c>
      <c r="AH86" s="24" t="s">
        <v>2192</v>
      </c>
      <c r="AI86" s="93">
        <f t="shared" si="9"/>
        <v>6809900</v>
      </c>
      <c r="AJ86" s="93">
        <v>0</v>
      </c>
      <c r="AK86" s="93">
        <f t="shared" si="30"/>
        <v>0</v>
      </c>
      <c r="AL86" s="93">
        <f>IFERROR(INT(($AI86*(VLOOKUP($D86,'PORCENTAJES FACTORES'!B:N,12,0))/100)),0)</f>
        <v>0</v>
      </c>
      <c r="AM86" s="93">
        <f t="shared" si="31"/>
        <v>0</v>
      </c>
      <c r="AN86" s="93">
        <f t="shared" si="13"/>
        <v>0</v>
      </c>
      <c r="AO86" s="93">
        <f t="shared" si="14"/>
        <v>0</v>
      </c>
      <c r="AP86" s="95">
        <f t="shared" si="15"/>
        <v>6809900</v>
      </c>
      <c r="AQ86" s="96"/>
      <c r="AR86" s="97" t="s">
        <v>1181</v>
      </c>
      <c r="AS86" s="58"/>
      <c r="AT86" s="2" t="s">
        <v>2195</v>
      </c>
      <c r="AU86" s="46">
        <v>3799538</v>
      </c>
      <c r="AV86" s="98" t="e">
        <f t="shared" si="16"/>
        <v>#N/A</v>
      </c>
      <c r="AW86" s="58"/>
      <c r="AX86" s="58"/>
      <c r="AY86" s="58"/>
      <c r="AZ86" s="58"/>
      <c r="BA86" s="48"/>
      <c r="BB86" s="48"/>
      <c r="BC86" s="48"/>
      <c r="BD86" s="48"/>
      <c r="BE86" s="48"/>
      <c r="BF86" s="48"/>
      <c r="BG86" s="48"/>
      <c r="BH86" s="48"/>
      <c r="BI86" s="48"/>
      <c r="BJ86" s="48"/>
      <c r="BK86" s="48"/>
      <c r="BL86" s="48"/>
      <c r="BM86" s="48"/>
      <c r="BN86" s="48"/>
      <c r="BO86" s="48"/>
      <c r="BP86" s="48"/>
      <c r="BQ86" s="48"/>
    </row>
    <row r="87" spans="1:69" ht="12.75" customHeight="1">
      <c r="A87" s="85">
        <v>83</v>
      </c>
      <c r="B87" s="86">
        <v>5084</v>
      </c>
      <c r="C87" s="29">
        <v>57</v>
      </c>
      <c r="D87" s="14">
        <v>52430229</v>
      </c>
      <c r="E87" s="18" t="str">
        <f>IF(D87&gt;0,VLOOKUP(D87,'PLANTA PERNO'!A:D,4,0)&amp;" "&amp;VLOOKUP(D87,'PLANTA PERNO'!A:D,2,0)&amp;" "&amp;VLOOKUP(D87,'PLANTA PERNO'!A:D,3,0),IF(N87="","VACANTE DEFINITIVA","VACANTE TEMPORAL"))</f>
        <v>LUZ ANDREA CUBILLOS GUALDRON</v>
      </c>
      <c r="F87" s="20" t="s">
        <v>247</v>
      </c>
      <c r="G87" s="20" t="str">
        <f t="shared" si="0"/>
        <v>EN PERIODO DE PRUEBA</v>
      </c>
      <c r="H87" s="33">
        <f t="shared" si="26"/>
        <v>46097</v>
      </c>
      <c r="I87" s="33">
        <f t="shared" si="27"/>
        <v>46097</v>
      </c>
      <c r="J87" s="31" t="str">
        <f t="shared" si="28"/>
        <v>MUJER</v>
      </c>
      <c r="K87" s="21">
        <f t="shared" ca="1" si="29"/>
        <v>47</v>
      </c>
      <c r="L87" s="87" t="str">
        <f t="shared" si="5"/>
        <v/>
      </c>
      <c r="M87" s="21" t="str">
        <f t="shared" si="18"/>
        <v>EN PROPIEDAD</v>
      </c>
      <c r="N87" s="21">
        <v>52430229</v>
      </c>
      <c r="O87" s="18" t="str">
        <f>IF(N87="","VACANTE DEFINITIVA",(VLOOKUP(N87,'PLANTA PERNO'!A:D,4,0)&amp;" "&amp;VLOOKUP(N87,'PLANTA PERNO'!A:D,2,0)&amp;" "&amp;VLOOKUP(N87,'PLANTA PERNO'!A:D,3,0)))</f>
        <v>LUZ ANDREA CUBILLOS GUALDRON</v>
      </c>
      <c r="P87" s="21"/>
      <c r="Q87" s="21"/>
      <c r="R87" s="21"/>
      <c r="S87" s="21"/>
      <c r="T87" s="21"/>
      <c r="U87" s="21"/>
      <c r="V87" s="123">
        <v>203194</v>
      </c>
      <c r="W87" s="21" t="str">
        <f t="shared" si="7"/>
        <v>OCUPADO</v>
      </c>
      <c r="X87" s="23" t="s">
        <v>50</v>
      </c>
      <c r="Y87" s="90" t="s">
        <v>51</v>
      </c>
      <c r="Z87" s="25">
        <v>222</v>
      </c>
      <c r="AA87" s="27">
        <v>24</v>
      </c>
      <c r="AB87" s="28" t="str">
        <f t="shared" si="8"/>
        <v>222-24</v>
      </c>
      <c r="AC87" s="24" t="s">
        <v>213</v>
      </c>
      <c r="AD87" s="63" t="s">
        <v>213</v>
      </c>
      <c r="AE87" s="24" t="s">
        <v>2186</v>
      </c>
      <c r="AF87" s="24" t="s">
        <v>2207</v>
      </c>
      <c r="AG87" s="24" t="s">
        <v>2208</v>
      </c>
      <c r="AH87" s="24" t="s">
        <v>2192</v>
      </c>
      <c r="AI87" s="93">
        <f t="shared" si="9"/>
        <v>6809900</v>
      </c>
      <c r="AJ87" s="93">
        <v>0</v>
      </c>
      <c r="AK87" s="93">
        <f t="shared" si="30"/>
        <v>0</v>
      </c>
      <c r="AL87" s="93">
        <f>IFERROR(INT(($AI87*(VLOOKUP($D87,'PORCENTAJES FACTORES'!B:N,12,0))/100)),0)</f>
        <v>0</v>
      </c>
      <c r="AM87" s="93">
        <f t="shared" si="31"/>
        <v>0</v>
      </c>
      <c r="AN87" s="93">
        <f t="shared" si="13"/>
        <v>0</v>
      </c>
      <c r="AO87" s="93">
        <f t="shared" si="14"/>
        <v>0</v>
      </c>
      <c r="AP87" s="95">
        <f t="shared" si="15"/>
        <v>6809900</v>
      </c>
      <c r="AQ87" s="96"/>
      <c r="AR87" s="97" t="s">
        <v>1181</v>
      </c>
      <c r="AS87" s="58"/>
      <c r="AT87" s="2" t="s">
        <v>739</v>
      </c>
      <c r="AU87" s="46">
        <v>2804649</v>
      </c>
      <c r="AV87" s="98">
        <f t="shared" si="16"/>
        <v>52430229</v>
      </c>
      <c r="AW87" s="58"/>
      <c r="AX87" s="58"/>
      <c r="AY87" s="58"/>
      <c r="AZ87" s="58"/>
      <c r="BA87" s="48"/>
      <c r="BB87" s="48"/>
      <c r="BC87" s="48"/>
      <c r="BD87" s="48"/>
      <c r="BE87" s="48"/>
      <c r="BF87" s="48"/>
      <c r="BG87" s="48"/>
      <c r="BH87" s="48"/>
      <c r="BI87" s="48"/>
      <c r="BJ87" s="48"/>
      <c r="BK87" s="48"/>
      <c r="BL87" s="48"/>
      <c r="BM87" s="48"/>
      <c r="BN87" s="48"/>
      <c r="BO87" s="48"/>
      <c r="BP87" s="48"/>
      <c r="BQ87" s="48"/>
    </row>
    <row r="88" spans="1:69" ht="12.75" customHeight="1">
      <c r="A88" s="85">
        <v>84</v>
      </c>
      <c r="B88" s="86">
        <v>5082</v>
      </c>
      <c r="C88" s="29">
        <v>58</v>
      </c>
      <c r="D88" s="14">
        <v>53015269</v>
      </c>
      <c r="E88" s="18" t="str">
        <f>IF(D88&gt;0,VLOOKUP(D88,'PLANTA PERNO'!A:D,4,0)&amp;" "&amp;VLOOKUP(D88,'PLANTA PERNO'!A:D,2,0)&amp;" "&amp;VLOOKUP(D88,'PLANTA PERNO'!A:D,3,0),IF(N88="","VACANTE DEFINITIVA","VACANTE TEMPORAL"))</f>
        <v>JOHANA PATRICIA GAMEZ GOMEZ</v>
      </c>
      <c r="F88" s="20" t="s">
        <v>49</v>
      </c>
      <c r="G88" s="20" t="str">
        <f t="shared" si="0"/>
        <v>EN ENCARGO</v>
      </c>
      <c r="H88" s="33">
        <f t="shared" si="26"/>
        <v>43049</v>
      </c>
      <c r="I88" s="33">
        <f t="shared" si="27"/>
        <v>43049</v>
      </c>
      <c r="J88" s="31" t="str">
        <f t="shared" si="28"/>
        <v>MUJER</v>
      </c>
      <c r="K88" s="21">
        <f t="shared" ca="1" si="29"/>
        <v>42</v>
      </c>
      <c r="L88" s="87" t="str">
        <f t="shared" si="5"/>
        <v>ENCARGO</v>
      </c>
      <c r="M88" s="21" t="str">
        <f t="shared" si="18"/>
        <v>EN ENCARGO</v>
      </c>
      <c r="N88" s="21">
        <v>91526810</v>
      </c>
      <c r="O88" s="18" t="str">
        <f>IF(N88="","VACANTE DEFINITIVA",(VLOOKUP(N88,'PLANTA PERNO'!A:D,4,0)&amp;" "&amp;VLOOKUP(N88,'PLANTA PERNO'!A:D,2,0)&amp;" "&amp;VLOOKUP(N88,'PLANTA PERNO'!A:D,3,0)))</f>
        <v>DANIEL YIDID GRANADOS GELVES</v>
      </c>
      <c r="P88" s="21" t="s">
        <v>2220</v>
      </c>
      <c r="Q88" s="21">
        <v>1</v>
      </c>
      <c r="R88" s="21"/>
      <c r="S88" s="21"/>
      <c r="T88" s="21"/>
      <c r="U88" s="21"/>
      <c r="V88" s="128"/>
      <c r="W88" s="21" t="str">
        <f t="shared" si="7"/>
        <v>OCUPADO</v>
      </c>
      <c r="X88" s="23" t="s">
        <v>50</v>
      </c>
      <c r="Y88" s="90" t="s">
        <v>51</v>
      </c>
      <c r="Z88" s="25">
        <v>222</v>
      </c>
      <c r="AA88" s="27">
        <v>24</v>
      </c>
      <c r="AB88" s="28" t="str">
        <f t="shared" si="8"/>
        <v>222-24</v>
      </c>
      <c r="AC88" s="24" t="s">
        <v>213</v>
      </c>
      <c r="AD88" s="63" t="s">
        <v>213</v>
      </c>
      <c r="AE88" s="24" t="s">
        <v>2186</v>
      </c>
      <c r="AF88" s="24" t="s">
        <v>2207</v>
      </c>
      <c r="AG88" s="24" t="s">
        <v>2208</v>
      </c>
      <c r="AH88" s="24" t="s">
        <v>2192</v>
      </c>
      <c r="AI88" s="93">
        <f t="shared" si="9"/>
        <v>6809900</v>
      </c>
      <c r="AJ88" s="93">
        <v>0</v>
      </c>
      <c r="AK88" s="93">
        <f t="shared" si="30"/>
        <v>204297</v>
      </c>
      <c r="AL88" s="93">
        <f>IFERROR(INT(($AI88*(VLOOKUP($D88,'PORCENTAJES FACTORES'!B:N,12,0))/100)),0)</f>
        <v>2723960</v>
      </c>
      <c r="AM88" s="93">
        <f t="shared" si="31"/>
        <v>0</v>
      </c>
      <c r="AN88" s="93">
        <f t="shared" si="13"/>
        <v>0</v>
      </c>
      <c r="AO88" s="93">
        <f t="shared" si="14"/>
        <v>0</v>
      </c>
      <c r="AP88" s="95">
        <f t="shared" si="15"/>
        <v>9738157</v>
      </c>
      <c r="AQ88" s="96"/>
      <c r="AR88" s="97" t="s">
        <v>1181</v>
      </c>
      <c r="AS88" s="58"/>
      <c r="AT88" s="2" t="s">
        <v>2221</v>
      </c>
      <c r="AU88" s="46">
        <v>2860379</v>
      </c>
      <c r="AV88" s="98">
        <f t="shared" si="16"/>
        <v>91526810</v>
      </c>
      <c r="AW88" s="58"/>
      <c r="AX88" s="58"/>
      <c r="AY88" s="58"/>
      <c r="AZ88" s="58"/>
      <c r="BA88" s="48"/>
      <c r="BB88" s="48"/>
      <c r="BC88" s="48"/>
      <c r="BD88" s="48"/>
      <c r="BE88" s="48"/>
      <c r="BF88" s="48"/>
      <c r="BG88" s="48"/>
      <c r="BH88" s="48"/>
      <c r="BI88" s="48"/>
      <c r="BJ88" s="48"/>
      <c r="BK88" s="48"/>
      <c r="BL88" s="48"/>
      <c r="BM88" s="48"/>
      <c r="BN88" s="48"/>
      <c r="BO88" s="48"/>
      <c r="BP88" s="48"/>
      <c r="BQ88" s="48"/>
    </row>
    <row r="89" spans="1:69" ht="12.75" customHeight="1">
      <c r="A89" s="85">
        <v>85</v>
      </c>
      <c r="B89" s="86">
        <v>5078</v>
      </c>
      <c r="C89" s="29">
        <v>59</v>
      </c>
      <c r="D89" s="14">
        <v>1019058729</v>
      </c>
      <c r="E89" s="18" t="str">
        <f>IF(D89&gt;0,VLOOKUP(D89,'PLANTA PERNO'!A:D,4,0)&amp;" "&amp;VLOOKUP(D89,'PLANTA PERNO'!A:D,2,0)&amp;" "&amp;VLOOKUP(D89,'PLANTA PERNO'!A:D,3,0),IF(N89="","VACANTE DEFINITIVA","VACANTE TEMPORAL"))</f>
        <v>DIEGO ALEJANDRO SOLANO FERNANDEZ</v>
      </c>
      <c r="F89" s="20" t="s">
        <v>49</v>
      </c>
      <c r="G89" s="20" t="str">
        <f t="shared" si="0"/>
        <v>EN ENCARGO</v>
      </c>
      <c r="H89" s="33">
        <f t="shared" si="26"/>
        <v>44839</v>
      </c>
      <c r="I89" s="33">
        <f t="shared" si="27"/>
        <v>44839</v>
      </c>
      <c r="J89" s="31" t="str">
        <f t="shared" si="28"/>
        <v>HOMBRE</v>
      </c>
      <c r="K89" s="21">
        <f t="shared" ca="1" si="29"/>
        <v>35</v>
      </c>
      <c r="L89" s="87" t="str">
        <f t="shared" si="5"/>
        <v>ENCARGO</v>
      </c>
      <c r="M89" s="21" t="str">
        <f t="shared" si="18"/>
        <v>EN ENCARGO</v>
      </c>
      <c r="N89" s="21">
        <v>79567977</v>
      </c>
      <c r="O89" s="18" t="str">
        <f>IF(N89="","VACANTE DEFINITIVA",(VLOOKUP(N89,'PLANTA PERNO'!A:D,4,0)&amp;" "&amp;VLOOKUP(N89,'PLANTA PERNO'!A:D,2,0)&amp;" "&amp;VLOOKUP(N89,'PLANTA PERNO'!A:D,3,0)))</f>
        <v>FERNANDO PACHON PIÃ‘EROS</v>
      </c>
      <c r="P89" s="21" t="s">
        <v>1823</v>
      </c>
      <c r="Q89" s="21">
        <v>2</v>
      </c>
      <c r="R89" s="21"/>
      <c r="S89" s="21"/>
      <c r="T89" s="21"/>
      <c r="U89" s="21"/>
      <c r="V89" s="129">
        <v>220274</v>
      </c>
      <c r="W89" s="21" t="str">
        <f t="shared" si="7"/>
        <v>OCUPADO</v>
      </c>
      <c r="X89" s="23" t="s">
        <v>50</v>
      </c>
      <c r="Y89" s="90" t="s">
        <v>51</v>
      </c>
      <c r="Z89" s="25">
        <v>222</v>
      </c>
      <c r="AA89" s="27">
        <v>24</v>
      </c>
      <c r="AB89" s="28" t="str">
        <f t="shared" si="8"/>
        <v>222-24</v>
      </c>
      <c r="AC89" s="24" t="s">
        <v>213</v>
      </c>
      <c r="AD89" s="63" t="s">
        <v>213</v>
      </c>
      <c r="AE89" s="24" t="s">
        <v>2186</v>
      </c>
      <c r="AF89" s="24" t="s">
        <v>2207</v>
      </c>
      <c r="AG89" s="24" t="s">
        <v>2208</v>
      </c>
      <c r="AH89" s="24" t="s">
        <v>2192</v>
      </c>
      <c r="AI89" s="93">
        <f t="shared" si="9"/>
        <v>6809900</v>
      </c>
      <c r="AJ89" s="93">
        <v>0</v>
      </c>
      <c r="AK89" s="93">
        <f t="shared" si="30"/>
        <v>0</v>
      </c>
      <c r="AL89" s="93">
        <f>IFERROR(INT(($AI89*(VLOOKUP($D89,'PORCENTAJES FACTORES'!B:N,12,0))/100)),0)</f>
        <v>2723960</v>
      </c>
      <c r="AM89" s="93">
        <f t="shared" si="31"/>
        <v>0</v>
      </c>
      <c r="AN89" s="93">
        <f t="shared" si="13"/>
        <v>0</v>
      </c>
      <c r="AO89" s="93">
        <f t="shared" si="14"/>
        <v>0</v>
      </c>
      <c r="AP89" s="95">
        <f t="shared" si="15"/>
        <v>9533860</v>
      </c>
      <c r="AQ89" s="96"/>
      <c r="AR89" s="97" t="s">
        <v>1181</v>
      </c>
      <c r="AS89" s="58"/>
      <c r="AT89" s="2" t="s">
        <v>587</v>
      </c>
      <c r="AU89" s="46">
        <v>3017226</v>
      </c>
      <c r="AV89" s="98">
        <f t="shared" si="16"/>
        <v>79567977</v>
      </c>
      <c r="AW89" s="58"/>
      <c r="AX89" s="58"/>
      <c r="AY89" s="58"/>
      <c r="AZ89" s="58"/>
      <c r="BA89" s="48"/>
      <c r="BB89" s="48"/>
      <c r="BC89" s="48"/>
      <c r="BD89" s="48"/>
      <c r="BE89" s="48"/>
      <c r="BF89" s="48"/>
      <c r="BG89" s="48"/>
      <c r="BH89" s="48"/>
      <c r="BI89" s="48"/>
      <c r="BJ89" s="48"/>
      <c r="BK89" s="48"/>
      <c r="BL89" s="48"/>
      <c r="BM89" s="48"/>
      <c r="BN89" s="48"/>
      <c r="BO89" s="48"/>
      <c r="BP89" s="48"/>
      <c r="BQ89" s="48"/>
    </row>
    <row r="90" spans="1:69" ht="12.75" customHeight="1">
      <c r="A90" s="85">
        <v>86</v>
      </c>
      <c r="B90" s="86">
        <v>5079</v>
      </c>
      <c r="C90" s="29">
        <v>56</v>
      </c>
      <c r="D90" s="14">
        <v>52454621</v>
      </c>
      <c r="E90" s="18" t="str">
        <f>IF(D90&gt;0,VLOOKUP(D90,'PLANTA PERNO'!A:D,4,0)&amp;" "&amp;VLOOKUP(D90,'PLANTA PERNO'!A:D,2,0)&amp;" "&amp;VLOOKUP(D90,'PLANTA PERNO'!A:D,3,0),IF(N90="","VACANTE DEFINITIVA","VACANTE TEMPORAL"))</f>
        <v>CAROLINA LOZANO ARDILA</v>
      </c>
      <c r="F90" s="20" t="s">
        <v>49</v>
      </c>
      <c r="G90" s="20" t="str">
        <f t="shared" si="0"/>
        <v>CARRERA ADMINISTRATIVA</v>
      </c>
      <c r="H90" s="33">
        <f t="shared" si="26"/>
        <v>44168</v>
      </c>
      <c r="I90" s="33">
        <f t="shared" si="27"/>
        <v>44168</v>
      </c>
      <c r="J90" s="31" t="str">
        <f t="shared" si="28"/>
        <v>MUJER</v>
      </c>
      <c r="K90" s="21">
        <f t="shared" ca="1" si="29"/>
        <v>47</v>
      </c>
      <c r="L90" s="87" t="str">
        <f t="shared" si="5"/>
        <v/>
      </c>
      <c r="M90" s="21" t="str">
        <f t="shared" si="18"/>
        <v>EN PROPIEDAD</v>
      </c>
      <c r="N90" s="21">
        <v>52454621</v>
      </c>
      <c r="O90" s="18" t="str">
        <f>IF(N90="","VACANTE DEFINITIVA",(VLOOKUP(N90,'PLANTA PERNO'!A:D,4,0)&amp;" "&amp;VLOOKUP(N90,'PLANTA PERNO'!A:D,2,0)&amp;" "&amp;VLOOKUP(N90,'PLANTA PERNO'!A:D,3,0)))</f>
        <v>CAROLINA LOZANO ARDILA</v>
      </c>
      <c r="P90" s="21"/>
      <c r="Q90" s="21"/>
      <c r="R90" s="21"/>
      <c r="S90" s="21"/>
      <c r="T90" s="21"/>
      <c r="U90" s="21"/>
      <c r="V90" s="128"/>
      <c r="W90" s="21" t="str">
        <f t="shared" si="7"/>
        <v>OCUPADO</v>
      </c>
      <c r="X90" s="23" t="s">
        <v>50</v>
      </c>
      <c r="Y90" s="90" t="s">
        <v>51</v>
      </c>
      <c r="Z90" s="25">
        <v>222</v>
      </c>
      <c r="AA90" s="27">
        <v>24</v>
      </c>
      <c r="AB90" s="28" t="str">
        <f t="shared" si="8"/>
        <v>222-24</v>
      </c>
      <c r="AC90" s="24" t="s">
        <v>138</v>
      </c>
      <c r="AD90" s="24" t="s">
        <v>138</v>
      </c>
      <c r="AE90" s="24" t="s">
        <v>2224</v>
      </c>
      <c r="AF90" s="24" t="s">
        <v>2225</v>
      </c>
      <c r="AG90" s="24" t="s">
        <v>2226</v>
      </c>
      <c r="AH90" s="24" t="s">
        <v>2227</v>
      </c>
      <c r="AI90" s="93">
        <f t="shared" si="9"/>
        <v>6809900</v>
      </c>
      <c r="AJ90" s="93">
        <v>0</v>
      </c>
      <c r="AK90" s="93">
        <f t="shared" si="30"/>
        <v>204297</v>
      </c>
      <c r="AL90" s="93">
        <f>IFERROR(INT(($AI90*(VLOOKUP($D90,'PORCENTAJES FACTORES'!B:N,12,0))/100)),0)</f>
        <v>2723960</v>
      </c>
      <c r="AM90" s="93">
        <f t="shared" si="31"/>
        <v>0</v>
      </c>
      <c r="AN90" s="93">
        <f t="shared" si="13"/>
        <v>0</v>
      </c>
      <c r="AO90" s="93">
        <f t="shared" si="14"/>
        <v>0</v>
      </c>
      <c r="AP90" s="95">
        <f t="shared" si="15"/>
        <v>9738157</v>
      </c>
      <c r="AQ90" s="96"/>
      <c r="AR90" s="97" t="s">
        <v>1181</v>
      </c>
      <c r="AS90" s="58"/>
      <c r="AT90" s="2" t="s">
        <v>542</v>
      </c>
      <c r="AU90" s="46">
        <v>3115016</v>
      </c>
      <c r="AV90" s="98">
        <f t="shared" si="16"/>
        <v>52454621</v>
      </c>
      <c r="AW90" s="58"/>
      <c r="AX90" s="58"/>
      <c r="AY90" s="58"/>
      <c r="AZ90" s="58"/>
      <c r="BA90" s="48"/>
      <c r="BB90" s="48"/>
      <c r="BC90" s="48"/>
      <c r="BD90" s="48"/>
      <c r="BE90" s="48"/>
      <c r="BF90" s="48"/>
      <c r="BG90" s="48"/>
      <c r="BH90" s="48"/>
      <c r="BI90" s="48"/>
      <c r="BJ90" s="48"/>
      <c r="BK90" s="48"/>
      <c r="BL90" s="48"/>
      <c r="BM90" s="48"/>
      <c r="BN90" s="48"/>
      <c r="BO90" s="48"/>
      <c r="BP90" s="48"/>
      <c r="BQ90" s="48"/>
    </row>
    <row r="91" spans="1:69" ht="12.75" customHeight="1">
      <c r="A91" s="85">
        <v>87</v>
      </c>
      <c r="B91" s="86">
        <v>5080</v>
      </c>
      <c r="C91" s="29">
        <v>60</v>
      </c>
      <c r="D91" s="14">
        <v>79316619</v>
      </c>
      <c r="E91" s="18" t="str">
        <f>IF(D91&gt;0,VLOOKUP(D91,'PLANTA PERNO'!A:D,4,0)&amp;" "&amp;VLOOKUP(D91,'PLANTA PERNO'!A:D,2,0)&amp;" "&amp;VLOOKUP(D91,'PLANTA PERNO'!A:D,3,0),IF(N91="","VACANTE DEFINITIVA","VACANTE TEMPORAL"))</f>
        <v>JOSE ORLANDO ALVARADO HERREÃ‘O</v>
      </c>
      <c r="F91" s="20" t="s">
        <v>49</v>
      </c>
      <c r="G91" s="20" t="str">
        <f t="shared" si="0"/>
        <v>CARRERA ADMINISTRATIVA</v>
      </c>
      <c r="H91" s="33">
        <f t="shared" si="26"/>
        <v>44165</v>
      </c>
      <c r="I91" s="33">
        <f t="shared" si="27"/>
        <v>44165</v>
      </c>
      <c r="J91" s="31" t="str">
        <f t="shared" si="28"/>
        <v>HOMBRE</v>
      </c>
      <c r="K91" s="21">
        <f t="shared" ca="1" si="29"/>
        <v>62</v>
      </c>
      <c r="L91" s="87" t="str">
        <f t="shared" si="5"/>
        <v/>
      </c>
      <c r="M91" s="21" t="str">
        <f t="shared" si="18"/>
        <v>EN PROPIEDAD</v>
      </c>
      <c r="N91" s="21">
        <v>79316619</v>
      </c>
      <c r="O91" s="18" t="str">
        <f>IF(N91="","VACANTE DEFINITIVA",(VLOOKUP(N91,'PLANTA PERNO'!A:D,4,0)&amp;" "&amp;VLOOKUP(N91,'PLANTA PERNO'!A:D,2,0)&amp;" "&amp;VLOOKUP(N91,'PLANTA PERNO'!A:D,3,0)))</f>
        <v>JOSE ORLANDO ALVARADO HERREÃ‘O</v>
      </c>
      <c r="P91" s="21"/>
      <c r="Q91" s="21"/>
      <c r="R91" s="21"/>
      <c r="S91" s="21"/>
      <c r="T91" s="21"/>
      <c r="U91" s="21"/>
      <c r="V91" s="128"/>
      <c r="W91" s="21" t="str">
        <f t="shared" si="7"/>
        <v>OCUPADO</v>
      </c>
      <c r="X91" s="23" t="s">
        <v>50</v>
      </c>
      <c r="Y91" s="90" t="s">
        <v>51</v>
      </c>
      <c r="Z91" s="25">
        <v>222</v>
      </c>
      <c r="AA91" s="27">
        <v>24</v>
      </c>
      <c r="AB91" s="28" t="str">
        <f t="shared" si="8"/>
        <v>222-24</v>
      </c>
      <c r="AC91" s="24" t="s">
        <v>150</v>
      </c>
      <c r="AD91" s="24" t="s">
        <v>150</v>
      </c>
      <c r="AE91" s="24" t="s">
        <v>2229</v>
      </c>
      <c r="AF91" s="24" t="s">
        <v>2230</v>
      </c>
      <c r="AG91" s="24" t="s">
        <v>2231</v>
      </c>
      <c r="AH91" s="24" t="s">
        <v>2232</v>
      </c>
      <c r="AI91" s="93">
        <f t="shared" si="9"/>
        <v>6809900</v>
      </c>
      <c r="AJ91" s="93">
        <v>0</v>
      </c>
      <c r="AK91" s="93">
        <f t="shared" si="30"/>
        <v>204297</v>
      </c>
      <c r="AL91" s="93">
        <f>IFERROR(INT(($AI91*(VLOOKUP($D91,'PORCENTAJES FACTORES'!B:N,12,0))/100)),0)</f>
        <v>2723960</v>
      </c>
      <c r="AM91" s="93">
        <f t="shared" si="31"/>
        <v>0</v>
      </c>
      <c r="AN91" s="93">
        <f t="shared" si="13"/>
        <v>0</v>
      </c>
      <c r="AO91" s="93">
        <f t="shared" si="14"/>
        <v>0</v>
      </c>
      <c r="AP91" s="95">
        <f t="shared" si="15"/>
        <v>9738157</v>
      </c>
      <c r="AQ91" s="96"/>
      <c r="AR91" s="97" t="s">
        <v>1181</v>
      </c>
      <c r="AS91" s="58"/>
      <c r="AT91" s="2" t="s">
        <v>396</v>
      </c>
      <c r="AU91" s="46">
        <v>3212811</v>
      </c>
      <c r="AV91" s="98">
        <f t="shared" si="16"/>
        <v>79316619</v>
      </c>
      <c r="AW91" s="58"/>
      <c r="AX91" s="58"/>
      <c r="AY91" s="58"/>
      <c r="AZ91" s="58"/>
      <c r="BA91" s="48"/>
      <c r="BB91" s="48"/>
      <c r="BC91" s="48"/>
      <c r="BD91" s="48"/>
      <c r="BE91" s="48"/>
      <c r="BF91" s="48"/>
      <c r="BG91" s="48"/>
      <c r="BH91" s="48"/>
      <c r="BI91" s="48"/>
      <c r="BJ91" s="48"/>
      <c r="BK91" s="48"/>
      <c r="BL91" s="48"/>
      <c r="BM91" s="48"/>
      <c r="BN91" s="48"/>
      <c r="BO91" s="48"/>
      <c r="BP91" s="48"/>
      <c r="BQ91" s="48"/>
    </row>
    <row r="92" spans="1:69" ht="12.75" customHeight="1">
      <c r="A92" s="85">
        <v>88</v>
      </c>
      <c r="B92" s="86">
        <v>5085</v>
      </c>
      <c r="C92" s="29">
        <v>61</v>
      </c>
      <c r="D92" s="14">
        <v>1018435583</v>
      </c>
      <c r="E92" s="18" t="str">
        <f>IF(D92&gt;0,VLOOKUP(D92,'PLANTA PERNO'!A:D,4,0)&amp;" "&amp;VLOOKUP(D92,'PLANTA PERNO'!A:D,2,0)&amp;" "&amp;VLOOKUP(D92,'PLANTA PERNO'!A:D,3,0),IF(N92="","VACANTE DEFINITIVA","VACANTE TEMPORAL"))</f>
        <v>SONIA TERESA ROA SILVA</v>
      </c>
      <c r="F92" s="20" t="s">
        <v>49</v>
      </c>
      <c r="G92" s="20" t="str">
        <f t="shared" si="0"/>
        <v>EN ENCARGO</v>
      </c>
      <c r="H92" s="33">
        <f t="shared" si="26"/>
        <v>44195</v>
      </c>
      <c r="I92" s="33">
        <f t="shared" si="27"/>
        <v>44195</v>
      </c>
      <c r="J92" s="31" t="str">
        <f t="shared" si="28"/>
        <v>MUJER</v>
      </c>
      <c r="K92" s="21">
        <f t="shared" ca="1" si="29"/>
        <v>36</v>
      </c>
      <c r="L92" s="87" t="str">
        <f t="shared" si="5"/>
        <v>ENCARGO</v>
      </c>
      <c r="M92" s="21" t="str">
        <f t="shared" si="18"/>
        <v>EN ENCARGO</v>
      </c>
      <c r="N92" s="21">
        <v>53015269</v>
      </c>
      <c r="O92" s="18" t="str">
        <f>IF(N92="","VACANTE DEFINITIVA",(VLOOKUP(N92,'PLANTA PERNO'!A:D,4,0)&amp;" "&amp;VLOOKUP(N92,'PLANTA PERNO'!A:D,2,0)&amp;" "&amp;VLOOKUP(N92,'PLANTA PERNO'!A:D,3,0)))</f>
        <v>JOHANA PATRICIA GAMEZ GOMEZ</v>
      </c>
      <c r="P92" s="21" t="s">
        <v>2220</v>
      </c>
      <c r="Q92" s="21">
        <v>2</v>
      </c>
      <c r="R92" s="21"/>
      <c r="S92" s="21"/>
      <c r="T92" s="21"/>
      <c r="U92" s="21"/>
      <c r="V92" s="128"/>
      <c r="W92" s="21" t="str">
        <f t="shared" si="7"/>
        <v>OCUPADO</v>
      </c>
      <c r="X92" s="23" t="s">
        <v>50</v>
      </c>
      <c r="Y92" s="90" t="s">
        <v>51</v>
      </c>
      <c r="Z92" s="25">
        <v>222</v>
      </c>
      <c r="AA92" s="27">
        <v>22</v>
      </c>
      <c r="AB92" s="28" t="str">
        <f t="shared" si="8"/>
        <v>222-22</v>
      </c>
      <c r="AC92" s="24" t="s">
        <v>33</v>
      </c>
      <c r="AD92" s="24" t="s">
        <v>33</v>
      </c>
      <c r="AE92" s="24" t="s">
        <v>64</v>
      </c>
      <c r="AF92" s="24" t="s">
        <v>65</v>
      </c>
      <c r="AG92" s="24" t="s">
        <v>66</v>
      </c>
      <c r="AH92" s="24" t="s">
        <v>67</v>
      </c>
      <c r="AI92" s="93">
        <f t="shared" si="9"/>
        <v>6752583</v>
      </c>
      <c r="AJ92" s="93">
        <v>0</v>
      </c>
      <c r="AK92" s="93">
        <f t="shared" si="30"/>
        <v>202577</v>
      </c>
      <c r="AL92" s="93">
        <f>IFERROR(INT(($AI92*(VLOOKUP($D92,'PORCENTAJES FACTORES'!B:N,12,0))/100)),0)</f>
        <v>2701033</v>
      </c>
      <c r="AM92" s="93">
        <f t="shared" si="31"/>
        <v>0</v>
      </c>
      <c r="AN92" s="93">
        <f t="shared" si="13"/>
        <v>0</v>
      </c>
      <c r="AO92" s="93">
        <f t="shared" si="14"/>
        <v>0</v>
      </c>
      <c r="AP92" s="95">
        <f t="shared" si="15"/>
        <v>9656193</v>
      </c>
      <c r="AQ92" s="96"/>
      <c r="AR92" s="97" t="s">
        <v>1155</v>
      </c>
      <c r="AS92" s="58"/>
      <c r="AT92" s="2" t="s">
        <v>386</v>
      </c>
      <c r="AU92" s="46">
        <v>3338526</v>
      </c>
      <c r="AV92" s="98">
        <f t="shared" si="16"/>
        <v>53015269</v>
      </c>
      <c r="AW92" s="58"/>
      <c r="AX92" s="58"/>
      <c r="AY92" s="58"/>
      <c r="AZ92" s="58"/>
      <c r="BA92" s="48"/>
      <c r="BB92" s="48"/>
      <c r="BC92" s="48"/>
      <c r="BD92" s="48"/>
      <c r="BE92" s="48"/>
      <c r="BF92" s="48"/>
      <c r="BG92" s="48"/>
      <c r="BH92" s="48"/>
      <c r="BI92" s="48"/>
      <c r="BJ92" s="48"/>
      <c r="BK92" s="48"/>
      <c r="BL92" s="48"/>
      <c r="BM92" s="48"/>
      <c r="BN92" s="48"/>
      <c r="BO92" s="48"/>
      <c r="BP92" s="48"/>
      <c r="BQ92" s="48"/>
    </row>
    <row r="93" spans="1:69" ht="12.75" customHeight="1">
      <c r="A93" s="85">
        <v>89</v>
      </c>
      <c r="B93" s="86">
        <v>5086</v>
      </c>
      <c r="C93" s="29">
        <v>62</v>
      </c>
      <c r="D93" s="14">
        <v>52337438</v>
      </c>
      <c r="E93" s="18" t="str">
        <f>IF(D93&gt;0,VLOOKUP(D93,'PLANTA PERNO'!A:D,4,0)&amp;" "&amp;VLOOKUP(D93,'PLANTA PERNO'!A:D,2,0)&amp;" "&amp;VLOOKUP(D93,'PLANTA PERNO'!A:D,3,0),IF(N93="","VACANTE DEFINITIVA","VACANTE TEMPORAL"))</f>
        <v>CHEILA ALEXANDRA ALVARADO ROJAS</v>
      </c>
      <c r="F93" s="20" t="s">
        <v>49</v>
      </c>
      <c r="G93" s="20" t="str">
        <f t="shared" si="0"/>
        <v>EN ENCARGO</v>
      </c>
      <c r="H93" s="33">
        <f t="shared" si="26"/>
        <v>44228</v>
      </c>
      <c r="I93" s="33">
        <f t="shared" si="27"/>
        <v>44228</v>
      </c>
      <c r="J93" s="31" t="str">
        <f t="shared" si="28"/>
        <v>MUJER</v>
      </c>
      <c r="K93" s="21">
        <f t="shared" ca="1" si="29"/>
        <v>49</v>
      </c>
      <c r="L93" s="87" t="str">
        <f t="shared" si="5"/>
        <v>ENCARGO</v>
      </c>
      <c r="M93" s="21" t="str">
        <f t="shared" si="18"/>
        <v>EN ENCARGO</v>
      </c>
      <c r="N93" s="21">
        <v>79569642</v>
      </c>
      <c r="O93" s="18" t="str">
        <f>IF(N93="","VACANTE DEFINITIVA",(VLOOKUP(N93,'PLANTA PERNO'!A:D,4,0)&amp;" "&amp;VLOOKUP(N93,'PLANTA PERNO'!A:D,2,0)&amp;" "&amp;VLOOKUP(N93,'PLANTA PERNO'!A:D,3,0)))</f>
        <v>NELSON JULIAN SALAZAR URRUTIA</v>
      </c>
      <c r="P93" s="21" t="s">
        <v>406</v>
      </c>
      <c r="Q93" s="21">
        <v>2</v>
      </c>
      <c r="R93" s="21"/>
      <c r="S93" s="21"/>
      <c r="T93" s="21"/>
      <c r="U93" s="21"/>
      <c r="V93" s="128"/>
      <c r="W93" s="21" t="str">
        <f t="shared" si="7"/>
        <v>OCUPADO</v>
      </c>
      <c r="X93" s="23" t="s">
        <v>50</v>
      </c>
      <c r="Y93" s="90" t="s">
        <v>51</v>
      </c>
      <c r="Z93" s="25">
        <v>222</v>
      </c>
      <c r="AA93" s="27">
        <v>21</v>
      </c>
      <c r="AB93" s="28" t="str">
        <f t="shared" si="8"/>
        <v>222-21</v>
      </c>
      <c r="AC93" s="24" t="s">
        <v>32</v>
      </c>
      <c r="AD93" s="24" t="s">
        <v>32</v>
      </c>
      <c r="AE93" s="24" t="s">
        <v>2235</v>
      </c>
      <c r="AF93" s="24" t="s">
        <v>2236</v>
      </c>
      <c r="AG93" s="24" t="s">
        <v>2237</v>
      </c>
      <c r="AH93" s="24" t="s">
        <v>2238</v>
      </c>
      <c r="AI93" s="93">
        <f t="shared" si="9"/>
        <v>6566429</v>
      </c>
      <c r="AJ93" s="93">
        <v>0</v>
      </c>
      <c r="AK93" s="93">
        <f t="shared" si="30"/>
        <v>196992</v>
      </c>
      <c r="AL93" s="93">
        <f>IFERROR(INT(($AI93*(VLOOKUP($D93,'PORCENTAJES FACTORES'!B:N,12,0))/100)),0)</f>
        <v>2626571</v>
      </c>
      <c r="AM93" s="93">
        <f t="shared" si="31"/>
        <v>0</v>
      </c>
      <c r="AN93" s="93">
        <f t="shared" si="13"/>
        <v>0</v>
      </c>
      <c r="AO93" s="93">
        <f t="shared" si="14"/>
        <v>0</v>
      </c>
      <c r="AP93" s="95">
        <f t="shared" si="15"/>
        <v>9389992</v>
      </c>
      <c r="AQ93" s="96"/>
      <c r="AR93" s="97" t="s">
        <v>1135</v>
      </c>
      <c r="AS93" s="58"/>
      <c r="AT93" s="2" t="s">
        <v>380</v>
      </c>
      <c r="AU93" s="46">
        <v>3436326</v>
      </c>
      <c r="AV93" s="98">
        <f t="shared" si="16"/>
        <v>79569642</v>
      </c>
      <c r="AW93" s="58"/>
      <c r="AX93" s="58"/>
      <c r="AY93" s="58"/>
      <c r="AZ93" s="58"/>
      <c r="BA93" s="48"/>
      <c r="BB93" s="48"/>
      <c r="BC93" s="48"/>
      <c r="BD93" s="48"/>
      <c r="BE93" s="48"/>
      <c r="BF93" s="48"/>
      <c r="BG93" s="48"/>
      <c r="BH93" s="48"/>
      <c r="BI93" s="48"/>
      <c r="BJ93" s="48"/>
      <c r="BK93" s="48"/>
      <c r="BL93" s="48"/>
      <c r="BM93" s="48"/>
      <c r="BN93" s="48"/>
      <c r="BO93" s="48"/>
      <c r="BP93" s="48"/>
      <c r="BQ93" s="48"/>
    </row>
    <row r="94" spans="1:69" ht="12.75" customHeight="1">
      <c r="A94" s="85">
        <v>90</v>
      </c>
      <c r="B94" s="86">
        <v>5087</v>
      </c>
      <c r="C94" s="29">
        <v>22</v>
      </c>
      <c r="D94" s="14">
        <v>30333406</v>
      </c>
      <c r="E94" s="18" t="str">
        <f>IF(D94&gt;0,VLOOKUP(D94,'PLANTA PERNO'!A:D,4,0)&amp;" "&amp;VLOOKUP(D94,'PLANTA PERNO'!A:D,2,0)&amp;" "&amp;VLOOKUP(D94,'PLANTA PERNO'!A:D,3,0),IF(N94="","VACANTE DEFINITIVA","VACANTE TEMPORAL"))</f>
        <v>ALEXANDRA AVILA MARIN</v>
      </c>
      <c r="F94" s="20" t="s">
        <v>49</v>
      </c>
      <c r="G94" s="20" t="str">
        <f t="shared" si="0"/>
        <v>EN ENCARGO</v>
      </c>
      <c r="H94" s="33">
        <f t="shared" si="26"/>
        <v>44396</v>
      </c>
      <c r="I94" s="33">
        <f t="shared" si="27"/>
        <v>44396</v>
      </c>
      <c r="J94" s="31" t="str">
        <f t="shared" si="28"/>
        <v>MUJER</v>
      </c>
      <c r="K94" s="21">
        <f t="shared" ca="1" si="29"/>
        <v>51</v>
      </c>
      <c r="L94" s="87" t="str">
        <f t="shared" si="5"/>
        <v>ENCARGO</v>
      </c>
      <c r="M94" s="21" t="str">
        <f t="shared" si="18"/>
        <v>VT LICENCIA MATERNIDAD</v>
      </c>
      <c r="N94" s="21">
        <v>53166058</v>
      </c>
      <c r="O94" s="18" t="str">
        <f>IF(N94="","VACANTE DEFINITIVA",(VLOOKUP(N94,'PLANTA PERNO'!A:D,4,0)&amp;" "&amp;VLOOKUP(N94,'PLANTA PERNO'!A:D,2,0)&amp;" "&amp;VLOOKUP(N94,'PLANTA PERNO'!A:D,3,0)))</f>
        <v>ADDILY JOHANNA CALA CASTRO</v>
      </c>
      <c r="P94" s="21" t="s">
        <v>322</v>
      </c>
      <c r="Q94" s="21">
        <v>1</v>
      </c>
      <c r="R94" s="21"/>
      <c r="S94" s="21"/>
      <c r="T94" s="21" t="s">
        <v>2480</v>
      </c>
      <c r="U94" s="21"/>
      <c r="V94" s="128"/>
      <c r="W94" s="21" t="str">
        <f t="shared" si="7"/>
        <v>OCUPADO</v>
      </c>
      <c r="X94" s="23" t="s">
        <v>50</v>
      </c>
      <c r="Y94" s="90" t="s">
        <v>51</v>
      </c>
      <c r="Z94" s="25">
        <v>222</v>
      </c>
      <c r="AA94" s="27">
        <v>21</v>
      </c>
      <c r="AB94" s="28" t="str">
        <f t="shared" si="8"/>
        <v>222-21</v>
      </c>
      <c r="AC94" s="24" t="s">
        <v>147</v>
      </c>
      <c r="AD94" s="24" t="s">
        <v>147</v>
      </c>
      <c r="AE94" s="24" t="s">
        <v>2242</v>
      </c>
      <c r="AF94" s="24" t="s">
        <v>2243</v>
      </c>
      <c r="AG94" s="24" t="s">
        <v>2244</v>
      </c>
      <c r="AH94" s="24" t="s">
        <v>2245</v>
      </c>
      <c r="AI94" s="93">
        <f t="shared" si="9"/>
        <v>6566429</v>
      </c>
      <c r="AJ94" s="93">
        <v>0</v>
      </c>
      <c r="AK94" s="93">
        <f t="shared" si="30"/>
        <v>196992</v>
      </c>
      <c r="AL94" s="93">
        <f>IFERROR(INT(($AI94*(VLOOKUP($D94,'PORCENTAJES FACTORES'!B:N,12,0))/100)),0)</f>
        <v>2416445</v>
      </c>
      <c r="AM94" s="93">
        <f t="shared" si="31"/>
        <v>0</v>
      </c>
      <c r="AN94" s="93">
        <f t="shared" si="13"/>
        <v>0</v>
      </c>
      <c r="AO94" s="93">
        <f t="shared" si="14"/>
        <v>0</v>
      </c>
      <c r="AP94" s="95">
        <f t="shared" si="15"/>
        <v>9179866</v>
      </c>
      <c r="AQ94" s="96"/>
      <c r="AR94" s="97" t="s">
        <v>1135</v>
      </c>
      <c r="AS94" s="58"/>
      <c r="AT94" s="2" t="s">
        <v>2246</v>
      </c>
      <c r="AU94" s="46">
        <v>3548084</v>
      </c>
      <c r="AV94" s="98" t="e">
        <f t="shared" si="16"/>
        <v>#N/A</v>
      </c>
      <c r="AW94" s="58"/>
      <c r="AX94" s="58"/>
      <c r="AY94" s="58"/>
      <c r="AZ94" s="58"/>
      <c r="BA94" s="48"/>
      <c r="BB94" s="48"/>
      <c r="BC94" s="48"/>
      <c r="BD94" s="48"/>
      <c r="BE94" s="48"/>
      <c r="BF94" s="48"/>
      <c r="BG94" s="48"/>
      <c r="BH94" s="48"/>
      <c r="BI94" s="48"/>
      <c r="BJ94" s="48"/>
      <c r="BK94" s="48"/>
      <c r="BL94" s="48"/>
      <c r="BM94" s="48"/>
      <c r="BN94" s="48"/>
      <c r="BO94" s="48"/>
      <c r="BP94" s="48"/>
      <c r="BQ94" s="48"/>
    </row>
    <row r="95" spans="1:69" ht="12.75" customHeight="1">
      <c r="A95" s="85">
        <v>91</v>
      </c>
      <c r="B95" s="86">
        <v>5092</v>
      </c>
      <c r="C95" s="29">
        <v>23</v>
      </c>
      <c r="D95" s="14">
        <v>51649014</v>
      </c>
      <c r="E95" s="18" t="str">
        <f>IF(D95&gt;0,VLOOKUP(D95,'PLANTA PERNO'!A:D,4,0)&amp;" "&amp;VLOOKUP(D95,'PLANTA PERNO'!A:D,2,0)&amp;" "&amp;VLOOKUP(D95,'PLANTA PERNO'!A:D,3,0),IF(N95="","VACANTE DEFINITIVA","VACANTE TEMPORAL"))</f>
        <v>DORA BELEN GUTIERREZ HERNANDEZ</v>
      </c>
      <c r="F95" s="20" t="s">
        <v>49</v>
      </c>
      <c r="G95" s="20" t="str">
        <f t="shared" si="0"/>
        <v>CARRERA ADMINISTRATIVA</v>
      </c>
      <c r="H95" s="33">
        <f t="shared" si="26"/>
        <v>42585</v>
      </c>
      <c r="I95" s="33">
        <f t="shared" si="27"/>
        <v>34870</v>
      </c>
      <c r="J95" s="31" t="str">
        <f t="shared" si="28"/>
        <v>MUJER</v>
      </c>
      <c r="K95" s="21">
        <f t="shared" ca="1" si="29"/>
        <v>64</v>
      </c>
      <c r="L95" s="87" t="str">
        <f t="shared" si="5"/>
        <v/>
      </c>
      <c r="M95" s="21" t="str">
        <f t="shared" si="18"/>
        <v>EN PROPIEDAD</v>
      </c>
      <c r="N95" s="21">
        <v>51649014</v>
      </c>
      <c r="O95" s="18" t="str">
        <f>IF(N95="","VACANTE DEFINITIVA",(VLOOKUP(N95,'PLANTA PERNO'!A:D,4,0)&amp;" "&amp;VLOOKUP(N95,'PLANTA PERNO'!A:D,2,0)&amp;" "&amp;VLOOKUP(N95,'PLANTA PERNO'!A:D,3,0)))</f>
        <v>DORA BELEN GUTIERREZ HERNANDEZ</v>
      </c>
      <c r="P95" s="21"/>
      <c r="Q95" s="21"/>
      <c r="R95" s="21"/>
      <c r="S95" s="21"/>
      <c r="T95" s="21"/>
      <c r="U95" s="21"/>
      <c r="V95" s="123">
        <v>220283</v>
      </c>
      <c r="W95" s="21" t="str">
        <f t="shared" si="7"/>
        <v>OCUPADO</v>
      </c>
      <c r="X95" s="23" t="s">
        <v>50</v>
      </c>
      <c r="Y95" s="90" t="s">
        <v>51</v>
      </c>
      <c r="Z95" s="25">
        <v>222</v>
      </c>
      <c r="AA95" s="27">
        <v>21</v>
      </c>
      <c r="AB95" s="28" t="str">
        <f t="shared" si="8"/>
        <v>222-21</v>
      </c>
      <c r="AC95" s="24" t="s">
        <v>147</v>
      </c>
      <c r="AD95" s="24" t="s">
        <v>147</v>
      </c>
      <c r="AE95" s="24" t="s">
        <v>2248</v>
      </c>
      <c r="AF95" s="24" t="s">
        <v>2249</v>
      </c>
      <c r="AG95" s="24" t="s">
        <v>2250</v>
      </c>
      <c r="AH95" s="24" t="s">
        <v>2251</v>
      </c>
      <c r="AI95" s="93">
        <f t="shared" si="9"/>
        <v>6566429</v>
      </c>
      <c r="AJ95" s="93">
        <v>0</v>
      </c>
      <c r="AK95" s="93">
        <f t="shared" si="30"/>
        <v>459650</v>
      </c>
      <c r="AL95" s="93">
        <f>IFERROR(INT(($AI95*(VLOOKUP($D95,'PORCENTAJES FACTORES'!B:N,12,0))/100)),0)</f>
        <v>2626571</v>
      </c>
      <c r="AM95" s="93">
        <f t="shared" si="31"/>
        <v>0</v>
      </c>
      <c r="AN95" s="93">
        <f t="shared" si="13"/>
        <v>0</v>
      </c>
      <c r="AO95" s="93">
        <f t="shared" si="14"/>
        <v>0</v>
      </c>
      <c r="AP95" s="95">
        <f t="shared" si="15"/>
        <v>9652650</v>
      </c>
      <c r="AQ95" s="96"/>
      <c r="AR95" s="97" t="s">
        <v>1135</v>
      </c>
      <c r="AS95" s="58"/>
      <c r="AT95" s="2" t="s">
        <v>374</v>
      </c>
      <c r="AU95" s="46">
        <v>3687785</v>
      </c>
      <c r="AV95" s="98">
        <f t="shared" si="16"/>
        <v>51649014</v>
      </c>
      <c r="AW95" s="58"/>
      <c r="AX95" s="58"/>
      <c r="AY95" s="58"/>
      <c r="AZ95" s="58"/>
      <c r="BA95" s="48"/>
      <c r="BB95" s="48"/>
      <c r="BC95" s="48"/>
      <c r="BD95" s="48"/>
      <c r="BE95" s="48"/>
      <c r="BF95" s="48"/>
      <c r="BG95" s="48"/>
      <c r="BH95" s="48"/>
      <c r="BI95" s="48"/>
      <c r="BJ95" s="48"/>
      <c r="BK95" s="48"/>
      <c r="BL95" s="48"/>
      <c r="BM95" s="48"/>
      <c r="BN95" s="48"/>
      <c r="BO95" s="48"/>
      <c r="BP95" s="48"/>
      <c r="BQ95" s="48"/>
    </row>
    <row r="96" spans="1:69" ht="12.75" customHeight="1">
      <c r="A96" s="85">
        <v>92</v>
      </c>
      <c r="B96" s="86">
        <v>5088</v>
      </c>
      <c r="C96" s="29">
        <v>19</v>
      </c>
      <c r="D96" s="14">
        <v>80022321</v>
      </c>
      <c r="E96" s="18" t="str">
        <f>IF(D96&gt;0,VLOOKUP(D96,'PLANTA PERNO'!A:D,4,0)&amp;" "&amp;VLOOKUP(D96,'PLANTA PERNO'!A:D,2,0)&amp;" "&amp;VLOOKUP(D96,'PLANTA PERNO'!A:D,3,0),IF(N96="","VACANTE DEFINITIVA","VACANTE TEMPORAL"))</f>
        <v>SAMUEL ARTURO HERNANDEZ MURCIA</v>
      </c>
      <c r="F96" s="20" t="s">
        <v>49</v>
      </c>
      <c r="G96" s="20" t="str">
        <f t="shared" si="0"/>
        <v>CARRERA ADMINISTRATIVA</v>
      </c>
      <c r="H96" s="33">
        <f t="shared" si="26"/>
        <v>44652</v>
      </c>
      <c r="I96" s="33">
        <f t="shared" si="27"/>
        <v>44652</v>
      </c>
      <c r="J96" s="31" t="str">
        <f t="shared" si="28"/>
        <v>HOMBRE</v>
      </c>
      <c r="K96" s="21">
        <f t="shared" ca="1" si="29"/>
        <v>47</v>
      </c>
      <c r="L96" s="87" t="str">
        <f t="shared" si="5"/>
        <v/>
      </c>
      <c r="M96" s="21" t="str">
        <f t="shared" si="18"/>
        <v>EN PROPIEDAD</v>
      </c>
      <c r="N96" s="21">
        <v>80022321</v>
      </c>
      <c r="O96" s="18" t="str">
        <f>IF(N96="","VACANTE DEFINITIVA",(VLOOKUP(N96,'PLANTA PERNO'!A:D,4,0)&amp;" "&amp;VLOOKUP(N96,'PLANTA PERNO'!A:D,2,0)&amp;" "&amp;VLOOKUP(N96,'PLANTA PERNO'!A:D,3,0)))</f>
        <v>SAMUEL ARTURO HERNANDEZ MURCIA</v>
      </c>
      <c r="P96" s="21"/>
      <c r="Q96" s="21"/>
      <c r="R96" s="21"/>
      <c r="S96" s="21"/>
      <c r="T96" s="21"/>
      <c r="U96" s="21"/>
      <c r="V96" s="128"/>
      <c r="W96" s="21" t="str">
        <f t="shared" si="7"/>
        <v>OCUPADO</v>
      </c>
      <c r="X96" s="23" t="s">
        <v>50</v>
      </c>
      <c r="Y96" s="90" t="s">
        <v>51</v>
      </c>
      <c r="Z96" s="25">
        <v>222</v>
      </c>
      <c r="AA96" s="27">
        <v>21</v>
      </c>
      <c r="AB96" s="28" t="str">
        <f t="shared" si="8"/>
        <v>222-21</v>
      </c>
      <c r="AC96" s="24" t="s">
        <v>147</v>
      </c>
      <c r="AD96" s="24" t="s">
        <v>147</v>
      </c>
      <c r="AE96" s="24" t="s">
        <v>2253</v>
      </c>
      <c r="AF96" s="24" t="s">
        <v>2254</v>
      </c>
      <c r="AG96" s="24" t="s">
        <v>2255</v>
      </c>
      <c r="AH96" s="24" t="s">
        <v>2256</v>
      </c>
      <c r="AI96" s="93">
        <f t="shared" si="9"/>
        <v>6566429</v>
      </c>
      <c r="AJ96" s="93">
        <v>0</v>
      </c>
      <c r="AK96" s="93">
        <f t="shared" si="30"/>
        <v>0</v>
      </c>
      <c r="AL96" s="93">
        <f>IFERROR(INT(($AI96*(VLOOKUP($D96,'PORCENTAJES FACTORES'!B:N,12,0))/100)),0)</f>
        <v>2626571</v>
      </c>
      <c r="AM96" s="93">
        <f t="shared" si="31"/>
        <v>0</v>
      </c>
      <c r="AN96" s="93">
        <f t="shared" si="13"/>
        <v>0</v>
      </c>
      <c r="AO96" s="93">
        <f t="shared" si="14"/>
        <v>0</v>
      </c>
      <c r="AP96" s="95">
        <f t="shared" si="15"/>
        <v>9193000</v>
      </c>
      <c r="AQ96" s="96"/>
      <c r="AR96" s="97" t="s">
        <v>1135</v>
      </c>
      <c r="AS96" s="58"/>
      <c r="AT96" s="2" t="s">
        <v>356</v>
      </c>
      <c r="AU96" s="46">
        <v>3799538</v>
      </c>
      <c r="AV96" s="98">
        <f t="shared" si="16"/>
        <v>80022321</v>
      </c>
      <c r="AW96" s="58"/>
      <c r="AX96" s="58"/>
      <c r="AY96" s="58"/>
      <c r="AZ96" s="58"/>
      <c r="BA96" s="48"/>
      <c r="BB96" s="48"/>
      <c r="BC96" s="48"/>
      <c r="BD96" s="48"/>
      <c r="BE96" s="48"/>
      <c r="BF96" s="48"/>
      <c r="BG96" s="48"/>
      <c r="BH96" s="48"/>
      <c r="BI96" s="48"/>
      <c r="BJ96" s="48"/>
      <c r="BK96" s="48"/>
      <c r="BL96" s="48"/>
      <c r="BM96" s="48"/>
      <c r="BN96" s="48"/>
      <c r="BO96" s="48"/>
      <c r="BP96" s="48"/>
      <c r="BQ96" s="48"/>
    </row>
    <row r="97" spans="1:69" ht="12.75" customHeight="1">
      <c r="A97" s="85">
        <v>93</v>
      </c>
      <c r="B97" s="86">
        <v>5089</v>
      </c>
      <c r="C97" s="29">
        <v>20</v>
      </c>
      <c r="D97" s="14">
        <v>52391785</v>
      </c>
      <c r="E97" s="18" t="str">
        <f>IF(D97&gt;0,VLOOKUP(D97,'PLANTA PERNO'!A:D,4,0)&amp;" "&amp;VLOOKUP(D97,'PLANTA PERNO'!A:D,2,0)&amp;" "&amp;VLOOKUP(D97,'PLANTA PERNO'!A:D,3,0),IF(N97="","VACANTE DEFINITIVA","VACANTE TEMPORAL"))</f>
        <v>YOMAIRA AMPARO ALARCON ACERO</v>
      </c>
      <c r="F97" s="20" t="s">
        <v>49</v>
      </c>
      <c r="G97" s="20" t="str">
        <f t="shared" si="0"/>
        <v>CARRERA ADMINISTRATIVA</v>
      </c>
      <c r="H97" s="33">
        <f t="shared" si="26"/>
        <v>44200</v>
      </c>
      <c r="I97" s="33">
        <f t="shared" si="27"/>
        <v>43405</v>
      </c>
      <c r="J97" s="31" t="str">
        <f t="shared" si="28"/>
        <v>MUJER</v>
      </c>
      <c r="K97" s="21">
        <f t="shared" ca="1" si="29"/>
        <v>48</v>
      </c>
      <c r="L97" s="87" t="str">
        <f t="shared" si="5"/>
        <v/>
      </c>
      <c r="M97" s="21" t="str">
        <f t="shared" si="18"/>
        <v>EN PROPIEDAD</v>
      </c>
      <c r="N97" s="21">
        <v>52391785</v>
      </c>
      <c r="O97" s="18" t="str">
        <f>IF(N97="","VACANTE DEFINITIVA",(VLOOKUP(N97,'PLANTA PERNO'!A:D,4,0)&amp;" "&amp;VLOOKUP(N97,'PLANTA PERNO'!A:D,2,0)&amp;" "&amp;VLOOKUP(N97,'PLANTA PERNO'!A:D,3,0)))</f>
        <v>YOMAIRA AMPARO ALARCON ACERO</v>
      </c>
      <c r="P97" s="21"/>
      <c r="Q97" s="21"/>
      <c r="R97" s="21"/>
      <c r="S97" s="21"/>
      <c r="T97" s="21"/>
      <c r="U97" s="21"/>
      <c r="V97" s="128"/>
      <c r="W97" s="21" t="str">
        <f t="shared" si="7"/>
        <v>OCUPADO</v>
      </c>
      <c r="X97" s="23" t="s">
        <v>50</v>
      </c>
      <c r="Y97" s="90" t="s">
        <v>51</v>
      </c>
      <c r="Z97" s="25">
        <v>222</v>
      </c>
      <c r="AA97" s="27">
        <v>21</v>
      </c>
      <c r="AB97" s="28" t="str">
        <f t="shared" si="8"/>
        <v>222-21</v>
      </c>
      <c r="AC97" s="24" t="s">
        <v>147</v>
      </c>
      <c r="AD97" s="24" t="s">
        <v>147</v>
      </c>
      <c r="AE97" s="24" t="s">
        <v>2257</v>
      </c>
      <c r="AF97" s="24" t="s">
        <v>2258</v>
      </c>
      <c r="AG97" s="24" t="s">
        <v>2259</v>
      </c>
      <c r="AH97" s="24" t="s">
        <v>2260</v>
      </c>
      <c r="AI97" s="93">
        <f t="shared" si="9"/>
        <v>6566429</v>
      </c>
      <c r="AJ97" s="93">
        <v>0</v>
      </c>
      <c r="AK97" s="93">
        <f t="shared" si="30"/>
        <v>196992</v>
      </c>
      <c r="AL97" s="93">
        <f>IFERROR(INT(($AI97*(VLOOKUP($D97,'PORCENTAJES FACTORES'!B:N,12,0))/100)),0)</f>
        <v>2626571</v>
      </c>
      <c r="AM97" s="93">
        <f t="shared" si="31"/>
        <v>0</v>
      </c>
      <c r="AN97" s="93">
        <f t="shared" si="13"/>
        <v>0</v>
      </c>
      <c r="AO97" s="93">
        <f t="shared" si="14"/>
        <v>0</v>
      </c>
      <c r="AP97" s="95">
        <f t="shared" ref="AP97:AP174" si="32">(+AI97+AJ97+AK97+AL97+AM97+AN97+AO97)</f>
        <v>9389992</v>
      </c>
      <c r="AQ97" s="96"/>
      <c r="AR97" s="97" t="s">
        <v>1135</v>
      </c>
      <c r="AS97" s="58"/>
      <c r="AT97" s="2" t="s">
        <v>349</v>
      </c>
      <c r="AU97" s="46">
        <v>3925268</v>
      </c>
      <c r="AV97" s="98">
        <f t="shared" si="16"/>
        <v>52391785</v>
      </c>
      <c r="AW97" s="58"/>
      <c r="AX97" s="58"/>
      <c r="AY97" s="58"/>
      <c r="AZ97" s="58"/>
      <c r="BA97" s="48"/>
      <c r="BB97" s="48"/>
      <c r="BC97" s="48"/>
      <c r="BD97" s="48"/>
      <c r="BE97" s="48"/>
      <c r="BF97" s="48"/>
      <c r="BG97" s="48"/>
      <c r="BH97" s="48"/>
      <c r="BI97" s="48"/>
      <c r="BJ97" s="48"/>
      <c r="BK97" s="48"/>
      <c r="BL97" s="48"/>
      <c r="BM97" s="48"/>
      <c r="BN97" s="48"/>
      <c r="BO97" s="48"/>
      <c r="BP97" s="48"/>
      <c r="BQ97" s="48"/>
    </row>
    <row r="98" spans="1:69" ht="12.75" customHeight="1">
      <c r="A98" s="85">
        <v>94</v>
      </c>
      <c r="B98" s="86">
        <v>5093</v>
      </c>
      <c r="C98" s="29">
        <v>63</v>
      </c>
      <c r="D98" s="14">
        <v>79450267</v>
      </c>
      <c r="E98" s="18" t="str">
        <f>IF(D98&gt;0,VLOOKUP(D98,'PLANTA PERNO'!A:D,4,0)&amp;" "&amp;VLOOKUP(D98,'PLANTA PERNO'!A:D,2,0)&amp;" "&amp;VLOOKUP(D98,'PLANTA PERNO'!A:D,3,0),IF(N98="","VACANTE DEFINITIVA","VACANTE TEMPORAL"))</f>
        <v>HENRY ALBERTO GONZALEZ MOLINA</v>
      </c>
      <c r="F98" s="20" t="s">
        <v>49</v>
      </c>
      <c r="G98" s="20" t="str">
        <f t="shared" si="0"/>
        <v>EN ENCARGO</v>
      </c>
      <c r="H98" s="33">
        <f t="shared" si="26"/>
        <v>42585</v>
      </c>
      <c r="I98" s="33">
        <f t="shared" si="27"/>
        <v>35062</v>
      </c>
      <c r="J98" s="31" t="str">
        <f t="shared" si="28"/>
        <v>HOMBRE</v>
      </c>
      <c r="K98" s="21">
        <f t="shared" ca="1" si="29"/>
        <v>59</v>
      </c>
      <c r="L98" s="87" t="str">
        <f t="shared" si="5"/>
        <v>ENCARGO</v>
      </c>
      <c r="M98" s="21" t="str">
        <f t="shared" si="18"/>
        <v>EN ENCARGO</v>
      </c>
      <c r="N98" s="21">
        <v>3085860</v>
      </c>
      <c r="O98" s="18" t="str">
        <f>IF(N98="","VACANTE DEFINITIVA",(VLOOKUP(N98,'PLANTA PERNO'!A:D,4,0)&amp;" "&amp;VLOOKUP(N98,'PLANTA PERNO'!A:D,2,0)&amp;" "&amp;VLOOKUP(N98,'PLANTA PERNO'!A:D,3,0)))</f>
        <v>LUIS ALFONSO CASTIBLANCO URQUIJO</v>
      </c>
      <c r="P98" s="21" t="s">
        <v>1602</v>
      </c>
      <c r="Q98" s="21">
        <v>2</v>
      </c>
      <c r="R98" s="21"/>
      <c r="S98" s="21"/>
      <c r="T98" s="21"/>
      <c r="U98" s="21"/>
      <c r="V98" s="128"/>
      <c r="W98" s="21" t="str">
        <f t="shared" si="7"/>
        <v>OCUPADO</v>
      </c>
      <c r="X98" s="23" t="s">
        <v>50</v>
      </c>
      <c r="Y98" s="90" t="s">
        <v>51</v>
      </c>
      <c r="Z98" s="25">
        <v>222</v>
      </c>
      <c r="AA98" s="27">
        <v>21</v>
      </c>
      <c r="AB98" s="28" t="str">
        <f t="shared" si="8"/>
        <v>222-21</v>
      </c>
      <c r="AC98" s="24" t="s">
        <v>153</v>
      </c>
      <c r="AD98" s="24" t="s">
        <v>153</v>
      </c>
      <c r="AE98" s="24" t="s">
        <v>2263</v>
      </c>
      <c r="AF98" s="24" t="s">
        <v>2264</v>
      </c>
      <c r="AG98" s="24" t="s">
        <v>2265</v>
      </c>
      <c r="AH98" s="24" t="s">
        <v>2266</v>
      </c>
      <c r="AI98" s="93">
        <f t="shared" si="9"/>
        <v>6566429</v>
      </c>
      <c r="AJ98" s="93">
        <v>0</v>
      </c>
      <c r="AK98" s="93">
        <f t="shared" si="30"/>
        <v>459650</v>
      </c>
      <c r="AL98" s="93">
        <f>IFERROR(INT(($AI98*(VLOOKUP($D98,'PORCENTAJES FACTORES'!B:N,12,0))/100)),0)</f>
        <v>2626571</v>
      </c>
      <c r="AM98" s="93">
        <f t="shared" si="31"/>
        <v>0</v>
      </c>
      <c r="AN98" s="93">
        <f t="shared" si="13"/>
        <v>0</v>
      </c>
      <c r="AO98" s="93">
        <f t="shared" si="14"/>
        <v>0</v>
      </c>
      <c r="AP98" s="95">
        <f t="shared" si="32"/>
        <v>9652650</v>
      </c>
      <c r="AQ98" s="96"/>
      <c r="AR98" s="97" t="s">
        <v>1135</v>
      </c>
      <c r="AS98" s="58"/>
      <c r="AT98" s="2" t="s">
        <v>2267</v>
      </c>
      <c r="AU98" s="46">
        <v>3994286</v>
      </c>
      <c r="AV98" s="98">
        <f t="shared" si="16"/>
        <v>3085860</v>
      </c>
      <c r="AW98" s="58"/>
      <c r="AX98" s="58"/>
      <c r="AY98" s="58"/>
      <c r="AZ98" s="58"/>
      <c r="BA98" s="48"/>
      <c r="BB98" s="48"/>
      <c r="BC98" s="48"/>
      <c r="BD98" s="48"/>
      <c r="BE98" s="48"/>
      <c r="BF98" s="48"/>
      <c r="BG98" s="48"/>
      <c r="BH98" s="48"/>
      <c r="BI98" s="48"/>
      <c r="BJ98" s="48"/>
      <c r="BK98" s="48"/>
      <c r="BL98" s="48"/>
      <c r="BM98" s="48"/>
      <c r="BN98" s="48"/>
      <c r="BO98" s="48"/>
      <c r="BP98" s="48"/>
      <c r="BQ98" s="48"/>
    </row>
    <row r="99" spans="1:69" ht="12.75" customHeight="1">
      <c r="A99" s="85">
        <v>95</v>
      </c>
      <c r="B99" s="86">
        <v>5094</v>
      </c>
      <c r="C99" s="29">
        <v>64</v>
      </c>
      <c r="D99" s="14">
        <v>52818411</v>
      </c>
      <c r="E99" s="18" t="str">
        <f>IF(D99&gt;0,VLOOKUP(D99,'PLANTA PERNO'!A:D,4,0)&amp;" "&amp;VLOOKUP(D99,'PLANTA PERNO'!A:D,2,0)&amp;" "&amp;VLOOKUP(D99,'PLANTA PERNO'!A:D,3,0),IF(N99="","VACANTE DEFINITIVA","VACANTE TEMPORAL"))</f>
        <v>MARIA XIMENA CUBIDES AMAYA</v>
      </c>
      <c r="F99" s="20" t="s">
        <v>49</v>
      </c>
      <c r="G99" s="20" t="str">
        <f t="shared" si="0"/>
        <v>CARRERA ADMINISTRATIVA</v>
      </c>
      <c r="H99" s="33">
        <f t="shared" si="26"/>
        <v>44326</v>
      </c>
      <c r="I99" s="33">
        <f t="shared" si="27"/>
        <v>44326</v>
      </c>
      <c r="J99" s="31" t="str">
        <f t="shared" si="28"/>
        <v>MUJER</v>
      </c>
      <c r="K99" s="21">
        <f t="shared" ca="1" si="29"/>
        <v>42</v>
      </c>
      <c r="L99" s="87" t="str">
        <f t="shared" si="5"/>
        <v/>
      </c>
      <c r="M99" s="21" t="str">
        <f t="shared" si="18"/>
        <v>EN PROPIEDAD</v>
      </c>
      <c r="N99" s="21">
        <v>52818411</v>
      </c>
      <c r="O99" s="18" t="str">
        <f>IF(N99="","VACANTE DEFINITIVA",(VLOOKUP(N99,'PLANTA PERNO'!A:D,4,0)&amp;" "&amp;VLOOKUP(N99,'PLANTA PERNO'!A:D,2,0)&amp;" "&amp;VLOOKUP(N99,'PLANTA PERNO'!A:D,3,0)))</f>
        <v>MARIA XIMENA CUBIDES AMAYA</v>
      </c>
      <c r="P99" s="21"/>
      <c r="Q99" s="21"/>
      <c r="R99" s="21"/>
      <c r="S99" s="21"/>
      <c r="T99" s="21"/>
      <c r="U99" s="21"/>
      <c r="V99" s="128"/>
      <c r="W99" s="21" t="str">
        <f t="shared" si="7"/>
        <v>OCUPADO</v>
      </c>
      <c r="X99" s="23" t="s">
        <v>50</v>
      </c>
      <c r="Y99" s="90" t="s">
        <v>51</v>
      </c>
      <c r="Z99" s="25">
        <v>222</v>
      </c>
      <c r="AA99" s="27">
        <v>21</v>
      </c>
      <c r="AB99" s="28" t="str">
        <f t="shared" si="8"/>
        <v>222-21</v>
      </c>
      <c r="AC99" s="24" t="s">
        <v>213</v>
      </c>
      <c r="AD99" s="63" t="s">
        <v>213</v>
      </c>
      <c r="AE99" s="24" t="s">
        <v>2268</v>
      </c>
      <c r="AF99" s="24" t="s">
        <v>2269</v>
      </c>
      <c r="AG99" s="24" t="s">
        <v>2270</v>
      </c>
      <c r="AH99" s="24" t="s">
        <v>2271</v>
      </c>
      <c r="AI99" s="93">
        <f t="shared" si="9"/>
        <v>6566429</v>
      </c>
      <c r="AJ99" s="93">
        <v>0</v>
      </c>
      <c r="AK99" s="93">
        <f t="shared" si="30"/>
        <v>196992</v>
      </c>
      <c r="AL99" s="93">
        <f>IFERROR(INT(($AI99*(VLOOKUP($D99,'PORCENTAJES FACTORES'!B:N,12,0))/100)),0)</f>
        <v>2626571</v>
      </c>
      <c r="AM99" s="93">
        <f t="shared" si="31"/>
        <v>0</v>
      </c>
      <c r="AN99" s="93">
        <f t="shared" si="13"/>
        <v>0</v>
      </c>
      <c r="AO99" s="93">
        <f t="shared" si="14"/>
        <v>0</v>
      </c>
      <c r="AP99" s="95">
        <f t="shared" si="32"/>
        <v>9389992</v>
      </c>
      <c r="AQ99" s="96"/>
      <c r="AR99" s="97" t="s">
        <v>1135</v>
      </c>
      <c r="AS99" s="58"/>
      <c r="AT99" s="2" t="s">
        <v>2273</v>
      </c>
      <c r="AU99" s="46">
        <v>4078933</v>
      </c>
      <c r="AV99" s="98">
        <f t="shared" si="16"/>
        <v>52818411</v>
      </c>
      <c r="AW99" s="58"/>
      <c r="AX99" s="58"/>
      <c r="AY99" s="58"/>
      <c r="AZ99" s="58"/>
      <c r="BA99" s="48"/>
      <c r="BB99" s="48"/>
      <c r="BC99" s="48"/>
      <c r="BD99" s="48"/>
      <c r="BE99" s="48"/>
      <c r="BF99" s="48"/>
      <c r="BG99" s="48"/>
      <c r="BH99" s="48"/>
      <c r="BI99" s="48"/>
      <c r="BJ99" s="48"/>
      <c r="BK99" s="48"/>
      <c r="BL99" s="48"/>
      <c r="BM99" s="48"/>
      <c r="BN99" s="48"/>
      <c r="BO99" s="48"/>
      <c r="BP99" s="48"/>
      <c r="BQ99" s="48"/>
    </row>
    <row r="100" spans="1:69" ht="12.75" customHeight="1">
      <c r="A100" s="85">
        <v>96</v>
      </c>
      <c r="B100" s="86">
        <v>5090</v>
      </c>
      <c r="C100" s="29">
        <v>66</v>
      </c>
      <c r="D100" s="14">
        <v>52176512</v>
      </c>
      <c r="E100" s="18" t="str">
        <f>IF(D100&gt;0,VLOOKUP(D100,'PLANTA PERNO'!A:D,4,0)&amp;" "&amp;VLOOKUP(D100,'PLANTA PERNO'!A:D,2,0)&amp;" "&amp;VLOOKUP(D100,'PLANTA PERNO'!A:D,3,0),IF(N100="","VACANTE DEFINITIVA","VACANTE TEMPORAL"))</f>
        <v>LUZ DARY MERCHAN LARA</v>
      </c>
      <c r="F100" s="20" t="s">
        <v>49</v>
      </c>
      <c r="G100" s="20" t="str">
        <f t="shared" si="0"/>
        <v>CARRERA ADMINISTRATIVA</v>
      </c>
      <c r="H100" s="33">
        <f t="shared" si="26"/>
        <v>44144</v>
      </c>
      <c r="I100" s="33">
        <f t="shared" si="27"/>
        <v>44144</v>
      </c>
      <c r="J100" s="31" t="str">
        <f t="shared" si="28"/>
        <v>MUJER</v>
      </c>
      <c r="K100" s="21">
        <f t="shared" ca="1" si="29"/>
        <v>53</v>
      </c>
      <c r="L100" s="87" t="str">
        <f t="shared" si="5"/>
        <v/>
      </c>
      <c r="M100" s="21" t="str">
        <f t="shared" si="18"/>
        <v>EN PROPIEDAD</v>
      </c>
      <c r="N100" s="21">
        <v>52176512</v>
      </c>
      <c r="O100" s="18" t="str">
        <f>IF(N100="","VACANTE DEFINITIVA",(VLOOKUP(N100,'PLANTA PERNO'!A:D,4,0)&amp;" "&amp;VLOOKUP(N100,'PLANTA PERNO'!A:D,2,0)&amp;" "&amp;VLOOKUP(N100,'PLANTA PERNO'!A:D,3,0)))</f>
        <v>LUZ DARY MERCHAN LARA</v>
      </c>
      <c r="P100" s="21"/>
      <c r="Q100" s="21"/>
      <c r="R100" s="21"/>
      <c r="S100" s="21"/>
      <c r="T100" s="21"/>
      <c r="U100" s="21"/>
      <c r="V100" s="128"/>
      <c r="W100" s="21" t="str">
        <f t="shared" si="7"/>
        <v>OCUPADO</v>
      </c>
      <c r="X100" s="23" t="s">
        <v>50</v>
      </c>
      <c r="Y100" s="90" t="s">
        <v>51</v>
      </c>
      <c r="Z100" s="25">
        <v>222</v>
      </c>
      <c r="AA100" s="27">
        <v>21</v>
      </c>
      <c r="AB100" s="28" t="str">
        <f t="shared" si="8"/>
        <v>222-21</v>
      </c>
      <c r="AC100" s="24" t="s">
        <v>150</v>
      </c>
      <c r="AD100" s="24" t="s">
        <v>150</v>
      </c>
      <c r="AE100" s="24" t="s">
        <v>2274</v>
      </c>
      <c r="AF100" s="24" t="s">
        <v>2275</v>
      </c>
      <c r="AG100" s="24" t="s">
        <v>2276</v>
      </c>
      <c r="AH100" s="24" t="s">
        <v>2277</v>
      </c>
      <c r="AI100" s="93">
        <f t="shared" si="9"/>
        <v>6566429</v>
      </c>
      <c r="AJ100" s="93">
        <v>0</v>
      </c>
      <c r="AK100" s="93">
        <f t="shared" si="30"/>
        <v>196992</v>
      </c>
      <c r="AL100" s="93">
        <f>IFERROR(INT(($AI100*(VLOOKUP($D100,'PORCENTAJES FACTORES'!B:N,12,0))/100)),0)</f>
        <v>2626571</v>
      </c>
      <c r="AM100" s="93">
        <f t="shared" si="31"/>
        <v>0</v>
      </c>
      <c r="AN100" s="93">
        <f t="shared" si="13"/>
        <v>0</v>
      </c>
      <c r="AO100" s="93">
        <f t="shared" si="14"/>
        <v>0</v>
      </c>
      <c r="AP100" s="95">
        <f t="shared" si="32"/>
        <v>9389992</v>
      </c>
      <c r="AQ100" s="96"/>
      <c r="AR100" s="97" t="s">
        <v>1135</v>
      </c>
      <c r="AS100" s="58"/>
      <c r="AT100" s="2" t="s">
        <v>337</v>
      </c>
      <c r="AU100" s="46">
        <v>4110053</v>
      </c>
      <c r="AV100" s="98">
        <f t="shared" si="16"/>
        <v>52176512</v>
      </c>
      <c r="AW100" s="58"/>
      <c r="AX100" s="58"/>
      <c r="AY100" s="58"/>
      <c r="AZ100" s="58"/>
      <c r="BA100" s="48"/>
      <c r="BB100" s="48"/>
      <c r="BC100" s="48"/>
      <c r="BD100" s="48"/>
      <c r="BE100" s="48"/>
      <c r="BF100" s="48"/>
      <c r="BG100" s="48"/>
      <c r="BH100" s="48"/>
      <c r="BI100" s="48"/>
      <c r="BJ100" s="48"/>
      <c r="BK100" s="48"/>
      <c r="BL100" s="48"/>
      <c r="BM100" s="48"/>
      <c r="BN100" s="48"/>
      <c r="BO100" s="48"/>
      <c r="BP100" s="48"/>
      <c r="BQ100" s="48"/>
    </row>
    <row r="101" spans="1:69" ht="12.75" customHeight="1">
      <c r="A101" s="85">
        <v>97</v>
      </c>
      <c r="B101" s="86">
        <v>5091</v>
      </c>
      <c r="C101" s="29">
        <v>65</v>
      </c>
      <c r="D101" s="14"/>
      <c r="E101" s="18" t="str">
        <f>IF(D101&gt;0,VLOOKUP(D101,'PLANTA PERNO'!A:D,4,0)&amp;" "&amp;VLOOKUP(D101,'PLANTA PERNO'!A:D,2,0)&amp;" "&amp;VLOOKUP(D101,'PLANTA PERNO'!A:D,3,0),IF(N101="","VACANTE DEFINITIVA","VACANTE TEMPORAL"))</f>
        <v>VACANTE DEFINITIVA</v>
      </c>
      <c r="F101" s="20"/>
      <c r="G101" s="20" t="str">
        <f t="shared" si="0"/>
        <v>VACANTE DEFINITIVA</v>
      </c>
      <c r="H101" s="33" t="str">
        <f t="shared" ref="H101:H132" si="33">IFERROR(VLOOKUP($D101,PLANTA_PERNO,16,0)," ")</f>
        <v xml:space="preserve"> </v>
      </c>
      <c r="I101" s="33" t="str">
        <f t="shared" ref="I101:I132" si="34">IFERROR(VLOOKUP($D101,PLANTA_PERNO,17,0),"")</f>
        <v/>
      </c>
      <c r="J101" s="31" t="str">
        <f t="shared" ref="J101:J132" si="35">IF(IFERROR((VLOOKUP($D101,PLANTA_PERNO,9,0)),"")="F","MUJER",IF(IFERROR((VLOOKUP($D101,PLANTA_PERNO,9,0)),"")="M","HOMBRE",""))</f>
        <v/>
      </c>
      <c r="K101" s="21" t="str">
        <f t="shared" ref="K101:K132" ca="1" si="36">IFERROR(DATEDIF((VLOOKUP($D101,PLANTA_PERNO,6,0)),$K$3,"Y"),"")</f>
        <v/>
      </c>
      <c r="L101" s="87" t="str">
        <f t="shared" si="5"/>
        <v/>
      </c>
      <c r="M101" s="21" t="str">
        <f t="shared" si="18"/>
        <v>VACANTE DEFINITIVA</v>
      </c>
      <c r="N101" s="21"/>
      <c r="O101" s="18" t="str">
        <f>IF(N101="","VACANTE DEFINITIVA",(VLOOKUP(N101,'PLANTA PERNO'!A:D,4,0)&amp;" "&amp;VLOOKUP(N101,'PLANTA PERNO'!A:D,2,0)&amp;" "&amp;VLOOKUP(N101,'PLANTA PERNO'!A:D,3,0)))</f>
        <v>VACANTE DEFINITIVA</v>
      </c>
      <c r="P101" s="21"/>
      <c r="Q101" s="21"/>
      <c r="R101" s="21"/>
      <c r="S101" s="21"/>
      <c r="T101" s="21"/>
      <c r="U101" s="21"/>
      <c r="V101" s="128"/>
      <c r="W101" s="21" t="str">
        <f t="shared" si="7"/>
        <v>VACANTE DEFINITIVA</v>
      </c>
      <c r="X101" s="23" t="s">
        <v>50</v>
      </c>
      <c r="Y101" s="90" t="s">
        <v>51</v>
      </c>
      <c r="Z101" s="25">
        <v>222</v>
      </c>
      <c r="AA101" s="27">
        <v>21</v>
      </c>
      <c r="AB101" s="28" t="str">
        <f t="shared" si="8"/>
        <v>222-21</v>
      </c>
      <c r="AC101" s="24" t="s">
        <v>150</v>
      </c>
      <c r="AD101" s="24" t="s">
        <v>150</v>
      </c>
      <c r="AE101" s="24" t="s">
        <v>2279</v>
      </c>
      <c r="AF101" s="24" t="s">
        <v>2280</v>
      </c>
      <c r="AG101" s="24" t="s">
        <v>56</v>
      </c>
      <c r="AH101" s="24" t="s">
        <v>2281</v>
      </c>
      <c r="AI101" s="93">
        <f t="shared" si="9"/>
        <v>6566429</v>
      </c>
      <c r="AJ101" s="93">
        <v>0</v>
      </c>
      <c r="AK101" s="93">
        <f t="shared" ref="AK101:AK126" si="37">IFERROR(INT(($AI101*(VLOOKUP($D101,BASE_PORCENTAJES,10,0))/100)),0)</f>
        <v>0</v>
      </c>
      <c r="AL101" s="93">
        <f>IFERROR(INT(($AI101*(VLOOKUP($D101,'PORCENTAJES FACTORES'!B:N,12,0))/100)),0)</f>
        <v>0</v>
      </c>
      <c r="AM101" s="93">
        <f t="shared" ref="AM101:AM126" si="38">IFERROR(INT(($AI101*(VLOOKUP($D101,BASE_PORCENTAJES,13,0))/100)),0)</f>
        <v>0</v>
      </c>
      <c r="AN101" s="93">
        <f t="shared" si="13"/>
        <v>0</v>
      </c>
      <c r="AO101" s="93">
        <f t="shared" si="14"/>
        <v>0</v>
      </c>
      <c r="AP101" s="95">
        <f t="shared" si="32"/>
        <v>6566429</v>
      </c>
      <c r="AQ101" s="96"/>
      <c r="AR101" s="97" t="s">
        <v>1135</v>
      </c>
      <c r="AS101" s="58"/>
      <c r="AT101" s="2" t="s">
        <v>2283</v>
      </c>
      <c r="AU101" s="46">
        <v>4204656</v>
      </c>
      <c r="AV101" s="98" t="e">
        <f t="shared" si="16"/>
        <v>#N/A</v>
      </c>
      <c r="AW101" s="58"/>
      <c r="AX101" s="58"/>
      <c r="AY101" s="58"/>
      <c r="AZ101" s="58"/>
      <c r="BA101" s="48"/>
      <c r="BB101" s="48"/>
      <c r="BC101" s="48"/>
      <c r="BD101" s="48"/>
      <c r="BE101" s="48"/>
      <c r="BF101" s="48"/>
      <c r="BG101" s="48"/>
      <c r="BH101" s="48"/>
      <c r="BI101" s="48"/>
      <c r="BJ101" s="48"/>
      <c r="BK101" s="48"/>
      <c r="BL101" s="48"/>
      <c r="BM101" s="48"/>
      <c r="BN101" s="48"/>
      <c r="BO101" s="48"/>
      <c r="BP101" s="48"/>
      <c r="BQ101" s="48"/>
    </row>
    <row r="102" spans="1:69" ht="12.75" customHeight="1">
      <c r="A102" s="85">
        <v>98</v>
      </c>
      <c r="B102" s="86">
        <v>5095</v>
      </c>
      <c r="C102" s="29">
        <v>68</v>
      </c>
      <c r="D102" s="14">
        <v>6765913</v>
      </c>
      <c r="E102" s="18" t="str">
        <f>IF(D102&gt;0,VLOOKUP(D102,'PLANTA PERNO'!A:D,4,0)&amp;" "&amp;VLOOKUP(D102,'PLANTA PERNO'!A:D,2,0)&amp;" "&amp;VLOOKUP(D102,'PLANTA PERNO'!A:D,3,0),IF(N102="","VACANTE DEFINITIVA","VACANTE TEMPORAL"))</f>
        <v>CARLOS ANDRES NIÃ‘O SOCHA</v>
      </c>
      <c r="F102" s="20" t="s">
        <v>49</v>
      </c>
      <c r="G102" s="20" t="str">
        <f t="shared" si="0"/>
        <v>EN ENCARGO</v>
      </c>
      <c r="H102" s="33">
        <f t="shared" si="33"/>
        <v>44249</v>
      </c>
      <c r="I102" s="33">
        <f t="shared" si="34"/>
        <v>44249</v>
      </c>
      <c r="J102" s="31" t="str">
        <f t="shared" si="35"/>
        <v>HOMBRE</v>
      </c>
      <c r="K102" s="21">
        <f t="shared" ca="1" si="36"/>
        <v>67</v>
      </c>
      <c r="L102" s="87" t="str">
        <f t="shared" si="5"/>
        <v>ENCARGO</v>
      </c>
      <c r="M102" s="21" t="str">
        <f t="shared" si="18"/>
        <v>EN ENCARGO</v>
      </c>
      <c r="N102" s="21">
        <v>79450267</v>
      </c>
      <c r="O102" s="18" t="str">
        <f>IF(N102="","VACANTE DEFINITIVA",(VLOOKUP(N102,'PLANTA PERNO'!A:D,4,0)&amp;" "&amp;VLOOKUP(N102,'PLANTA PERNO'!A:D,2,0)&amp;" "&amp;VLOOKUP(N102,'PLANTA PERNO'!A:D,3,0)))</f>
        <v>HENRY ALBERTO GONZALEZ MOLINA</v>
      </c>
      <c r="P102" s="21" t="s">
        <v>1602</v>
      </c>
      <c r="Q102" s="21">
        <v>3</v>
      </c>
      <c r="R102" s="21"/>
      <c r="S102" s="21"/>
      <c r="T102" s="21"/>
      <c r="U102" s="21"/>
      <c r="V102" s="128"/>
      <c r="W102" s="21" t="str">
        <f t="shared" si="7"/>
        <v>OCUPADO</v>
      </c>
      <c r="X102" s="23" t="s">
        <v>50</v>
      </c>
      <c r="Y102" s="90" t="s">
        <v>51</v>
      </c>
      <c r="Z102" s="25">
        <v>222</v>
      </c>
      <c r="AA102" s="27">
        <v>20</v>
      </c>
      <c r="AB102" s="28" t="str">
        <f t="shared" si="8"/>
        <v>222-20</v>
      </c>
      <c r="AC102" s="24" t="s">
        <v>153</v>
      </c>
      <c r="AD102" s="24" t="s">
        <v>153</v>
      </c>
      <c r="AE102" s="24" t="s">
        <v>2284</v>
      </c>
      <c r="AF102" s="24" t="s">
        <v>2285</v>
      </c>
      <c r="AG102" s="24" t="s">
        <v>2286</v>
      </c>
      <c r="AH102" s="24" t="s">
        <v>2287</v>
      </c>
      <c r="AI102" s="93">
        <f t="shared" si="9"/>
        <v>6405934</v>
      </c>
      <c r="AJ102" s="93">
        <v>0</v>
      </c>
      <c r="AK102" s="93">
        <f t="shared" si="37"/>
        <v>192178</v>
      </c>
      <c r="AL102" s="93">
        <f>IFERROR(INT(($AI102*(VLOOKUP($D102,'PORCENTAJES FACTORES'!B:N,12,0))/100)),0)</f>
        <v>2562373</v>
      </c>
      <c r="AM102" s="93">
        <f t="shared" si="38"/>
        <v>0</v>
      </c>
      <c r="AN102" s="93">
        <f t="shared" si="13"/>
        <v>0</v>
      </c>
      <c r="AO102" s="93">
        <f t="shared" si="14"/>
        <v>0</v>
      </c>
      <c r="AP102" s="95">
        <f t="shared" si="32"/>
        <v>9160485</v>
      </c>
      <c r="AQ102" s="96"/>
      <c r="AR102" s="97" t="s">
        <v>1089</v>
      </c>
      <c r="AS102" s="58"/>
      <c r="AT102" s="2" t="s">
        <v>328</v>
      </c>
      <c r="AU102" s="46">
        <v>4316410</v>
      </c>
      <c r="AV102" s="98">
        <f t="shared" si="16"/>
        <v>79450267</v>
      </c>
      <c r="AW102" s="58"/>
      <c r="AX102" s="58"/>
      <c r="AY102" s="58"/>
      <c r="AZ102" s="58"/>
      <c r="BA102" s="48"/>
      <c r="BB102" s="48"/>
      <c r="BC102" s="48"/>
      <c r="BD102" s="48"/>
      <c r="BE102" s="48"/>
      <c r="BF102" s="48"/>
      <c r="BG102" s="48"/>
      <c r="BH102" s="48"/>
      <c r="BI102" s="48"/>
      <c r="BJ102" s="48"/>
      <c r="BK102" s="48"/>
      <c r="BL102" s="48"/>
      <c r="BM102" s="48"/>
      <c r="BN102" s="48"/>
      <c r="BO102" s="48"/>
      <c r="BP102" s="48"/>
      <c r="BQ102" s="48"/>
    </row>
    <row r="103" spans="1:69" ht="12.75" customHeight="1">
      <c r="A103" s="85">
        <v>99</v>
      </c>
      <c r="B103" s="86">
        <v>5096</v>
      </c>
      <c r="C103" s="29">
        <v>67</v>
      </c>
      <c r="D103" s="14">
        <v>8526853</v>
      </c>
      <c r="E103" s="18" t="str">
        <f>IF(D103&gt;0,VLOOKUP(D103,'PLANTA PERNO'!A:D,4,0)&amp;" "&amp;VLOOKUP(D103,'PLANTA PERNO'!A:D,2,0)&amp;" "&amp;VLOOKUP(D103,'PLANTA PERNO'!A:D,3,0),IF(N103="","VACANTE DEFINITIVA","VACANTE TEMPORAL"))</f>
        <v>EURANIO JOSE MANOTAS MALDONADO</v>
      </c>
      <c r="F103" s="20" t="s">
        <v>49</v>
      </c>
      <c r="G103" s="20" t="str">
        <f t="shared" si="0"/>
        <v>EN ENCARGO</v>
      </c>
      <c r="H103" s="33">
        <f t="shared" si="33"/>
        <v>45048</v>
      </c>
      <c r="I103" s="33">
        <f t="shared" si="34"/>
        <v>45048</v>
      </c>
      <c r="J103" s="31" t="str">
        <f t="shared" si="35"/>
        <v>HOMBRE</v>
      </c>
      <c r="K103" s="21">
        <f t="shared" ca="1" si="36"/>
        <v>43</v>
      </c>
      <c r="L103" s="87" t="str">
        <f t="shared" si="5"/>
        <v>ENCARGO</v>
      </c>
      <c r="M103" s="21" t="str">
        <f t="shared" si="18"/>
        <v>EN ENCARGO</v>
      </c>
      <c r="N103" s="21">
        <v>1019058729</v>
      </c>
      <c r="O103" s="18" t="str">
        <f>IF(N103="","VACANTE DEFINITIVA",(VLOOKUP(N103,'PLANTA PERNO'!A:D,4,0)&amp;" "&amp;VLOOKUP(N103,'PLANTA PERNO'!A:D,2,0)&amp;" "&amp;VLOOKUP(N103,'PLANTA PERNO'!A:D,3,0)))</f>
        <v>DIEGO ALEJANDRO SOLANO FERNANDEZ</v>
      </c>
      <c r="P103" s="21" t="s">
        <v>1823</v>
      </c>
      <c r="Q103" s="21">
        <v>3</v>
      </c>
      <c r="R103" s="21"/>
      <c r="S103" s="21"/>
      <c r="T103" s="21"/>
      <c r="U103" s="21"/>
      <c r="V103" s="129">
        <v>220274</v>
      </c>
      <c r="W103" s="21" t="str">
        <f t="shared" si="7"/>
        <v>OCUPADO</v>
      </c>
      <c r="X103" s="23" t="s">
        <v>50</v>
      </c>
      <c r="Y103" s="90" t="s">
        <v>51</v>
      </c>
      <c r="Z103" s="25">
        <v>222</v>
      </c>
      <c r="AA103" s="27">
        <v>20</v>
      </c>
      <c r="AB103" s="28" t="str">
        <f t="shared" si="8"/>
        <v>222-20</v>
      </c>
      <c r="AC103" s="24" t="s">
        <v>153</v>
      </c>
      <c r="AD103" s="24" t="s">
        <v>153</v>
      </c>
      <c r="AE103" s="24" t="s">
        <v>2289</v>
      </c>
      <c r="AF103" s="24" t="s">
        <v>2290</v>
      </c>
      <c r="AG103" s="24" t="s">
        <v>2291</v>
      </c>
      <c r="AH103" s="24" t="s">
        <v>2292</v>
      </c>
      <c r="AI103" s="93">
        <f t="shared" si="9"/>
        <v>6405934</v>
      </c>
      <c r="AJ103" s="93">
        <v>0</v>
      </c>
      <c r="AK103" s="93">
        <f t="shared" si="37"/>
        <v>0</v>
      </c>
      <c r="AL103" s="93">
        <f>IFERROR(INT(($AI103*(VLOOKUP($D103,'PORCENTAJES FACTORES'!B:N,12,0))/100)),0)</f>
        <v>2562373</v>
      </c>
      <c r="AM103" s="93">
        <f t="shared" si="38"/>
        <v>0</v>
      </c>
      <c r="AN103" s="93">
        <f t="shared" si="13"/>
        <v>0</v>
      </c>
      <c r="AO103" s="93">
        <f t="shared" si="14"/>
        <v>0</v>
      </c>
      <c r="AP103" s="95">
        <f t="shared" si="32"/>
        <v>8968307</v>
      </c>
      <c r="AQ103" s="96"/>
      <c r="AR103" s="97" t="s">
        <v>1089</v>
      </c>
      <c r="AS103" s="58"/>
      <c r="AT103" s="2" t="s">
        <v>308</v>
      </c>
      <c r="AU103" s="46">
        <v>4316673</v>
      </c>
      <c r="AV103" s="98">
        <f t="shared" si="16"/>
        <v>1019058729</v>
      </c>
      <c r="AW103" s="58"/>
      <c r="AX103" s="58"/>
      <c r="AY103" s="58"/>
      <c r="AZ103" s="58"/>
      <c r="BA103" s="48"/>
      <c r="BB103" s="48"/>
      <c r="BC103" s="48"/>
      <c r="BD103" s="48"/>
      <c r="BE103" s="48"/>
      <c r="BF103" s="48"/>
      <c r="BG103" s="48"/>
      <c r="BH103" s="48"/>
      <c r="BI103" s="48"/>
      <c r="BJ103" s="48"/>
      <c r="BK103" s="48"/>
      <c r="BL103" s="48"/>
      <c r="BM103" s="48"/>
      <c r="BN103" s="48"/>
      <c r="BO103" s="48"/>
      <c r="BP103" s="48"/>
      <c r="BQ103" s="48"/>
    </row>
    <row r="104" spans="1:69" ht="12.75" customHeight="1">
      <c r="A104" s="85">
        <v>100</v>
      </c>
      <c r="B104" s="86">
        <v>5097</v>
      </c>
      <c r="C104" s="29">
        <v>69</v>
      </c>
      <c r="D104" s="14">
        <v>53165390</v>
      </c>
      <c r="E104" s="18" t="str">
        <f>IF(D104&gt;0,VLOOKUP(D104,'PLANTA PERNO'!A:D,4,0)&amp;" "&amp;VLOOKUP(D104,'PLANTA PERNO'!A:D,2,0)&amp;" "&amp;VLOOKUP(D104,'PLANTA PERNO'!A:D,3,0),IF(N104="","VACANTE DEFINITIVA","VACANTE TEMPORAL"))</f>
        <v>LEIDY JOHANNA HERRERA MENDEZ</v>
      </c>
      <c r="F104" s="20" t="s">
        <v>247</v>
      </c>
      <c r="G104" s="20" t="str">
        <f t="shared" si="0"/>
        <v>EN PERIODO DE PRUEBA</v>
      </c>
      <c r="H104" s="33">
        <f t="shared" si="33"/>
        <v>46253</v>
      </c>
      <c r="I104" s="33">
        <f t="shared" si="34"/>
        <v>45819</v>
      </c>
      <c r="J104" s="31" t="str">
        <f t="shared" si="35"/>
        <v>MUJER</v>
      </c>
      <c r="K104" s="21">
        <f t="shared" ca="1" si="36"/>
        <v>41</v>
      </c>
      <c r="L104" s="87"/>
      <c r="M104" s="21" t="str">
        <f t="shared" si="18"/>
        <v>EN PROPIEDAD</v>
      </c>
      <c r="N104" s="21">
        <v>53165390</v>
      </c>
      <c r="O104" s="18" t="str">
        <f>IF(N104="","VACANTE DEFINITIVA",(VLOOKUP(N104,'PLANTA PERNO'!A:D,4,0)&amp;" "&amp;VLOOKUP(N104,'PLANTA PERNO'!A:D,2,0)&amp;" "&amp;VLOOKUP(N104,'PLANTA PERNO'!A:D,3,0)))</f>
        <v>LEIDY JOHANNA HERRERA MENDEZ</v>
      </c>
      <c r="P104" s="21"/>
      <c r="Q104" s="21"/>
      <c r="R104" s="21"/>
      <c r="S104" s="21"/>
      <c r="T104" s="21"/>
      <c r="U104" s="21"/>
      <c r="V104" s="128"/>
      <c r="W104" s="28" t="str">
        <f t="shared" si="7"/>
        <v>OCUPADO</v>
      </c>
      <c r="X104" s="23" t="s">
        <v>50</v>
      </c>
      <c r="Y104" s="90" t="s">
        <v>51</v>
      </c>
      <c r="Z104" s="25">
        <v>222</v>
      </c>
      <c r="AA104" s="27">
        <v>19</v>
      </c>
      <c r="AB104" s="28" t="str">
        <f t="shared" si="8"/>
        <v>222-19</v>
      </c>
      <c r="AC104" s="24" t="s">
        <v>68</v>
      </c>
      <c r="AD104" s="24" t="s">
        <v>68</v>
      </c>
      <c r="AE104" s="24" t="s">
        <v>2294</v>
      </c>
      <c r="AF104" s="24" t="s">
        <v>2295</v>
      </c>
      <c r="AG104" s="24" t="s">
        <v>2296</v>
      </c>
      <c r="AH104" s="93" t="s">
        <v>2297</v>
      </c>
      <c r="AI104" s="93">
        <f t="shared" si="9"/>
        <v>6258912</v>
      </c>
      <c r="AJ104" s="93">
        <v>0</v>
      </c>
      <c r="AK104" s="93">
        <f t="shared" si="37"/>
        <v>0</v>
      </c>
      <c r="AL104" s="93">
        <f>IFERROR(INT(($AI104*(VLOOKUP($D104,'PORCENTAJES FACTORES'!B:N,12,0))/100)),0)</f>
        <v>0</v>
      </c>
      <c r="AM104" s="93">
        <f t="shared" si="38"/>
        <v>0</v>
      </c>
      <c r="AN104" s="93">
        <f t="shared" si="13"/>
        <v>0</v>
      </c>
      <c r="AO104" s="95">
        <f t="shared" si="14"/>
        <v>0</v>
      </c>
      <c r="AP104" s="96">
        <f t="shared" si="32"/>
        <v>6258912</v>
      </c>
      <c r="AQ104" s="97"/>
      <c r="AR104" s="43" t="s">
        <v>1025</v>
      </c>
      <c r="AS104" s="2"/>
      <c r="AT104" s="125"/>
      <c r="AU104" s="98"/>
      <c r="AV104" s="58">
        <f t="shared" si="16"/>
        <v>53165390</v>
      </c>
      <c r="AW104" s="58"/>
      <c r="AX104" s="58"/>
      <c r="AY104" s="58"/>
      <c r="AZ104" s="48"/>
      <c r="BA104" s="48"/>
      <c r="BB104" s="48"/>
      <c r="BC104" s="48"/>
      <c r="BD104" s="48"/>
      <c r="BE104" s="48"/>
      <c r="BF104" s="48"/>
      <c r="BG104" s="48"/>
      <c r="BH104" s="48"/>
      <c r="BI104" s="48"/>
      <c r="BJ104" s="48"/>
      <c r="BK104" s="48"/>
      <c r="BL104" s="48"/>
      <c r="BM104" s="48"/>
      <c r="BN104" s="48"/>
      <c r="BO104" s="48"/>
      <c r="BP104" s="48"/>
    </row>
    <row r="105" spans="1:69" ht="12.75" customHeight="1">
      <c r="A105" s="85">
        <v>101</v>
      </c>
      <c r="B105" s="86">
        <v>5098</v>
      </c>
      <c r="C105" s="29">
        <v>70</v>
      </c>
      <c r="D105" s="14">
        <v>52429411</v>
      </c>
      <c r="E105" s="18" t="str">
        <f>IF(D105&gt;0,VLOOKUP(D105,'PLANTA PERNO'!A:D,4,0)&amp;" "&amp;VLOOKUP(D105,'PLANTA PERNO'!A:D,2,0)&amp;" "&amp;VLOOKUP(D105,'PLANTA PERNO'!A:D,3,0),IF(N105="","VACANTE DEFINITIVA","VACANTE TEMPORAL"))</f>
        <v>ANDREA DEL PILAR CARDENAS SARMIENTO</v>
      </c>
      <c r="F105" s="20" t="s">
        <v>247</v>
      </c>
      <c r="G105" s="20" t="str">
        <f t="shared" si="0"/>
        <v>EN PERIODO DE PRUEBA</v>
      </c>
      <c r="H105" s="33">
        <f t="shared" si="33"/>
        <v>46083</v>
      </c>
      <c r="I105" s="33">
        <f t="shared" si="34"/>
        <v>44145</v>
      </c>
      <c r="J105" s="31" t="str">
        <f t="shared" si="35"/>
        <v>MUJER</v>
      </c>
      <c r="K105" s="21">
        <f t="shared" ca="1" si="36"/>
        <v>48</v>
      </c>
      <c r="L105" s="87" t="str">
        <f t="shared" ref="L105:L174" si="39">IF(AND(($Q105&gt;=1),($E105&lt;&gt;"VACANTE TEMPORAL"),F105&lt;&gt;"PROVISIONALIDAD"),"ENCARGO",IF(F105="PROVISIONALIDAD","PROVISIONALIDAD",IF(F105="PERIODO DE PRUEBA","PERIODO DE PRUEBA","")))</f>
        <v/>
      </c>
      <c r="M105" s="21" t="str">
        <f t="shared" si="18"/>
        <v>EN PROPIEDAD</v>
      </c>
      <c r="N105" s="21">
        <v>52429411</v>
      </c>
      <c r="O105" s="18" t="str">
        <f>IF(N105="","VACANTE DEFINITIVA",(VLOOKUP(N105,'PLANTA PERNO'!A:D,4,0)&amp;" "&amp;VLOOKUP(N105,'PLANTA PERNO'!A:D,2,0)&amp;" "&amp;VLOOKUP(N105,'PLANTA PERNO'!A:D,3,0)))</f>
        <v>ANDREA DEL PILAR CARDENAS SARMIENTO</v>
      </c>
      <c r="P105" s="21"/>
      <c r="Q105" s="21"/>
      <c r="R105" s="21"/>
      <c r="S105" s="21"/>
      <c r="T105" s="21"/>
      <c r="U105" s="21"/>
      <c r="V105" s="128">
        <v>203196</v>
      </c>
      <c r="W105" s="21" t="str">
        <f t="shared" si="7"/>
        <v>OCUPADO</v>
      </c>
      <c r="X105" s="23" t="s">
        <v>50</v>
      </c>
      <c r="Y105" s="90" t="s">
        <v>51</v>
      </c>
      <c r="Z105" s="25">
        <v>222</v>
      </c>
      <c r="AA105" s="27">
        <v>19</v>
      </c>
      <c r="AB105" s="28" t="str">
        <f t="shared" si="8"/>
        <v>222-19</v>
      </c>
      <c r="AC105" s="24" t="s">
        <v>68</v>
      </c>
      <c r="AD105" s="63" t="s">
        <v>68</v>
      </c>
      <c r="AE105" s="24" t="s">
        <v>2294</v>
      </c>
      <c r="AF105" s="24" t="s">
        <v>2295</v>
      </c>
      <c r="AG105" s="24" t="s">
        <v>2296</v>
      </c>
      <c r="AH105" s="24" t="s">
        <v>2297</v>
      </c>
      <c r="AI105" s="93">
        <f t="shared" si="9"/>
        <v>6258912</v>
      </c>
      <c r="AJ105" s="93">
        <v>0</v>
      </c>
      <c r="AK105" s="93">
        <f t="shared" si="37"/>
        <v>0</v>
      </c>
      <c r="AL105" s="93">
        <f>IFERROR(INT(($AI105*(VLOOKUP($D105,'PORCENTAJES FACTORES'!B:N,12,0))/100)),0)</f>
        <v>0</v>
      </c>
      <c r="AM105" s="93">
        <f t="shared" si="38"/>
        <v>0</v>
      </c>
      <c r="AN105" s="93">
        <f t="shared" si="13"/>
        <v>0</v>
      </c>
      <c r="AO105" s="93">
        <f t="shared" si="14"/>
        <v>0</v>
      </c>
      <c r="AP105" s="95">
        <f t="shared" si="32"/>
        <v>6258912</v>
      </c>
      <c r="AQ105" s="96"/>
      <c r="AR105" s="97" t="s">
        <v>1025</v>
      </c>
      <c r="AS105" s="58"/>
      <c r="AT105" s="58"/>
      <c r="AU105" s="58"/>
      <c r="AV105" s="98">
        <f t="shared" si="16"/>
        <v>52429411</v>
      </c>
      <c r="AW105" s="58"/>
      <c r="AX105" s="58"/>
      <c r="AY105" s="58"/>
      <c r="AZ105" s="58"/>
      <c r="BA105" s="48"/>
      <c r="BB105" s="48"/>
      <c r="BC105" s="48"/>
      <c r="BD105" s="48"/>
      <c r="BE105" s="48"/>
      <c r="BF105" s="48"/>
      <c r="BG105" s="48"/>
      <c r="BH105" s="48"/>
      <c r="BI105" s="48"/>
      <c r="BJ105" s="48"/>
      <c r="BK105" s="48"/>
      <c r="BL105" s="48"/>
      <c r="BM105" s="48"/>
      <c r="BN105" s="48"/>
      <c r="BO105" s="48"/>
      <c r="BP105" s="48"/>
      <c r="BQ105" s="48"/>
    </row>
    <row r="106" spans="1:69" ht="12.75" customHeight="1">
      <c r="A106" s="85">
        <v>102</v>
      </c>
      <c r="B106" s="86">
        <v>5100</v>
      </c>
      <c r="C106" s="29">
        <v>71</v>
      </c>
      <c r="D106" s="14">
        <v>52258032</v>
      </c>
      <c r="E106" s="18" t="str">
        <f>IF(D106&gt;0,VLOOKUP(D106,'PLANTA PERNO'!A:D,4,0)&amp;" "&amp;VLOOKUP(D106,'PLANTA PERNO'!A:D,2,0)&amp;" "&amp;VLOOKUP(D106,'PLANTA PERNO'!A:D,3,0),IF(N106="","VACANTE DEFINITIVA","VACANTE TEMPORAL"))</f>
        <v>ANGELICA DIAZ RINCON</v>
      </c>
      <c r="F106" s="20" t="s">
        <v>49</v>
      </c>
      <c r="G106" s="20" t="str">
        <f t="shared" si="0"/>
        <v>CARRERA ADMINISTRATIVA</v>
      </c>
      <c r="H106" s="33">
        <f t="shared" si="33"/>
        <v>44298</v>
      </c>
      <c r="I106" s="33">
        <f t="shared" si="34"/>
        <v>44298</v>
      </c>
      <c r="J106" s="31" t="str">
        <f t="shared" si="35"/>
        <v>MUJER</v>
      </c>
      <c r="K106" s="21">
        <f t="shared" ca="1" si="36"/>
        <v>50</v>
      </c>
      <c r="L106" s="87" t="str">
        <f t="shared" si="39"/>
        <v/>
      </c>
      <c r="M106" s="21" t="str">
        <f t="shared" si="18"/>
        <v>EN PROPIEDAD</v>
      </c>
      <c r="N106" s="21">
        <v>52258032</v>
      </c>
      <c r="O106" s="18" t="str">
        <f>IF(N106="","VACANTE DEFINITIVA",(VLOOKUP(N106,'PLANTA PERNO'!A:D,4,0)&amp;" "&amp;VLOOKUP(N106,'PLANTA PERNO'!A:D,2,0)&amp;" "&amp;VLOOKUP(N106,'PLANTA PERNO'!A:D,3,0)))</f>
        <v>ANGELICA DIAZ RINCON</v>
      </c>
      <c r="P106" s="21"/>
      <c r="Q106" s="21"/>
      <c r="R106" s="21"/>
      <c r="S106" s="21"/>
      <c r="T106" s="21"/>
      <c r="U106" s="21"/>
      <c r="V106" s="128"/>
      <c r="W106" s="21" t="str">
        <f t="shared" si="7"/>
        <v>OCUPADO</v>
      </c>
      <c r="X106" s="23" t="s">
        <v>50</v>
      </c>
      <c r="Y106" s="90" t="s">
        <v>51</v>
      </c>
      <c r="Z106" s="25">
        <v>222</v>
      </c>
      <c r="AA106" s="27">
        <v>19</v>
      </c>
      <c r="AB106" s="28" t="str">
        <f t="shared" si="8"/>
        <v>222-19</v>
      </c>
      <c r="AC106" s="24" t="s">
        <v>213</v>
      </c>
      <c r="AD106" s="63" t="s">
        <v>213</v>
      </c>
      <c r="AE106" s="24" t="s">
        <v>2300</v>
      </c>
      <c r="AF106" s="24" t="s">
        <v>2301</v>
      </c>
      <c r="AG106" s="24" t="s">
        <v>2208</v>
      </c>
      <c r="AH106" s="24" t="s">
        <v>2302</v>
      </c>
      <c r="AI106" s="93">
        <f t="shared" si="9"/>
        <v>6258912</v>
      </c>
      <c r="AJ106" s="93">
        <v>0</v>
      </c>
      <c r="AK106" s="93">
        <f t="shared" si="37"/>
        <v>187767</v>
      </c>
      <c r="AL106" s="93">
        <f>IFERROR(INT(($AI106*(VLOOKUP($D106,'PORCENTAJES FACTORES'!B:N,12,0))/100)),0)</f>
        <v>2503564</v>
      </c>
      <c r="AM106" s="93">
        <f t="shared" si="38"/>
        <v>0</v>
      </c>
      <c r="AN106" s="93">
        <f t="shared" si="13"/>
        <v>0</v>
      </c>
      <c r="AO106" s="93">
        <f t="shared" si="14"/>
        <v>0</v>
      </c>
      <c r="AP106" s="95">
        <f t="shared" si="32"/>
        <v>8950243</v>
      </c>
      <c r="AQ106" s="96"/>
      <c r="AR106" s="97" t="s">
        <v>1025</v>
      </c>
      <c r="AS106" s="58"/>
      <c r="AT106" s="58"/>
      <c r="AU106" s="58"/>
      <c r="AV106" s="98">
        <f t="shared" si="16"/>
        <v>52258032</v>
      </c>
      <c r="AW106" s="58"/>
      <c r="AX106" s="58"/>
      <c r="AY106" s="58"/>
      <c r="AZ106" s="58"/>
      <c r="BA106" s="48"/>
      <c r="BB106" s="48"/>
      <c r="BC106" s="48"/>
      <c r="BD106" s="48"/>
      <c r="BE106" s="48"/>
      <c r="BF106" s="48"/>
      <c r="BG106" s="48"/>
      <c r="BH106" s="48"/>
      <c r="BI106" s="48"/>
      <c r="BJ106" s="48"/>
      <c r="BK106" s="48"/>
      <c r="BL106" s="48"/>
      <c r="BM106" s="48"/>
      <c r="BN106" s="48"/>
      <c r="BO106" s="48"/>
      <c r="BP106" s="48"/>
      <c r="BQ106" s="48"/>
    </row>
    <row r="107" spans="1:69" ht="12.75" customHeight="1">
      <c r="A107" s="85">
        <v>103</v>
      </c>
      <c r="B107" s="86">
        <v>5099</v>
      </c>
      <c r="C107" s="29">
        <v>72</v>
      </c>
      <c r="D107" s="14">
        <v>1010213468</v>
      </c>
      <c r="E107" s="18" t="s">
        <v>2303</v>
      </c>
      <c r="F107" s="20" t="s">
        <v>247</v>
      </c>
      <c r="G107" s="20" t="str">
        <f t="shared" si="0"/>
        <v>EN PERIODO DE PRUEBA</v>
      </c>
      <c r="H107" s="33">
        <f t="shared" si="33"/>
        <v>46224</v>
      </c>
      <c r="I107" s="33">
        <f t="shared" si="34"/>
        <v>46224</v>
      </c>
      <c r="J107" s="31" t="str">
        <f t="shared" si="35"/>
        <v>MUJER</v>
      </c>
      <c r="K107" s="21">
        <f t="shared" ca="1" si="36"/>
        <v>32</v>
      </c>
      <c r="L107" s="87" t="str">
        <f t="shared" si="39"/>
        <v/>
      </c>
      <c r="M107" s="21" t="str">
        <f t="shared" si="18"/>
        <v>EN PROPIEDAD</v>
      </c>
      <c r="N107" s="14">
        <v>1010213468</v>
      </c>
      <c r="O107" s="18" t="str">
        <f>IF(N107="","VACANTE DEFINITIVA",(VLOOKUP(N107,'PLANTA PERNO'!A:D,4,0)&amp;" "&amp;VLOOKUP(N107,'PLANTA PERNO'!A:D,2,0)&amp;" "&amp;VLOOKUP(N107,'PLANTA PERNO'!A:D,3,0)))</f>
        <v>LEIDY VANESSA NIETO ROJAS</v>
      </c>
      <c r="P107" s="21"/>
      <c r="Q107" s="21"/>
      <c r="R107" s="21"/>
      <c r="S107" s="21"/>
      <c r="T107" s="21"/>
      <c r="U107" s="21"/>
      <c r="V107" s="123">
        <v>220280</v>
      </c>
      <c r="W107" s="21" t="str">
        <f t="shared" si="7"/>
        <v>OCUPADO</v>
      </c>
      <c r="X107" s="23" t="s">
        <v>50</v>
      </c>
      <c r="Y107" s="90" t="s">
        <v>51</v>
      </c>
      <c r="Z107" s="25">
        <v>222</v>
      </c>
      <c r="AA107" s="27">
        <v>19</v>
      </c>
      <c r="AB107" s="28" t="str">
        <f t="shared" si="8"/>
        <v>222-19</v>
      </c>
      <c r="AC107" s="24" t="s">
        <v>150</v>
      </c>
      <c r="AD107" s="24" t="s">
        <v>150</v>
      </c>
      <c r="AE107" s="24" t="s">
        <v>2305</v>
      </c>
      <c r="AF107" s="24" t="s">
        <v>2306</v>
      </c>
      <c r="AG107" s="24" t="s">
        <v>2307</v>
      </c>
      <c r="AH107" s="24" t="s">
        <v>2308</v>
      </c>
      <c r="AI107" s="93">
        <f t="shared" si="9"/>
        <v>6258912</v>
      </c>
      <c r="AJ107" s="93">
        <v>0</v>
      </c>
      <c r="AK107" s="93">
        <f t="shared" si="37"/>
        <v>0</v>
      </c>
      <c r="AL107" s="93">
        <f>IFERROR(INT(($AI107*(VLOOKUP($D107,'PORCENTAJES FACTORES'!B:N,12,0))/100)),0)</f>
        <v>0</v>
      </c>
      <c r="AM107" s="93">
        <f t="shared" si="38"/>
        <v>0</v>
      </c>
      <c r="AN107" s="93">
        <f t="shared" si="13"/>
        <v>0</v>
      </c>
      <c r="AO107" s="93">
        <f t="shared" si="14"/>
        <v>0</v>
      </c>
      <c r="AP107" s="95">
        <f t="shared" si="32"/>
        <v>6258912</v>
      </c>
      <c r="AQ107" s="96"/>
      <c r="AR107" s="97" t="s">
        <v>1025</v>
      </c>
      <c r="AS107" s="58"/>
      <c r="AT107" s="58"/>
      <c r="AU107" s="58"/>
      <c r="AV107" s="98">
        <f t="shared" si="16"/>
        <v>1010213468</v>
      </c>
      <c r="AW107" s="58"/>
      <c r="AX107" s="58"/>
      <c r="AY107" s="58"/>
      <c r="AZ107" s="58"/>
      <c r="BA107" s="48"/>
      <c r="BB107" s="48"/>
      <c r="BC107" s="48"/>
      <c r="BD107" s="48"/>
      <c r="BE107" s="48"/>
      <c r="BF107" s="48"/>
      <c r="BG107" s="48"/>
      <c r="BH107" s="48"/>
      <c r="BI107" s="48"/>
      <c r="BJ107" s="48"/>
      <c r="BK107" s="48"/>
      <c r="BL107" s="48"/>
      <c r="BM107" s="48"/>
      <c r="BN107" s="48"/>
      <c r="BO107" s="48"/>
      <c r="BP107" s="48"/>
      <c r="BQ107" s="48"/>
    </row>
    <row r="108" spans="1:69" ht="12.75" customHeight="1">
      <c r="A108" s="85">
        <v>104</v>
      </c>
      <c r="B108" s="86">
        <v>5101</v>
      </c>
      <c r="C108" s="29">
        <v>73</v>
      </c>
      <c r="D108" s="14">
        <v>52868519</v>
      </c>
      <c r="E108" s="18" t="str">
        <f>IF(D108&gt;0,VLOOKUP(D108,'PLANTA PERNO'!A:D,4,0)&amp;" "&amp;VLOOKUP(D108,'PLANTA PERNO'!A:D,2,0)&amp;" "&amp;VLOOKUP(D108,'PLANTA PERNO'!A:D,3,0),IF(N108="","VACANTE DEFINITIVA","VACANTE TEMPORAL"))</f>
        <v>LUZ ESTELLA MORENO PEREZ</v>
      </c>
      <c r="F108" s="20" t="s">
        <v>49</v>
      </c>
      <c r="G108" s="20" t="str">
        <f t="shared" si="0"/>
        <v>CARRERA ADMINISTRATIVA</v>
      </c>
      <c r="H108" s="33">
        <f t="shared" si="33"/>
        <v>44242</v>
      </c>
      <c r="I108" s="33">
        <f t="shared" si="34"/>
        <v>42339</v>
      </c>
      <c r="J108" s="31" t="str">
        <f t="shared" si="35"/>
        <v>MUJER</v>
      </c>
      <c r="K108" s="21">
        <f t="shared" ca="1" si="36"/>
        <v>44</v>
      </c>
      <c r="L108" s="87" t="str">
        <f t="shared" si="39"/>
        <v/>
      </c>
      <c r="M108" s="21" t="str">
        <f t="shared" si="18"/>
        <v>EN PROPIEDAD</v>
      </c>
      <c r="N108" s="21">
        <v>52868519</v>
      </c>
      <c r="O108" s="18" t="str">
        <f>IF(N108="","VACANTE DEFINITIVA",(VLOOKUP(N108,'PLANTA PERNO'!A:D,4,0)&amp;" "&amp;VLOOKUP(N108,'PLANTA PERNO'!A:D,2,0)&amp;" "&amp;VLOOKUP(N108,'PLANTA PERNO'!A:D,3,0)))</f>
        <v>LUZ ESTELLA MORENO PEREZ</v>
      </c>
      <c r="P108" s="21"/>
      <c r="Q108" s="21"/>
      <c r="R108" s="21"/>
      <c r="S108" s="21"/>
      <c r="T108" s="21"/>
      <c r="U108" s="21"/>
      <c r="V108" s="128"/>
      <c r="W108" s="21" t="str">
        <f t="shared" si="7"/>
        <v>OCUPADO</v>
      </c>
      <c r="X108" s="23" t="s">
        <v>50</v>
      </c>
      <c r="Y108" s="90" t="s">
        <v>72</v>
      </c>
      <c r="Z108" s="25">
        <v>219</v>
      </c>
      <c r="AA108" s="27">
        <v>18</v>
      </c>
      <c r="AB108" s="28" t="str">
        <f t="shared" si="8"/>
        <v>219-18</v>
      </c>
      <c r="AC108" s="24" t="s">
        <v>98</v>
      </c>
      <c r="AD108" s="63" t="s">
        <v>98</v>
      </c>
      <c r="AE108" s="24" t="s">
        <v>2310</v>
      </c>
      <c r="AF108" s="24" t="s">
        <v>2311</v>
      </c>
      <c r="AG108" s="24" t="s">
        <v>2312</v>
      </c>
      <c r="AH108" s="24" t="s">
        <v>2313</v>
      </c>
      <c r="AI108" s="93">
        <f t="shared" si="9"/>
        <v>5951245</v>
      </c>
      <c r="AJ108" s="93">
        <v>0</v>
      </c>
      <c r="AK108" s="93">
        <f t="shared" si="37"/>
        <v>297562</v>
      </c>
      <c r="AL108" s="93">
        <f>IFERROR(INT(($AI108*(VLOOKUP($D108,'PORCENTAJES FACTORES'!B:N,12,0))/100)),0)</f>
        <v>2380498</v>
      </c>
      <c r="AM108" s="93">
        <f t="shared" si="38"/>
        <v>0</v>
      </c>
      <c r="AN108" s="93">
        <f t="shared" si="13"/>
        <v>0</v>
      </c>
      <c r="AO108" s="93">
        <f t="shared" si="14"/>
        <v>0</v>
      </c>
      <c r="AP108" s="95">
        <f t="shared" si="32"/>
        <v>8629305</v>
      </c>
      <c r="AQ108" s="96"/>
      <c r="AR108" s="97" t="s">
        <v>971</v>
      </c>
      <c r="AS108" s="58"/>
      <c r="AT108" s="58"/>
      <c r="AU108" s="58"/>
      <c r="AV108" s="98">
        <f t="shared" si="16"/>
        <v>52868519</v>
      </c>
      <c r="AW108" s="58"/>
      <c r="AX108" s="58"/>
      <c r="AY108" s="58"/>
      <c r="AZ108" s="58"/>
      <c r="BA108" s="48"/>
      <c r="BB108" s="48"/>
      <c r="BC108" s="48"/>
      <c r="BD108" s="48"/>
      <c r="BE108" s="48"/>
      <c r="BF108" s="48"/>
      <c r="BG108" s="48"/>
      <c r="BH108" s="48"/>
      <c r="BI108" s="48"/>
      <c r="BJ108" s="48"/>
      <c r="BK108" s="48"/>
      <c r="BL108" s="48"/>
      <c r="BM108" s="48"/>
      <c r="BN108" s="48"/>
      <c r="BO108" s="48"/>
      <c r="BP108" s="48"/>
      <c r="BQ108" s="48"/>
    </row>
    <row r="109" spans="1:69" ht="12.75" customHeight="1">
      <c r="A109" s="85">
        <v>105</v>
      </c>
      <c r="B109" s="86">
        <v>5124</v>
      </c>
      <c r="C109" s="29">
        <v>74</v>
      </c>
      <c r="D109" s="14">
        <v>41059054</v>
      </c>
      <c r="E109" s="18" t="str">
        <f>IF(D109&gt;0,VLOOKUP(D109,'PLANTA PERNO'!A:D,4,0)&amp;" "&amp;VLOOKUP(D109,'PLANTA PERNO'!A:D,2,0)&amp;" "&amp;VLOOKUP(D109,'PLANTA PERNO'!A:D,3,0),IF(N109="","VACANTE DEFINITIVA","VACANTE TEMPORAL"))</f>
        <v>MARIA TERESA VALDERRAMA PEREIRA</v>
      </c>
      <c r="F109" s="20" t="s">
        <v>49</v>
      </c>
      <c r="G109" s="20" t="str">
        <f t="shared" si="0"/>
        <v>EN ENCARGO</v>
      </c>
      <c r="H109" s="33">
        <f t="shared" si="33"/>
        <v>44631</v>
      </c>
      <c r="I109" s="33">
        <f t="shared" si="34"/>
        <v>44631</v>
      </c>
      <c r="J109" s="31" t="str">
        <f t="shared" si="35"/>
        <v>MUJER</v>
      </c>
      <c r="K109" s="21">
        <f t="shared" ca="1" si="36"/>
        <v>44</v>
      </c>
      <c r="L109" s="87" t="str">
        <f t="shared" si="39"/>
        <v>ENCARGO</v>
      </c>
      <c r="M109" s="21" t="str">
        <f t="shared" si="18"/>
        <v>VACANTE DEFINITIVA</v>
      </c>
      <c r="N109" s="21"/>
      <c r="O109" s="18" t="str">
        <f>IF(N109="","VACANTE DEFINITIVA",(VLOOKUP(N109,'PLANTA PERNO'!A:D,4,0)&amp;" "&amp;VLOOKUP(N109,'PLANTA PERNO'!A:D,2,0)&amp;" "&amp;VLOOKUP(N109,'PLANTA PERNO'!A:D,3,0)))</f>
        <v>VACANTE DEFINITIVA</v>
      </c>
      <c r="P109" s="21" t="s">
        <v>489</v>
      </c>
      <c r="Q109" s="21">
        <v>1</v>
      </c>
      <c r="R109" s="21"/>
      <c r="S109" s="21"/>
      <c r="T109" s="21"/>
      <c r="U109" s="21"/>
      <c r="V109" s="128"/>
      <c r="W109" s="21" t="str">
        <f t="shared" si="7"/>
        <v>OCUPADO</v>
      </c>
      <c r="X109" s="23" t="s">
        <v>50</v>
      </c>
      <c r="Y109" s="90" t="s">
        <v>72</v>
      </c>
      <c r="Z109" s="25">
        <v>219</v>
      </c>
      <c r="AA109" s="27">
        <v>18</v>
      </c>
      <c r="AB109" s="28" t="str">
        <f t="shared" si="8"/>
        <v>219-18</v>
      </c>
      <c r="AC109" s="24" t="s">
        <v>32</v>
      </c>
      <c r="AD109" s="63" t="s">
        <v>32</v>
      </c>
      <c r="AE109" s="24" t="s">
        <v>2314</v>
      </c>
      <c r="AF109" s="24" t="s">
        <v>2315</v>
      </c>
      <c r="AG109" s="24" t="s">
        <v>2316</v>
      </c>
      <c r="AH109" s="24" t="s">
        <v>2317</v>
      </c>
      <c r="AI109" s="93">
        <f t="shared" si="9"/>
        <v>5951245</v>
      </c>
      <c r="AJ109" s="93">
        <v>0</v>
      </c>
      <c r="AK109" s="93">
        <f t="shared" si="37"/>
        <v>0</v>
      </c>
      <c r="AL109" s="93">
        <f>IFERROR(INT(($AI109*(VLOOKUP($D109,'PORCENTAJES FACTORES'!B:N,12,0))/100)),0)</f>
        <v>1428298</v>
      </c>
      <c r="AM109" s="93">
        <f t="shared" si="38"/>
        <v>0</v>
      </c>
      <c r="AN109" s="93">
        <f t="shared" si="13"/>
        <v>0</v>
      </c>
      <c r="AO109" s="93">
        <f t="shared" si="14"/>
        <v>0</v>
      </c>
      <c r="AP109" s="95">
        <f t="shared" si="32"/>
        <v>7379543</v>
      </c>
      <c r="AQ109" s="96"/>
      <c r="AR109" s="97" t="s">
        <v>971</v>
      </c>
      <c r="AS109" s="58"/>
      <c r="AT109" s="58"/>
      <c r="AU109" s="58"/>
      <c r="AV109" s="98" t="e">
        <f t="shared" si="16"/>
        <v>#N/A</v>
      </c>
      <c r="AW109" s="58"/>
      <c r="AX109" s="58"/>
      <c r="AY109" s="58"/>
      <c r="AZ109" s="58"/>
      <c r="BA109" s="48"/>
      <c r="BB109" s="48"/>
      <c r="BC109" s="48"/>
      <c r="BD109" s="48"/>
      <c r="BE109" s="48"/>
      <c r="BF109" s="48"/>
      <c r="BG109" s="48"/>
      <c r="BH109" s="48"/>
      <c r="BI109" s="48"/>
      <c r="BJ109" s="48"/>
      <c r="BK109" s="48"/>
      <c r="BL109" s="48"/>
      <c r="BM109" s="48"/>
      <c r="BN109" s="48"/>
      <c r="BO109" s="48"/>
      <c r="BP109" s="48"/>
      <c r="BQ109" s="48"/>
    </row>
    <row r="110" spans="1:69" ht="12.75" customHeight="1">
      <c r="A110" s="203">
        <v>106</v>
      </c>
      <c r="B110" s="86">
        <v>5102</v>
      </c>
      <c r="C110" s="29">
        <v>75</v>
      </c>
      <c r="D110" s="14">
        <v>60348229</v>
      </c>
      <c r="E110" s="18" t="str">
        <f>IF(D110&gt;0,VLOOKUP(D110,'PLANTA PERNO'!A:D,4,0)&amp;" "&amp;VLOOKUP(D110,'PLANTA PERNO'!A:D,2,0)&amp;" "&amp;VLOOKUP(D110,'PLANTA PERNO'!A:D,3,0),IF(N110="","VACANTE DEFINITIVA","VACANTE TEMPORAL"))</f>
        <v>BRICEIDA ALVARADO ROJAS</v>
      </c>
      <c r="F110" s="20" t="s">
        <v>49</v>
      </c>
      <c r="G110" s="20" t="str">
        <f t="shared" si="0"/>
        <v>CARRERA ADMINISTRATIVA</v>
      </c>
      <c r="H110" s="33">
        <f t="shared" si="33"/>
        <v>44167</v>
      </c>
      <c r="I110" s="33">
        <f t="shared" si="34"/>
        <v>44167</v>
      </c>
      <c r="J110" s="31" t="str">
        <f t="shared" si="35"/>
        <v>MUJER</v>
      </c>
      <c r="K110" s="21">
        <f t="shared" ca="1" si="36"/>
        <v>54</v>
      </c>
      <c r="L110" s="87" t="str">
        <f t="shared" si="39"/>
        <v/>
      </c>
      <c r="M110" s="21" t="str">
        <f t="shared" si="18"/>
        <v>EN PROPIEDAD</v>
      </c>
      <c r="N110" s="21">
        <v>60348229</v>
      </c>
      <c r="O110" s="18" t="str">
        <f>IF(N110="","VACANTE DEFINITIVA",(VLOOKUP(N110,'PLANTA PERNO'!A:D,4,0)&amp;" "&amp;VLOOKUP(N110,'PLANTA PERNO'!A:D,2,0)&amp;" "&amp;VLOOKUP(N110,'PLANTA PERNO'!A:D,3,0)))</f>
        <v>BRICEIDA ALVARADO ROJAS</v>
      </c>
      <c r="P110" s="21"/>
      <c r="Q110" s="21"/>
      <c r="R110" s="21"/>
      <c r="S110" s="21"/>
      <c r="T110" s="21"/>
      <c r="U110" s="21"/>
      <c r="V110" s="128"/>
      <c r="W110" s="21" t="str">
        <f t="shared" si="7"/>
        <v>OCUPADO</v>
      </c>
      <c r="X110" s="23" t="s">
        <v>50</v>
      </c>
      <c r="Y110" s="90" t="s">
        <v>72</v>
      </c>
      <c r="Z110" s="25">
        <v>219</v>
      </c>
      <c r="AA110" s="27">
        <v>18</v>
      </c>
      <c r="AB110" s="28" t="str">
        <f t="shared" si="8"/>
        <v>219-18</v>
      </c>
      <c r="AC110" s="24" t="s">
        <v>147</v>
      </c>
      <c r="AD110" s="24" t="s">
        <v>147</v>
      </c>
      <c r="AE110" s="24" t="s">
        <v>2320</v>
      </c>
      <c r="AF110" s="24" t="s">
        <v>2321</v>
      </c>
      <c r="AG110" s="24" t="s">
        <v>2322</v>
      </c>
      <c r="AH110" s="24" t="s">
        <v>2323</v>
      </c>
      <c r="AI110" s="93">
        <f t="shared" si="9"/>
        <v>5951245</v>
      </c>
      <c r="AJ110" s="93">
        <v>0</v>
      </c>
      <c r="AK110" s="93">
        <f t="shared" si="37"/>
        <v>178537</v>
      </c>
      <c r="AL110" s="93">
        <f>IFERROR(INT(($AI110*(VLOOKUP($D110,'PORCENTAJES FACTORES'!B:N,12,0))/100)),0)</f>
        <v>2380498</v>
      </c>
      <c r="AM110" s="93">
        <f t="shared" si="38"/>
        <v>0</v>
      </c>
      <c r="AN110" s="93">
        <f t="shared" si="13"/>
        <v>0</v>
      </c>
      <c r="AO110" s="93">
        <f t="shared" si="14"/>
        <v>0</v>
      </c>
      <c r="AP110" s="95">
        <f t="shared" si="32"/>
        <v>8510280</v>
      </c>
      <c r="AQ110" s="96"/>
      <c r="AR110" s="97" t="s">
        <v>971</v>
      </c>
      <c r="AS110" s="58"/>
      <c r="AT110" s="58"/>
      <c r="AU110" s="58"/>
      <c r="AV110" s="98">
        <f t="shared" si="16"/>
        <v>60348229</v>
      </c>
      <c r="AW110" s="58"/>
      <c r="AX110" s="58"/>
      <c r="AY110" s="58"/>
      <c r="AZ110" s="58"/>
      <c r="BA110" s="48"/>
      <c r="BB110" s="48"/>
      <c r="BC110" s="48"/>
      <c r="BD110" s="48"/>
      <c r="BE110" s="48"/>
      <c r="BF110" s="48"/>
      <c r="BG110" s="48"/>
      <c r="BH110" s="48"/>
      <c r="BI110" s="48"/>
      <c r="BJ110" s="48"/>
      <c r="BK110" s="48"/>
      <c r="BL110" s="48"/>
      <c r="BM110" s="48"/>
      <c r="BN110" s="48"/>
      <c r="BO110" s="48"/>
      <c r="BP110" s="48"/>
      <c r="BQ110" s="48"/>
    </row>
    <row r="111" spans="1:69" ht="12.75" customHeight="1">
      <c r="A111" s="203">
        <v>107</v>
      </c>
      <c r="B111" s="86">
        <v>5109</v>
      </c>
      <c r="C111" s="29">
        <v>76</v>
      </c>
      <c r="D111" s="14">
        <v>79967554</v>
      </c>
      <c r="E111" s="153" t="str">
        <f>IF(D111&gt;0,VLOOKUP(D111,'PLANTA PERNO'!A:D,4,0)&amp;" "&amp;VLOOKUP(D111,'PLANTA PERNO'!A:D,2,0)&amp;" "&amp;VLOOKUP(D111,'PLANTA PERNO'!A:D,3,0),IF(N111="","VACANTE DEFINITIVA","VACANTE TEMPORAL"))</f>
        <v>GIOVANNY ALEXANDER CORTES PACHON</v>
      </c>
      <c r="F111" s="20" t="s">
        <v>247</v>
      </c>
      <c r="G111" s="20" t="str">
        <f t="shared" si="0"/>
        <v>EN PERIODO DE PRUEBA</v>
      </c>
      <c r="H111" s="33">
        <f t="shared" si="33"/>
        <v>46086</v>
      </c>
      <c r="I111" s="33">
        <f t="shared" si="34"/>
        <v>40106</v>
      </c>
      <c r="J111" s="31" t="str">
        <f t="shared" si="35"/>
        <v>HOMBRE</v>
      </c>
      <c r="K111" s="21">
        <f t="shared" ca="1" si="36"/>
        <v>48</v>
      </c>
      <c r="L111" s="87" t="str">
        <f t="shared" si="39"/>
        <v/>
      </c>
      <c r="M111" s="21" t="str">
        <f t="shared" si="18"/>
        <v>EN PROPIEDAD</v>
      </c>
      <c r="N111" s="21">
        <v>79967554</v>
      </c>
      <c r="O111" s="18" t="str">
        <f>IF(N111="","VACANTE DEFINITIVA",(VLOOKUP(N111,'PLANTA PERNO'!A:D,4,0)&amp;" "&amp;VLOOKUP(N111,'PLANTA PERNO'!A:D,2,0)&amp;" "&amp;VLOOKUP(N111,'PLANTA PERNO'!A:D,3,0)))</f>
        <v>GIOVANNY ALEXANDER CORTES PACHON</v>
      </c>
      <c r="P111" s="21"/>
      <c r="Q111" s="21"/>
      <c r="R111" s="21"/>
      <c r="S111" s="21"/>
      <c r="T111" s="21"/>
      <c r="U111" s="21"/>
      <c r="V111" s="123">
        <v>203192</v>
      </c>
      <c r="W111" s="21" t="str">
        <f t="shared" si="7"/>
        <v>OCUPADO</v>
      </c>
      <c r="X111" s="23" t="s">
        <v>50</v>
      </c>
      <c r="Y111" s="90" t="s">
        <v>72</v>
      </c>
      <c r="Z111" s="25">
        <v>219</v>
      </c>
      <c r="AA111" s="27">
        <v>18</v>
      </c>
      <c r="AB111" s="28" t="str">
        <f t="shared" si="8"/>
        <v>219-18</v>
      </c>
      <c r="AC111" s="24" t="s">
        <v>147</v>
      </c>
      <c r="AD111" s="24" t="s">
        <v>147</v>
      </c>
      <c r="AE111" s="24" t="s">
        <v>2324</v>
      </c>
      <c r="AF111" s="24" t="s">
        <v>2325</v>
      </c>
      <c r="AG111" s="24" t="s">
        <v>2326</v>
      </c>
      <c r="AH111" s="24" t="s">
        <v>2327</v>
      </c>
      <c r="AI111" s="93">
        <f t="shared" si="9"/>
        <v>5951245</v>
      </c>
      <c r="AJ111" s="93">
        <v>0</v>
      </c>
      <c r="AK111" s="93">
        <f t="shared" si="37"/>
        <v>0</v>
      </c>
      <c r="AL111" s="93">
        <f>IFERROR(INT(($AI111*(VLOOKUP($D111,'PORCENTAJES FACTORES'!B:N,12,0))/100)),0)</f>
        <v>0</v>
      </c>
      <c r="AM111" s="93">
        <f t="shared" si="38"/>
        <v>0</v>
      </c>
      <c r="AN111" s="93">
        <f t="shared" si="13"/>
        <v>0</v>
      </c>
      <c r="AO111" s="93">
        <f t="shared" si="14"/>
        <v>0</v>
      </c>
      <c r="AP111" s="95">
        <f t="shared" si="32"/>
        <v>5951245</v>
      </c>
      <c r="AQ111" s="96"/>
      <c r="AR111" s="97" t="s">
        <v>971</v>
      </c>
      <c r="AS111" s="58"/>
      <c r="AT111" s="58"/>
      <c r="AU111" s="58"/>
      <c r="AV111" s="98">
        <f t="shared" si="16"/>
        <v>79967554</v>
      </c>
      <c r="AW111" s="58"/>
      <c r="AX111" s="58"/>
      <c r="AY111" s="58"/>
      <c r="AZ111" s="58"/>
      <c r="BA111" s="48"/>
      <c r="BB111" s="48"/>
      <c r="BC111" s="48"/>
      <c r="BD111" s="48"/>
      <c r="BE111" s="48"/>
      <c r="BF111" s="48"/>
      <c r="BG111" s="48"/>
      <c r="BH111" s="48"/>
      <c r="BI111" s="48"/>
      <c r="BJ111" s="48"/>
      <c r="BK111" s="48"/>
      <c r="BL111" s="48"/>
      <c r="BM111" s="48"/>
      <c r="BN111" s="48"/>
      <c r="BO111" s="48"/>
      <c r="BP111" s="48"/>
      <c r="BQ111" s="48"/>
    </row>
    <row r="112" spans="1:69" ht="12.75" customHeight="1">
      <c r="A112" s="203">
        <v>108</v>
      </c>
      <c r="B112" s="86">
        <v>5103</v>
      </c>
      <c r="C112" s="29">
        <v>24</v>
      </c>
      <c r="D112" s="14">
        <v>52174173</v>
      </c>
      <c r="E112" s="18" t="str">
        <f>IF(D112&gt;0,VLOOKUP(D112,'PLANTA PERNO'!A:D,4,0)&amp;" "&amp;VLOOKUP(D112,'PLANTA PERNO'!A:D,2,0)&amp;" "&amp;VLOOKUP(D112,'PLANTA PERNO'!A:D,3,0),IF(N112="","VACANTE DEFINITIVA","VACANTE TEMPORAL"))</f>
        <v>LUZ DARY CORREDOR MORENO</v>
      </c>
      <c r="F112" s="20" t="s">
        <v>49</v>
      </c>
      <c r="G112" s="20" t="str">
        <f t="shared" si="0"/>
        <v>CARRERA ADMINISTRATIVA</v>
      </c>
      <c r="H112" s="33">
        <f t="shared" si="33"/>
        <v>45323</v>
      </c>
      <c r="I112" s="33">
        <f t="shared" si="34"/>
        <v>41302</v>
      </c>
      <c r="J112" s="31" t="str">
        <f t="shared" si="35"/>
        <v>MUJER</v>
      </c>
      <c r="K112" s="21">
        <f t="shared" ca="1" si="36"/>
        <v>52</v>
      </c>
      <c r="L112" s="87" t="str">
        <f t="shared" si="39"/>
        <v/>
      </c>
      <c r="M112" s="21" t="str">
        <f t="shared" si="18"/>
        <v>EN PROPIEDAD</v>
      </c>
      <c r="N112" s="21">
        <v>52174173</v>
      </c>
      <c r="O112" s="18" t="str">
        <f>IF(N112="","VACANTE DEFINITIVA",(VLOOKUP(N112,'PLANTA PERNO'!A:D,4,0)&amp;" "&amp;VLOOKUP(N112,'PLANTA PERNO'!A:D,2,0)&amp;" "&amp;VLOOKUP(N112,'PLANTA PERNO'!A:D,3,0)))</f>
        <v>LUZ DARY CORREDOR MORENO</v>
      </c>
      <c r="P112" s="21"/>
      <c r="Q112" s="21"/>
      <c r="R112" s="21"/>
      <c r="S112" s="21"/>
      <c r="T112" s="21"/>
      <c r="U112" s="21"/>
      <c r="V112" s="128"/>
      <c r="W112" s="21" t="str">
        <f t="shared" si="7"/>
        <v>OCUPADO</v>
      </c>
      <c r="X112" s="23" t="s">
        <v>50</v>
      </c>
      <c r="Y112" s="90" t="s">
        <v>72</v>
      </c>
      <c r="Z112" s="25">
        <v>219</v>
      </c>
      <c r="AA112" s="27">
        <v>18</v>
      </c>
      <c r="AB112" s="28" t="str">
        <f t="shared" si="8"/>
        <v>219-18</v>
      </c>
      <c r="AC112" s="24" t="s">
        <v>147</v>
      </c>
      <c r="AD112" s="24" t="s">
        <v>147</v>
      </c>
      <c r="AE112" s="24" t="s">
        <v>2328</v>
      </c>
      <c r="AF112" s="24" t="s">
        <v>2329</v>
      </c>
      <c r="AG112" s="24" t="s">
        <v>2330</v>
      </c>
      <c r="AH112" s="24" t="s">
        <v>2331</v>
      </c>
      <c r="AI112" s="93">
        <f t="shared" si="9"/>
        <v>5951245</v>
      </c>
      <c r="AJ112" s="93">
        <v>0</v>
      </c>
      <c r="AK112" s="93">
        <f t="shared" si="37"/>
        <v>297562</v>
      </c>
      <c r="AL112" s="93">
        <f>IFERROR(INT(($AI112*(VLOOKUP($D112,'PORCENTAJES FACTORES'!B:N,12,0))/100)),0)</f>
        <v>2380498</v>
      </c>
      <c r="AM112" s="93">
        <f t="shared" si="38"/>
        <v>0</v>
      </c>
      <c r="AN112" s="93">
        <f t="shared" si="13"/>
        <v>0</v>
      </c>
      <c r="AO112" s="93">
        <f t="shared" si="14"/>
        <v>0</v>
      </c>
      <c r="AP112" s="95">
        <f t="shared" si="32"/>
        <v>8629305</v>
      </c>
      <c r="AQ112" s="96"/>
      <c r="AR112" s="97" t="s">
        <v>971</v>
      </c>
      <c r="AS112" s="58"/>
      <c r="AT112" s="58"/>
      <c r="AU112" s="58"/>
      <c r="AV112" s="98">
        <f t="shared" si="16"/>
        <v>52174173</v>
      </c>
      <c r="AW112" s="58"/>
      <c r="AX112" s="58"/>
      <c r="AY112" s="58"/>
      <c r="AZ112" s="58"/>
      <c r="BA112" s="48"/>
      <c r="BB112" s="48"/>
      <c r="BC112" s="48"/>
      <c r="BD112" s="48"/>
      <c r="BE112" s="48"/>
      <c r="BF112" s="48"/>
      <c r="BG112" s="48"/>
      <c r="BH112" s="48"/>
      <c r="BI112" s="48"/>
      <c r="BJ112" s="48"/>
      <c r="BK112" s="48"/>
      <c r="BL112" s="48"/>
      <c r="BM112" s="48"/>
      <c r="BN112" s="48"/>
      <c r="BO112" s="48"/>
      <c r="BP112" s="48"/>
      <c r="BQ112" s="48"/>
    </row>
    <row r="113" spans="1:69" ht="12.75" customHeight="1">
      <c r="A113" s="203">
        <v>109</v>
      </c>
      <c r="B113" s="86">
        <v>5123</v>
      </c>
      <c r="C113" s="29">
        <v>25</v>
      </c>
      <c r="D113" s="14">
        <v>75093516</v>
      </c>
      <c r="E113" s="18" t="str">
        <f>IF(D113&gt;0,VLOOKUP(D113,'PLANTA PERNO'!A:D,4,0)&amp;" "&amp;VLOOKUP(D113,'PLANTA PERNO'!A:D,2,0)&amp;" "&amp;VLOOKUP(D113,'PLANTA PERNO'!A:D,3,0),IF(N113="","VACANTE DEFINITIVA","VACANTE TEMPORAL"))</f>
        <v>HUGO HERNANDO AGUIRRE CORRALES</v>
      </c>
      <c r="F113" s="20" t="s">
        <v>49</v>
      </c>
      <c r="G113" s="20" t="str">
        <f t="shared" si="0"/>
        <v>CARRERA ADMINISTRATIVA</v>
      </c>
      <c r="H113" s="33">
        <f t="shared" si="33"/>
        <v>44215</v>
      </c>
      <c r="I113" s="33">
        <f t="shared" si="34"/>
        <v>44215</v>
      </c>
      <c r="J113" s="31" t="str">
        <f t="shared" si="35"/>
        <v>HOMBRE</v>
      </c>
      <c r="K113" s="21">
        <f t="shared" ca="1" si="36"/>
        <v>46</v>
      </c>
      <c r="L113" s="87" t="str">
        <f t="shared" si="39"/>
        <v/>
      </c>
      <c r="M113" s="21" t="str">
        <f t="shared" si="18"/>
        <v>EN PROPIEDAD</v>
      </c>
      <c r="N113" s="21">
        <v>75093516</v>
      </c>
      <c r="O113" s="18" t="str">
        <f>IF(N113="","VACANTE DEFINITIVA",(VLOOKUP(N113,'PLANTA PERNO'!A:D,4,0)&amp;" "&amp;VLOOKUP(N113,'PLANTA PERNO'!A:D,2,0)&amp;" "&amp;VLOOKUP(N113,'PLANTA PERNO'!A:D,3,0)))</f>
        <v>HUGO HERNANDO AGUIRRE CORRALES</v>
      </c>
      <c r="P113" s="21"/>
      <c r="Q113" s="21"/>
      <c r="R113" s="21"/>
      <c r="S113" s="21"/>
      <c r="T113" s="21"/>
      <c r="U113" s="21"/>
      <c r="V113" s="128"/>
      <c r="W113" s="21" t="str">
        <f t="shared" si="7"/>
        <v>OCUPADO</v>
      </c>
      <c r="X113" s="23" t="s">
        <v>50</v>
      </c>
      <c r="Y113" s="90" t="s">
        <v>72</v>
      </c>
      <c r="Z113" s="25">
        <v>219</v>
      </c>
      <c r="AA113" s="27">
        <v>18</v>
      </c>
      <c r="AB113" s="28" t="str">
        <f t="shared" si="8"/>
        <v>219-18</v>
      </c>
      <c r="AC113" s="24" t="s">
        <v>147</v>
      </c>
      <c r="AD113" s="24" t="s">
        <v>147</v>
      </c>
      <c r="AE113" s="24" t="s">
        <v>2333</v>
      </c>
      <c r="AF113" s="24" t="s">
        <v>2334</v>
      </c>
      <c r="AG113" s="24" t="s">
        <v>2335</v>
      </c>
      <c r="AH113" s="24" t="s">
        <v>2336</v>
      </c>
      <c r="AI113" s="93">
        <f t="shared" si="9"/>
        <v>5951245</v>
      </c>
      <c r="AJ113" s="93">
        <v>0</v>
      </c>
      <c r="AK113" s="93">
        <f t="shared" si="37"/>
        <v>178537</v>
      </c>
      <c r="AL113" s="93">
        <f>IFERROR(INT(($AI113*(VLOOKUP($D113,'PORCENTAJES FACTORES'!B:N,12,0))/100)),0)</f>
        <v>2380498</v>
      </c>
      <c r="AM113" s="93">
        <f t="shared" si="38"/>
        <v>0</v>
      </c>
      <c r="AN113" s="93">
        <f t="shared" si="13"/>
        <v>0</v>
      </c>
      <c r="AO113" s="93">
        <f t="shared" si="14"/>
        <v>0</v>
      </c>
      <c r="AP113" s="95">
        <f t="shared" si="32"/>
        <v>8510280</v>
      </c>
      <c r="AQ113" s="96"/>
      <c r="AR113" s="97" t="s">
        <v>971</v>
      </c>
      <c r="AS113" s="58"/>
      <c r="AT113" s="58"/>
      <c r="AU113" s="58"/>
      <c r="AV113" s="98">
        <f t="shared" si="16"/>
        <v>75093516</v>
      </c>
      <c r="AW113" s="58"/>
      <c r="AX113" s="58"/>
      <c r="AY113" s="58"/>
      <c r="AZ113" s="58"/>
      <c r="BA113" s="48"/>
      <c r="BB113" s="48"/>
      <c r="BC113" s="48"/>
      <c r="BD113" s="48"/>
      <c r="BE113" s="48"/>
      <c r="BF113" s="48"/>
      <c r="BG113" s="48"/>
      <c r="BH113" s="48"/>
      <c r="BI113" s="48"/>
      <c r="BJ113" s="48"/>
      <c r="BK113" s="48"/>
      <c r="BL113" s="48"/>
      <c r="BM113" s="48"/>
      <c r="BN113" s="48"/>
      <c r="BO113" s="48"/>
      <c r="BP113" s="48"/>
      <c r="BQ113" s="48"/>
    </row>
    <row r="114" spans="1:69" ht="12.75" customHeight="1">
      <c r="A114" s="203">
        <v>110</v>
      </c>
      <c r="B114" s="86">
        <v>5118</v>
      </c>
      <c r="C114" s="29">
        <v>26</v>
      </c>
      <c r="D114" s="14">
        <v>1032448684</v>
      </c>
      <c r="E114" s="18" t="str">
        <f>IF(D114&gt;0,VLOOKUP(D114,'PLANTA PERNO'!A:D,4,0)&amp;" "&amp;VLOOKUP(D114,'PLANTA PERNO'!A:D,2,0)&amp;" "&amp;VLOOKUP(D114,'PLANTA PERNO'!A:D,3,0),IF(N114="","VACANTE DEFINITIVA","VACANTE TEMPORAL"))</f>
        <v>JUAN CARLOS MARTINEZ BERNAL</v>
      </c>
      <c r="F114" s="20" t="s">
        <v>49</v>
      </c>
      <c r="G114" s="20" t="str">
        <f t="shared" si="0"/>
        <v>EN ENCARGO</v>
      </c>
      <c r="H114" s="33">
        <f t="shared" si="33"/>
        <v>44147</v>
      </c>
      <c r="I114" s="33">
        <f t="shared" si="34"/>
        <v>44147</v>
      </c>
      <c r="J114" s="31" t="str">
        <f t="shared" si="35"/>
        <v>HOMBRE</v>
      </c>
      <c r="K114" s="21">
        <f t="shared" ca="1" si="36"/>
        <v>34</v>
      </c>
      <c r="L114" s="87" t="str">
        <f t="shared" si="39"/>
        <v>ENCARGO</v>
      </c>
      <c r="M114" s="21" t="str">
        <f t="shared" si="18"/>
        <v>EN ENCARGO</v>
      </c>
      <c r="N114" s="21">
        <v>52337438</v>
      </c>
      <c r="O114" s="18" t="str">
        <f>IF(N114="","VACANTE DEFINITIVA",(VLOOKUP(N114,'PLANTA PERNO'!A:D,4,0)&amp;" "&amp;VLOOKUP(N114,'PLANTA PERNO'!A:D,2,0)&amp;" "&amp;VLOOKUP(N114,'PLANTA PERNO'!A:D,3,0)))</f>
        <v>CHEILA ALEXANDRA ALVARADO ROJAS</v>
      </c>
      <c r="P114" s="21" t="s">
        <v>406</v>
      </c>
      <c r="Q114" s="21">
        <v>3</v>
      </c>
      <c r="R114" s="21"/>
      <c r="S114" s="21"/>
      <c r="T114" s="21"/>
      <c r="U114" s="21"/>
      <c r="V114" s="128"/>
      <c r="W114" s="21" t="str">
        <f t="shared" si="7"/>
        <v>OCUPADO</v>
      </c>
      <c r="X114" s="23" t="s">
        <v>50</v>
      </c>
      <c r="Y114" s="90" t="s">
        <v>72</v>
      </c>
      <c r="Z114" s="25">
        <v>219</v>
      </c>
      <c r="AA114" s="27">
        <v>18</v>
      </c>
      <c r="AB114" s="28" t="str">
        <f t="shared" si="8"/>
        <v>219-18</v>
      </c>
      <c r="AC114" s="24" t="s">
        <v>147</v>
      </c>
      <c r="AD114" s="24" t="s">
        <v>147</v>
      </c>
      <c r="AE114" s="24" t="s">
        <v>2338</v>
      </c>
      <c r="AF114" s="24" t="s">
        <v>2339</v>
      </c>
      <c r="AG114" s="24" t="s">
        <v>2340</v>
      </c>
      <c r="AH114" s="24" t="s">
        <v>2341</v>
      </c>
      <c r="AI114" s="93">
        <f t="shared" si="9"/>
        <v>5951245</v>
      </c>
      <c r="AJ114" s="93">
        <v>0</v>
      </c>
      <c r="AK114" s="93">
        <f t="shared" si="37"/>
        <v>178537</v>
      </c>
      <c r="AL114" s="93">
        <f>IFERROR(INT(($AI114*(VLOOKUP($D114,'PORCENTAJES FACTORES'!B:N,12,0))/100)),0)</f>
        <v>2380498</v>
      </c>
      <c r="AM114" s="93">
        <f t="shared" si="38"/>
        <v>0</v>
      </c>
      <c r="AN114" s="93">
        <f t="shared" si="13"/>
        <v>0</v>
      </c>
      <c r="AO114" s="93">
        <f t="shared" si="14"/>
        <v>0</v>
      </c>
      <c r="AP114" s="95">
        <f t="shared" si="32"/>
        <v>8510280</v>
      </c>
      <c r="AQ114" s="96"/>
      <c r="AR114" s="97" t="s">
        <v>971</v>
      </c>
      <c r="AS114" s="58"/>
      <c r="AT114" s="58"/>
      <c r="AU114" s="58"/>
      <c r="AV114" s="98">
        <f t="shared" si="16"/>
        <v>52337438</v>
      </c>
      <c r="AW114" s="58"/>
      <c r="AX114" s="58"/>
      <c r="AY114" s="58"/>
      <c r="AZ114" s="58"/>
      <c r="BA114" s="48"/>
      <c r="BB114" s="48"/>
      <c r="BC114" s="48"/>
      <c r="BD114" s="48"/>
      <c r="BE114" s="48"/>
      <c r="BF114" s="48"/>
      <c r="BG114" s="48"/>
      <c r="BH114" s="48"/>
      <c r="BI114" s="48"/>
      <c r="BJ114" s="48"/>
      <c r="BK114" s="48"/>
      <c r="BL114" s="48"/>
      <c r="BM114" s="48"/>
      <c r="BN114" s="48"/>
      <c r="BO114" s="48"/>
      <c r="BP114" s="48"/>
      <c r="BQ114" s="48"/>
    </row>
    <row r="115" spans="1:69" ht="12.75" customHeight="1">
      <c r="A115" s="85">
        <v>111</v>
      </c>
      <c r="B115" s="86">
        <v>5104</v>
      </c>
      <c r="C115" s="29">
        <v>77</v>
      </c>
      <c r="D115" s="14">
        <v>53122985</v>
      </c>
      <c r="E115" s="18" t="str">
        <f>IF(D115&gt;0,VLOOKUP(D115,'PLANTA PERNO'!A:D,4,0)&amp;" "&amp;VLOOKUP(D115,'PLANTA PERNO'!A:D,2,0)&amp;" "&amp;VLOOKUP(D115,'PLANTA PERNO'!A:D,3,0),IF(N115="","VACANTE DEFINITIVA","VACANTE TEMPORAL"))</f>
        <v>LUISA FERNANDA GARCIA AVILA</v>
      </c>
      <c r="F115" s="20" t="s">
        <v>49</v>
      </c>
      <c r="G115" s="20" t="str">
        <f t="shared" si="0"/>
        <v>CARRERA ADMINISTRATIVA</v>
      </c>
      <c r="H115" s="33">
        <f t="shared" si="33"/>
        <v>45307</v>
      </c>
      <c r="I115" s="33">
        <f t="shared" si="34"/>
        <v>45307</v>
      </c>
      <c r="J115" s="31" t="str">
        <f t="shared" si="35"/>
        <v>MUJER</v>
      </c>
      <c r="K115" s="21">
        <f t="shared" ca="1" si="36"/>
        <v>41</v>
      </c>
      <c r="L115" s="87" t="str">
        <f t="shared" si="39"/>
        <v/>
      </c>
      <c r="M115" s="21" t="str">
        <f t="shared" si="18"/>
        <v>EN PROPIEDAD</v>
      </c>
      <c r="N115" s="21">
        <v>53122985</v>
      </c>
      <c r="O115" s="18" t="str">
        <f>IF(N115="","VACANTE DEFINITIVA",(VLOOKUP(N115,'PLANTA PERNO'!A:D,4,0)&amp;" "&amp;VLOOKUP(N115,'PLANTA PERNO'!A:D,2,0)&amp;" "&amp;VLOOKUP(N115,'PLANTA PERNO'!A:D,3,0)))</f>
        <v>LUISA FERNANDA GARCIA AVILA</v>
      </c>
      <c r="P115" s="21"/>
      <c r="Q115" s="21"/>
      <c r="R115" s="21"/>
      <c r="S115" s="21"/>
      <c r="T115" s="21"/>
      <c r="U115" s="21"/>
      <c r="V115" s="128"/>
      <c r="W115" s="21" t="str">
        <f t="shared" si="7"/>
        <v>OCUPADO</v>
      </c>
      <c r="X115" s="23" t="s">
        <v>50</v>
      </c>
      <c r="Y115" s="90" t="s">
        <v>72</v>
      </c>
      <c r="Z115" s="25">
        <v>219</v>
      </c>
      <c r="AA115" s="27">
        <v>18</v>
      </c>
      <c r="AB115" s="28" t="str">
        <f t="shared" si="8"/>
        <v>219-18</v>
      </c>
      <c r="AC115" s="24" t="s">
        <v>153</v>
      </c>
      <c r="AD115" s="24" t="s">
        <v>153</v>
      </c>
      <c r="AE115" s="24" t="s">
        <v>2343</v>
      </c>
      <c r="AF115" s="24" t="s">
        <v>2344</v>
      </c>
      <c r="AG115" s="24" t="s">
        <v>2345</v>
      </c>
      <c r="AH115" s="24" t="s">
        <v>2346</v>
      </c>
      <c r="AI115" s="93">
        <f t="shared" si="9"/>
        <v>5951245</v>
      </c>
      <c r="AJ115" s="93">
        <v>0</v>
      </c>
      <c r="AK115" s="93">
        <f t="shared" si="37"/>
        <v>0</v>
      </c>
      <c r="AL115" s="93">
        <f>IFERROR(INT(($AI115*(VLOOKUP($D115,'PORCENTAJES FACTORES'!B:N,12,0))/100)),0)</f>
        <v>2380498</v>
      </c>
      <c r="AM115" s="93">
        <f t="shared" si="38"/>
        <v>0</v>
      </c>
      <c r="AN115" s="93">
        <f t="shared" si="13"/>
        <v>0</v>
      </c>
      <c r="AO115" s="93">
        <f t="shared" si="14"/>
        <v>0</v>
      </c>
      <c r="AP115" s="95">
        <f t="shared" si="32"/>
        <v>8331743</v>
      </c>
      <c r="AQ115" s="96"/>
      <c r="AR115" s="97" t="s">
        <v>971</v>
      </c>
      <c r="AS115" s="58"/>
      <c r="AT115" s="58"/>
      <c r="AU115" s="58"/>
      <c r="AV115" s="98">
        <f t="shared" si="16"/>
        <v>53122985</v>
      </c>
      <c r="AW115" s="58"/>
      <c r="AX115" s="58"/>
      <c r="AY115" s="58"/>
      <c r="AZ115" s="58"/>
      <c r="BA115" s="48"/>
      <c r="BB115" s="48"/>
      <c r="BC115" s="48"/>
      <c r="BD115" s="48"/>
      <c r="BE115" s="48"/>
      <c r="BF115" s="48"/>
      <c r="BG115" s="48"/>
      <c r="BH115" s="48"/>
      <c r="BI115" s="48"/>
      <c r="BJ115" s="48"/>
      <c r="BK115" s="48"/>
      <c r="BL115" s="48"/>
      <c r="BM115" s="48"/>
      <c r="BN115" s="48"/>
      <c r="BO115" s="48"/>
      <c r="BP115" s="48"/>
      <c r="BQ115" s="48"/>
    </row>
    <row r="116" spans="1:69" ht="12.75" customHeight="1">
      <c r="A116" s="85">
        <v>112</v>
      </c>
      <c r="B116" s="86">
        <v>5108</v>
      </c>
      <c r="C116" s="29">
        <v>82</v>
      </c>
      <c r="D116" s="14">
        <v>1032489040</v>
      </c>
      <c r="E116" s="18" t="str">
        <f>IF(D116&gt;0,VLOOKUP(D116,'PLANTA PERNO'!A:D,4,0)&amp;" "&amp;VLOOKUP(D116,'PLANTA PERNO'!A:D,2,0)&amp;" "&amp;VLOOKUP(D116,'PLANTA PERNO'!A:D,3,0),IF(N116="","VACANTE DEFINITIVA","VACANTE TEMPORAL"))</f>
        <v>LEIDY JOHANNA ALONSO GUTIERREZ</v>
      </c>
      <c r="F116" s="20" t="s">
        <v>49</v>
      </c>
      <c r="G116" s="20" t="str">
        <f t="shared" si="0"/>
        <v>EN ENCARGO</v>
      </c>
      <c r="H116" s="33">
        <f t="shared" si="33"/>
        <v>44144</v>
      </c>
      <c r="I116" s="33">
        <f t="shared" si="34"/>
        <v>44144</v>
      </c>
      <c r="J116" s="31" t="str">
        <f t="shared" si="35"/>
        <v>MUJER</v>
      </c>
      <c r="K116" s="21">
        <f t="shared" ca="1" si="36"/>
        <v>29</v>
      </c>
      <c r="L116" s="87" t="str">
        <f t="shared" si="39"/>
        <v>ENCARGO</v>
      </c>
      <c r="M116" s="21" t="str">
        <f t="shared" si="18"/>
        <v>EN ENCARGO</v>
      </c>
      <c r="N116" s="21">
        <v>6765913</v>
      </c>
      <c r="O116" s="18" t="str">
        <f>IF(N116="","VACANTE DEFINITIVA",(VLOOKUP(N116,'PLANTA PERNO'!A:D,4,0)&amp;" "&amp;VLOOKUP(N116,'PLANTA PERNO'!A:D,2,0)&amp;" "&amp;VLOOKUP(N116,'PLANTA PERNO'!A:D,3,0)))</f>
        <v>CARLOS ANDRES NIÃ‘O SOCHA</v>
      </c>
      <c r="P116" s="21" t="s">
        <v>1602</v>
      </c>
      <c r="Q116" s="21">
        <v>4</v>
      </c>
      <c r="R116" s="21"/>
      <c r="S116" s="21"/>
      <c r="T116" s="21"/>
      <c r="U116" s="21"/>
      <c r="V116" s="128"/>
      <c r="W116" s="21" t="str">
        <f t="shared" si="7"/>
        <v>OCUPADO</v>
      </c>
      <c r="X116" s="23" t="s">
        <v>50</v>
      </c>
      <c r="Y116" s="90" t="s">
        <v>72</v>
      </c>
      <c r="Z116" s="25">
        <v>219</v>
      </c>
      <c r="AA116" s="27">
        <v>18</v>
      </c>
      <c r="AB116" s="28" t="str">
        <f t="shared" si="8"/>
        <v>219-18</v>
      </c>
      <c r="AC116" s="24" t="s">
        <v>153</v>
      </c>
      <c r="AD116" s="24" t="s">
        <v>153</v>
      </c>
      <c r="AE116" s="24" t="s">
        <v>2347</v>
      </c>
      <c r="AF116" s="24" t="s">
        <v>2348</v>
      </c>
      <c r="AG116" s="24" t="s">
        <v>92</v>
      </c>
      <c r="AH116" s="24" t="s">
        <v>2346</v>
      </c>
      <c r="AI116" s="93">
        <f t="shared" si="9"/>
        <v>5951245</v>
      </c>
      <c r="AJ116" s="93">
        <v>0</v>
      </c>
      <c r="AK116" s="93">
        <f t="shared" si="37"/>
        <v>178537</v>
      </c>
      <c r="AL116" s="93">
        <f>IFERROR(INT(($AI116*(VLOOKUP($D116,'PORCENTAJES FACTORES'!B:N,12,0))/100)),0)</f>
        <v>2380498</v>
      </c>
      <c r="AM116" s="93">
        <f t="shared" si="38"/>
        <v>0</v>
      </c>
      <c r="AN116" s="93">
        <f t="shared" si="13"/>
        <v>0</v>
      </c>
      <c r="AO116" s="93">
        <f t="shared" si="14"/>
        <v>0</v>
      </c>
      <c r="AP116" s="95">
        <f t="shared" si="32"/>
        <v>8510280</v>
      </c>
      <c r="AQ116" s="96"/>
      <c r="AR116" s="97" t="s">
        <v>971</v>
      </c>
      <c r="AS116" s="58"/>
      <c r="AT116" s="58"/>
      <c r="AU116" s="58"/>
      <c r="AV116" s="98">
        <f t="shared" si="16"/>
        <v>6765913</v>
      </c>
      <c r="AW116" s="58"/>
      <c r="AX116" s="58"/>
      <c r="AY116" s="58"/>
      <c r="AZ116" s="58"/>
      <c r="BA116" s="48"/>
      <c r="BB116" s="48"/>
      <c r="BC116" s="48"/>
      <c r="BD116" s="48"/>
      <c r="BE116" s="48"/>
      <c r="BF116" s="48"/>
      <c r="BG116" s="48"/>
      <c r="BH116" s="48"/>
      <c r="BI116" s="48"/>
      <c r="BJ116" s="48"/>
      <c r="BK116" s="48"/>
      <c r="BL116" s="48"/>
      <c r="BM116" s="48"/>
      <c r="BN116" s="48"/>
      <c r="BO116" s="48"/>
      <c r="BP116" s="48"/>
      <c r="BQ116" s="48"/>
    </row>
    <row r="117" spans="1:69" ht="12.75" customHeight="1">
      <c r="A117" s="85">
        <v>113</v>
      </c>
      <c r="B117" s="86">
        <v>5106</v>
      </c>
      <c r="C117" s="29">
        <v>79</v>
      </c>
      <c r="D117" s="14">
        <v>1049619617</v>
      </c>
      <c r="E117" s="18" t="str">
        <f>IF(D117&gt;0,VLOOKUP(D117,'PLANTA PERNO'!A:D,4,0)&amp;" "&amp;VLOOKUP(D117,'PLANTA PERNO'!A:D,2,0)&amp;" "&amp;VLOOKUP(D117,'PLANTA PERNO'!A:D,3,0),IF(N117="","VACANTE DEFINITIVA","VACANTE TEMPORAL"))</f>
        <v>SANDRA LISETTE NOVOA DUEÃ‘AS</v>
      </c>
      <c r="F117" s="20" t="s">
        <v>49</v>
      </c>
      <c r="G117" s="20" t="str">
        <f t="shared" si="0"/>
        <v>CARRERA ADMINISTRATIVA</v>
      </c>
      <c r="H117" s="33">
        <f t="shared" si="33"/>
        <v>44193</v>
      </c>
      <c r="I117" s="33">
        <f t="shared" si="34"/>
        <v>43739</v>
      </c>
      <c r="J117" s="31" t="str">
        <f t="shared" si="35"/>
        <v>MUJER</v>
      </c>
      <c r="K117" s="21">
        <f t="shared" ca="1" si="36"/>
        <v>36</v>
      </c>
      <c r="L117" s="87" t="str">
        <f t="shared" si="39"/>
        <v/>
      </c>
      <c r="M117" s="21" t="str">
        <f t="shared" si="18"/>
        <v>EN PROPIEDAD</v>
      </c>
      <c r="N117" s="21">
        <v>1049619617</v>
      </c>
      <c r="O117" s="18" t="str">
        <f>IF(N117="","VACANTE DEFINITIVA",(VLOOKUP(N117,'PLANTA PERNO'!A:D,4,0)&amp;" "&amp;VLOOKUP(N117,'PLANTA PERNO'!A:D,2,0)&amp;" "&amp;VLOOKUP(N117,'PLANTA PERNO'!A:D,3,0)))</f>
        <v>SANDRA LISETTE NOVOA DUEÃ‘AS</v>
      </c>
      <c r="P117" s="21"/>
      <c r="Q117" s="21"/>
      <c r="R117" s="21"/>
      <c r="S117" s="21"/>
      <c r="T117" s="21"/>
      <c r="U117" s="21"/>
      <c r="V117" s="128"/>
      <c r="W117" s="21" t="str">
        <f t="shared" si="7"/>
        <v>OCUPADO</v>
      </c>
      <c r="X117" s="23" t="s">
        <v>50</v>
      </c>
      <c r="Y117" s="90" t="s">
        <v>72</v>
      </c>
      <c r="Z117" s="25">
        <v>219</v>
      </c>
      <c r="AA117" s="27">
        <v>18</v>
      </c>
      <c r="AB117" s="28" t="str">
        <f t="shared" si="8"/>
        <v>219-18</v>
      </c>
      <c r="AC117" s="24" t="s">
        <v>153</v>
      </c>
      <c r="AD117" s="24" t="s">
        <v>153</v>
      </c>
      <c r="AE117" s="24" t="s">
        <v>2347</v>
      </c>
      <c r="AF117" s="24" t="s">
        <v>2348</v>
      </c>
      <c r="AG117" s="24" t="s">
        <v>92</v>
      </c>
      <c r="AH117" s="24" t="s">
        <v>2346</v>
      </c>
      <c r="AI117" s="93">
        <f t="shared" si="9"/>
        <v>5951245</v>
      </c>
      <c r="AJ117" s="93">
        <v>0</v>
      </c>
      <c r="AK117" s="93">
        <f t="shared" si="37"/>
        <v>178537</v>
      </c>
      <c r="AL117" s="93">
        <f>IFERROR(INT(($AI117*(VLOOKUP($D117,'PORCENTAJES FACTORES'!B:N,12,0))/100)),0)</f>
        <v>2380498</v>
      </c>
      <c r="AM117" s="93">
        <f t="shared" si="38"/>
        <v>0</v>
      </c>
      <c r="AN117" s="93">
        <f t="shared" si="13"/>
        <v>0</v>
      </c>
      <c r="AO117" s="93">
        <f t="shared" si="14"/>
        <v>0</v>
      </c>
      <c r="AP117" s="95">
        <f t="shared" si="32"/>
        <v>8510280</v>
      </c>
      <c r="AQ117" s="96"/>
      <c r="AR117" s="97" t="s">
        <v>971</v>
      </c>
      <c r="AS117" s="58"/>
      <c r="AT117" s="58"/>
      <c r="AU117" s="58"/>
      <c r="AV117" s="98">
        <f t="shared" si="16"/>
        <v>1049619617</v>
      </c>
      <c r="AW117" s="58"/>
      <c r="AX117" s="58"/>
      <c r="AY117" s="58"/>
      <c r="AZ117" s="58"/>
      <c r="BA117" s="48"/>
      <c r="BB117" s="48"/>
      <c r="BC117" s="48"/>
      <c r="BD117" s="48"/>
      <c r="BE117" s="48"/>
      <c r="BF117" s="48"/>
      <c r="BG117" s="48"/>
      <c r="BH117" s="48"/>
      <c r="BI117" s="48"/>
      <c r="BJ117" s="48"/>
      <c r="BK117" s="48"/>
      <c r="BL117" s="48"/>
      <c r="BM117" s="48"/>
      <c r="BN117" s="48"/>
      <c r="BO117" s="48"/>
      <c r="BP117" s="48"/>
      <c r="BQ117" s="48"/>
    </row>
    <row r="118" spans="1:69" ht="12.75" customHeight="1">
      <c r="A118" s="85">
        <v>114</v>
      </c>
      <c r="B118" s="86">
        <v>5125</v>
      </c>
      <c r="C118" s="29">
        <v>80</v>
      </c>
      <c r="D118" s="14">
        <v>1030577699</v>
      </c>
      <c r="E118" s="18" t="str">
        <f>IF(D118&gt;0,VLOOKUP(D118,'PLANTA PERNO'!A:D,4,0)&amp;" "&amp;VLOOKUP(D118,'PLANTA PERNO'!A:D,2,0)&amp;" "&amp;VLOOKUP(D118,'PLANTA PERNO'!A:D,3,0),IF(N118="","VACANTE DEFINITIVA","VACANTE TEMPORAL"))</f>
        <v>KATHERINE PAOLA ARAGON CASTIBLANCO</v>
      </c>
      <c r="F118" s="20" t="s">
        <v>49</v>
      </c>
      <c r="G118" s="20" t="str">
        <f t="shared" si="0"/>
        <v>EN ENCARGO</v>
      </c>
      <c r="H118" s="33">
        <f t="shared" si="33"/>
        <v>44383</v>
      </c>
      <c r="I118" s="33">
        <f t="shared" si="34"/>
        <v>44383</v>
      </c>
      <c r="J118" s="31" t="str">
        <f t="shared" si="35"/>
        <v>MUJER</v>
      </c>
      <c r="K118" s="21">
        <f t="shared" ca="1" si="36"/>
        <v>36</v>
      </c>
      <c r="L118" s="87" t="str">
        <f t="shared" si="39"/>
        <v>ENCARGO</v>
      </c>
      <c r="M118" s="21" t="str">
        <f t="shared" si="18"/>
        <v>EN ENCARGO</v>
      </c>
      <c r="N118" s="21">
        <v>8526853</v>
      </c>
      <c r="O118" s="18" t="str">
        <f>IF(N118="","VACANTE DEFINITIVA",(VLOOKUP(N118,'PLANTA PERNO'!A:D,4,0)&amp;" "&amp;VLOOKUP(N118,'PLANTA PERNO'!A:D,2,0)&amp;" "&amp;VLOOKUP(N118,'PLANTA PERNO'!A:D,3,0)))</f>
        <v>EURANIO JOSE MANOTAS MALDONADO</v>
      </c>
      <c r="P118" s="21" t="s">
        <v>1823</v>
      </c>
      <c r="Q118" s="21">
        <v>4</v>
      </c>
      <c r="R118" s="21"/>
      <c r="S118" s="21"/>
      <c r="T118" s="21"/>
      <c r="U118" s="21"/>
      <c r="V118" s="129">
        <v>220274</v>
      </c>
      <c r="W118" s="21" t="str">
        <f t="shared" si="7"/>
        <v>OCUPADO</v>
      </c>
      <c r="X118" s="23" t="s">
        <v>50</v>
      </c>
      <c r="Y118" s="90" t="s">
        <v>72</v>
      </c>
      <c r="Z118" s="25">
        <v>219</v>
      </c>
      <c r="AA118" s="27">
        <v>18</v>
      </c>
      <c r="AB118" s="28" t="str">
        <f t="shared" si="8"/>
        <v>219-18</v>
      </c>
      <c r="AC118" s="24" t="s">
        <v>153</v>
      </c>
      <c r="AD118" s="24" t="s">
        <v>153</v>
      </c>
      <c r="AE118" s="24" t="s">
        <v>2347</v>
      </c>
      <c r="AF118" s="24" t="s">
        <v>2348</v>
      </c>
      <c r="AG118" s="24" t="s">
        <v>92</v>
      </c>
      <c r="AH118" s="24" t="s">
        <v>2346</v>
      </c>
      <c r="AI118" s="93">
        <f t="shared" si="9"/>
        <v>5951245</v>
      </c>
      <c r="AJ118" s="93">
        <v>0</v>
      </c>
      <c r="AK118" s="93">
        <f t="shared" si="37"/>
        <v>178537</v>
      </c>
      <c r="AL118" s="93">
        <f>IFERROR(INT(($AI118*(VLOOKUP($D118,'PORCENTAJES FACTORES'!B:N,12,0))/100)),0)</f>
        <v>0</v>
      </c>
      <c r="AM118" s="93">
        <f t="shared" si="38"/>
        <v>0</v>
      </c>
      <c r="AN118" s="93">
        <f t="shared" si="13"/>
        <v>0</v>
      </c>
      <c r="AO118" s="93">
        <f t="shared" si="14"/>
        <v>0</v>
      </c>
      <c r="AP118" s="95">
        <f t="shared" si="32"/>
        <v>6129782</v>
      </c>
      <c r="AQ118" s="96"/>
      <c r="AR118" s="97" t="s">
        <v>971</v>
      </c>
      <c r="AS118" s="58"/>
      <c r="AT118" s="58"/>
      <c r="AU118" s="58"/>
      <c r="AV118" s="98">
        <f t="shared" si="16"/>
        <v>8526853</v>
      </c>
      <c r="AW118" s="58"/>
      <c r="AX118" s="58"/>
      <c r="AY118" s="58"/>
      <c r="AZ118" s="58"/>
      <c r="BA118" s="48"/>
      <c r="BB118" s="48"/>
      <c r="BC118" s="48"/>
      <c r="BD118" s="48"/>
      <c r="BE118" s="48"/>
      <c r="BF118" s="48"/>
      <c r="BG118" s="48"/>
      <c r="BH118" s="48"/>
      <c r="BI118" s="48"/>
      <c r="BJ118" s="48"/>
      <c r="BK118" s="48"/>
      <c r="BL118" s="48"/>
      <c r="BM118" s="48"/>
      <c r="BN118" s="48"/>
      <c r="BO118" s="48"/>
      <c r="BP118" s="48"/>
      <c r="BQ118" s="48"/>
    </row>
    <row r="119" spans="1:69" ht="12.75" customHeight="1">
      <c r="A119" s="85">
        <v>115</v>
      </c>
      <c r="B119" s="86">
        <v>5105</v>
      </c>
      <c r="C119" s="29">
        <v>81</v>
      </c>
      <c r="D119" s="14">
        <v>40011063</v>
      </c>
      <c r="E119" s="18" t="str">
        <f>IF(D119&gt;0,VLOOKUP(D119,'PLANTA PERNO'!A:D,4,0)&amp;" "&amp;VLOOKUP(D119,'PLANTA PERNO'!A:D,2,0)&amp;" "&amp;VLOOKUP(D119,'PLANTA PERNO'!A:D,3,0),IF(N119="","VACANTE DEFINITIVA","VACANTE TEMPORAL"))</f>
        <v>NELCY TORRES MARTINEZ</v>
      </c>
      <c r="F119" s="20" t="s">
        <v>49</v>
      </c>
      <c r="G119" s="20" t="str">
        <f t="shared" si="0"/>
        <v>CARRERA ADMINISTRATIVA</v>
      </c>
      <c r="H119" s="33">
        <f t="shared" si="33"/>
        <v>44228</v>
      </c>
      <c r="I119" s="33">
        <f t="shared" si="34"/>
        <v>44228</v>
      </c>
      <c r="J119" s="31" t="str">
        <f t="shared" si="35"/>
        <v>MUJER</v>
      </c>
      <c r="K119" s="21">
        <f t="shared" ca="1" si="36"/>
        <v>68</v>
      </c>
      <c r="L119" s="87" t="str">
        <f t="shared" si="39"/>
        <v/>
      </c>
      <c r="M119" s="21" t="str">
        <f t="shared" si="18"/>
        <v>EN PROPIEDAD</v>
      </c>
      <c r="N119" s="21">
        <v>40011063</v>
      </c>
      <c r="O119" s="18" t="str">
        <f>IF(N119="","VACANTE DEFINITIVA",(VLOOKUP(N119,'PLANTA PERNO'!A:D,4,0)&amp;" "&amp;VLOOKUP(N119,'PLANTA PERNO'!A:D,2,0)&amp;" "&amp;VLOOKUP(N119,'PLANTA PERNO'!A:D,3,0)))</f>
        <v>NELCY TORRES MARTINEZ</v>
      </c>
      <c r="P119" s="21"/>
      <c r="Q119" s="21"/>
      <c r="R119" s="21"/>
      <c r="S119" s="21"/>
      <c r="T119" s="21"/>
      <c r="U119" s="21"/>
      <c r="V119" s="128"/>
      <c r="W119" s="21" t="str">
        <f t="shared" si="7"/>
        <v>OCUPADO</v>
      </c>
      <c r="X119" s="23" t="s">
        <v>50</v>
      </c>
      <c r="Y119" s="90" t="s">
        <v>72</v>
      </c>
      <c r="Z119" s="25">
        <v>219</v>
      </c>
      <c r="AA119" s="27">
        <v>18</v>
      </c>
      <c r="AB119" s="28" t="str">
        <f t="shared" si="8"/>
        <v>219-18</v>
      </c>
      <c r="AC119" s="24" t="s">
        <v>153</v>
      </c>
      <c r="AD119" s="24" t="s">
        <v>153</v>
      </c>
      <c r="AE119" s="24" t="s">
        <v>2350</v>
      </c>
      <c r="AF119" s="24" t="s">
        <v>2351</v>
      </c>
      <c r="AG119" s="24" t="s">
        <v>2352</v>
      </c>
      <c r="AH119" s="24" t="s">
        <v>2353</v>
      </c>
      <c r="AI119" s="93">
        <f t="shared" si="9"/>
        <v>5951245</v>
      </c>
      <c r="AJ119" s="93">
        <v>0</v>
      </c>
      <c r="AK119" s="93">
        <f t="shared" si="37"/>
        <v>178537</v>
      </c>
      <c r="AL119" s="93">
        <f>IFERROR(INT(($AI119*(VLOOKUP($D119,'PORCENTAJES FACTORES'!B:N,12,0))/100)),0)</f>
        <v>2380498</v>
      </c>
      <c r="AM119" s="93">
        <f t="shared" si="38"/>
        <v>0</v>
      </c>
      <c r="AN119" s="93">
        <f t="shared" si="13"/>
        <v>0</v>
      </c>
      <c r="AO119" s="93">
        <f t="shared" si="14"/>
        <v>0</v>
      </c>
      <c r="AP119" s="95">
        <f t="shared" si="32"/>
        <v>8510280</v>
      </c>
      <c r="AQ119" s="96"/>
      <c r="AR119" s="97" t="s">
        <v>971</v>
      </c>
      <c r="AS119" s="58"/>
      <c r="AT119" s="58"/>
      <c r="AU119" s="58"/>
      <c r="AV119" s="98">
        <f t="shared" si="16"/>
        <v>40011063</v>
      </c>
      <c r="AW119" s="58"/>
      <c r="AX119" s="58"/>
      <c r="AY119" s="58"/>
      <c r="AZ119" s="58"/>
      <c r="BA119" s="48"/>
      <c r="BB119" s="48"/>
      <c r="BC119" s="48"/>
      <c r="BD119" s="48"/>
      <c r="BE119" s="48"/>
      <c r="BF119" s="48"/>
      <c r="BG119" s="48"/>
      <c r="BH119" s="48"/>
      <c r="BI119" s="48"/>
      <c r="BJ119" s="48"/>
      <c r="BK119" s="48"/>
      <c r="BL119" s="48"/>
      <c r="BM119" s="48"/>
      <c r="BN119" s="48"/>
      <c r="BO119" s="48"/>
      <c r="BP119" s="48"/>
      <c r="BQ119" s="48"/>
    </row>
    <row r="120" spans="1:69" ht="12.75" customHeight="1">
      <c r="A120" s="85">
        <v>116</v>
      </c>
      <c r="B120" s="86">
        <v>5107</v>
      </c>
      <c r="C120" s="29">
        <v>78</v>
      </c>
      <c r="D120" s="14"/>
      <c r="E120" s="18" t="str">
        <f>IF(D120&gt;0,VLOOKUP(D120,'PLANTA PERNO'!A:D,4,0)&amp;" "&amp;VLOOKUP(D120,'PLANTA PERNO'!A:D,2,0)&amp;" "&amp;VLOOKUP(D120,'PLANTA PERNO'!A:D,3,0),IF(N120="","VACANTE DEFINITIVA","VACANTE TEMPORAL"))</f>
        <v>VACANTE TEMPORAL</v>
      </c>
      <c r="F120" s="20"/>
      <c r="G120" s="20" t="str">
        <f t="shared" si="0"/>
        <v>VACANTE TEMPORAL</v>
      </c>
      <c r="H120" s="33" t="str">
        <f t="shared" si="33"/>
        <v xml:space="preserve"> </v>
      </c>
      <c r="I120" s="33" t="str">
        <f t="shared" si="34"/>
        <v/>
      </c>
      <c r="J120" s="31" t="str">
        <f t="shared" si="35"/>
        <v/>
      </c>
      <c r="K120" s="21" t="str">
        <f t="shared" ca="1" si="36"/>
        <v/>
      </c>
      <c r="L120" s="87" t="str">
        <f t="shared" si="39"/>
        <v/>
      </c>
      <c r="M120" s="21" t="str">
        <f t="shared" si="18"/>
        <v>EN ENCARGO</v>
      </c>
      <c r="N120" s="21">
        <v>1018435583</v>
      </c>
      <c r="O120" s="18" t="str">
        <f>IF(N120="","VACANTE DEFINITIVA",(VLOOKUP(N120,'PLANTA PERNO'!A:D,4,0)&amp;" "&amp;VLOOKUP(N120,'PLANTA PERNO'!A:D,2,0)&amp;" "&amp;VLOOKUP(N120,'PLANTA PERNO'!A:D,3,0)))</f>
        <v>SONIA TERESA ROA SILVA</v>
      </c>
      <c r="P120" s="21" t="s">
        <v>2220</v>
      </c>
      <c r="Q120" s="21">
        <v>3</v>
      </c>
      <c r="R120" s="21"/>
      <c r="S120" s="21"/>
      <c r="T120" s="21"/>
      <c r="U120" s="21"/>
      <c r="V120" s="128"/>
      <c r="W120" s="21" t="str">
        <f t="shared" si="7"/>
        <v>VACANTE TEMPORAL</v>
      </c>
      <c r="X120" s="23" t="s">
        <v>50</v>
      </c>
      <c r="Y120" s="90" t="s">
        <v>72</v>
      </c>
      <c r="Z120" s="25">
        <v>219</v>
      </c>
      <c r="AA120" s="27">
        <v>18</v>
      </c>
      <c r="AB120" s="28" t="str">
        <f t="shared" si="8"/>
        <v>219-18</v>
      </c>
      <c r="AC120" s="24" t="s">
        <v>153</v>
      </c>
      <c r="AD120" s="24" t="s">
        <v>153</v>
      </c>
      <c r="AE120" s="24" t="s">
        <v>2347</v>
      </c>
      <c r="AF120" s="24" t="s">
        <v>2348</v>
      </c>
      <c r="AG120" s="24" t="s">
        <v>92</v>
      </c>
      <c r="AH120" s="24" t="s">
        <v>2346</v>
      </c>
      <c r="AI120" s="93">
        <f t="shared" si="9"/>
        <v>5951245</v>
      </c>
      <c r="AJ120" s="93">
        <v>0</v>
      </c>
      <c r="AK120" s="93">
        <f t="shared" si="37"/>
        <v>0</v>
      </c>
      <c r="AL120" s="93">
        <f>IFERROR(INT(($AI120*(VLOOKUP($D120,'PORCENTAJES FACTORES'!B:N,12,0))/100)),0)</f>
        <v>0</v>
      </c>
      <c r="AM120" s="93">
        <f t="shared" si="38"/>
        <v>0</v>
      </c>
      <c r="AN120" s="93">
        <f t="shared" si="13"/>
        <v>0</v>
      </c>
      <c r="AO120" s="93">
        <f t="shared" si="14"/>
        <v>0</v>
      </c>
      <c r="AP120" s="95">
        <f t="shared" si="32"/>
        <v>5951245</v>
      </c>
      <c r="AQ120" s="96"/>
      <c r="AR120" s="97" t="s">
        <v>971</v>
      </c>
      <c r="AS120" s="58"/>
      <c r="AT120" s="58"/>
      <c r="AU120" s="58"/>
      <c r="AV120" s="98">
        <f t="shared" si="16"/>
        <v>1018435583</v>
      </c>
      <c r="AW120" s="58"/>
      <c r="AX120" s="58"/>
      <c r="AY120" s="58"/>
      <c r="AZ120" s="58"/>
      <c r="BA120" s="48"/>
      <c r="BB120" s="48"/>
      <c r="BC120" s="48"/>
      <c r="BD120" s="48"/>
      <c r="BE120" s="48"/>
      <c r="BF120" s="48"/>
      <c r="BG120" s="48"/>
      <c r="BH120" s="48"/>
      <c r="BI120" s="48"/>
      <c r="BJ120" s="48"/>
      <c r="BK120" s="48"/>
      <c r="BL120" s="48"/>
      <c r="BM120" s="48"/>
      <c r="BN120" s="48"/>
      <c r="BO120" s="48"/>
      <c r="BP120" s="48"/>
      <c r="BQ120" s="48"/>
    </row>
    <row r="121" spans="1:69" ht="12.75" customHeight="1">
      <c r="A121" s="85">
        <v>117</v>
      </c>
      <c r="B121" s="86">
        <v>5120</v>
      </c>
      <c r="C121" s="29">
        <v>83</v>
      </c>
      <c r="D121" s="14">
        <v>52486713</v>
      </c>
      <c r="E121" s="18" t="str">
        <f>IF(D121&gt;0,VLOOKUP(D121,'PLANTA PERNO'!A:D,4,0)&amp;" "&amp;VLOOKUP(D121,'PLANTA PERNO'!A:D,2,0)&amp;" "&amp;VLOOKUP(D121,'PLANTA PERNO'!A:D,3,0),IF(N121="","VACANTE DEFINITIVA","VACANTE TEMPORAL"))</f>
        <v>CLAUDIA MARCELA CAMARGO CASTRO</v>
      </c>
      <c r="F121" s="20" t="s">
        <v>49</v>
      </c>
      <c r="G121" s="20" t="str">
        <f t="shared" si="0"/>
        <v>EN ENCARGO</v>
      </c>
      <c r="H121" s="33">
        <f t="shared" si="33"/>
        <v>44139</v>
      </c>
      <c r="I121" s="33">
        <f t="shared" si="34"/>
        <v>44139</v>
      </c>
      <c r="J121" s="31" t="str">
        <f t="shared" si="35"/>
        <v>MUJER</v>
      </c>
      <c r="K121" s="21">
        <f t="shared" ca="1" si="36"/>
        <v>46</v>
      </c>
      <c r="L121" s="87" t="str">
        <f t="shared" si="39"/>
        <v>ENCARGO</v>
      </c>
      <c r="M121" s="21" t="str">
        <f t="shared" si="18"/>
        <v>VACANTE DEFINITIVA</v>
      </c>
      <c r="N121" s="21"/>
      <c r="O121" s="18" t="str">
        <f>IF(N121="","VACANTE DEFINITIVA",(VLOOKUP(N121,'PLANTA PERNO'!A:D,4,0)&amp;" "&amp;VLOOKUP(N121,'PLANTA PERNO'!A:D,2,0)&amp;" "&amp;VLOOKUP(N121,'PLANTA PERNO'!A:D,3,0)))</f>
        <v>VACANTE DEFINITIVA</v>
      </c>
      <c r="P121" s="21" t="s">
        <v>2354</v>
      </c>
      <c r="Q121" s="21">
        <v>1</v>
      </c>
      <c r="R121" s="21"/>
      <c r="S121" s="21"/>
      <c r="T121" s="21"/>
      <c r="U121" s="21"/>
      <c r="V121" s="128"/>
      <c r="W121" s="21" t="str">
        <f t="shared" si="7"/>
        <v>OCUPADO</v>
      </c>
      <c r="X121" s="23" t="s">
        <v>50</v>
      </c>
      <c r="Y121" s="90" t="s">
        <v>72</v>
      </c>
      <c r="Z121" s="25">
        <v>219</v>
      </c>
      <c r="AA121" s="27">
        <v>18</v>
      </c>
      <c r="AB121" s="28" t="str">
        <f t="shared" si="8"/>
        <v>219-18</v>
      </c>
      <c r="AC121" s="24" t="s">
        <v>213</v>
      </c>
      <c r="AD121" s="127" t="s">
        <v>213</v>
      </c>
      <c r="AE121" s="24" t="s">
        <v>2355</v>
      </c>
      <c r="AF121" s="24" t="s">
        <v>2356</v>
      </c>
      <c r="AG121" s="24" t="s">
        <v>2345</v>
      </c>
      <c r="AH121" s="24" t="s">
        <v>2357</v>
      </c>
      <c r="AI121" s="93">
        <f t="shared" si="9"/>
        <v>5951245</v>
      </c>
      <c r="AJ121" s="93">
        <v>0</v>
      </c>
      <c r="AK121" s="93">
        <f t="shared" si="37"/>
        <v>178537</v>
      </c>
      <c r="AL121" s="93">
        <f>IFERROR(INT(($AI121*(VLOOKUP($D121,'PORCENTAJES FACTORES'!B:N,12,0))/100)),0)</f>
        <v>2380498</v>
      </c>
      <c r="AM121" s="93">
        <f t="shared" si="38"/>
        <v>0</v>
      </c>
      <c r="AN121" s="93">
        <f t="shared" si="13"/>
        <v>0</v>
      </c>
      <c r="AO121" s="93">
        <f t="shared" si="14"/>
        <v>0</v>
      </c>
      <c r="AP121" s="95">
        <f t="shared" si="32"/>
        <v>8510280</v>
      </c>
      <c r="AQ121" s="96"/>
      <c r="AR121" s="97" t="s">
        <v>971</v>
      </c>
      <c r="AS121" s="58"/>
      <c r="AT121" s="58"/>
      <c r="AU121" s="58"/>
      <c r="AV121" s="98" t="e">
        <f t="shared" si="16"/>
        <v>#N/A</v>
      </c>
      <c r="AW121" s="58"/>
      <c r="AX121" s="58"/>
      <c r="AY121" s="58"/>
      <c r="AZ121" s="58"/>
      <c r="BA121" s="48"/>
      <c r="BB121" s="48"/>
      <c r="BC121" s="48"/>
      <c r="BD121" s="48"/>
      <c r="BE121" s="48"/>
      <c r="BF121" s="48"/>
      <c r="BG121" s="48"/>
      <c r="BH121" s="48"/>
      <c r="BI121" s="48"/>
      <c r="BJ121" s="48"/>
      <c r="BK121" s="48"/>
      <c r="BL121" s="48"/>
      <c r="BM121" s="48"/>
      <c r="BN121" s="48"/>
      <c r="BO121" s="48"/>
      <c r="BP121" s="48"/>
      <c r="BQ121" s="48"/>
    </row>
    <row r="122" spans="1:69" ht="12.75" customHeight="1">
      <c r="A122" s="85">
        <v>118</v>
      </c>
      <c r="B122" s="86">
        <v>5110</v>
      </c>
      <c r="C122" s="29">
        <v>85</v>
      </c>
      <c r="D122" s="14">
        <v>80267904</v>
      </c>
      <c r="E122" s="18" t="str">
        <f>IF(D122&gt;0,VLOOKUP(D122,'PLANTA PERNO'!A:D,4,0)&amp;" "&amp;VLOOKUP(D122,'PLANTA PERNO'!A:D,2,0)&amp;" "&amp;VLOOKUP(D122,'PLANTA PERNO'!A:D,3,0),IF(N122="","VACANTE DEFINITIVA","VACANTE TEMPORAL"))</f>
        <v>CARLOS JULIO RAMIREZ MUÃ‘OZ</v>
      </c>
      <c r="F122" s="20" t="s">
        <v>49</v>
      </c>
      <c r="G122" s="20" t="str">
        <f t="shared" si="0"/>
        <v>CARRERA ADMINISTRATIVA</v>
      </c>
      <c r="H122" s="33">
        <f t="shared" si="33"/>
        <v>44400</v>
      </c>
      <c r="I122" s="33">
        <f t="shared" si="34"/>
        <v>44400</v>
      </c>
      <c r="J122" s="31" t="str">
        <f t="shared" si="35"/>
        <v>HOMBRE</v>
      </c>
      <c r="K122" s="21">
        <f t="shared" ca="1" si="36"/>
        <v>61</v>
      </c>
      <c r="L122" s="87" t="str">
        <f t="shared" si="39"/>
        <v/>
      </c>
      <c r="M122" s="21" t="str">
        <f t="shared" si="18"/>
        <v>EN PROPIEDAD</v>
      </c>
      <c r="N122" s="21">
        <v>80267904</v>
      </c>
      <c r="O122" s="18" t="str">
        <f>IF(N122="","VACANTE DEFINITIVA",(VLOOKUP(N122,'PLANTA PERNO'!A:D,4,0)&amp;" "&amp;VLOOKUP(N122,'PLANTA PERNO'!A:D,2,0)&amp;" "&amp;VLOOKUP(N122,'PLANTA PERNO'!A:D,3,0)))</f>
        <v>CARLOS JULIO RAMIREZ MUÃ‘OZ</v>
      </c>
      <c r="P122" s="21"/>
      <c r="Q122" s="21"/>
      <c r="R122" s="21"/>
      <c r="S122" s="21"/>
      <c r="T122" s="21"/>
      <c r="U122" s="21"/>
      <c r="V122" s="128"/>
      <c r="W122" s="21" t="str">
        <f t="shared" si="7"/>
        <v>OCUPADO</v>
      </c>
      <c r="X122" s="23" t="s">
        <v>50</v>
      </c>
      <c r="Y122" s="90" t="s">
        <v>72</v>
      </c>
      <c r="Z122" s="25">
        <v>219</v>
      </c>
      <c r="AA122" s="27">
        <v>18</v>
      </c>
      <c r="AB122" s="28" t="str">
        <f t="shared" si="8"/>
        <v>219-18</v>
      </c>
      <c r="AC122" s="24" t="s">
        <v>213</v>
      </c>
      <c r="AD122" s="63" t="s">
        <v>213</v>
      </c>
      <c r="AE122" s="24" t="s">
        <v>2358</v>
      </c>
      <c r="AF122" s="24" t="s">
        <v>2359</v>
      </c>
      <c r="AG122" s="24" t="s">
        <v>92</v>
      </c>
      <c r="AH122" s="24" t="s">
        <v>2357</v>
      </c>
      <c r="AI122" s="93">
        <f t="shared" si="9"/>
        <v>5951245</v>
      </c>
      <c r="AJ122" s="93">
        <v>0</v>
      </c>
      <c r="AK122" s="93">
        <f t="shared" si="37"/>
        <v>178537</v>
      </c>
      <c r="AL122" s="93">
        <f>IFERROR(INT(($AI122*(VLOOKUP($D122,'PORCENTAJES FACTORES'!B:N,12,0))/100)),0)</f>
        <v>2380498</v>
      </c>
      <c r="AM122" s="93">
        <f t="shared" si="38"/>
        <v>0</v>
      </c>
      <c r="AN122" s="93">
        <f t="shared" si="13"/>
        <v>0</v>
      </c>
      <c r="AO122" s="93">
        <f t="shared" si="14"/>
        <v>0</v>
      </c>
      <c r="AP122" s="95">
        <f t="shared" si="32"/>
        <v>8510280</v>
      </c>
      <c r="AQ122" s="96"/>
      <c r="AR122" s="97" t="s">
        <v>971</v>
      </c>
      <c r="AS122" s="58"/>
      <c r="AT122" s="58"/>
      <c r="AU122" s="58"/>
      <c r="AV122" s="98">
        <f t="shared" si="16"/>
        <v>80267904</v>
      </c>
      <c r="AW122" s="58"/>
      <c r="AX122" s="58"/>
      <c r="AY122" s="58"/>
      <c r="AZ122" s="58"/>
      <c r="BA122" s="48"/>
      <c r="BB122" s="48"/>
      <c r="BC122" s="48"/>
      <c r="BD122" s="48"/>
      <c r="BE122" s="48"/>
      <c r="BF122" s="48"/>
      <c r="BG122" s="48"/>
      <c r="BH122" s="48"/>
      <c r="BI122" s="48"/>
      <c r="BJ122" s="48"/>
      <c r="BK122" s="48"/>
      <c r="BL122" s="48"/>
      <c r="BM122" s="48"/>
      <c r="BN122" s="48"/>
      <c r="BO122" s="48"/>
      <c r="BP122" s="48"/>
      <c r="BQ122" s="48"/>
    </row>
    <row r="123" spans="1:69" ht="13.5" customHeight="1">
      <c r="A123" s="85">
        <v>119</v>
      </c>
      <c r="B123" s="86">
        <v>5119</v>
      </c>
      <c r="C123" s="29">
        <v>84</v>
      </c>
      <c r="D123" s="14">
        <v>93371977</v>
      </c>
      <c r="E123" s="18" t="str">
        <f>IF(D123&gt;0,VLOOKUP(D123,'PLANTA PERNO'!A:D,4,0)&amp;" "&amp;VLOOKUP(D123,'PLANTA PERNO'!A:D,2,0)&amp;" "&amp;VLOOKUP(D123,'PLANTA PERNO'!A:D,3,0),IF(N123="","VACANTE DEFINITIVA","VACANTE TEMPORAL"))</f>
        <v>DUVAN SANDOVAL RODRIGUEZ</v>
      </c>
      <c r="F123" s="20" t="s">
        <v>49</v>
      </c>
      <c r="G123" s="20" t="str">
        <f t="shared" si="0"/>
        <v>CARRERA ADMINISTRATIVA</v>
      </c>
      <c r="H123" s="33">
        <f t="shared" si="33"/>
        <v>42585</v>
      </c>
      <c r="I123" s="33">
        <f t="shared" si="34"/>
        <v>40267</v>
      </c>
      <c r="J123" s="31" t="str">
        <f t="shared" si="35"/>
        <v>HOMBRE</v>
      </c>
      <c r="K123" s="21">
        <f t="shared" ca="1" si="36"/>
        <v>58</v>
      </c>
      <c r="L123" s="87" t="str">
        <f t="shared" si="39"/>
        <v/>
      </c>
      <c r="M123" s="21" t="str">
        <f t="shared" si="18"/>
        <v>EN PROPIEDAD</v>
      </c>
      <c r="N123" s="21">
        <v>93371977</v>
      </c>
      <c r="O123" s="18" t="str">
        <f>IF(N123="","VACANTE DEFINITIVA",(VLOOKUP(N123,'PLANTA PERNO'!A:D,4,0)&amp;" "&amp;VLOOKUP(N123,'PLANTA PERNO'!A:D,2,0)&amp;" "&amp;VLOOKUP(N123,'PLANTA PERNO'!A:D,3,0)))</f>
        <v>DUVAN SANDOVAL RODRIGUEZ</v>
      </c>
      <c r="P123" s="21"/>
      <c r="Q123" s="21"/>
      <c r="R123" s="21"/>
      <c r="S123" s="21"/>
      <c r="T123" s="21"/>
      <c r="U123" s="21"/>
      <c r="V123" s="128"/>
      <c r="W123" s="21" t="str">
        <f t="shared" si="7"/>
        <v>OCUPADO</v>
      </c>
      <c r="X123" s="23" t="s">
        <v>50</v>
      </c>
      <c r="Y123" s="90" t="s">
        <v>72</v>
      </c>
      <c r="Z123" s="25">
        <v>219</v>
      </c>
      <c r="AA123" s="27">
        <v>18</v>
      </c>
      <c r="AB123" s="28" t="str">
        <f t="shared" si="8"/>
        <v>219-18</v>
      </c>
      <c r="AC123" s="24" t="s">
        <v>213</v>
      </c>
      <c r="AD123" s="127" t="s">
        <v>213</v>
      </c>
      <c r="AE123" s="24" t="s">
        <v>2355</v>
      </c>
      <c r="AF123" s="24" t="s">
        <v>2356</v>
      </c>
      <c r="AG123" s="24" t="s">
        <v>2360</v>
      </c>
      <c r="AH123" s="24" t="s">
        <v>2357</v>
      </c>
      <c r="AI123" s="93">
        <f t="shared" si="9"/>
        <v>5951245</v>
      </c>
      <c r="AJ123" s="93">
        <v>0</v>
      </c>
      <c r="AK123" s="93">
        <f t="shared" si="37"/>
        <v>416587</v>
      </c>
      <c r="AL123" s="93">
        <f>IFERROR(INT(($AI123*(VLOOKUP($D123,'PORCENTAJES FACTORES'!B:N,12,0))/100)),0)</f>
        <v>2380498</v>
      </c>
      <c r="AM123" s="93">
        <f t="shared" si="38"/>
        <v>0</v>
      </c>
      <c r="AN123" s="93">
        <f t="shared" si="13"/>
        <v>0</v>
      </c>
      <c r="AO123" s="93">
        <f t="shared" si="14"/>
        <v>0</v>
      </c>
      <c r="AP123" s="95">
        <f t="shared" si="32"/>
        <v>8748330</v>
      </c>
      <c r="AQ123" s="96"/>
      <c r="AR123" s="97" t="s">
        <v>971</v>
      </c>
      <c r="AS123" s="58"/>
      <c r="AT123" s="58"/>
      <c r="AU123" s="58"/>
      <c r="AV123" s="98">
        <f t="shared" si="16"/>
        <v>93371977</v>
      </c>
      <c r="AW123" s="58"/>
      <c r="AX123" s="58"/>
      <c r="AY123" s="58"/>
      <c r="AZ123" s="58"/>
      <c r="BA123" s="48"/>
      <c r="BB123" s="48"/>
      <c r="BC123" s="48"/>
      <c r="BD123" s="48"/>
      <c r="BE123" s="48"/>
      <c r="BF123" s="48"/>
      <c r="BG123" s="48"/>
      <c r="BH123" s="48"/>
      <c r="BI123" s="48"/>
      <c r="BJ123" s="48"/>
      <c r="BK123" s="48"/>
      <c r="BL123" s="48"/>
      <c r="BM123" s="48"/>
      <c r="BN123" s="48"/>
      <c r="BO123" s="48"/>
      <c r="BP123" s="48"/>
      <c r="BQ123" s="48"/>
    </row>
    <row r="124" spans="1:69" ht="13.5" customHeight="1">
      <c r="A124" s="85">
        <v>120</v>
      </c>
      <c r="B124" s="86">
        <v>5111</v>
      </c>
      <c r="C124" s="29">
        <v>86</v>
      </c>
      <c r="D124" s="14">
        <v>53001416</v>
      </c>
      <c r="E124" s="18" t="str">
        <f>IF(D124&gt;0,VLOOKUP(D124,'PLANTA PERNO'!A:D,4,0)&amp;" "&amp;VLOOKUP(D124,'PLANTA PERNO'!A:D,2,0)&amp;" "&amp;VLOOKUP(D124,'PLANTA PERNO'!A:D,3,0),IF(N124="","VACANTE DEFINITIVA","VACANTE TEMPORAL"))</f>
        <v>DIANA MARIA MORENO VARGAS</v>
      </c>
      <c r="F124" s="20" t="s">
        <v>49</v>
      </c>
      <c r="G124" s="20" t="str">
        <f t="shared" si="0"/>
        <v>CARRERA ADMINISTRATIVA</v>
      </c>
      <c r="H124" s="33">
        <f t="shared" si="33"/>
        <v>44643</v>
      </c>
      <c r="I124" s="33">
        <f t="shared" si="34"/>
        <v>44643</v>
      </c>
      <c r="J124" s="31" t="str">
        <f t="shared" si="35"/>
        <v>MUJER</v>
      </c>
      <c r="K124" s="21">
        <f t="shared" ca="1" si="36"/>
        <v>41</v>
      </c>
      <c r="L124" s="87" t="str">
        <f t="shared" si="39"/>
        <v/>
      </c>
      <c r="M124" s="21" t="str">
        <f t="shared" si="18"/>
        <v>EN PROPIEDAD</v>
      </c>
      <c r="N124" s="21">
        <v>53001416</v>
      </c>
      <c r="O124" s="18" t="str">
        <f>IF(N124="","VACANTE DEFINITIVA",(VLOOKUP(N124,'PLANTA PERNO'!A:D,4,0)&amp;" "&amp;VLOOKUP(N124,'PLANTA PERNO'!A:D,2,0)&amp;" "&amp;VLOOKUP(N124,'PLANTA PERNO'!A:D,3,0)))</f>
        <v>DIANA MARIA MORENO VARGAS</v>
      </c>
      <c r="P124" s="21"/>
      <c r="Q124" s="21"/>
      <c r="R124" s="21"/>
      <c r="S124" s="21"/>
      <c r="T124" s="21"/>
      <c r="U124" s="21"/>
      <c r="V124" s="128"/>
      <c r="W124" s="21" t="str">
        <f t="shared" si="7"/>
        <v>OCUPADO</v>
      </c>
      <c r="X124" s="23" t="s">
        <v>50</v>
      </c>
      <c r="Y124" s="90" t="s">
        <v>72</v>
      </c>
      <c r="Z124" s="25">
        <v>219</v>
      </c>
      <c r="AA124" s="27">
        <v>18</v>
      </c>
      <c r="AB124" s="28" t="str">
        <f t="shared" si="8"/>
        <v>219-18</v>
      </c>
      <c r="AC124" s="24" t="s">
        <v>33</v>
      </c>
      <c r="AD124" s="127" t="s">
        <v>33</v>
      </c>
      <c r="AE124" s="24" t="s">
        <v>77</v>
      </c>
      <c r="AF124" s="24" t="s">
        <v>78</v>
      </c>
      <c r="AG124" s="24" t="s">
        <v>80</v>
      </c>
      <c r="AH124" s="24" t="s">
        <v>81</v>
      </c>
      <c r="AI124" s="93">
        <f t="shared" si="9"/>
        <v>5951245</v>
      </c>
      <c r="AJ124" s="93">
        <v>0</v>
      </c>
      <c r="AK124" s="93">
        <f t="shared" si="37"/>
        <v>0</v>
      </c>
      <c r="AL124" s="93">
        <f>IFERROR(INT(($AI124*(VLOOKUP($D124,'PORCENTAJES FACTORES'!B:N,12,0))/100)),0)</f>
        <v>2380498</v>
      </c>
      <c r="AM124" s="93">
        <f t="shared" si="38"/>
        <v>0</v>
      </c>
      <c r="AN124" s="93">
        <f t="shared" si="13"/>
        <v>0</v>
      </c>
      <c r="AO124" s="93">
        <f t="shared" si="14"/>
        <v>0</v>
      </c>
      <c r="AP124" s="95">
        <f t="shared" si="32"/>
        <v>8331743</v>
      </c>
      <c r="AQ124" s="96"/>
      <c r="AR124" s="97" t="s">
        <v>971</v>
      </c>
      <c r="AS124" s="58"/>
      <c r="AT124" s="58"/>
      <c r="AU124" s="58"/>
      <c r="AV124" s="98">
        <f t="shared" si="16"/>
        <v>53001416</v>
      </c>
      <c r="AW124" s="58"/>
      <c r="AX124" s="58"/>
      <c r="AY124" s="58"/>
      <c r="AZ124" s="58"/>
      <c r="BA124" s="48"/>
      <c r="BB124" s="48"/>
      <c r="BC124" s="48"/>
      <c r="BD124" s="48"/>
      <c r="BE124" s="48"/>
      <c r="BF124" s="48"/>
      <c r="BG124" s="48"/>
      <c r="BH124" s="48"/>
      <c r="BI124" s="48"/>
      <c r="BJ124" s="48"/>
      <c r="BK124" s="48"/>
      <c r="BL124" s="48"/>
      <c r="BM124" s="48"/>
      <c r="BN124" s="48"/>
      <c r="BO124" s="48"/>
      <c r="BP124" s="48"/>
      <c r="BQ124" s="48"/>
    </row>
    <row r="125" spans="1:69" ht="13.5" customHeight="1">
      <c r="A125" s="85">
        <v>121</v>
      </c>
      <c r="B125" s="86">
        <v>5112</v>
      </c>
      <c r="C125" s="29">
        <v>87</v>
      </c>
      <c r="D125" s="14">
        <v>1110573560</v>
      </c>
      <c r="E125" s="18" t="str">
        <f>IF(D125&gt;0,VLOOKUP(D125,'PLANTA PERNO'!A:D,4,0)&amp;" "&amp;VLOOKUP(D125,'PLANTA PERNO'!A:D,2,0)&amp;" "&amp;VLOOKUP(D125,'PLANTA PERNO'!A:D,3,0),IF(N125="","VACANTE DEFINITIVA","VACANTE TEMPORAL"))</f>
        <v>CRISTHIAM DAVID JIMENEZ VASQUEZ</v>
      </c>
      <c r="F125" s="20" t="s">
        <v>49</v>
      </c>
      <c r="G125" s="20" t="str">
        <f t="shared" si="0"/>
        <v>EN ENCARGO</v>
      </c>
      <c r="H125" s="33">
        <f t="shared" si="33"/>
        <v>44299</v>
      </c>
      <c r="I125" s="33">
        <f t="shared" si="34"/>
        <v>44299</v>
      </c>
      <c r="J125" s="31" t="str">
        <f t="shared" si="35"/>
        <v>HOMBRE</v>
      </c>
      <c r="K125" s="21">
        <f t="shared" ca="1" si="36"/>
        <v>30</v>
      </c>
      <c r="L125" s="87" t="str">
        <f t="shared" si="39"/>
        <v>ENCARGO</v>
      </c>
      <c r="M125" s="21" t="str">
        <f t="shared" si="18"/>
        <v>VACANTE DEFINITIVA</v>
      </c>
      <c r="N125" s="21" t="s">
        <v>25</v>
      </c>
      <c r="O125" s="18" t="str">
        <f>IF(N125="","VACANTE DEFINITIVA",(VLOOKUP(N125,'PLANTA PERNO'!A:D,4,0)&amp;" "&amp;VLOOKUP(N125,'PLANTA PERNO'!A:D,2,0)&amp;" "&amp;VLOOKUP(N125,'PLANTA PERNO'!A:D,3,0)))</f>
        <v>VACANTE DEFINITIVA</v>
      </c>
      <c r="P125" s="21" t="s">
        <v>2342</v>
      </c>
      <c r="Q125" s="21">
        <v>1</v>
      </c>
      <c r="R125" s="21"/>
      <c r="S125" s="21"/>
      <c r="T125" s="21"/>
      <c r="U125" s="21"/>
      <c r="V125" s="128"/>
      <c r="W125" s="21" t="str">
        <f t="shared" si="7"/>
        <v>OCUPADO</v>
      </c>
      <c r="X125" s="23" t="s">
        <v>50</v>
      </c>
      <c r="Y125" s="90" t="s">
        <v>72</v>
      </c>
      <c r="Z125" s="25">
        <v>219</v>
      </c>
      <c r="AA125" s="27">
        <v>18</v>
      </c>
      <c r="AB125" s="28" t="str">
        <f t="shared" si="8"/>
        <v>219-18</v>
      </c>
      <c r="AC125" s="24" t="s">
        <v>33</v>
      </c>
      <c r="AD125" s="127" t="s">
        <v>33</v>
      </c>
      <c r="AE125" s="24" t="s">
        <v>77</v>
      </c>
      <c r="AF125" s="24" t="s">
        <v>78</v>
      </c>
      <c r="AG125" s="24" t="s">
        <v>80</v>
      </c>
      <c r="AH125" s="24" t="s">
        <v>81</v>
      </c>
      <c r="AI125" s="93">
        <f t="shared" si="9"/>
        <v>5951245</v>
      </c>
      <c r="AJ125" s="93">
        <v>0</v>
      </c>
      <c r="AK125" s="93">
        <f t="shared" si="37"/>
        <v>178537</v>
      </c>
      <c r="AL125" s="93">
        <f>IFERROR(INT(($AI125*(VLOOKUP($D125,'PORCENTAJES FACTORES'!B:N,12,0))/100)),0)</f>
        <v>2380498</v>
      </c>
      <c r="AM125" s="93">
        <f t="shared" si="38"/>
        <v>0</v>
      </c>
      <c r="AN125" s="93">
        <f t="shared" si="13"/>
        <v>0</v>
      </c>
      <c r="AO125" s="93">
        <f t="shared" si="14"/>
        <v>0</v>
      </c>
      <c r="AP125" s="95">
        <f t="shared" si="32"/>
        <v>8510280</v>
      </c>
      <c r="AQ125" s="96"/>
      <c r="AR125" s="97" t="s">
        <v>971</v>
      </c>
      <c r="AS125" s="58"/>
      <c r="AT125" s="58"/>
      <c r="AU125" s="58"/>
      <c r="AV125" s="98" t="e">
        <f t="shared" si="16"/>
        <v>#N/A</v>
      </c>
      <c r="AW125" s="58"/>
      <c r="AX125" s="58"/>
      <c r="AY125" s="58"/>
      <c r="AZ125" s="58"/>
      <c r="BA125" s="48"/>
      <c r="BB125" s="48"/>
      <c r="BC125" s="48"/>
      <c r="BD125" s="48"/>
      <c r="BE125" s="48"/>
      <c r="BF125" s="48"/>
      <c r="BG125" s="48"/>
      <c r="BH125" s="48"/>
      <c r="BI125" s="48"/>
      <c r="BJ125" s="48"/>
      <c r="BK125" s="48"/>
      <c r="BL125" s="48"/>
      <c r="BM125" s="48"/>
      <c r="BN125" s="48"/>
      <c r="BO125" s="48"/>
      <c r="BP125" s="48"/>
      <c r="BQ125" s="48"/>
    </row>
    <row r="126" spans="1:69" ht="12.75" customHeight="1">
      <c r="A126" s="85">
        <v>122</v>
      </c>
      <c r="B126" s="86">
        <v>5122</v>
      </c>
      <c r="C126" s="29">
        <v>88</v>
      </c>
      <c r="D126" s="14">
        <v>8980601</v>
      </c>
      <c r="E126" s="153" t="str">
        <f>IF(D126&gt;0,VLOOKUP(D126,'PLANTA PERNO'!A:D,4,0)&amp;" "&amp;VLOOKUP(D126,'PLANTA PERNO'!A:D,2,0)&amp;" "&amp;VLOOKUP(D126,'PLANTA PERNO'!A:D,3,0),IF(N126="","VACANTE DEFINITIVA","VACANTE TEMPORAL"))</f>
        <v>HUGO ALFONSO CABARCAS AYOLA</v>
      </c>
      <c r="F126" s="20" t="s">
        <v>247</v>
      </c>
      <c r="G126" s="20" t="str">
        <f t="shared" si="0"/>
        <v>EN PERIODO DE PRUEBA</v>
      </c>
      <c r="H126" s="33">
        <f t="shared" si="33"/>
        <v>46091</v>
      </c>
      <c r="I126" s="33">
        <f t="shared" si="34"/>
        <v>46091</v>
      </c>
      <c r="J126" s="31" t="str">
        <f t="shared" si="35"/>
        <v>HOMBRE</v>
      </c>
      <c r="K126" s="21">
        <f t="shared" ca="1" si="36"/>
        <v>44</v>
      </c>
      <c r="L126" s="87" t="str">
        <f t="shared" si="39"/>
        <v/>
      </c>
      <c r="M126" s="21" t="str">
        <f t="shared" si="18"/>
        <v>EN PROPIEDAD</v>
      </c>
      <c r="N126" s="21">
        <v>8980601</v>
      </c>
      <c r="O126" s="18" t="str">
        <f>IF(N126="","VACANTE DEFINITIVA",(VLOOKUP(N126,'PLANTA PERNO'!A:D,4,0)&amp;" "&amp;VLOOKUP(N126,'PLANTA PERNO'!A:D,2,0)&amp;" "&amp;VLOOKUP(N126,'PLANTA PERNO'!A:D,3,0)))</f>
        <v>HUGO ALFONSO CABARCAS AYOLA</v>
      </c>
      <c r="P126" s="21"/>
      <c r="Q126" s="21"/>
      <c r="R126" s="21"/>
      <c r="S126" s="21"/>
      <c r="T126" s="21"/>
      <c r="U126" s="21"/>
      <c r="V126" s="123">
        <v>220287</v>
      </c>
      <c r="W126" s="21" t="str">
        <f t="shared" si="7"/>
        <v>OCUPADO</v>
      </c>
      <c r="X126" s="23" t="s">
        <v>50</v>
      </c>
      <c r="Y126" s="90" t="s">
        <v>72</v>
      </c>
      <c r="Z126" s="25">
        <v>219</v>
      </c>
      <c r="AA126" s="27">
        <v>18</v>
      </c>
      <c r="AB126" s="28" t="str">
        <f t="shared" si="8"/>
        <v>219-18</v>
      </c>
      <c r="AC126" s="24" t="s">
        <v>150</v>
      </c>
      <c r="AD126" s="24" t="s">
        <v>150</v>
      </c>
      <c r="AE126" s="24" t="s">
        <v>2361</v>
      </c>
      <c r="AF126" s="24" t="s">
        <v>2362</v>
      </c>
      <c r="AG126" s="24" t="s">
        <v>2363</v>
      </c>
      <c r="AH126" s="24" t="s">
        <v>2364</v>
      </c>
      <c r="AI126" s="93">
        <f t="shared" si="9"/>
        <v>5951245</v>
      </c>
      <c r="AJ126" s="93">
        <v>0</v>
      </c>
      <c r="AK126" s="93">
        <f t="shared" si="37"/>
        <v>0</v>
      </c>
      <c r="AL126" s="93">
        <f>IFERROR(INT(($AI126*(VLOOKUP($D126,'PORCENTAJES FACTORES'!B:N,12,0))/100)),0)</f>
        <v>0</v>
      </c>
      <c r="AM126" s="93">
        <f t="shared" si="38"/>
        <v>0</v>
      </c>
      <c r="AN126" s="93">
        <f t="shared" si="13"/>
        <v>0</v>
      </c>
      <c r="AO126" s="93">
        <f t="shared" si="14"/>
        <v>0</v>
      </c>
      <c r="AP126" s="95">
        <f t="shared" si="32"/>
        <v>5951245</v>
      </c>
      <c r="AQ126" s="96"/>
      <c r="AR126" s="97" t="s">
        <v>971</v>
      </c>
      <c r="AS126" s="58"/>
      <c r="AT126" s="58"/>
      <c r="AU126" s="58"/>
      <c r="AV126" s="98">
        <f t="shared" si="16"/>
        <v>8980601</v>
      </c>
      <c r="AW126" s="58"/>
      <c r="AX126" s="58"/>
      <c r="AY126" s="58"/>
      <c r="AZ126" s="58"/>
      <c r="BA126" s="48"/>
      <c r="BB126" s="48"/>
      <c r="BC126" s="48"/>
      <c r="BD126" s="48"/>
      <c r="BE126" s="48"/>
      <c r="BF126" s="48"/>
      <c r="BG126" s="48"/>
      <c r="BH126" s="48"/>
      <c r="BI126" s="48"/>
      <c r="BJ126" s="48"/>
      <c r="BK126" s="48"/>
      <c r="BL126" s="48"/>
      <c r="BM126" s="48"/>
      <c r="BN126" s="48"/>
      <c r="BO126" s="48"/>
      <c r="BP126" s="48"/>
      <c r="BQ126" s="48"/>
    </row>
    <row r="127" spans="1:69" ht="12.75" customHeight="1">
      <c r="A127" s="85">
        <v>123</v>
      </c>
      <c r="B127" s="86">
        <v>5113</v>
      </c>
      <c r="C127" s="29">
        <v>89</v>
      </c>
      <c r="D127" s="14">
        <v>1013608357</v>
      </c>
      <c r="E127" s="18" t="str">
        <f>IF(D127&gt;0,VLOOKUP(D127,'PLANTA PERNO'!A:D,4,0)&amp;" "&amp;VLOOKUP(D127,'PLANTA PERNO'!A:D,2,0)&amp;" "&amp;VLOOKUP(D127,'PLANTA PERNO'!A:D,3,0),IF(N127="","VACANTE DEFINITIVA","VACANTE TEMPORAL"))</f>
        <v>MONICA JULIANA SANMIGUEL ROJAS</v>
      </c>
      <c r="F127" s="20" t="s">
        <v>49</v>
      </c>
      <c r="G127" s="20" t="str">
        <f t="shared" si="0"/>
        <v>EN ENCARGO</v>
      </c>
      <c r="H127" s="33">
        <f t="shared" si="33"/>
        <v>44463</v>
      </c>
      <c r="I127" s="33">
        <f t="shared" si="34"/>
        <v>44463</v>
      </c>
      <c r="J127" s="31" t="str">
        <f t="shared" si="35"/>
        <v>MUJER</v>
      </c>
      <c r="K127" s="21">
        <f t="shared" ca="1" si="36"/>
        <v>36</v>
      </c>
      <c r="L127" s="87" t="str">
        <f t="shared" si="39"/>
        <v>ENCARGO</v>
      </c>
      <c r="M127" s="21" t="str">
        <f t="shared" si="18"/>
        <v>VACANTE DEFINITIVA</v>
      </c>
      <c r="N127" s="21" t="s">
        <v>25</v>
      </c>
      <c r="O127" s="18" t="str">
        <f>IF(N127="","VACANTE DEFINITIVA",(VLOOKUP(N127,'PLANTA PERNO'!A:D,4,0)&amp;" "&amp;VLOOKUP(N127,'PLANTA PERNO'!A:D,2,0)&amp;" "&amp;VLOOKUP(N127,'PLANTA PERNO'!A:D,3,0)))</f>
        <v>VACANTE DEFINITIVA</v>
      </c>
      <c r="P127" s="21" t="s">
        <v>2365</v>
      </c>
      <c r="Q127" s="21">
        <v>1</v>
      </c>
      <c r="R127" s="21"/>
      <c r="S127" s="21"/>
      <c r="T127" s="21"/>
      <c r="U127" s="21"/>
      <c r="V127" s="128"/>
      <c r="W127" s="21" t="str">
        <f t="shared" si="7"/>
        <v>OCUPADO</v>
      </c>
      <c r="X127" s="23" t="s">
        <v>50</v>
      </c>
      <c r="Y127" s="90" t="s">
        <v>72</v>
      </c>
      <c r="Z127" s="25">
        <v>219</v>
      </c>
      <c r="AA127" s="27">
        <v>18</v>
      </c>
      <c r="AB127" s="28" t="str">
        <f t="shared" si="8"/>
        <v>219-18</v>
      </c>
      <c r="AC127" s="24" t="s">
        <v>150</v>
      </c>
      <c r="AD127" s="24" t="s">
        <v>150</v>
      </c>
      <c r="AE127" s="24" t="s">
        <v>2366</v>
      </c>
      <c r="AF127" s="24" t="s">
        <v>2367</v>
      </c>
      <c r="AG127" s="24" t="s">
        <v>92</v>
      </c>
      <c r="AH127" s="24" t="s">
        <v>2368</v>
      </c>
      <c r="AI127" s="93">
        <f t="shared" si="9"/>
        <v>5951245</v>
      </c>
      <c r="AJ127" s="93">
        <v>0</v>
      </c>
      <c r="AK127" s="93">
        <f>IFERROR(INT(($AI127*(VLOOKUP(#REF!,BASE_PORCENTAJES,10,0))/100)),0)</f>
        <v>0</v>
      </c>
      <c r="AL127" s="93">
        <f>IFERROR(INT(($AI127*(VLOOKUP($D127,'PORCENTAJES FACTORES'!B:N,12,0))/100)),0)</f>
        <v>2380498</v>
      </c>
      <c r="AM127" s="93">
        <f>IFERROR(INT(($AI127*(VLOOKUP(#REF!,BASE_PORCENTAJES,13,0))/100)),0)</f>
        <v>0</v>
      </c>
      <c r="AN127" s="93">
        <f t="shared" si="13"/>
        <v>0</v>
      </c>
      <c r="AO127" s="93">
        <f t="shared" si="14"/>
        <v>0</v>
      </c>
      <c r="AP127" s="95">
        <f t="shared" si="32"/>
        <v>8331743</v>
      </c>
      <c r="AQ127" s="96"/>
      <c r="AR127" s="97" t="s">
        <v>971</v>
      </c>
      <c r="AS127" s="58"/>
      <c r="AT127" s="58"/>
      <c r="AU127" s="58"/>
      <c r="AV127" s="98" t="e">
        <f t="shared" si="16"/>
        <v>#N/A</v>
      </c>
      <c r="AW127" s="58"/>
      <c r="AX127" s="58"/>
      <c r="AY127" s="58"/>
      <c r="AZ127" s="58"/>
      <c r="BA127" s="48"/>
      <c r="BB127" s="48"/>
      <c r="BC127" s="48"/>
      <c r="BD127" s="48"/>
      <c r="BE127" s="48"/>
      <c r="BF127" s="48"/>
      <c r="BG127" s="48"/>
      <c r="BH127" s="48"/>
      <c r="BI127" s="48"/>
      <c r="BJ127" s="48"/>
      <c r="BK127" s="48"/>
      <c r="BL127" s="48"/>
      <c r="BM127" s="48"/>
      <c r="BN127" s="48"/>
      <c r="BO127" s="48"/>
      <c r="BP127" s="48"/>
      <c r="BQ127" s="48"/>
    </row>
    <row r="128" spans="1:69" ht="12.75" customHeight="1">
      <c r="A128" s="85">
        <v>124</v>
      </c>
      <c r="B128" s="86">
        <v>5121</v>
      </c>
      <c r="C128" s="29">
        <v>90</v>
      </c>
      <c r="D128" s="14">
        <v>79584810</v>
      </c>
      <c r="E128" s="18" t="str">
        <f>IF(D128&gt;0,VLOOKUP(D128,'PLANTA PERNO'!A:D,4,0)&amp;" "&amp;VLOOKUP(D128,'PLANTA PERNO'!A:D,2,0)&amp;" "&amp;VLOOKUP(D128,'PLANTA PERNO'!A:D,3,0),IF(N128="","VACANTE DEFINITIVA","VACANTE TEMPORAL"))</f>
        <v>MIGUEL PINTO SEGURA</v>
      </c>
      <c r="F128" s="20" t="s">
        <v>49</v>
      </c>
      <c r="G128" s="20" t="str">
        <f t="shared" si="0"/>
        <v>CARRERA ADMINISTRATIVA</v>
      </c>
      <c r="H128" s="33">
        <f t="shared" si="33"/>
        <v>44139</v>
      </c>
      <c r="I128" s="33">
        <f t="shared" si="34"/>
        <v>44139</v>
      </c>
      <c r="J128" s="31" t="str">
        <f t="shared" si="35"/>
        <v>HOMBRE</v>
      </c>
      <c r="K128" s="21">
        <f t="shared" ca="1" si="36"/>
        <v>54</v>
      </c>
      <c r="L128" s="87" t="str">
        <f t="shared" si="39"/>
        <v/>
      </c>
      <c r="M128" s="21" t="str">
        <f t="shared" si="18"/>
        <v>EN PROPIEDAD</v>
      </c>
      <c r="N128" s="21">
        <v>79584810</v>
      </c>
      <c r="O128" s="18" t="str">
        <f>IF(N128="","VACANTE DEFINITIVA",(VLOOKUP(N128,'PLANTA PERNO'!A:D,4,0)&amp;" "&amp;VLOOKUP(N128,'PLANTA PERNO'!A:D,2,0)&amp;" "&amp;VLOOKUP(N128,'PLANTA PERNO'!A:D,3,0)))</f>
        <v>MIGUEL PINTO SEGURA</v>
      </c>
      <c r="P128" s="21"/>
      <c r="Q128" s="21"/>
      <c r="R128" s="21"/>
      <c r="S128" s="21"/>
      <c r="T128" s="21"/>
      <c r="U128" s="21"/>
      <c r="V128" s="128"/>
      <c r="W128" s="21" t="str">
        <f t="shared" si="7"/>
        <v>OCUPADO</v>
      </c>
      <c r="X128" s="23" t="s">
        <v>50</v>
      </c>
      <c r="Y128" s="90" t="s">
        <v>72</v>
      </c>
      <c r="Z128" s="25">
        <v>219</v>
      </c>
      <c r="AA128" s="27">
        <v>18</v>
      </c>
      <c r="AB128" s="28" t="s">
        <v>73</v>
      </c>
      <c r="AC128" s="24" t="s">
        <v>150</v>
      </c>
      <c r="AD128" s="24" t="s">
        <v>150</v>
      </c>
      <c r="AE128" s="24" t="s">
        <v>2369</v>
      </c>
      <c r="AF128" s="24" t="s">
        <v>2370</v>
      </c>
      <c r="AG128" s="24" t="s">
        <v>2371</v>
      </c>
      <c r="AH128" s="24" t="s">
        <v>2364</v>
      </c>
      <c r="AI128" s="93">
        <f t="shared" si="9"/>
        <v>5951245</v>
      </c>
      <c r="AJ128" s="93">
        <v>0</v>
      </c>
      <c r="AK128" s="93">
        <f t="shared" ref="AK128:AK174" si="40">IFERROR(INT(($AI128*(VLOOKUP($D128,BASE_PORCENTAJES,10,0))/100)),0)</f>
        <v>178537</v>
      </c>
      <c r="AL128" s="93">
        <f>IFERROR(INT(($AI128*(VLOOKUP($D128,'PORCENTAJES FACTORES'!B:N,12,0))/100)),0)</f>
        <v>2380498</v>
      </c>
      <c r="AM128" s="93">
        <f t="shared" ref="AM128:AM174" si="41">IFERROR(INT(($AI128*(VLOOKUP($D128,BASE_PORCENTAJES,13,0))/100)),0)</f>
        <v>0</v>
      </c>
      <c r="AN128" s="93">
        <f t="shared" si="13"/>
        <v>0</v>
      </c>
      <c r="AO128" s="93">
        <f t="shared" si="14"/>
        <v>0</v>
      </c>
      <c r="AP128" s="95">
        <f t="shared" si="32"/>
        <v>8510280</v>
      </c>
      <c r="AQ128" s="96"/>
      <c r="AR128" s="97" t="s">
        <v>971</v>
      </c>
      <c r="AS128" s="58"/>
      <c r="AT128" s="58"/>
      <c r="AU128" s="58"/>
      <c r="AV128" s="98">
        <f t="shared" si="16"/>
        <v>79584810</v>
      </c>
      <c r="AW128" s="58"/>
      <c r="AX128" s="58"/>
      <c r="AY128" s="58"/>
      <c r="AZ128" s="58"/>
      <c r="BA128" s="48"/>
      <c r="BB128" s="48"/>
      <c r="BC128" s="48"/>
      <c r="BD128" s="48"/>
      <c r="BE128" s="48"/>
      <c r="BF128" s="48"/>
      <c r="BG128" s="48"/>
      <c r="BH128" s="48"/>
      <c r="BI128" s="48"/>
      <c r="BJ128" s="48"/>
      <c r="BK128" s="48"/>
      <c r="BL128" s="48"/>
      <c r="BM128" s="48"/>
      <c r="BN128" s="48"/>
      <c r="BO128" s="48"/>
      <c r="BP128" s="48"/>
      <c r="BQ128" s="48"/>
    </row>
    <row r="129" spans="1:69" ht="12.75" customHeight="1">
      <c r="A129" s="85">
        <v>125</v>
      </c>
      <c r="B129" s="86">
        <v>5115</v>
      </c>
      <c r="C129" s="29">
        <v>91</v>
      </c>
      <c r="D129" s="14">
        <v>73155098</v>
      </c>
      <c r="E129" s="18" t="str">
        <f>IF(D129&gt;0,VLOOKUP(D129,'PLANTA PERNO'!A:D,4,0)&amp;" "&amp;VLOOKUP(D129,'PLANTA PERNO'!A:D,2,0)&amp;" "&amp;VLOOKUP(D129,'PLANTA PERNO'!A:D,3,0),IF(N129="","VACANTE DEFINITIVA","VACANTE TEMPORAL"))</f>
        <v>FERNAN ENRIQUE PEREZ FORTICH</v>
      </c>
      <c r="F129" s="20" t="s">
        <v>49</v>
      </c>
      <c r="G129" s="20" t="str">
        <f t="shared" si="0"/>
        <v>CARRERA ADMINISTRATIVA</v>
      </c>
      <c r="H129" s="33">
        <f t="shared" si="33"/>
        <v>44138</v>
      </c>
      <c r="I129" s="33">
        <f t="shared" si="34"/>
        <v>44138</v>
      </c>
      <c r="J129" s="31" t="str">
        <f t="shared" si="35"/>
        <v>HOMBRE</v>
      </c>
      <c r="K129" s="21">
        <f t="shared" ca="1" si="36"/>
        <v>54</v>
      </c>
      <c r="L129" s="87" t="str">
        <f t="shared" si="39"/>
        <v/>
      </c>
      <c r="M129" s="21" t="str">
        <f t="shared" si="18"/>
        <v>EN PROPIEDAD</v>
      </c>
      <c r="N129" s="21">
        <v>73155098</v>
      </c>
      <c r="O129" s="18" t="str">
        <f>IF(N129="","VACANTE DEFINITIVA",(VLOOKUP(N129,'PLANTA PERNO'!A:D,4,0)&amp;" "&amp;VLOOKUP(N129,'PLANTA PERNO'!A:D,2,0)&amp;" "&amp;VLOOKUP(N129,'PLANTA PERNO'!A:D,3,0)))</f>
        <v>FERNAN ENRIQUE PEREZ FORTICH</v>
      </c>
      <c r="P129" s="21"/>
      <c r="Q129" s="21"/>
      <c r="R129" s="21"/>
      <c r="S129" s="21"/>
      <c r="T129" s="21"/>
      <c r="U129" s="21"/>
      <c r="V129" s="128"/>
      <c r="W129" s="21" t="str">
        <f t="shared" si="7"/>
        <v>OCUPADO</v>
      </c>
      <c r="X129" s="23" t="s">
        <v>50</v>
      </c>
      <c r="Y129" s="90" t="s">
        <v>72</v>
      </c>
      <c r="Z129" s="25">
        <v>219</v>
      </c>
      <c r="AA129" s="27">
        <v>18</v>
      </c>
      <c r="AB129" s="28" t="str">
        <f t="shared" ref="AB129:AB174" si="42">Z129&amp;"-"&amp;AA129</f>
        <v>219-18</v>
      </c>
      <c r="AC129" s="24" t="s">
        <v>150</v>
      </c>
      <c r="AD129" s="24" t="s">
        <v>150</v>
      </c>
      <c r="AE129" s="24" t="s">
        <v>2366</v>
      </c>
      <c r="AF129" s="24" t="s">
        <v>2367</v>
      </c>
      <c r="AG129" s="24" t="s">
        <v>92</v>
      </c>
      <c r="AH129" s="24" t="s">
        <v>2368</v>
      </c>
      <c r="AI129" s="93">
        <f t="shared" si="9"/>
        <v>5951245</v>
      </c>
      <c r="AJ129" s="93">
        <v>0</v>
      </c>
      <c r="AK129" s="93">
        <f t="shared" si="40"/>
        <v>178537</v>
      </c>
      <c r="AL129" s="93">
        <f>IFERROR(INT(($AI129*(VLOOKUP($D129,'PORCENTAJES FACTORES'!B:N,12,0))/100)),0)</f>
        <v>2380498</v>
      </c>
      <c r="AM129" s="93">
        <f t="shared" si="41"/>
        <v>0</v>
      </c>
      <c r="AN129" s="93">
        <f t="shared" si="13"/>
        <v>0</v>
      </c>
      <c r="AO129" s="93">
        <f t="shared" si="14"/>
        <v>0</v>
      </c>
      <c r="AP129" s="95">
        <f t="shared" si="32"/>
        <v>8510280</v>
      </c>
      <c r="AQ129" s="96"/>
      <c r="AR129" s="97" t="s">
        <v>971</v>
      </c>
      <c r="AS129" s="58"/>
      <c r="AT129" s="58"/>
      <c r="AU129" s="58"/>
      <c r="AV129" s="98">
        <f t="shared" si="16"/>
        <v>73155098</v>
      </c>
      <c r="AW129" s="58"/>
      <c r="AX129" s="58"/>
      <c r="AY129" s="58"/>
      <c r="AZ129" s="58"/>
      <c r="BA129" s="48"/>
      <c r="BB129" s="48"/>
      <c r="BC129" s="48"/>
      <c r="BD129" s="48"/>
      <c r="BE129" s="48"/>
      <c r="BF129" s="48"/>
      <c r="BG129" s="48"/>
      <c r="BH129" s="48"/>
      <c r="BI129" s="48"/>
      <c r="BJ129" s="48"/>
      <c r="BK129" s="48"/>
      <c r="BL129" s="48"/>
      <c r="BM129" s="48"/>
      <c r="BN129" s="48"/>
      <c r="BO129" s="48"/>
      <c r="BP129" s="48"/>
      <c r="BQ129" s="48"/>
    </row>
    <row r="130" spans="1:69" ht="12.75" customHeight="1">
      <c r="A130" s="85">
        <v>126</v>
      </c>
      <c r="B130" s="86">
        <v>5116</v>
      </c>
      <c r="C130" s="29">
        <v>92</v>
      </c>
      <c r="D130" s="14">
        <v>16077540</v>
      </c>
      <c r="E130" s="18" t="str">
        <f>IF(D130&gt;0,VLOOKUP(D130,'PLANTA PERNO'!A:D,4,0)&amp;" "&amp;VLOOKUP(D130,'PLANTA PERNO'!A:D,2,0)&amp;" "&amp;VLOOKUP(D130,'PLANTA PERNO'!A:D,3,0),IF(N130="","VACANTE DEFINITIVA","VACANTE TEMPORAL"))</f>
        <v>IVAN DAVID RAMIREZ VALENCIA</v>
      </c>
      <c r="F130" s="20" t="s">
        <v>49</v>
      </c>
      <c r="G130" s="20" t="str">
        <f t="shared" si="0"/>
        <v>CARRERA ADMINISTRATIVA</v>
      </c>
      <c r="H130" s="33">
        <f t="shared" si="33"/>
        <v>44166</v>
      </c>
      <c r="I130" s="33">
        <f t="shared" si="34"/>
        <v>44166</v>
      </c>
      <c r="J130" s="31" t="str">
        <f t="shared" si="35"/>
        <v>HOMBRE</v>
      </c>
      <c r="K130" s="21">
        <f t="shared" ca="1" si="36"/>
        <v>42</v>
      </c>
      <c r="L130" s="87" t="str">
        <f t="shared" si="39"/>
        <v/>
      </c>
      <c r="M130" s="21" t="str">
        <f t="shared" si="18"/>
        <v>EN PROPIEDAD</v>
      </c>
      <c r="N130" s="21">
        <v>16077540</v>
      </c>
      <c r="O130" s="18" t="str">
        <f>IF(N130="","VACANTE DEFINITIVA",(VLOOKUP(N130,'PLANTA PERNO'!A:D,4,0)&amp;" "&amp;VLOOKUP(N130,'PLANTA PERNO'!A:D,2,0)&amp;" "&amp;VLOOKUP(N130,'PLANTA PERNO'!A:D,3,0)))</f>
        <v>IVAN DAVID RAMIREZ VALENCIA</v>
      </c>
      <c r="P130" s="21"/>
      <c r="Q130" s="21"/>
      <c r="R130" s="21"/>
      <c r="S130" s="21"/>
      <c r="T130" s="21"/>
      <c r="U130" s="21"/>
      <c r="V130" s="128"/>
      <c r="W130" s="21" t="str">
        <f t="shared" si="7"/>
        <v>OCUPADO</v>
      </c>
      <c r="X130" s="23" t="s">
        <v>50</v>
      </c>
      <c r="Y130" s="90" t="s">
        <v>72</v>
      </c>
      <c r="Z130" s="25">
        <v>219</v>
      </c>
      <c r="AA130" s="27">
        <v>18</v>
      </c>
      <c r="AB130" s="28" t="str">
        <f t="shared" si="42"/>
        <v>219-18</v>
      </c>
      <c r="AC130" s="24" t="s">
        <v>150</v>
      </c>
      <c r="AD130" s="24" t="s">
        <v>150</v>
      </c>
      <c r="AE130" s="24" t="s">
        <v>2372</v>
      </c>
      <c r="AF130" s="24" t="s">
        <v>2373</v>
      </c>
      <c r="AG130" s="24" t="s">
        <v>2374</v>
      </c>
      <c r="AH130" s="24" t="s">
        <v>2375</v>
      </c>
      <c r="AI130" s="93">
        <f t="shared" si="9"/>
        <v>5951245</v>
      </c>
      <c r="AJ130" s="93">
        <v>0</v>
      </c>
      <c r="AK130" s="93">
        <f t="shared" si="40"/>
        <v>178537</v>
      </c>
      <c r="AL130" s="93">
        <f>IFERROR(INT(($AI130*(VLOOKUP($D130,'PORCENTAJES FACTORES'!B:N,12,0))/100)),0)</f>
        <v>2380498</v>
      </c>
      <c r="AM130" s="93">
        <f t="shared" si="41"/>
        <v>0</v>
      </c>
      <c r="AN130" s="93">
        <f t="shared" si="13"/>
        <v>0</v>
      </c>
      <c r="AO130" s="93">
        <f t="shared" si="14"/>
        <v>0</v>
      </c>
      <c r="AP130" s="95">
        <f t="shared" si="32"/>
        <v>8510280</v>
      </c>
      <c r="AQ130" s="96"/>
      <c r="AR130" s="97" t="s">
        <v>971</v>
      </c>
      <c r="AS130" s="58"/>
      <c r="AT130" s="58"/>
      <c r="AU130" s="58"/>
      <c r="AV130" s="98">
        <f t="shared" si="16"/>
        <v>16077540</v>
      </c>
      <c r="AW130" s="58"/>
      <c r="AX130" s="58"/>
      <c r="AY130" s="58"/>
      <c r="AZ130" s="58"/>
      <c r="BA130" s="48"/>
      <c r="BB130" s="48"/>
      <c r="BC130" s="48"/>
      <c r="BD130" s="48"/>
      <c r="BE130" s="48"/>
      <c r="BF130" s="48"/>
      <c r="BG130" s="48"/>
      <c r="BH130" s="48"/>
      <c r="BI130" s="48"/>
      <c r="BJ130" s="48"/>
      <c r="BK130" s="48"/>
      <c r="BL130" s="48"/>
      <c r="BM130" s="48"/>
      <c r="BN130" s="48"/>
      <c r="BO130" s="48"/>
      <c r="BP130" s="48"/>
      <c r="BQ130" s="48"/>
    </row>
    <row r="131" spans="1:69" ht="12.75" customHeight="1">
      <c r="A131" s="85">
        <v>127</v>
      </c>
      <c r="B131" s="86">
        <v>5117</v>
      </c>
      <c r="C131" s="29">
        <v>93</v>
      </c>
      <c r="D131" s="14">
        <v>52646082</v>
      </c>
      <c r="E131" s="18" t="str">
        <f>IF(D131&gt;0,VLOOKUP(D131,'PLANTA PERNO'!A:D,4,0)&amp;" "&amp;VLOOKUP(D131,'PLANTA PERNO'!A:D,2,0)&amp;" "&amp;VLOOKUP(D131,'PLANTA PERNO'!A:D,3,0),IF(N131="","VACANTE DEFINITIVA","VACANTE TEMPORAL"))</f>
        <v>SANDRA NICOLASA ORGANISTA BUILES</v>
      </c>
      <c r="F131" s="20" t="s">
        <v>49</v>
      </c>
      <c r="G131" s="20" t="str">
        <f t="shared" si="0"/>
        <v>CARRERA ADMINISTRATIVA</v>
      </c>
      <c r="H131" s="33">
        <f t="shared" si="33"/>
        <v>44145</v>
      </c>
      <c r="I131" s="33">
        <f t="shared" si="34"/>
        <v>44145</v>
      </c>
      <c r="J131" s="31" t="str">
        <f t="shared" si="35"/>
        <v>MUJER</v>
      </c>
      <c r="K131" s="21">
        <f t="shared" ca="1" si="36"/>
        <v>52</v>
      </c>
      <c r="L131" s="87" t="str">
        <f t="shared" si="39"/>
        <v/>
      </c>
      <c r="M131" s="21" t="str">
        <f t="shared" si="18"/>
        <v>EN PROPIEDAD</v>
      </c>
      <c r="N131" s="21">
        <v>52646082</v>
      </c>
      <c r="O131" s="18" t="str">
        <f>IF(N131="","VACANTE DEFINITIVA",(VLOOKUP(N131,'PLANTA PERNO'!A:D,4,0)&amp;" "&amp;VLOOKUP(N131,'PLANTA PERNO'!A:D,2,0)&amp;" "&amp;VLOOKUP(N131,'PLANTA PERNO'!A:D,3,0)))</f>
        <v>SANDRA NICOLASA ORGANISTA BUILES</v>
      </c>
      <c r="P131" s="21"/>
      <c r="Q131" s="21"/>
      <c r="R131" s="21"/>
      <c r="S131" s="21"/>
      <c r="T131" s="21"/>
      <c r="U131" s="21"/>
      <c r="V131" s="128"/>
      <c r="W131" s="21" t="str">
        <f t="shared" si="7"/>
        <v>OCUPADO</v>
      </c>
      <c r="X131" s="23" t="s">
        <v>50</v>
      </c>
      <c r="Y131" s="90" t="s">
        <v>72</v>
      </c>
      <c r="Z131" s="25">
        <v>219</v>
      </c>
      <c r="AA131" s="27">
        <v>18</v>
      </c>
      <c r="AB131" s="28" t="str">
        <f t="shared" si="42"/>
        <v>219-18</v>
      </c>
      <c r="AC131" s="24" t="s">
        <v>150</v>
      </c>
      <c r="AD131" s="24" t="s">
        <v>150</v>
      </c>
      <c r="AE131" s="24" t="s">
        <v>2366</v>
      </c>
      <c r="AF131" s="24" t="s">
        <v>2367</v>
      </c>
      <c r="AG131" s="24" t="s">
        <v>92</v>
      </c>
      <c r="AH131" s="24" t="s">
        <v>2368</v>
      </c>
      <c r="AI131" s="93">
        <f t="shared" si="9"/>
        <v>5951245</v>
      </c>
      <c r="AJ131" s="93">
        <v>0</v>
      </c>
      <c r="AK131" s="93">
        <f t="shared" si="40"/>
        <v>178537</v>
      </c>
      <c r="AL131" s="93">
        <f>IFERROR(INT(($AI131*(VLOOKUP($D131,'PORCENTAJES FACTORES'!B:N,12,0))/100)),0)</f>
        <v>2380498</v>
      </c>
      <c r="AM131" s="93">
        <f t="shared" si="41"/>
        <v>0</v>
      </c>
      <c r="AN131" s="93">
        <f t="shared" si="13"/>
        <v>0</v>
      </c>
      <c r="AO131" s="93">
        <f t="shared" si="14"/>
        <v>0</v>
      </c>
      <c r="AP131" s="95">
        <f t="shared" si="32"/>
        <v>8510280</v>
      </c>
      <c r="AQ131" s="96"/>
      <c r="AR131" s="97" t="s">
        <v>971</v>
      </c>
      <c r="AS131" s="58"/>
      <c r="AT131" s="58"/>
      <c r="AU131" s="58"/>
      <c r="AV131" s="98">
        <f t="shared" si="16"/>
        <v>52646082</v>
      </c>
      <c r="AW131" s="58"/>
      <c r="AX131" s="58"/>
      <c r="AY131" s="58"/>
      <c r="AZ131" s="58"/>
      <c r="BA131" s="48"/>
      <c r="BB131" s="48"/>
      <c r="BC131" s="48"/>
      <c r="BD131" s="48"/>
      <c r="BE131" s="48"/>
      <c r="BF131" s="48"/>
      <c r="BG131" s="48"/>
      <c r="BH131" s="48"/>
      <c r="BI131" s="48"/>
      <c r="BJ131" s="48"/>
      <c r="BK131" s="48"/>
      <c r="BL131" s="48"/>
      <c r="BM131" s="48"/>
      <c r="BN131" s="48"/>
      <c r="BO131" s="48"/>
      <c r="BP131" s="48"/>
      <c r="BQ131" s="48"/>
    </row>
    <row r="132" spans="1:69" ht="12.75" customHeight="1">
      <c r="A132" s="85">
        <v>128</v>
      </c>
      <c r="B132" s="86">
        <v>5114</v>
      </c>
      <c r="C132" s="29">
        <v>94</v>
      </c>
      <c r="D132" s="14">
        <v>80826518</v>
      </c>
      <c r="E132" s="18" t="str">
        <f>IF(D132&gt;0,VLOOKUP(D132,'PLANTA PERNO'!A:D,4,0)&amp;" "&amp;VLOOKUP(D132,'PLANTA PERNO'!A:D,2,0)&amp;" "&amp;VLOOKUP(D132,'PLANTA PERNO'!A:D,3,0),IF(N132="","VACANTE DEFINITIVA","VACANTE TEMPORAL"))</f>
        <v>ANDRES FABIAN NOSSA GUZMAN</v>
      </c>
      <c r="F132" s="20" t="s">
        <v>247</v>
      </c>
      <c r="G132" s="20" t="str">
        <f t="shared" si="0"/>
        <v>EN PERIODO DE PRUEBA</v>
      </c>
      <c r="H132" s="33">
        <f t="shared" si="33"/>
        <v>46190</v>
      </c>
      <c r="I132" s="33">
        <f t="shared" si="34"/>
        <v>46190</v>
      </c>
      <c r="J132" s="31" t="str">
        <f t="shared" si="35"/>
        <v>HOMBRE</v>
      </c>
      <c r="K132" s="21">
        <f t="shared" ca="1" si="36"/>
        <v>42</v>
      </c>
      <c r="L132" s="87" t="str">
        <f t="shared" si="39"/>
        <v/>
      </c>
      <c r="M132" s="21" t="str">
        <f t="shared" si="18"/>
        <v>EN PROPIEDAD</v>
      </c>
      <c r="N132" s="21">
        <v>80826518</v>
      </c>
      <c r="O132" s="18" t="str">
        <f>IF(N132="","VACANTE DEFINITIVA",(VLOOKUP(N132,'PLANTA PERNO'!A:D,4,0)&amp;" "&amp;VLOOKUP(N132,'PLANTA PERNO'!A:D,2,0)&amp;" "&amp;VLOOKUP(N132,'PLANTA PERNO'!A:D,3,0)))</f>
        <v>ANDRES FABIAN NOSSA GUZMAN</v>
      </c>
      <c r="P132" s="21"/>
      <c r="Q132" s="21"/>
      <c r="R132" s="21"/>
      <c r="S132" s="21"/>
      <c r="T132" s="21"/>
      <c r="U132" s="21"/>
      <c r="V132" s="128"/>
      <c r="W132" s="21" t="str">
        <f t="shared" si="7"/>
        <v>OCUPADO</v>
      </c>
      <c r="X132" s="23" t="s">
        <v>50</v>
      </c>
      <c r="Y132" s="90" t="s">
        <v>72</v>
      </c>
      <c r="Z132" s="25">
        <v>219</v>
      </c>
      <c r="AA132" s="27">
        <v>18</v>
      </c>
      <c r="AB132" s="28" t="str">
        <f t="shared" si="42"/>
        <v>219-18</v>
      </c>
      <c r="AC132" s="24" t="s">
        <v>150</v>
      </c>
      <c r="AD132" s="24" t="s">
        <v>150</v>
      </c>
      <c r="AE132" s="24" t="s">
        <v>2369</v>
      </c>
      <c r="AF132" s="24" t="s">
        <v>2370</v>
      </c>
      <c r="AG132" s="24" t="s">
        <v>2371</v>
      </c>
      <c r="AH132" s="24" t="s">
        <v>2364</v>
      </c>
      <c r="AI132" s="93">
        <f t="shared" si="9"/>
        <v>5951245</v>
      </c>
      <c r="AJ132" s="93">
        <v>0</v>
      </c>
      <c r="AK132" s="93">
        <f t="shared" si="40"/>
        <v>0</v>
      </c>
      <c r="AL132" s="93">
        <f>IFERROR(INT(($AI132*(VLOOKUP($D132,'PORCENTAJES FACTORES'!B:N,12,0))/100)),0)</f>
        <v>0</v>
      </c>
      <c r="AM132" s="93">
        <f t="shared" si="41"/>
        <v>0</v>
      </c>
      <c r="AN132" s="93">
        <f t="shared" si="13"/>
        <v>0</v>
      </c>
      <c r="AO132" s="93">
        <f t="shared" si="14"/>
        <v>0</v>
      </c>
      <c r="AP132" s="95">
        <f t="shared" si="32"/>
        <v>5951245</v>
      </c>
      <c r="AQ132" s="96"/>
      <c r="AR132" s="97" t="s">
        <v>971</v>
      </c>
      <c r="AS132" s="58"/>
      <c r="AT132" s="58"/>
      <c r="AU132" s="58"/>
      <c r="AV132" s="98">
        <f t="shared" si="16"/>
        <v>80826518</v>
      </c>
      <c r="AW132" s="58"/>
      <c r="AX132" s="58"/>
      <c r="AY132" s="58"/>
      <c r="AZ132" s="58"/>
      <c r="BA132" s="48"/>
      <c r="BB132" s="48"/>
      <c r="BC132" s="48"/>
      <c r="BD132" s="48"/>
      <c r="BE132" s="48"/>
      <c r="BF132" s="48"/>
      <c r="BG132" s="48"/>
      <c r="BH132" s="48"/>
      <c r="BI132" s="48"/>
      <c r="BJ132" s="48"/>
      <c r="BK132" s="48"/>
      <c r="BL132" s="48"/>
      <c r="BM132" s="48"/>
      <c r="BN132" s="48"/>
      <c r="BO132" s="48"/>
      <c r="BP132" s="48"/>
      <c r="BQ132" s="48"/>
    </row>
    <row r="133" spans="1:69" ht="12.75" customHeight="1">
      <c r="A133" s="85">
        <v>129</v>
      </c>
      <c r="B133" s="206">
        <v>5126</v>
      </c>
      <c r="C133" s="207">
        <v>95</v>
      </c>
      <c r="D133" s="14">
        <v>1018482333</v>
      </c>
      <c r="E133" s="18" t="str">
        <f>IF(D133&gt;0,VLOOKUP(D133,'PLANTA PERNO'!A:D,4,0)&amp;" "&amp;VLOOKUP(D133,'PLANTA PERNO'!A:D,2,0)&amp;" "&amp;VLOOKUP(D133,'PLANTA PERNO'!A:D,3,0),IF(N133="","VACANTE DEFINITIVA","VACANTE TEMPORAL"))</f>
        <v>DANIELA RODRIGUEZ NARVAEZ</v>
      </c>
      <c r="F133" s="20" t="s">
        <v>49</v>
      </c>
      <c r="G133" s="20" t="str">
        <f t="shared" si="0"/>
        <v>EN ENCARGO</v>
      </c>
      <c r="H133" s="33">
        <f t="shared" ref="H133:H164" si="43">IFERROR(VLOOKUP($D133,PLANTA_PERNO,16,0)," ")</f>
        <v>44154</v>
      </c>
      <c r="I133" s="33">
        <f t="shared" ref="I133:I164" si="44">IFERROR(VLOOKUP($D133,PLANTA_PERNO,17,0),"")</f>
        <v>44154</v>
      </c>
      <c r="J133" s="31" t="str">
        <f t="shared" ref="J133:J164" si="45">IF(IFERROR((VLOOKUP($D133,PLANTA_PERNO,9,0)),"")="F","MUJER",IF(IFERROR((VLOOKUP($D133,PLANTA_PERNO,9,0)),"")="M","HOMBRE",""))</f>
        <v>MUJER</v>
      </c>
      <c r="K133" s="21">
        <f t="shared" ref="K133:K164" ca="1" si="46">IFERROR(DATEDIF((VLOOKUP($D133,PLANTA_PERNO,6,0)),$K$3,"Y"),"")</f>
        <v>30</v>
      </c>
      <c r="L133" s="87" t="str">
        <f t="shared" si="39"/>
        <v>ENCARGO</v>
      </c>
      <c r="M133" s="208" t="str">
        <f t="shared" si="18"/>
        <v>VACANTE DEFINITIVA</v>
      </c>
      <c r="N133" s="21" t="s">
        <v>25</v>
      </c>
      <c r="O133" s="18" t="str">
        <f>IF(N133="","VACANTE DEFINITIVA",(VLOOKUP(N133,'PLANTA PERNO'!A:D,4,0)&amp;" "&amp;VLOOKUP(N133,'PLANTA PERNO'!A:D,2,0)&amp;" "&amp;VLOOKUP(N133,'PLANTA PERNO'!A:D,3,0)))</f>
        <v>VACANTE DEFINITIVA</v>
      </c>
      <c r="P133" s="208" t="s">
        <v>2376</v>
      </c>
      <c r="Q133" s="208">
        <v>5</v>
      </c>
      <c r="R133" s="208"/>
      <c r="S133" s="208"/>
      <c r="T133" s="208"/>
      <c r="U133" s="208"/>
      <c r="V133" s="128"/>
      <c r="W133" s="208" t="str">
        <f t="shared" si="7"/>
        <v>OCUPADO</v>
      </c>
      <c r="X133" s="209" t="s">
        <v>50</v>
      </c>
      <c r="Y133" s="210" t="s">
        <v>72</v>
      </c>
      <c r="Z133" s="25">
        <v>219</v>
      </c>
      <c r="AA133" s="27">
        <v>15</v>
      </c>
      <c r="AB133" s="211" t="str">
        <f t="shared" si="42"/>
        <v>219-15</v>
      </c>
      <c r="AC133" s="63" t="s">
        <v>68</v>
      </c>
      <c r="AD133" s="63" t="s">
        <v>68</v>
      </c>
      <c r="AE133" s="63" t="s">
        <v>2377</v>
      </c>
      <c r="AF133" s="63" t="s">
        <v>2378</v>
      </c>
      <c r="AG133" s="63" t="s">
        <v>2379</v>
      </c>
      <c r="AH133" s="63" t="s">
        <v>2380</v>
      </c>
      <c r="AI133" s="93">
        <f t="shared" si="9"/>
        <v>5771486</v>
      </c>
      <c r="AJ133" s="212">
        <v>0</v>
      </c>
      <c r="AK133" s="212">
        <f t="shared" si="40"/>
        <v>173144</v>
      </c>
      <c r="AL133" s="212">
        <f>IFERROR(INT(($AI133*(VLOOKUP($D133,'PORCENTAJES FACTORES'!B:N,12,0))/100)),0)</f>
        <v>2308594</v>
      </c>
      <c r="AM133" s="212">
        <f t="shared" si="41"/>
        <v>0</v>
      </c>
      <c r="AN133" s="93">
        <f t="shared" si="13"/>
        <v>0</v>
      </c>
      <c r="AO133" s="93">
        <f t="shared" si="14"/>
        <v>0</v>
      </c>
      <c r="AP133" s="95">
        <f t="shared" si="32"/>
        <v>8253224</v>
      </c>
      <c r="AQ133" s="96"/>
      <c r="AR133" s="97" t="s">
        <v>817</v>
      </c>
      <c r="AS133" s="58"/>
      <c r="AT133" s="58"/>
      <c r="AU133" s="58"/>
      <c r="AV133" s="98" t="e">
        <f t="shared" si="16"/>
        <v>#N/A</v>
      </c>
      <c r="AW133" s="58"/>
      <c r="AX133" s="58"/>
      <c r="AY133" s="58"/>
      <c r="AZ133" s="58"/>
      <c r="BA133" s="48"/>
      <c r="BB133" s="48"/>
      <c r="BC133" s="48"/>
      <c r="BD133" s="48"/>
      <c r="BE133" s="48"/>
      <c r="BF133" s="48"/>
      <c r="BG133" s="48"/>
      <c r="BH133" s="48"/>
      <c r="BI133" s="48"/>
      <c r="BJ133" s="48"/>
      <c r="BK133" s="48"/>
      <c r="BL133" s="48"/>
      <c r="BM133" s="48"/>
      <c r="BN133" s="48"/>
      <c r="BO133" s="48"/>
      <c r="BP133" s="48"/>
      <c r="BQ133" s="48"/>
    </row>
    <row r="134" spans="1:69" ht="12.75" customHeight="1">
      <c r="A134" s="85">
        <v>130</v>
      </c>
      <c r="B134" s="86">
        <v>5130</v>
      </c>
      <c r="C134" s="29">
        <v>96</v>
      </c>
      <c r="D134" s="14">
        <v>1015419295</v>
      </c>
      <c r="E134" s="18" t="str">
        <f>IF(D134&gt;0,VLOOKUP(D134,'PLANTA PERNO'!A:D,4,0)&amp;" "&amp;VLOOKUP(D134,'PLANTA PERNO'!A:D,2,0)&amp;" "&amp;VLOOKUP(D134,'PLANTA PERNO'!A:D,3,0),IF(N134="","VACANTE DEFINITIVA","VACANTE TEMPORAL"))</f>
        <v>HELVER MANUEL MORA MONTOYA</v>
      </c>
      <c r="F134" s="20" t="s">
        <v>49</v>
      </c>
      <c r="G134" s="20" t="str">
        <f t="shared" si="0"/>
        <v>EN ENCARGO</v>
      </c>
      <c r="H134" s="33">
        <f t="shared" si="43"/>
        <v>42828</v>
      </c>
      <c r="I134" s="33">
        <f t="shared" si="44"/>
        <v>42828</v>
      </c>
      <c r="J134" s="31" t="str">
        <f t="shared" si="45"/>
        <v>HOMBRE</v>
      </c>
      <c r="K134" s="21">
        <f t="shared" ca="1" si="46"/>
        <v>36</v>
      </c>
      <c r="L134" s="87" t="str">
        <f t="shared" si="39"/>
        <v>ENCARGO</v>
      </c>
      <c r="M134" s="21" t="str">
        <f t="shared" si="18"/>
        <v>VACANTE DEFINITIVA</v>
      </c>
      <c r="N134" s="21"/>
      <c r="O134" s="18" t="str">
        <f>IF(N134="","VACANTE DEFINITIVA",(VLOOKUP(N134,'PLANTA PERNO'!A:D,4,0)&amp;" "&amp;VLOOKUP(N134,'PLANTA PERNO'!A:D,2,0)&amp;" "&amp;VLOOKUP(N134,'PLANTA PERNO'!A:D,3,0)))</f>
        <v>VACANTE DEFINITIVA</v>
      </c>
      <c r="P134" s="21" t="s">
        <v>2381</v>
      </c>
      <c r="Q134" s="21">
        <v>1</v>
      </c>
      <c r="R134" s="21"/>
      <c r="S134" s="21"/>
      <c r="T134" s="21"/>
      <c r="U134" s="21"/>
      <c r="V134" s="128"/>
      <c r="W134" s="21" t="str">
        <f t="shared" si="7"/>
        <v>OCUPADO</v>
      </c>
      <c r="X134" s="23" t="s">
        <v>50</v>
      </c>
      <c r="Y134" s="90" t="s">
        <v>72</v>
      </c>
      <c r="Z134" s="25">
        <v>219</v>
      </c>
      <c r="AA134" s="27">
        <v>15</v>
      </c>
      <c r="AB134" s="28" t="str">
        <f t="shared" si="42"/>
        <v>219-15</v>
      </c>
      <c r="AC134" s="24" t="s">
        <v>150</v>
      </c>
      <c r="AD134" s="24" t="s">
        <v>150</v>
      </c>
      <c r="AE134" s="24" t="s">
        <v>2382</v>
      </c>
      <c r="AF134" s="24" t="s">
        <v>2383</v>
      </c>
      <c r="AG134" s="24" t="s">
        <v>92</v>
      </c>
      <c r="AH134" s="24" t="s">
        <v>2384</v>
      </c>
      <c r="AI134" s="93">
        <f t="shared" si="9"/>
        <v>5771486</v>
      </c>
      <c r="AJ134" s="93">
        <v>0</v>
      </c>
      <c r="AK134" s="93">
        <f t="shared" si="40"/>
        <v>173144</v>
      </c>
      <c r="AL134" s="93">
        <f>IFERROR(INT(($AI134*(VLOOKUP($D134,'PORCENTAJES FACTORES'!B:N,12,0))/100)),0)</f>
        <v>1754531</v>
      </c>
      <c r="AM134" s="93">
        <f t="shared" si="41"/>
        <v>0</v>
      </c>
      <c r="AN134" s="93">
        <f t="shared" si="13"/>
        <v>0</v>
      </c>
      <c r="AO134" s="93">
        <f t="shared" si="14"/>
        <v>0</v>
      </c>
      <c r="AP134" s="95">
        <f t="shared" si="32"/>
        <v>7699161</v>
      </c>
      <c r="AQ134" s="96"/>
      <c r="AR134" s="97" t="s">
        <v>817</v>
      </c>
      <c r="AS134" s="58"/>
      <c r="AT134" s="58"/>
      <c r="AU134" s="58"/>
      <c r="AV134" s="98" t="e">
        <f t="shared" si="16"/>
        <v>#N/A</v>
      </c>
      <c r="AW134" s="58"/>
      <c r="AX134" s="58"/>
      <c r="AY134" s="58"/>
      <c r="AZ134" s="58"/>
      <c r="BA134" s="48"/>
      <c r="BB134" s="48"/>
      <c r="BC134" s="48"/>
      <c r="BD134" s="48"/>
      <c r="BE134" s="48"/>
      <c r="BF134" s="48"/>
      <c r="BG134" s="48"/>
      <c r="BH134" s="48"/>
      <c r="BI134" s="48"/>
      <c r="BJ134" s="48"/>
      <c r="BK134" s="48"/>
      <c r="BL134" s="48"/>
      <c r="BM134" s="48"/>
      <c r="BN134" s="48"/>
      <c r="BO134" s="48"/>
      <c r="BP134" s="48"/>
      <c r="BQ134" s="48"/>
    </row>
    <row r="135" spans="1:69" ht="12.75" customHeight="1">
      <c r="A135" s="85">
        <v>131</v>
      </c>
      <c r="B135" s="86">
        <v>5129</v>
      </c>
      <c r="C135" s="29">
        <v>97</v>
      </c>
      <c r="D135" s="14">
        <v>80154878</v>
      </c>
      <c r="E135" s="18" t="str">
        <f>IF(D135&gt;0,VLOOKUP(D135,'PLANTA PERNO'!A:D,4,0)&amp;" "&amp;VLOOKUP(D135,'PLANTA PERNO'!A:D,2,0)&amp;" "&amp;VLOOKUP(D135,'PLANTA PERNO'!A:D,3,0),IF(N135="","VACANTE DEFINITIVA","VACANTE TEMPORAL"))</f>
        <v>JUAN CAMILO RUIZ ZAMUDIO</v>
      </c>
      <c r="F135" s="20" t="s">
        <v>49</v>
      </c>
      <c r="G135" s="20" t="str">
        <f t="shared" si="0"/>
        <v>CARRERA ADMINISTRATIVA</v>
      </c>
      <c r="H135" s="33">
        <f t="shared" si="43"/>
        <v>44146</v>
      </c>
      <c r="I135" s="33">
        <f t="shared" si="44"/>
        <v>43843</v>
      </c>
      <c r="J135" s="31" t="str">
        <f t="shared" si="45"/>
        <v>HOMBRE</v>
      </c>
      <c r="K135" s="21">
        <f t="shared" ca="1" si="46"/>
        <v>45</v>
      </c>
      <c r="L135" s="87" t="str">
        <f t="shared" si="39"/>
        <v/>
      </c>
      <c r="M135" s="21" t="str">
        <f t="shared" si="18"/>
        <v>EN PROPIEDAD</v>
      </c>
      <c r="N135" s="21">
        <v>80154878</v>
      </c>
      <c r="O135" s="18" t="str">
        <f>IF(N135="","VACANTE DEFINITIVA",(VLOOKUP(N135,'PLANTA PERNO'!A:D,4,0)&amp;" "&amp;VLOOKUP(N135,'PLANTA PERNO'!A:D,2,0)&amp;" "&amp;VLOOKUP(N135,'PLANTA PERNO'!A:D,3,0)))</f>
        <v>JUAN CAMILO RUIZ ZAMUDIO</v>
      </c>
      <c r="P135" s="21"/>
      <c r="Q135" s="21"/>
      <c r="R135" s="21"/>
      <c r="S135" s="21"/>
      <c r="T135" s="21"/>
      <c r="U135" s="21"/>
      <c r="V135" s="128"/>
      <c r="W135" s="21" t="str">
        <f t="shared" si="7"/>
        <v>OCUPADO</v>
      </c>
      <c r="X135" s="23" t="s">
        <v>50</v>
      </c>
      <c r="Y135" s="90" t="s">
        <v>72</v>
      </c>
      <c r="Z135" s="25">
        <v>219</v>
      </c>
      <c r="AA135" s="27">
        <v>15</v>
      </c>
      <c r="AB135" s="28" t="str">
        <f t="shared" si="42"/>
        <v>219-15</v>
      </c>
      <c r="AC135" s="24" t="s">
        <v>150</v>
      </c>
      <c r="AD135" s="24" t="s">
        <v>150</v>
      </c>
      <c r="AE135" s="24" t="s">
        <v>2382</v>
      </c>
      <c r="AF135" s="24" t="s">
        <v>2383</v>
      </c>
      <c r="AG135" s="24" t="s">
        <v>92</v>
      </c>
      <c r="AH135" s="24" t="s">
        <v>2384</v>
      </c>
      <c r="AI135" s="93">
        <f t="shared" si="9"/>
        <v>5771486</v>
      </c>
      <c r="AJ135" s="93">
        <v>0</v>
      </c>
      <c r="AK135" s="93">
        <f t="shared" si="40"/>
        <v>173144</v>
      </c>
      <c r="AL135" s="93">
        <f>IFERROR(INT(($AI135*(VLOOKUP($D135,'PORCENTAJES FACTORES'!B:N,12,0))/100)),0)</f>
        <v>2308594</v>
      </c>
      <c r="AM135" s="93">
        <f t="shared" si="41"/>
        <v>0</v>
      </c>
      <c r="AN135" s="93">
        <f t="shared" si="13"/>
        <v>0</v>
      </c>
      <c r="AO135" s="93">
        <f t="shared" si="14"/>
        <v>0</v>
      </c>
      <c r="AP135" s="95">
        <f t="shared" si="32"/>
        <v>8253224</v>
      </c>
      <c r="AQ135" s="96"/>
      <c r="AR135" s="97" t="s">
        <v>817</v>
      </c>
      <c r="AS135" s="58"/>
      <c r="AT135" s="58"/>
      <c r="AU135" s="58"/>
      <c r="AV135" s="98">
        <f t="shared" si="16"/>
        <v>80154878</v>
      </c>
      <c r="AW135" s="58"/>
      <c r="AX135" s="58"/>
      <c r="AY135" s="58"/>
      <c r="AZ135" s="58"/>
      <c r="BA135" s="48"/>
      <c r="BB135" s="48"/>
      <c r="BC135" s="48"/>
      <c r="BD135" s="48"/>
      <c r="BE135" s="48"/>
      <c r="BF135" s="48"/>
      <c r="BG135" s="48"/>
      <c r="BH135" s="48"/>
      <c r="BI135" s="48"/>
      <c r="BJ135" s="48"/>
      <c r="BK135" s="48"/>
      <c r="BL135" s="48"/>
      <c r="BM135" s="48"/>
      <c r="BN135" s="48"/>
      <c r="BO135" s="48"/>
      <c r="BP135" s="48"/>
      <c r="BQ135" s="48"/>
    </row>
    <row r="136" spans="1:69" ht="12.75" customHeight="1">
      <c r="A136" s="85">
        <v>132</v>
      </c>
      <c r="B136" s="86">
        <v>5127</v>
      </c>
      <c r="C136" s="29">
        <v>98</v>
      </c>
      <c r="D136" s="122">
        <v>1085273461</v>
      </c>
      <c r="E136" s="153" t="str">
        <f>IF(D136&gt;0,VLOOKUP(D136,'PLANTA PERNO'!A:D,4,0)&amp;" "&amp;VLOOKUP(D136,'PLANTA PERNO'!A:D,2,0)&amp;" "&amp;VLOOKUP(D136,'PLANTA PERNO'!A:D,3,0),IF(N136="","VACANTE DEFINITIVA","VACANTE TEMPORAL"))</f>
        <v>ELIANA STEPHANIE ASTAIZA CHAVES</v>
      </c>
      <c r="F136" s="20" t="s">
        <v>247</v>
      </c>
      <c r="G136" s="20" t="str">
        <f t="shared" si="0"/>
        <v>EN PERIODO DE PRUEBA</v>
      </c>
      <c r="H136" s="33">
        <f t="shared" si="43"/>
        <v>46083</v>
      </c>
      <c r="I136" s="33">
        <f t="shared" si="44"/>
        <v>46083</v>
      </c>
      <c r="J136" s="31" t="str">
        <f t="shared" si="45"/>
        <v>MUJER</v>
      </c>
      <c r="K136" s="21">
        <f t="shared" ca="1" si="46"/>
        <v>37</v>
      </c>
      <c r="L136" s="87" t="str">
        <f t="shared" si="39"/>
        <v/>
      </c>
      <c r="M136" s="21" t="str">
        <f t="shared" si="18"/>
        <v>EN PROPIEDAD</v>
      </c>
      <c r="N136" s="21">
        <v>1085273461</v>
      </c>
      <c r="O136" s="18" t="str">
        <f>IF(N136="","VACANTE DEFINITIVA",(VLOOKUP(N136,'PLANTA PERNO'!A:D,4,0)&amp;" "&amp;VLOOKUP(N136,'PLANTA PERNO'!A:D,2,0)&amp;" "&amp;VLOOKUP(N136,'PLANTA PERNO'!A:D,3,0)))</f>
        <v>ELIANA STEPHANIE ASTAIZA CHAVES</v>
      </c>
      <c r="P136" s="21"/>
      <c r="Q136" s="21"/>
      <c r="R136" s="21"/>
      <c r="S136" s="21"/>
      <c r="T136" s="21"/>
      <c r="U136" s="21"/>
      <c r="V136" s="123">
        <v>203195</v>
      </c>
      <c r="W136" s="21" t="str">
        <f t="shared" si="7"/>
        <v>OCUPADO</v>
      </c>
      <c r="X136" s="23" t="s">
        <v>50</v>
      </c>
      <c r="Y136" s="90" t="s">
        <v>72</v>
      </c>
      <c r="Z136" s="25">
        <v>219</v>
      </c>
      <c r="AA136" s="27">
        <v>15</v>
      </c>
      <c r="AB136" s="28" t="str">
        <f t="shared" si="42"/>
        <v>219-15</v>
      </c>
      <c r="AC136" s="24" t="s">
        <v>150</v>
      </c>
      <c r="AD136" s="24" t="s">
        <v>150</v>
      </c>
      <c r="AE136" s="24" t="s">
        <v>2385</v>
      </c>
      <c r="AF136" s="24" t="s">
        <v>2386</v>
      </c>
      <c r="AG136" s="24" t="s">
        <v>2387</v>
      </c>
      <c r="AH136" s="24" t="s">
        <v>2388</v>
      </c>
      <c r="AI136" s="93">
        <f t="shared" si="9"/>
        <v>5771486</v>
      </c>
      <c r="AJ136" s="93">
        <v>0</v>
      </c>
      <c r="AK136" s="93">
        <f t="shared" si="40"/>
        <v>0</v>
      </c>
      <c r="AL136" s="93">
        <f>IFERROR(INT(($AI136*(VLOOKUP($D136,'PORCENTAJES FACTORES'!B:N,12,0))/100)),0)</f>
        <v>0</v>
      </c>
      <c r="AM136" s="93">
        <f t="shared" si="41"/>
        <v>0</v>
      </c>
      <c r="AN136" s="93">
        <f t="shared" si="13"/>
        <v>0</v>
      </c>
      <c r="AO136" s="93">
        <f t="shared" si="14"/>
        <v>0</v>
      </c>
      <c r="AP136" s="95">
        <f t="shared" si="32"/>
        <v>5771486</v>
      </c>
      <c r="AQ136" s="96"/>
      <c r="AR136" s="97" t="s">
        <v>817</v>
      </c>
      <c r="AS136" s="58"/>
      <c r="AT136" s="58"/>
      <c r="AU136" s="58"/>
      <c r="AV136" s="98">
        <f t="shared" si="16"/>
        <v>1085273461</v>
      </c>
      <c r="AW136" s="58"/>
      <c r="AX136" s="58"/>
      <c r="AY136" s="58"/>
      <c r="AZ136" s="58"/>
      <c r="BA136" s="48"/>
      <c r="BB136" s="48"/>
      <c r="BC136" s="48"/>
      <c r="BD136" s="48"/>
      <c r="BE136" s="48"/>
      <c r="BF136" s="48"/>
      <c r="BG136" s="48"/>
      <c r="BH136" s="48"/>
      <c r="BI136" s="48"/>
      <c r="BJ136" s="48"/>
      <c r="BK136" s="48"/>
      <c r="BL136" s="48"/>
      <c r="BM136" s="48"/>
      <c r="BN136" s="48"/>
      <c r="BO136" s="48"/>
      <c r="BP136" s="48"/>
      <c r="BQ136" s="48"/>
    </row>
    <row r="137" spans="1:69" ht="12.75" customHeight="1">
      <c r="A137" s="85">
        <v>133</v>
      </c>
      <c r="B137" s="86">
        <v>5128</v>
      </c>
      <c r="C137" s="29">
        <v>99</v>
      </c>
      <c r="D137" s="14">
        <v>52519358</v>
      </c>
      <c r="E137" s="18" t="str">
        <f>IF(D137&gt;0,VLOOKUP(D137,'PLANTA PERNO'!A:D,4,0)&amp;" "&amp;VLOOKUP(D137,'PLANTA PERNO'!A:D,2,0)&amp;" "&amp;VLOOKUP(D137,'PLANTA PERNO'!A:D,3,0),IF(N137="","VACANTE DEFINITIVA","VACANTE TEMPORAL"))</f>
        <v>MAGDA PATRICIA PUENTES PARDO</v>
      </c>
      <c r="F137" s="20" t="s">
        <v>247</v>
      </c>
      <c r="G137" s="20" t="str">
        <f t="shared" si="0"/>
        <v>EN PERIODO DE PRUEBA</v>
      </c>
      <c r="H137" s="33">
        <f t="shared" si="43"/>
        <v>46204</v>
      </c>
      <c r="I137" s="33">
        <f t="shared" si="44"/>
        <v>46204</v>
      </c>
      <c r="J137" s="31" t="str">
        <f t="shared" si="45"/>
        <v>MUJER</v>
      </c>
      <c r="K137" s="21">
        <f t="shared" ca="1" si="46"/>
        <v>48</v>
      </c>
      <c r="L137" s="87" t="str">
        <f t="shared" si="39"/>
        <v/>
      </c>
      <c r="M137" s="21" t="str">
        <f t="shared" si="18"/>
        <v>EN PROPIEDAD</v>
      </c>
      <c r="N137" s="21">
        <v>52519358</v>
      </c>
      <c r="O137" s="18" t="str">
        <f>IF(N137="","VACANTE DEFINITIVA",(VLOOKUP(N137,'PLANTA PERNO'!A:D,4,0)&amp;" "&amp;VLOOKUP(N137,'PLANTA PERNO'!A:D,2,0)&amp;" "&amp;VLOOKUP(N137,'PLANTA PERNO'!A:D,3,0)))</f>
        <v>MAGDA PATRICIA PUENTES PARDO</v>
      </c>
      <c r="P137" s="21"/>
      <c r="Q137" s="21"/>
      <c r="R137" s="21"/>
      <c r="S137" s="21"/>
      <c r="T137" s="21"/>
      <c r="U137" s="21"/>
      <c r="V137" s="128"/>
      <c r="W137" s="21" t="str">
        <f t="shared" si="7"/>
        <v>OCUPADO</v>
      </c>
      <c r="X137" s="23" t="s">
        <v>50</v>
      </c>
      <c r="Y137" s="90" t="s">
        <v>72</v>
      </c>
      <c r="Z137" s="25">
        <v>219</v>
      </c>
      <c r="AA137" s="27">
        <v>15</v>
      </c>
      <c r="AB137" s="28" t="str">
        <f t="shared" si="42"/>
        <v>219-15</v>
      </c>
      <c r="AC137" s="24" t="s">
        <v>150</v>
      </c>
      <c r="AD137" s="24" t="s">
        <v>150</v>
      </c>
      <c r="AE137" s="24" t="s">
        <v>2389</v>
      </c>
      <c r="AF137" s="24" t="s">
        <v>2386</v>
      </c>
      <c r="AG137" s="24" t="s">
        <v>2387</v>
      </c>
      <c r="AH137" s="24" t="s">
        <v>2388</v>
      </c>
      <c r="AI137" s="93">
        <f t="shared" si="9"/>
        <v>5771486</v>
      </c>
      <c r="AJ137" s="93">
        <v>0</v>
      </c>
      <c r="AK137" s="93">
        <f t="shared" si="40"/>
        <v>0</v>
      </c>
      <c r="AL137" s="93">
        <f>IFERROR(INT(($AI137*(VLOOKUP($D137,'PORCENTAJES FACTORES'!B:N,12,0))/100)),0)</f>
        <v>0</v>
      </c>
      <c r="AM137" s="93">
        <f t="shared" si="41"/>
        <v>0</v>
      </c>
      <c r="AN137" s="93">
        <f t="shared" si="13"/>
        <v>0</v>
      </c>
      <c r="AO137" s="93">
        <f t="shared" si="14"/>
        <v>0</v>
      </c>
      <c r="AP137" s="95">
        <f t="shared" si="32"/>
        <v>5771486</v>
      </c>
      <c r="AQ137" s="96"/>
      <c r="AR137" s="97" t="s">
        <v>817</v>
      </c>
      <c r="AS137" s="58"/>
      <c r="AT137" s="58"/>
      <c r="AU137" s="58"/>
      <c r="AV137" s="98">
        <f t="shared" si="16"/>
        <v>52519358</v>
      </c>
      <c r="AW137" s="58"/>
      <c r="AX137" s="58"/>
      <c r="AY137" s="58"/>
      <c r="AZ137" s="58"/>
      <c r="BA137" s="48"/>
      <c r="BB137" s="48"/>
      <c r="BC137" s="48"/>
      <c r="BD137" s="48"/>
      <c r="BE137" s="48"/>
      <c r="BF137" s="48"/>
      <c r="BG137" s="48"/>
      <c r="BH137" s="48"/>
      <c r="BI137" s="48"/>
      <c r="BJ137" s="48"/>
      <c r="BK137" s="48"/>
      <c r="BL137" s="48"/>
      <c r="BM137" s="48"/>
      <c r="BN137" s="48"/>
      <c r="BO137" s="48"/>
      <c r="BP137" s="48"/>
      <c r="BQ137" s="48"/>
    </row>
    <row r="138" spans="1:69" ht="12.75" customHeight="1">
      <c r="A138" s="85">
        <v>134</v>
      </c>
      <c r="B138" s="86">
        <v>5133</v>
      </c>
      <c r="C138" s="29">
        <v>100</v>
      </c>
      <c r="D138" s="14">
        <v>79361343</v>
      </c>
      <c r="E138" s="18" t="str">
        <f>IF(D138&gt;0,VLOOKUP(D138,'PLANTA PERNO'!A:D,4,0)&amp;" "&amp;VLOOKUP(D138,'PLANTA PERNO'!A:D,2,0)&amp;" "&amp;VLOOKUP(D138,'PLANTA PERNO'!A:D,3,0),IF(N138="","VACANTE DEFINITIVA","VACANTE TEMPORAL"))</f>
        <v>VICTOR HERNANDO MURILLO HURTADO</v>
      </c>
      <c r="F138" s="20" t="s">
        <v>49</v>
      </c>
      <c r="G138" s="20" t="str">
        <f t="shared" si="0"/>
        <v>EN ENCARGO</v>
      </c>
      <c r="H138" s="33">
        <f t="shared" si="43"/>
        <v>42585</v>
      </c>
      <c r="I138" s="33">
        <f t="shared" si="44"/>
        <v>34785</v>
      </c>
      <c r="J138" s="31" t="str">
        <f t="shared" si="45"/>
        <v>HOMBRE</v>
      </c>
      <c r="K138" s="21">
        <f t="shared" ca="1" si="46"/>
        <v>60</v>
      </c>
      <c r="L138" s="87" t="str">
        <f t="shared" si="39"/>
        <v>ENCARGO</v>
      </c>
      <c r="M138" s="21" t="str">
        <f t="shared" si="18"/>
        <v>VACANTE DEFINITIVA</v>
      </c>
      <c r="N138" s="21" t="s">
        <v>25</v>
      </c>
      <c r="O138" s="18" t="str">
        <f>IF(N138="","VACANTE DEFINITIVA",(VLOOKUP(N138,'PLANTA PERNO'!A:D,4,0)&amp;" "&amp;VLOOKUP(N138,'PLANTA PERNO'!A:D,2,0)&amp;" "&amp;VLOOKUP(N138,'PLANTA PERNO'!A:D,3,0)))</f>
        <v>VACANTE DEFINITIVA</v>
      </c>
      <c r="P138" s="21" t="s">
        <v>2390</v>
      </c>
      <c r="Q138" s="21">
        <v>1</v>
      </c>
      <c r="R138" s="21"/>
      <c r="S138" s="21"/>
      <c r="T138" s="21"/>
      <c r="U138" s="21"/>
      <c r="V138" s="128"/>
      <c r="W138" s="21" t="str">
        <f t="shared" si="7"/>
        <v>OCUPADO</v>
      </c>
      <c r="X138" s="23" t="s">
        <v>50</v>
      </c>
      <c r="Y138" s="90" t="s">
        <v>72</v>
      </c>
      <c r="Z138" s="25">
        <v>219</v>
      </c>
      <c r="AA138" s="27">
        <v>13</v>
      </c>
      <c r="AB138" s="28" t="str">
        <f t="shared" si="42"/>
        <v>219-13</v>
      </c>
      <c r="AC138" s="24" t="s">
        <v>138</v>
      </c>
      <c r="AD138" s="24" t="s">
        <v>138</v>
      </c>
      <c r="AE138" s="24" t="s">
        <v>2391</v>
      </c>
      <c r="AF138" s="24" t="s">
        <v>2392</v>
      </c>
      <c r="AG138" s="24" t="s">
        <v>2393</v>
      </c>
      <c r="AH138" s="24" t="s">
        <v>2394</v>
      </c>
      <c r="AI138" s="93">
        <f t="shared" si="9"/>
        <v>5471098</v>
      </c>
      <c r="AJ138" s="93">
        <v>0</v>
      </c>
      <c r="AK138" s="93">
        <f t="shared" si="40"/>
        <v>382976</v>
      </c>
      <c r="AL138" s="93">
        <f>IFERROR(INT(($AI138*(VLOOKUP($D138,'PORCENTAJES FACTORES'!B:N,12,0))/100)),0)</f>
        <v>2188439</v>
      </c>
      <c r="AM138" s="93">
        <f t="shared" si="41"/>
        <v>0</v>
      </c>
      <c r="AN138" s="93">
        <f t="shared" si="13"/>
        <v>0</v>
      </c>
      <c r="AO138" s="93">
        <f t="shared" si="14"/>
        <v>0</v>
      </c>
      <c r="AP138" s="95">
        <f t="shared" si="32"/>
        <v>8042513</v>
      </c>
      <c r="AQ138" s="96"/>
      <c r="AR138" s="97" t="s">
        <v>680</v>
      </c>
      <c r="AS138" s="58"/>
      <c r="AT138" s="58"/>
      <c r="AU138" s="58"/>
      <c r="AV138" s="98" t="e">
        <f t="shared" si="16"/>
        <v>#N/A</v>
      </c>
      <c r="AW138" s="58"/>
      <c r="AX138" s="58"/>
      <c r="AY138" s="58"/>
      <c r="AZ138" s="58"/>
      <c r="BA138" s="48"/>
      <c r="BB138" s="48"/>
      <c r="BC138" s="48"/>
      <c r="BD138" s="48"/>
      <c r="BE138" s="48"/>
      <c r="BF138" s="48"/>
      <c r="BG138" s="48"/>
      <c r="BH138" s="48"/>
      <c r="BI138" s="48"/>
      <c r="BJ138" s="48"/>
      <c r="BK138" s="48"/>
      <c r="BL138" s="48"/>
      <c r="BM138" s="48"/>
      <c r="BN138" s="48"/>
      <c r="BO138" s="48"/>
      <c r="BP138" s="48"/>
      <c r="BQ138" s="48"/>
    </row>
    <row r="139" spans="1:69" ht="12.75" customHeight="1">
      <c r="A139" s="85">
        <v>135</v>
      </c>
      <c r="B139" s="86">
        <v>5131</v>
      </c>
      <c r="C139" s="29">
        <v>102</v>
      </c>
      <c r="D139" s="14">
        <v>37625914</v>
      </c>
      <c r="E139" s="18" t="str">
        <f>IF(D139&gt;0,VLOOKUP(D139,'PLANTA PERNO'!A:D,4,0)&amp;" "&amp;VLOOKUP(D139,'PLANTA PERNO'!A:D,2,0)&amp;" "&amp;VLOOKUP(D139,'PLANTA PERNO'!A:D,3,0),IF(N139="","VACANTE DEFINITIVA","VACANTE TEMPORAL"))</f>
        <v>MARY DAYANA SANCHEZ ROJAS</v>
      </c>
      <c r="F139" s="20" t="s">
        <v>49</v>
      </c>
      <c r="G139" s="20" t="str">
        <f t="shared" si="0"/>
        <v>EN ENCARGO</v>
      </c>
      <c r="H139" s="33">
        <f t="shared" si="43"/>
        <v>44147</v>
      </c>
      <c r="I139" s="33">
        <f t="shared" si="44"/>
        <v>44147</v>
      </c>
      <c r="J139" s="31" t="str">
        <f t="shared" si="45"/>
        <v>MUJER</v>
      </c>
      <c r="K139" s="21">
        <f t="shared" ca="1" si="46"/>
        <v>50</v>
      </c>
      <c r="L139" s="87" t="str">
        <f t="shared" si="39"/>
        <v>ENCARGO</v>
      </c>
      <c r="M139" s="21" t="str">
        <f t="shared" si="18"/>
        <v>EN ENCARGO</v>
      </c>
      <c r="N139" s="21">
        <v>52486713</v>
      </c>
      <c r="O139" s="18" t="str">
        <f>IF(N139="","VACANTE DEFINITIVA",(VLOOKUP(N139,'PLANTA PERNO'!A:D,4,0)&amp;" "&amp;VLOOKUP(N139,'PLANTA PERNO'!A:D,2,0)&amp;" "&amp;VLOOKUP(N139,'PLANTA PERNO'!A:D,3,0)))</f>
        <v>CLAUDIA MARCELA CAMARGO CASTRO</v>
      </c>
      <c r="P139" s="21" t="s">
        <v>2354</v>
      </c>
      <c r="Q139" s="21">
        <v>2</v>
      </c>
      <c r="R139" s="21"/>
      <c r="S139" s="21"/>
      <c r="T139" s="21"/>
      <c r="U139" s="21"/>
      <c r="V139" s="128"/>
      <c r="W139" s="21" t="str">
        <f t="shared" si="7"/>
        <v>OCUPADO</v>
      </c>
      <c r="X139" s="23" t="s">
        <v>50</v>
      </c>
      <c r="Y139" s="90" t="s">
        <v>72</v>
      </c>
      <c r="Z139" s="25">
        <v>219</v>
      </c>
      <c r="AA139" s="27">
        <v>13</v>
      </c>
      <c r="AB139" s="28" t="str">
        <f t="shared" si="42"/>
        <v>219-13</v>
      </c>
      <c r="AC139" s="24" t="s">
        <v>33</v>
      </c>
      <c r="AD139" s="24" t="s">
        <v>33</v>
      </c>
      <c r="AE139" s="24" t="s">
        <v>90</v>
      </c>
      <c r="AF139" s="24" t="s">
        <v>91</v>
      </c>
      <c r="AG139" s="24" t="s">
        <v>92</v>
      </c>
      <c r="AH139" s="24" t="s">
        <v>93</v>
      </c>
      <c r="AI139" s="93">
        <f t="shared" si="9"/>
        <v>5471098</v>
      </c>
      <c r="AJ139" s="93">
        <v>0</v>
      </c>
      <c r="AK139" s="93">
        <f t="shared" si="40"/>
        <v>164132</v>
      </c>
      <c r="AL139" s="93">
        <f>IFERROR(INT(($AI139*(VLOOKUP($D139,'PORCENTAJES FACTORES'!B:N,12,0))/100)),0)</f>
        <v>2188439</v>
      </c>
      <c r="AM139" s="93">
        <f t="shared" si="41"/>
        <v>0</v>
      </c>
      <c r="AN139" s="93">
        <f t="shared" si="13"/>
        <v>0</v>
      </c>
      <c r="AO139" s="93">
        <f t="shared" si="14"/>
        <v>0</v>
      </c>
      <c r="AP139" s="95">
        <f t="shared" si="32"/>
        <v>7823669</v>
      </c>
      <c r="AQ139" s="96"/>
      <c r="AR139" s="97" t="s">
        <v>680</v>
      </c>
      <c r="AS139" s="58"/>
      <c r="AT139" s="58"/>
      <c r="AU139" s="58"/>
      <c r="AV139" s="98">
        <f t="shared" si="16"/>
        <v>52486713</v>
      </c>
      <c r="AW139" s="58"/>
      <c r="AX139" s="58"/>
      <c r="AY139" s="58"/>
      <c r="AZ139" s="58"/>
      <c r="BA139" s="48"/>
      <c r="BB139" s="48"/>
      <c r="BC139" s="48"/>
      <c r="BD139" s="48"/>
      <c r="BE139" s="48"/>
      <c r="BF139" s="48"/>
      <c r="BG139" s="48"/>
      <c r="BH139" s="48"/>
      <c r="BI139" s="48"/>
      <c r="BJ139" s="48"/>
      <c r="BK139" s="48"/>
      <c r="BL139" s="48"/>
      <c r="BM139" s="48"/>
      <c r="BN139" s="48"/>
      <c r="BO139" s="48"/>
      <c r="BP139" s="48"/>
      <c r="BQ139" s="48"/>
    </row>
    <row r="140" spans="1:69" ht="12.75" customHeight="1">
      <c r="A140" s="85">
        <v>136</v>
      </c>
      <c r="B140" s="86">
        <v>5132</v>
      </c>
      <c r="C140" s="29">
        <v>101</v>
      </c>
      <c r="D140" s="14">
        <v>1019071696</v>
      </c>
      <c r="E140" s="18" t="str">
        <f>IF(D140&gt;0,VLOOKUP(D140,'PLANTA PERNO'!A:D,4,0)&amp;" "&amp;VLOOKUP(D140,'PLANTA PERNO'!A:D,2,0)&amp;" "&amp;VLOOKUP(D140,'PLANTA PERNO'!A:D,3,0),IF(N140="","VACANTE DEFINITIVA","VACANTE TEMPORAL"))</f>
        <v>CRISTIAN ANDREY SALINAS FORERO</v>
      </c>
      <c r="F140" s="20" t="s">
        <v>24</v>
      </c>
      <c r="G140" s="20" t="str">
        <f t="shared" si="0"/>
        <v>EN PROVISIONALIDAD</v>
      </c>
      <c r="H140" s="33">
        <f t="shared" si="43"/>
        <v>46300</v>
      </c>
      <c r="I140" s="33">
        <f t="shared" si="44"/>
        <v>0</v>
      </c>
      <c r="J140" s="31" t="str">
        <f t="shared" si="45"/>
        <v/>
      </c>
      <c r="K140" s="21">
        <f t="shared" ca="1" si="46"/>
        <v>126</v>
      </c>
      <c r="L140" s="87" t="str">
        <f t="shared" si="39"/>
        <v>PROVISIONALIDAD</v>
      </c>
      <c r="M140" s="21" t="str">
        <f t="shared" si="18"/>
        <v>EN ENCARGO</v>
      </c>
      <c r="N140" s="21">
        <v>86058268</v>
      </c>
      <c r="O140" s="18" t="str">
        <f>IF(N140="","VACANTE DEFINITIVA",(VLOOKUP(N140,'PLANTA PERNO'!A:D,4,0)&amp;" "&amp;VLOOKUP(N140,'PLANTA PERNO'!A:D,2,0)&amp;" "&amp;VLOOKUP(N140,'PLANTA PERNO'!A:D,3,0)))</f>
        <v>IAM ALEXANDER OJEDA CARDENAS</v>
      </c>
      <c r="P140" s="21" t="s">
        <v>82</v>
      </c>
      <c r="Q140" s="21">
        <v>2</v>
      </c>
      <c r="R140" s="21" t="s">
        <v>166</v>
      </c>
      <c r="S140" s="21"/>
      <c r="T140" s="21"/>
      <c r="U140" s="21"/>
      <c r="V140" s="128"/>
      <c r="W140" s="21" t="str">
        <f t="shared" si="7"/>
        <v>OCUPADO</v>
      </c>
      <c r="X140" s="23" t="s">
        <v>50</v>
      </c>
      <c r="Y140" s="90" t="s">
        <v>72</v>
      </c>
      <c r="Z140" s="25">
        <v>219</v>
      </c>
      <c r="AA140" s="27">
        <v>13</v>
      </c>
      <c r="AB140" s="28" t="str">
        <f t="shared" si="42"/>
        <v>219-13</v>
      </c>
      <c r="AC140" s="24" t="s">
        <v>33</v>
      </c>
      <c r="AD140" s="24" t="s">
        <v>33</v>
      </c>
      <c r="AE140" s="24" t="s">
        <v>97</v>
      </c>
      <c r="AF140" s="24" t="s">
        <v>99</v>
      </c>
      <c r="AG140" s="24" t="s">
        <v>100</v>
      </c>
      <c r="AH140" s="24" t="s">
        <v>101</v>
      </c>
      <c r="AI140" s="93">
        <f t="shared" si="9"/>
        <v>5471098</v>
      </c>
      <c r="AJ140" s="93">
        <v>0</v>
      </c>
      <c r="AK140" s="93">
        <f t="shared" si="40"/>
        <v>0</v>
      </c>
      <c r="AL140" s="93">
        <f>IFERROR(INT(($AI140*(VLOOKUP($D140,'PORCENTAJES FACTORES'!B:N,12,0))/100)),0)</f>
        <v>0</v>
      </c>
      <c r="AM140" s="93">
        <f t="shared" si="41"/>
        <v>0</v>
      </c>
      <c r="AN140" s="93">
        <f t="shared" si="13"/>
        <v>0</v>
      </c>
      <c r="AO140" s="93">
        <f t="shared" si="14"/>
        <v>0</v>
      </c>
      <c r="AP140" s="95">
        <f t="shared" si="32"/>
        <v>5471098</v>
      </c>
      <c r="AQ140" s="96"/>
      <c r="AR140" s="97" t="s">
        <v>680</v>
      </c>
      <c r="AS140" s="58"/>
      <c r="AT140" s="58"/>
      <c r="AU140" s="58"/>
      <c r="AV140" s="98">
        <f t="shared" si="16"/>
        <v>86058268</v>
      </c>
      <c r="AW140" s="58"/>
      <c r="AX140" s="58"/>
      <c r="AY140" s="58"/>
      <c r="AZ140" s="58"/>
      <c r="BA140" s="48"/>
      <c r="BB140" s="48"/>
      <c r="BC140" s="48"/>
      <c r="BD140" s="48"/>
      <c r="BE140" s="48"/>
      <c r="BF140" s="48"/>
      <c r="BG140" s="48"/>
      <c r="BH140" s="48"/>
      <c r="BI140" s="48"/>
      <c r="BJ140" s="48"/>
      <c r="BK140" s="48"/>
      <c r="BL140" s="48"/>
      <c r="BM140" s="48"/>
      <c r="BN140" s="48"/>
      <c r="BO140" s="48"/>
      <c r="BP140" s="48"/>
      <c r="BQ140" s="48"/>
    </row>
    <row r="141" spans="1:69" ht="12.75" customHeight="1">
      <c r="A141" s="85">
        <v>137</v>
      </c>
      <c r="B141" s="86">
        <v>5134</v>
      </c>
      <c r="C141" s="29">
        <v>103</v>
      </c>
      <c r="D141" s="14">
        <v>52171949</v>
      </c>
      <c r="E141" s="18" t="str">
        <f>IF(D141&gt;0,VLOOKUP(D141,'PLANTA PERNO'!A:D,4,0)&amp;" "&amp;VLOOKUP(D141,'PLANTA PERNO'!A:D,2,0)&amp;" "&amp;VLOOKUP(D141,'PLANTA PERNO'!A:D,3,0),IF(N141="","VACANTE DEFINITIVA","VACANTE TEMPORAL"))</f>
        <v>GLORIA INES MARTINEZ ORTIZ</v>
      </c>
      <c r="F141" s="20" t="s">
        <v>49</v>
      </c>
      <c r="G141" s="20" t="str">
        <f t="shared" si="0"/>
        <v>EN ENCARGO</v>
      </c>
      <c r="H141" s="33">
        <f t="shared" si="43"/>
        <v>44389</v>
      </c>
      <c r="I141" s="33">
        <f t="shared" si="44"/>
        <v>44389</v>
      </c>
      <c r="J141" s="31" t="str">
        <f t="shared" si="45"/>
        <v>MUJER</v>
      </c>
      <c r="K141" s="21">
        <f t="shared" ca="1" si="46"/>
        <v>53</v>
      </c>
      <c r="L141" s="87" t="str">
        <f t="shared" si="39"/>
        <v>ENCARGO</v>
      </c>
      <c r="M141" s="21" t="str">
        <f t="shared" si="18"/>
        <v>VACANTE DEFINITIVA</v>
      </c>
      <c r="N141" s="21"/>
      <c r="O141" s="18" t="str">
        <f>IF(N141="","VACANTE DEFINITIVA",(VLOOKUP(N141,'PLANTA PERNO'!A:D,4,0)&amp;" "&amp;VLOOKUP(N141,'PLANTA PERNO'!A:D,2,0)&amp;" "&amp;VLOOKUP(N141,'PLANTA PERNO'!A:D,3,0)))</f>
        <v>VACANTE DEFINITIVA</v>
      </c>
      <c r="P141" s="21" t="s">
        <v>1006</v>
      </c>
      <c r="Q141" s="21">
        <v>1</v>
      </c>
      <c r="R141" s="21"/>
      <c r="S141" s="21"/>
      <c r="T141" s="21"/>
      <c r="U141" s="21"/>
      <c r="V141" s="123">
        <v>220287</v>
      </c>
      <c r="W141" s="21" t="str">
        <f t="shared" si="7"/>
        <v>OCUPADO</v>
      </c>
      <c r="X141" s="23" t="s">
        <v>50</v>
      </c>
      <c r="Y141" s="90" t="s">
        <v>72</v>
      </c>
      <c r="Z141" s="25">
        <v>219</v>
      </c>
      <c r="AA141" s="27">
        <v>10</v>
      </c>
      <c r="AB141" s="28" t="str">
        <f t="shared" si="42"/>
        <v>219-10</v>
      </c>
      <c r="AC141" s="24" t="s">
        <v>138</v>
      </c>
      <c r="AD141" s="24" t="s">
        <v>138</v>
      </c>
      <c r="AE141" s="24" t="s">
        <v>2395</v>
      </c>
      <c r="AF141" s="24" t="s">
        <v>2396</v>
      </c>
      <c r="AG141" s="24" t="s">
        <v>2397</v>
      </c>
      <c r="AH141" s="24" t="s">
        <v>2398</v>
      </c>
      <c r="AI141" s="93">
        <f t="shared" si="9"/>
        <v>4938935</v>
      </c>
      <c r="AJ141" s="93">
        <v>0</v>
      </c>
      <c r="AK141" s="93">
        <f t="shared" si="40"/>
        <v>148168</v>
      </c>
      <c r="AL141" s="93">
        <f>IFERROR(INT(($AI141*(VLOOKUP($D141,'PORCENTAJES FACTORES'!B:N,12,0))/100)),0)</f>
        <v>1975574</v>
      </c>
      <c r="AM141" s="93">
        <f t="shared" si="41"/>
        <v>0</v>
      </c>
      <c r="AN141" s="93">
        <f t="shared" si="13"/>
        <v>0</v>
      </c>
      <c r="AO141" s="93">
        <f t="shared" si="14"/>
        <v>0</v>
      </c>
      <c r="AP141" s="95">
        <f t="shared" si="32"/>
        <v>7062677</v>
      </c>
      <c r="AQ141" s="96"/>
      <c r="AR141" s="97" t="s">
        <v>588</v>
      </c>
      <c r="AS141" s="58"/>
      <c r="AT141" s="58"/>
      <c r="AU141" s="58"/>
      <c r="AV141" s="98" t="e">
        <f t="shared" si="16"/>
        <v>#N/A</v>
      </c>
      <c r="AW141" s="58"/>
      <c r="AX141" s="58"/>
      <c r="AY141" s="58"/>
      <c r="AZ141" s="58"/>
      <c r="BA141" s="48"/>
      <c r="BB141" s="48"/>
      <c r="BC141" s="48"/>
      <c r="BD141" s="48"/>
      <c r="BE141" s="48"/>
      <c r="BF141" s="48"/>
      <c r="BG141" s="48"/>
      <c r="BH141" s="48"/>
      <c r="BI141" s="48"/>
      <c r="BJ141" s="48"/>
      <c r="BK141" s="48"/>
      <c r="BL141" s="48"/>
      <c r="BM141" s="48"/>
      <c r="BN141" s="48"/>
      <c r="BO141" s="48"/>
      <c r="BP141" s="48"/>
      <c r="BQ141" s="48"/>
    </row>
    <row r="142" spans="1:69" ht="12.75" customHeight="1">
      <c r="A142" s="85">
        <v>138</v>
      </c>
      <c r="B142" s="86">
        <v>5135</v>
      </c>
      <c r="C142" s="29">
        <v>104</v>
      </c>
      <c r="D142" s="14"/>
      <c r="E142" s="18" t="str">
        <f>IF(D142&gt;0,VLOOKUP(D142,'PLANTA PERNO'!A:D,4,0)&amp;" "&amp;VLOOKUP(D142,'PLANTA PERNO'!A:D,2,0)&amp;" "&amp;VLOOKUP(D142,'PLANTA PERNO'!A:D,3,0),IF(N142="","VACANTE DEFINITIVA","VACANTE TEMPORAL"))</f>
        <v>VACANTE TEMPORAL</v>
      </c>
      <c r="F142" s="20"/>
      <c r="G142" s="20" t="str">
        <f t="shared" si="0"/>
        <v>VACANTE TEMPORAL</v>
      </c>
      <c r="H142" s="33" t="str">
        <f t="shared" si="43"/>
        <v xml:space="preserve"> </v>
      </c>
      <c r="I142" s="33" t="str">
        <f t="shared" si="44"/>
        <v/>
      </c>
      <c r="J142" s="31" t="str">
        <f t="shared" si="45"/>
        <v/>
      </c>
      <c r="K142" s="21" t="str">
        <f t="shared" ca="1" si="46"/>
        <v/>
      </c>
      <c r="L142" s="87" t="str">
        <f t="shared" si="39"/>
        <v/>
      </c>
      <c r="M142" s="21" t="str">
        <f t="shared" si="18"/>
        <v>EN ENCARGO</v>
      </c>
      <c r="N142" s="21">
        <v>1032448684</v>
      </c>
      <c r="O142" s="18" t="str">
        <f>IF(N142="","VACANTE DEFINITIVA",(VLOOKUP(N142,'PLANTA PERNO'!A:D,4,0)&amp;" "&amp;VLOOKUP(N142,'PLANTA PERNO'!A:D,2,0)&amp;" "&amp;VLOOKUP(N142,'PLANTA PERNO'!A:D,3,0)))</f>
        <v>JUAN CARLOS MARTINEZ BERNAL</v>
      </c>
      <c r="P142" s="21" t="s">
        <v>406</v>
      </c>
      <c r="Q142" s="21">
        <v>4</v>
      </c>
      <c r="R142" s="21"/>
      <c r="S142" s="21"/>
      <c r="T142" s="21"/>
      <c r="U142" s="21"/>
      <c r="V142" s="123">
        <v>220283</v>
      </c>
      <c r="W142" s="21" t="str">
        <f t="shared" si="7"/>
        <v>VACANTE TEMPORAL</v>
      </c>
      <c r="X142" s="23" t="s">
        <v>50</v>
      </c>
      <c r="Y142" s="90" t="s">
        <v>72</v>
      </c>
      <c r="Z142" s="25">
        <v>219</v>
      </c>
      <c r="AA142" s="27">
        <v>10</v>
      </c>
      <c r="AB142" s="28" t="str">
        <f t="shared" si="42"/>
        <v>219-10</v>
      </c>
      <c r="AC142" s="24" t="s">
        <v>147</v>
      </c>
      <c r="AD142" s="24" t="s">
        <v>147</v>
      </c>
      <c r="AE142" s="24" t="s">
        <v>2399</v>
      </c>
      <c r="AF142" s="24" t="s">
        <v>2400</v>
      </c>
      <c r="AG142" s="24" t="s">
        <v>2401</v>
      </c>
      <c r="AH142" s="24" t="s">
        <v>2402</v>
      </c>
      <c r="AI142" s="93">
        <f t="shared" si="9"/>
        <v>4938935</v>
      </c>
      <c r="AJ142" s="93">
        <v>0</v>
      </c>
      <c r="AK142" s="93">
        <f t="shared" si="40"/>
        <v>0</v>
      </c>
      <c r="AL142" s="93">
        <f>IFERROR(INT(($AI142*(VLOOKUP($D142,'PORCENTAJES FACTORES'!B:N,12,0))/100)),0)</f>
        <v>0</v>
      </c>
      <c r="AM142" s="93">
        <f t="shared" si="41"/>
        <v>0</v>
      </c>
      <c r="AN142" s="93">
        <f t="shared" si="13"/>
        <v>0</v>
      </c>
      <c r="AO142" s="93">
        <f t="shared" si="14"/>
        <v>0</v>
      </c>
      <c r="AP142" s="95">
        <f t="shared" si="32"/>
        <v>4938935</v>
      </c>
      <c r="AQ142" s="96"/>
      <c r="AR142" s="97" t="s">
        <v>588</v>
      </c>
      <c r="AS142" s="58"/>
      <c r="AT142" s="58"/>
      <c r="AU142" s="58"/>
      <c r="AV142" s="98">
        <f t="shared" si="16"/>
        <v>1032448684</v>
      </c>
      <c r="AW142" s="58"/>
      <c r="AX142" s="58"/>
      <c r="AY142" s="58"/>
      <c r="AZ142" s="58"/>
      <c r="BA142" s="48"/>
      <c r="BB142" s="48"/>
      <c r="BC142" s="48"/>
      <c r="BD142" s="48"/>
      <c r="BE142" s="48"/>
      <c r="BF142" s="48"/>
      <c r="BG142" s="48"/>
      <c r="BH142" s="48"/>
      <c r="BI142" s="48"/>
      <c r="BJ142" s="48"/>
      <c r="BK142" s="48"/>
      <c r="BL142" s="48"/>
      <c r="BM142" s="48"/>
      <c r="BN142" s="48"/>
      <c r="BO142" s="48"/>
      <c r="BP142" s="48"/>
      <c r="BQ142" s="48"/>
    </row>
    <row r="143" spans="1:69" ht="12.75" customHeight="1">
      <c r="A143" s="85">
        <v>139</v>
      </c>
      <c r="B143" s="86">
        <v>5136</v>
      </c>
      <c r="C143" s="29">
        <v>105</v>
      </c>
      <c r="D143" s="14">
        <v>1015425376</v>
      </c>
      <c r="E143" s="18" t="str">
        <f>IF(D143&gt;0,VLOOKUP(D143,'PLANTA PERNO'!A:D,4,0)&amp;" "&amp;VLOOKUP(D143,'PLANTA PERNO'!A:D,2,0)&amp;" "&amp;VLOOKUP(D143,'PLANTA PERNO'!A:D,3,0),IF(N143="","VACANTE DEFINITIVA","VACANTE TEMPORAL"))</f>
        <v>ALEJANDRA NATALY CASALLAS MARTINEZ</v>
      </c>
      <c r="F143" s="20" t="s">
        <v>49</v>
      </c>
      <c r="G143" s="20" t="str">
        <f t="shared" si="0"/>
        <v>EN ENCARGO</v>
      </c>
      <c r="H143" s="33">
        <f t="shared" si="43"/>
        <v>44147</v>
      </c>
      <c r="I143" s="33">
        <f t="shared" si="44"/>
        <v>44147</v>
      </c>
      <c r="J143" s="31" t="str">
        <f t="shared" si="45"/>
        <v>MUJER</v>
      </c>
      <c r="K143" s="21">
        <f t="shared" ca="1" si="46"/>
        <v>35</v>
      </c>
      <c r="L143" s="87" t="str">
        <f t="shared" si="39"/>
        <v>ENCARGO</v>
      </c>
      <c r="M143" s="21" t="str">
        <f t="shared" si="18"/>
        <v>EN ENCARGO</v>
      </c>
      <c r="N143" s="21">
        <v>1018482333</v>
      </c>
      <c r="O143" s="18" t="str">
        <f>IF(N143="","VACANTE DEFINITIVA",(VLOOKUP(N143,'PLANTA PERNO'!A:D,4,0)&amp;" "&amp;VLOOKUP(N143,'PLANTA PERNO'!A:D,2,0)&amp;" "&amp;VLOOKUP(N143,'PLANTA PERNO'!A:D,3,0)))</f>
        <v>DANIELA RODRIGUEZ NARVAEZ</v>
      </c>
      <c r="P143" s="21" t="s">
        <v>2376</v>
      </c>
      <c r="Q143" s="21">
        <v>6</v>
      </c>
      <c r="R143" s="21"/>
      <c r="S143" s="21"/>
      <c r="T143" s="21"/>
      <c r="U143" s="21"/>
      <c r="V143" s="128"/>
      <c r="W143" s="21" t="str">
        <f t="shared" si="7"/>
        <v>OCUPADO</v>
      </c>
      <c r="X143" s="23" t="s">
        <v>50</v>
      </c>
      <c r="Y143" s="90" t="s">
        <v>72</v>
      </c>
      <c r="Z143" s="25">
        <v>219</v>
      </c>
      <c r="AA143" s="27">
        <v>10</v>
      </c>
      <c r="AB143" s="28" t="str">
        <f t="shared" si="42"/>
        <v>219-10</v>
      </c>
      <c r="AC143" s="24" t="s">
        <v>147</v>
      </c>
      <c r="AD143" s="24" t="s">
        <v>147</v>
      </c>
      <c r="AE143" s="24" t="s">
        <v>2403</v>
      </c>
      <c r="AF143" s="24" t="s">
        <v>2404</v>
      </c>
      <c r="AG143" s="24" t="s">
        <v>92</v>
      </c>
      <c r="AH143" s="24" t="s">
        <v>2405</v>
      </c>
      <c r="AI143" s="93">
        <f t="shared" si="9"/>
        <v>4938935</v>
      </c>
      <c r="AJ143" s="93">
        <v>0</v>
      </c>
      <c r="AK143" s="93">
        <f t="shared" si="40"/>
        <v>148168</v>
      </c>
      <c r="AL143" s="93">
        <f>IFERROR(INT(($AI143*(VLOOKUP($D143,'PORCENTAJES FACTORES'!B:N,12,0))/100)),0)</f>
        <v>1659482</v>
      </c>
      <c r="AM143" s="93">
        <f t="shared" si="41"/>
        <v>0</v>
      </c>
      <c r="AN143" s="93">
        <f t="shared" si="13"/>
        <v>0</v>
      </c>
      <c r="AO143" s="93">
        <f t="shared" si="14"/>
        <v>0</v>
      </c>
      <c r="AP143" s="95">
        <f t="shared" si="32"/>
        <v>6746585</v>
      </c>
      <c r="AQ143" s="96"/>
      <c r="AR143" s="97" t="s">
        <v>588</v>
      </c>
      <c r="AS143" s="58"/>
      <c r="AT143" s="58"/>
      <c r="AU143" s="58"/>
      <c r="AV143" s="98">
        <f t="shared" si="16"/>
        <v>1018482333</v>
      </c>
      <c r="AW143" s="58"/>
      <c r="AX143" s="58"/>
      <c r="AY143" s="58"/>
      <c r="AZ143" s="58"/>
      <c r="BA143" s="48"/>
      <c r="BB143" s="48"/>
      <c r="BC143" s="48"/>
      <c r="BD143" s="48"/>
      <c r="BE143" s="48"/>
      <c r="BF143" s="48"/>
      <c r="BG143" s="48"/>
      <c r="BH143" s="48"/>
      <c r="BI143" s="48"/>
      <c r="BJ143" s="48"/>
      <c r="BK143" s="48"/>
      <c r="BL143" s="48"/>
      <c r="BM143" s="48"/>
      <c r="BN143" s="48"/>
      <c r="BO143" s="48"/>
      <c r="BP143" s="48"/>
      <c r="BQ143" s="48"/>
    </row>
    <row r="144" spans="1:69" ht="12.75" customHeight="1">
      <c r="A144" s="85">
        <v>140</v>
      </c>
      <c r="B144" s="86">
        <v>5137</v>
      </c>
      <c r="C144" s="29">
        <v>106</v>
      </c>
      <c r="D144" s="14">
        <v>1140857415</v>
      </c>
      <c r="E144" s="18" t="str">
        <f>IF(D144&gt;0,VLOOKUP(D144,'PLANTA PERNO'!A:D,4,0)&amp;" "&amp;VLOOKUP(D144,'PLANTA PERNO'!A:D,2,0)&amp;" "&amp;VLOOKUP(D144,'PLANTA PERNO'!A:D,3,0),IF(N144="","VACANTE DEFINITIVA","VACANTE TEMPORAL"))</f>
        <v>ARMANDO JAVIER CALVO ALONSO</v>
      </c>
      <c r="F144" s="20" t="s">
        <v>24</v>
      </c>
      <c r="G144" s="20" t="str">
        <f t="shared" si="0"/>
        <v>EN PROVISIONALIDAD</v>
      </c>
      <c r="H144" s="33">
        <f t="shared" si="43"/>
        <v>46300</v>
      </c>
      <c r="I144" s="33">
        <f t="shared" si="44"/>
        <v>0</v>
      </c>
      <c r="J144" s="31" t="str">
        <f t="shared" si="45"/>
        <v/>
      </c>
      <c r="K144" s="21">
        <f t="shared" ca="1" si="46"/>
        <v>126</v>
      </c>
      <c r="L144" s="87" t="str">
        <f t="shared" si="39"/>
        <v>PROVISIONALIDAD</v>
      </c>
      <c r="M144" s="21" t="str">
        <f t="shared" si="18"/>
        <v>EN ENCARGO</v>
      </c>
      <c r="N144" s="21">
        <v>79361343</v>
      </c>
      <c r="O144" s="18" t="str">
        <f>IF(N144="","VACANTE DEFINITIVA",(VLOOKUP(N144,'PLANTA PERNO'!A:D,4,0)&amp;" "&amp;VLOOKUP(N144,'PLANTA PERNO'!A:D,2,0)&amp;" "&amp;VLOOKUP(N144,'PLANTA PERNO'!A:D,3,0)))</f>
        <v>VICTOR HERNANDO MURILLO HURTADO</v>
      </c>
      <c r="P144" s="21" t="s">
        <v>2390</v>
      </c>
      <c r="Q144" s="21">
        <v>2</v>
      </c>
      <c r="R144" s="21" t="s">
        <v>166</v>
      </c>
      <c r="S144" s="21"/>
      <c r="T144" s="21"/>
      <c r="U144" s="21"/>
      <c r="V144" s="128"/>
      <c r="W144" s="21" t="str">
        <f t="shared" si="7"/>
        <v>OCUPADO</v>
      </c>
      <c r="X144" s="23" t="s">
        <v>50</v>
      </c>
      <c r="Y144" s="90" t="s">
        <v>72</v>
      </c>
      <c r="Z144" s="25">
        <v>219</v>
      </c>
      <c r="AA144" s="27">
        <v>9</v>
      </c>
      <c r="AB144" s="19" t="str">
        <f t="shared" si="42"/>
        <v>219-9</v>
      </c>
      <c r="AC144" s="24" t="s">
        <v>32</v>
      </c>
      <c r="AD144" s="24" t="s">
        <v>32</v>
      </c>
      <c r="AE144" s="24" t="s">
        <v>2406</v>
      </c>
      <c r="AF144" s="24" t="s">
        <v>2407</v>
      </c>
      <c r="AG144" s="24" t="s">
        <v>2408</v>
      </c>
      <c r="AH144" s="24" t="s">
        <v>2409</v>
      </c>
      <c r="AI144" s="93">
        <f t="shared" si="9"/>
        <v>4897424</v>
      </c>
      <c r="AJ144" s="93">
        <v>0</v>
      </c>
      <c r="AK144" s="93">
        <f t="shared" si="40"/>
        <v>0</v>
      </c>
      <c r="AL144" s="93">
        <f>IFERROR(INT(($AI144*(VLOOKUP($D144,'PORCENTAJES FACTORES'!B:N,12,0))/100)),0)</f>
        <v>0</v>
      </c>
      <c r="AM144" s="93">
        <f t="shared" si="41"/>
        <v>0</v>
      </c>
      <c r="AN144" s="93">
        <f t="shared" si="13"/>
        <v>0</v>
      </c>
      <c r="AO144" s="93">
        <f t="shared" si="14"/>
        <v>0</v>
      </c>
      <c r="AP144" s="95">
        <f t="shared" si="32"/>
        <v>4897424</v>
      </c>
      <c r="AQ144" s="96"/>
      <c r="AR144" s="97" t="s">
        <v>543</v>
      </c>
      <c r="AS144" s="58"/>
      <c r="AT144" s="58"/>
      <c r="AU144" s="58"/>
      <c r="AV144" s="98">
        <f t="shared" si="16"/>
        <v>79361343</v>
      </c>
      <c r="AW144" s="58"/>
      <c r="AX144" s="58"/>
      <c r="AY144" s="58"/>
      <c r="AZ144" s="58"/>
      <c r="BA144" s="48"/>
      <c r="BB144" s="48"/>
      <c r="BC144" s="48"/>
      <c r="BD144" s="48"/>
      <c r="BE144" s="48"/>
      <c r="BF144" s="48"/>
      <c r="BG144" s="48"/>
      <c r="BH144" s="48"/>
      <c r="BI144" s="48"/>
      <c r="BJ144" s="48"/>
      <c r="BK144" s="48"/>
      <c r="BL144" s="48"/>
      <c r="BM144" s="48"/>
      <c r="BN144" s="48"/>
      <c r="BO144" s="48"/>
      <c r="BP144" s="48"/>
      <c r="BQ144" s="48"/>
    </row>
    <row r="145" spans="1:69" ht="12.75" customHeight="1">
      <c r="A145" s="85">
        <v>141</v>
      </c>
      <c r="B145" s="86">
        <v>5138</v>
      </c>
      <c r="C145" s="29">
        <v>107</v>
      </c>
      <c r="D145" s="14">
        <v>1136880003</v>
      </c>
      <c r="E145" s="18" t="str">
        <f>IF(D145&gt;0,VLOOKUP(D145,'PLANTA PERNO'!A:D,4,0)&amp;" "&amp;VLOOKUP(D145,'PLANTA PERNO'!A:D,2,0)&amp;" "&amp;VLOOKUP(D145,'PLANTA PERNO'!A:D,3,0),IF(N145="","VACANTE DEFINITIVA","VACANTE TEMPORAL"))</f>
        <v>JEIMMY JOHANNA PAEZ GIL</v>
      </c>
      <c r="F145" s="20" t="s">
        <v>24</v>
      </c>
      <c r="G145" s="20" t="str">
        <f t="shared" si="0"/>
        <v>EN PROVISIONALIDAD</v>
      </c>
      <c r="H145" s="33">
        <f t="shared" si="43"/>
        <v>45426</v>
      </c>
      <c r="I145" s="33">
        <f t="shared" si="44"/>
        <v>45426</v>
      </c>
      <c r="J145" s="31" t="str">
        <f t="shared" si="45"/>
        <v>MUJER</v>
      </c>
      <c r="K145" s="21">
        <f t="shared" ca="1" si="46"/>
        <v>38</v>
      </c>
      <c r="L145" s="87" t="str">
        <f t="shared" si="39"/>
        <v>PROVISIONALIDAD</v>
      </c>
      <c r="M145" s="21" t="str">
        <f t="shared" si="18"/>
        <v>VACANTE DEFINITIVA</v>
      </c>
      <c r="N145" s="21" t="s">
        <v>25</v>
      </c>
      <c r="O145" s="18" t="str">
        <f>IF(N145="","VACANTE DEFINITIVA",(VLOOKUP(N145,'PLANTA PERNO'!A:D,4,0)&amp;" "&amp;VLOOKUP(N145,'PLANTA PERNO'!A:D,2,0)&amp;" "&amp;VLOOKUP(N145,'PLANTA PERNO'!A:D,3,0)))</f>
        <v>VACANTE DEFINITIVA</v>
      </c>
      <c r="P145" s="21"/>
      <c r="Q145" s="21"/>
      <c r="R145" s="21" t="s">
        <v>166</v>
      </c>
      <c r="S145" s="21"/>
      <c r="T145" s="21"/>
      <c r="U145" s="21"/>
      <c r="V145" s="128"/>
      <c r="W145" s="21" t="str">
        <f t="shared" si="7"/>
        <v>OCUPADO</v>
      </c>
      <c r="X145" s="23" t="s">
        <v>50</v>
      </c>
      <c r="Y145" s="90" t="s">
        <v>72</v>
      </c>
      <c r="Z145" s="25">
        <v>219</v>
      </c>
      <c r="AA145" s="27">
        <v>8</v>
      </c>
      <c r="AB145" s="28" t="str">
        <f t="shared" si="42"/>
        <v>219-8</v>
      </c>
      <c r="AC145" s="24" t="s">
        <v>75</v>
      </c>
      <c r="AD145" s="24" t="s">
        <v>75</v>
      </c>
      <c r="AE145" s="24" t="s">
        <v>2410</v>
      </c>
      <c r="AF145" s="24" t="s">
        <v>2411</v>
      </c>
      <c r="AG145" s="24" t="s">
        <v>2412</v>
      </c>
      <c r="AH145" s="24" t="s">
        <v>2413</v>
      </c>
      <c r="AI145" s="93">
        <f t="shared" si="9"/>
        <v>4802489</v>
      </c>
      <c r="AJ145" s="93">
        <v>0</v>
      </c>
      <c r="AK145" s="93">
        <f t="shared" si="40"/>
        <v>0</v>
      </c>
      <c r="AL145" s="93">
        <f>IFERROR(INT(($AI145*(VLOOKUP($D145,'PORCENTAJES FACTORES'!B:N,12,0))/100)),0)</f>
        <v>1152597</v>
      </c>
      <c r="AM145" s="93">
        <f t="shared" si="41"/>
        <v>0</v>
      </c>
      <c r="AN145" s="93">
        <f t="shared" si="13"/>
        <v>0</v>
      </c>
      <c r="AO145" s="93">
        <f t="shared" si="14"/>
        <v>0</v>
      </c>
      <c r="AP145" s="95">
        <f t="shared" si="32"/>
        <v>5955086</v>
      </c>
      <c r="AQ145" s="96"/>
      <c r="AR145" s="97" t="s">
        <v>501</v>
      </c>
      <c r="AS145" s="58"/>
      <c r="AT145" s="58"/>
      <c r="AU145" s="58"/>
      <c r="AV145" s="98" t="e">
        <f t="shared" si="16"/>
        <v>#N/A</v>
      </c>
      <c r="AW145" s="58"/>
      <c r="AX145" s="58"/>
      <c r="AY145" s="58"/>
      <c r="AZ145" s="58"/>
      <c r="BA145" s="48"/>
      <c r="BB145" s="48"/>
      <c r="BC145" s="48"/>
      <c r="BD145" s="48"/>
      <c r="BE145" s="48"/>
      <c r="BF145" s="48"/>
      <c r="BG145" s="48"/>
      <c r="BH145" s="48"/>
      <c r="BI145" s="48"/>
      <c r="BJ145" s="48"/>
      <c r="BK145" s="48"/>
      <c r="BL145" s="48"/>
      <c r="BM145" s="48"/>
      <c r="BN145" s="48"/>
      <c r="BO145" s="48"/>
      <c r="BP145" s="48"/>
      <c r="BQ145" s="48"/>
    </row>
    <row r="146" spans="1:69" ht="12.75" customHeight="1">
      <c r="A146" s="85">
        <v>142</v>
      </c>
      <c r="B146" s="86">
        <v>5139</v>
      </c>
      <c r="C146" s="29">
        <v>108</v>
      </c>
      <c r="D146" s="14">
        <v>1022362951</v>
      </c>
      <c r="E146" s="18" t="str">
        <f>IF(D146&gt;0,VLOOKUP(D146,'PLANTA PERNO'!A:D,4,0)&amp;" "&amp;VLOOKUP(D146,'PLANTA PERNO'!A:D,2,0)&amp;" "&amp;VLOOKUP(D146,'PLANTA PERNO'!A:D,3,0),IF(N146="","VACANTE DEFINITIVA","VACANTE TEMPORAL"))</f>
        <v>LUIS CARLOS GAONA FARIAS</v>
      </c>
      <c r="F146" s="20" t="s">
        <v>49</v>
      </c>
      <c r="G146" s="20" t="str">
        <f t="shared" si="0"/>
        <v>EN ENCARGO</v>
      </c>
      <c r="H146" s="33">
        <f t="shared" si="43"/>
        <v>44145</v>
      </c>
      <c r="I146" s="33">
        <f t="shared" si="44"/>
        <v>44145</v>
      </c>
      <c r="J146" s="31" t="str">
        <f t="shared" si="45"/>
        <v>HOMBRE</v>
      </c>
      <c r="K146" s="21">
        <f t="shared" ca="1" si="46"/>
        <v>36</v>
      </c>
      <c r="L146" s="87" t="str">
        <f t="shared" si="39"/>
        <v>ENCARGO</v>
      </c>
      <c r="M146" s="21" t="str">
        <f t="shared" si="18"/>
        <v>EN ENCARGO</v>
      </c>
      <c r="N146" s="21">
        <v>51937185</v>
      </c>
      <c r="O146" s="18" t="str">
        <f>IF(N146="","VACANTE DEFINITIVA",(VLOOKUP(N146,'PLANTA PERNO'!A:D,4,0)&amp;" "&amp;VLOOKUP(N146,'PLANTA PERNO'!A:D,2,0)&amp;" "&amp;VLOOKUP(N146,'PLANTA PERNO'!A:D,3,0)))</f>
        <v>MARTHA LILIANA BARRERA DIAZ</v>
      </c>
      <c r="P146" s="21" t="s">
        <v>333</v>
      </c>
      <c r="Q146" s="21">
        <v>1</v>
      </c>
      <c r="R146" s="21"/>
      <c r="S146" s="21"/>
      <c r="T146" s="21"/>
      <c r="U146" s="21"/>
      <c r="V146" s="128"/>
      <c r="W146" s="21" t="str">
        <f t="shared" si="7"/>
        <v>OCUPADO</v>
      </c>
      <c r="X146" s="23" t="s">
        <v>50</v>
      </c>
      <c r="Y146" s="90" t="s">
        <v>72</v>
      </c>
      <c r="Z146" s="25">
        <v>219</v>
      </c>
      <c r="AA146" s="27">
        <v>8</v>
      </c>
      <c r="AB146" s="28" t="str">
        <f t="shared" si="42"/>
        <v>219-8</v>
      </c>
      <c r="AC146" s="24" t="s">
        <v>147</v>
      </c>
      <c r="AD146" s="24" t="s">
        <v>147</v>
      </c>
      <c r="AE146" s="24" t="s">
        <v>2414</v>
      </c>
      <c r="AF146" s="24" t="s">
        <v>2415</v>
      </c>
      <c r="AG146" s="24" t="s">
        <v>2416</v>
      </c>
      <c r="AH146" s="24" t="s">
        <v>2417</v>
      </c>
      <c r="AI146" s="93">
        <f t="shared" si="9"/>
        <v>4802489</v>
      </c>
      <c r="AJ146" s="93">
        <v>0</v>
      </c>
      <c r="AK146" s="93">
        <f t="shared" si="40"/>
        <v>144074</v>
      </c>
      <c r="AL146" s="93">
        <f>IFERROR(INT(($AI146*(VLOOKUP($D146,'PORCENTAJES FACTORES'!B:N,12,0))/100)),0)</f>
        <v>1613636</v>
      </c>
      <c r="AM146" s="93">
        <f t="shared" si="41"/>
        <v>0</v>
      </c>
      <c r="AN146" s="93">
        <f t="shared" si="13"/>
        <v>0</v>
      </c>
      <c r="AO146" s="93">
        <f t="shared" si="14"/>
        <v>0</v>
      </c>
      <c r="AP146" s="95">
        <f t="shared" si="32"/>
        <v>6560199</v>
      </c>
      <c r="AQ146" s="96"/>
      <c r="AR146" s="97" t="s">
        <v>501</v>
      </c>
      <c r="AS146" s="58"/>
      <c r="AT146" s="58"/>
      <c r="AU146" s="58"/>
      <c r="AV146" s="98">
        <f t="shared" si="16"/>
        <v>51937185</v>
      </c>
      <c r="AW146" s="58"/>
      <c r="AX146" s="58"/>
      <c r="AY146" s="58"/>
      <c r="AZ146" s="58"/>
      <c r="BA146" s="48"/>
      <c r="BB146" s="48"/>
      <c r="BC146" s="48"/>
      <c r="BD146" s="48"/>
      <c r="BE146" s="48"/>
      <c r="BF146" s="48"/>
      <c r="BG146" s="48"/>
      <c r="BH146" s="48"/>
      <c r="BI146" s="48"/>
      <c r="BJ146" s="48"/>
      <c r="BK146" s="48"/>
      <c r="BL146" s="48"/>
      <c r="BM146" s="48"/>
      <c r="BN146" s="48"/>
      <c r="BO146" s="48"/>
      <c r="BP146" s="48"/>
      <c r="BQ146" s="48"/>
    </row>
    <row r="147" spans="1:69" ht="12.75" customHeight="1">
      <c r="A147" s="85">
        <v>143</v>
      </c>
      <c r="B147" s="86">
        <v>5140</v>
      </c>
      <c r="C147" s="29">
        <v>109</v>
      </c>
      <c r="D147" s="14">
        <v>22446641</v>
      </c>
      <c r="E147" s="18" t="str">
        <f>IF(D147&gt;0,VLOOKUP(D147,'PLANTA PERNO'!A:D,4,0)&amp;" "&amp;VLOOKUP(D147,'PLANTA PERNO'!A:D,2,0)&amp;" "&amp;VLOOKUP(D147,'PLANTA PERNO'!A:D,3,0),IF(N147="","VACANTE DEFINITIVA","VACANTE TEMPORAL"))</f>
        <v>ROSA ISABEL SIERRA LABORDE</v>
      </c>
      <c r="F147" s="20" t="s">
        <v>49</v>
      </c>
      <c r="G147" s="20" t="str">
        <f t="shared" si="0"/>
        <v>EN ENCARGO</v>
      </c>
      <c r="H147" s="33">
        <f t="shared" si="43"/>
        <v>44525</v>
      </c>
      <c r="I147" s="33">
        <f t="shared" si="44"/>
        <v>44525</v>
      </c>
      <c r="J147" s="31" t="str">
        <f t="shared" si="45"/>
        <v>MUJER</v>
      </c>
      <c r="K147" s="21">
        <f t="shared" ca="1" si="46"/>
        <v>58</v>
      </c>
      <c r="L147" s="87" t="str">
        <f t="shared" si="39"/>
        <v>ENCARGO</v>
      </c>
      <c r="M147" s="21" t="str">
        <f t="shared" si="18"/>
        <v>EN ENCARGO</v>
      </c>
      <c r="N147" s="21">
        <v>1013608357</v>
      </c>
      <c r="O147" s="18" t="str">
        <f>IF(N147="","VACANTE DEFINITIVA",(VLOOKUP(N147,'PLANTA PERNO'!A:D,4,0)&amp;" "&amp;VLOOKUP(N147,'PLANTA PERNO'!A:D,2,0)&amp;" "&amp;VLOOKUP(N147,'PLANTA PERNO'!A:D,3,0)))</f>
        <v>MONICA JULIANA SANMIGUEL ROJAS</v>
      </c>
      <c r="P147" s="21" t="s">
        <v>2365</v>
      </c>
      <c r="Q147" s="21">
        <v>2</v>
      </c>
      <c r="R147" s="21"/>
      <c r="S147" s="21"/>
      <c r="T147" s="21"/>
      <c r="U147" s="21"/>
      <c r="V147" s="128"/>
      <c r="W147" s="21" t="str">
        <f t="shared" si="7"/>
        <v>OCUPADO</v>
      </c>
      <c r="X147" s="23" t="s">
        <v>50</v>
      </c>
      <c r="Y147" s="90" t="s">
        <v>72</v>
      </c>
      <c r="Z147" s="25">
        <v>219</v>
      </c>
      <c r="AA147" s="27">
        <v>3</v>
      </c>
      <c r="AB147" s="28" t="str">
        <f t="shared" si="42"/>
        <v>219-3</v>
      </c>
      <c r="AC147" s="24" t="s">
        <v>33</v>
      </c>
      <c r="AD147" s="24" t="s">
        <v>33</v>
      </c>
      <c r="AE147" s="24" t="s">
        <v>105</v>
      </c>
      <c r="AF147" s="24" t="s">
        <v>106</v>
      </c>
      <c r="AG147" s="24" t="s">
        <v>92</v>
      </c>
      <c r="AH147" s="24" t="s">
        <v>108</v>
      </c>
      <c r="AI147" s="93">
        <f t="shared" si="9"/>
        <v>4244468</v>
      </c>
      <c r="AJ147" s="93">
        <v>0</v>
      </c>
      <c r="AK147" s="93">
        <f t="shared" si="40"/>
        <v>0</v>
      </c>
      <c r="AL147" s="93">
        <f>IFERROR(INT(($AI147*(VLOOKUP($D147,'PORCENTAJES FACTORES'!B:N,12,0))/100)),0)</f>
        <v>887093</v>
      </c>
      <c r="AM147" s="93">
        <f t="shared" si="41"/>
        <v>0</v>
      </c>
      <c r="AN147" s="93">
        <f t="shared" si="13"/>
        <v>0</v>
      </c>
      <c r="AO147" s="93">
        <f t="shared" si="14"/>
        <v>0</v>
      </c>
      <c r="AP147" s="95">
        <f t="shared" si="32"/>
        <v>5131561</v>
      </c>
      <c r="AQ147" s="96"/>
      <c r="AR147" s="97" t="s">
        <v>389</v>
      </c>
      <c r="AS147" s="58"/>
      <c r="AT147" s="58"/>
      <c r="AU147" s="58"/>
      <c r="AV147" s="98">
        <f t="shared" si="16"/>
        <v>1013608357</v>
      </c>
      <c r="AW147" s="58"/>
      <c r="AX147" s="58"/>
      <c r="AY147" s="58"/>
      <c r="AZ147" s="58"/>
      <c r="BA147" s="48"/>
      <c r="BB147" s="48"/>
      <c r="BC147" s="48"/>
      <c r="BD147" s="48"/>
      <c r="BE147" s="48"/>
      <c r="BF147" s="48"/>
      <c r="BG147" s="48"/>
      <c r="BH147" s="48"/>
      <c r="BI147" s="48"/>
      <c r="BJ147" s="48"/>
      <c r="BK147" s="48"/>
      <c r="BL147" s="48"/>
      <c r="BM147" s="48"/>
      <c r="BN147" s="48"/>
      <c r="BO147" s="48"/>
      <c r="BP147" s="48"/>
      <c r="BQ147" s="48"/>
    </row>
    <row r="148" spans="1:69" ht="12.75" customHeight="1">
      <c r="A148" s="85">
        <v>144</v>
      </c>
      <c r="B148" s="86">
        <v>5141</v>
      </c>
      <c r="C148" s="29">
        <v>110</v>
      </c>
      <c r="D148" s="14">
        <v>79894605</v>
      </c>
      <c r="E148" s="153" t="str">
        <f>IF(D148&gt;0,VLOOKUP(D148,'PLANTA PERNO'!A:D,4,0)&amp;" "&amp;VLOOKUP(D148,'PLANTA PERNO'!A:D,2,0)&amp;" "&amp;VLOOKUP(D148,'PLANTA PERNO'!A:D,3,0),IF(N148="","VACANTE DEFINITIVA","VACANTE TEMPORAL"))</f>
        <v>JHON ALEXANDER TIBADUIZA CASTAÃ‘EDA</v>
      </c>
      <c r="F148" s="20" t="s">
        <v>24</v>
      </c>
      <c r="G148" s="20" t="str">
        <f t="shared" si="0"/>
        <v>EN PROVISIONALIDAD</v>
      </c>
      <c r="H148" s="33">
        <f t="shared" si="43"/>
        <v>45968</v>
      </c>
      <c r="I148" s="33">
        <f t="shared" si="44"/>
        <v>45968</v>
      </c>
      <c r="J148" s="31" t="str">
        <f t="shared" si="45"/>
        <v>HOMBRE</v>
      </c>
      <c r="K148" s="21">
        <f t="shared" ca="1" si="46"/>
        <v>48</v>
      </c>
      <c r="L148" s="87" t="str">
        <f t="shared" si="39"/>
        <v>PROVISIONALIDAD</v>
      </c>
      <c r="M148" s="21" t="str">
        <f t="shared" si="18"/>
        <v>EN ENCARGO</v>
      </c>
      <c r="N148" s="21">
        <v>1032489040</v>
      </c>
      <c r="O148" s="18" t="str">
        <f>IF(N148="","VACANTE DEFINITIVA",(VLOOKUP(N148,'PLANTA PERNO'!A:D,4,0)&amp;" "&amp;VLOOKUP(N148,'PLANTA PERNO'!A:D,2,0)&amp;" "&amp;VLOOKUP(N148,'PLANTA PERNO'!A:D,3,0)))</f>
        <v>LEIDY JOHANNA ALONSO GUTIERREZ</v>
      </c>
      <c r="P148" s="21" t="s">
        <v>1602</v>
      </c>
      <c r="Q148" s="21">
        <v>5</v>
      </c>
      <c r="R148" s="21" t="s">
        <v>166</v>
      </c>
      <c r="S148" s="21"/>
      <c r="T148" s="21"/>
      <c r="U148" s="21"/>
      <c r="V148" s="128"/>
      <c r="W148" s="21" t="str">
        <f t="shared" si="7"/>
        <v>OCUPADO</v>
      </c>
      <c r="X148" s="23" t="s">
        <v>50</v>
      </c>
      <c r="Y148" s="90" t="s">
        <v>72</v>
      </c>
      <c r="Z148" s="25">
        <v>219</v>
      </c>
      <c r="AA148" s="27">
        <v>1</v>
      </c>
      <c r="AB148" s="28" t="str">
        <f t="shared" si="42"/>
        <v>219-1</v>
      </c>
      <c r="AC148" s="24" t="s">
        <v>33</v>
      </c>
      <c r="AD148" s="24" t="s">
        <v>33</v>
      </c>
      <c r="AE148" s="41" t="s">
        <v>112</v>
      </c>
      <c r="AF148" s="41" t="s">
        <v>114</v>
      </c>
      <c r="AG148" s="41" t="s">
        <v>92</v>
      </c>
      <c r="AH148" s="41" t="s">
        <v>116</v>
      </c>
      <c r="AI148" s="93">
        <f t="shared" si="9"/>
        <v>3989530</v>
      </c>
      <c r="AJ148" s="93">
        <v>0</v>
      </c>
      <c r="AK148" s="93">
        <f t="shared" si="40"/>
        <v>0</v>
      </c>
      <c r="AL148" s="93">
        <f>IFERROR(INT(($AI148*(VLOOKUP($D148,'PORCENTAJES FACTORES'!B:N,12,0))/100)),0)</f>
        <v>0</v>
      </c>
      <c r="AM148" s="93">
        <f t="shared" si="41"/>
        <v>0</v>
      </c>
      <c r="AN148" s="93">
        <f t="shared" si="13"/>
        <v>0</v>
      </c>
      <c r="AO148" s="93">
        <f t="shared" si="14"/>
        <v>0</v>
      </c>
      <c r="AP148" s="95">
        <f t="shared" si="32"/>
        <v>3989530</v>
      </c>
      <c r="AQ148" s="96" t="s">
        <v>2418</v>
      </c>
      <c r="AR148" s="97" t="s">
        <v>381</v>
      </c>
      <c r="AS148" s="58"/>
      <c r="AT148" s="58"/>
      <c r="AU148" s="58"/>
      <c r="AV148" s="98">
        <f t="shared" si="16"/>
        <v>1032489040</v>
      </c>
      <c r="AW148" s="58"/>
      <c r="AX148" s="58"/>
      <c r="AY148" s="58"/>
      <c r="AZ148" s="58"/>
      <c r="BA148" s="48"/>
      <c r="BB148" s="48"/>
      <c r="BC148" s="48"/>
      <c r="BD148" s="48"/>
      <c r="BE148" s="48"/>
      <c r="BF148" s="48"/>
      <c r="BG148" s="48"/>
      <c r="BH148" s="48"/>
      <c r="BI148" s="48"/>
      <c r="BJ148" s="48"/>
      <c r="BK148" s="48"/>
      <c r="BL148" s="48"/>
      <c r="BM148" s="48"/>
      <c r="BN148" s="48"/>
      <c r="BO148" s="48"/>
      <c r="BP148" s="48"/>
      <c r="BQ148" s="48"/>
    </row>
    <row r="149" spans="1:69" ht="12.75" customHeight="1">
      <c r="A149" s="85">
        <v>145</v>
      </c>
      <c r="B149" s="86">
        <v>5142</v>
      </c>
      <c r="C149" s="29">
        <v>111</v>
      </c>
      <c r="D149" s="14"/>
      <c r="E149" s="18" t="str">
        <f>IF(D149&gt;0,VLOOKUP(D149,'PLANTA PERNO'!A:D,4,0)&amp;" "&amp;VLOOKUP(D149,'PLANTA PERNO'!A:D,2,0)&amp;" "&amp;VLOOKUP(D149,'PLANTA PERNO'!A:D,3,0),IF(N149="","VACANTE DEFINITIVA","VACANTE TEMPORAL"))</f>
        <v>VACANTE TEMPORAL</v>
      </c>
      <c r="F149" s="20"/>
      <c r="G149" s="20" t="str">
        <f t="shared" si="0"/>
        <v>VACANTE TEMPORAL</v>
      </c>
      <c r="H149" s="33" t="str">
        <f t="shared" si="43"/>
        <v xml:space="preserve"> </v>
      </c>
      <c r="I149" s="33" t="str">
        <f t="shared" si="44"/>
        <v/>
      </c>
      <c r="J149" s="31" t="str">
        <f t="shared" si="45"/>
        <v/>
      </c>
      <c r="K149" s="21" t="str">
        <f t="shared" ca="1" si="46"/>
        <v/>
      </c>
      <c r="L149" s="87" t="str">
        <f t="shared" si="39"/>
        <v/>
      </c>
      <c r="M149" s="21" t="str">
        <f t="shared" si="18"/>
        <v>EN ENCARGO</v>
      </c>
      <c r="N149" s="21">
        <v>30333406</v>
      </c>
      <c r="O149" s="18" t="str">
        <f>IF(N149="","VACANTE DEFINITIVA",(VLOOKUP(N149,'PLANTA PERNO'!A:D,4,0)&amp;" "&amp;VLOOKUP(N149,'PLANTA PERNO'!A:D,2,0)&amp;" "&amp;VLOOKUP(N149,'PLANTA PERNO'!A:D,3,0)))</f>
        <v>ALEXANDRA AVILA MARIN</v>
      </c>
      <c r="P149" s="21" t="s">
        <v>322</v>
      </c>
      <c r="Q149" s="21">
        <v>2</v>
      </c>
      <c r="R149" s="21"/>
      <c r="S149" s="21"/>
      <c r="T149" s="21"/>
      <c r="U149" s="21"/>
      <c r="V149" s="128"/>
      <c r="W149" s="21" t="str">
        <f t="shared" si="7"/>
        <v>VACANTE TEMPORAL</v>
      </c>
      <c r="X149" s="23" t="s">
        <v>50</v>
      </c>
      <c r="Y149" s="90" t="s">
        <v>72</v>
      </c>
      <c r="Z149" s="25">
        <v>219</v>
      </c>
      <c r="AA149" s="27">
        <v>1</v>
      </c>
      <c r="AB149" s="28" t="str">
        <f t="shared" si="42"/>
        <v>219-1</v>
      </c>
      <c r="AC149" s="24" t="s">
        <v>33</v>
      </c>
      <c r="AD149" s="24" t="s">
        <v>33</v>
      </c>
      <c r="AE149" s="24" t="s">
        <v>120</v>
      </c>
      <c r="AF149" s="24" t="s">
        <v>121</v>
      </c>
      <c r="AG149" s="24" t="s">
        <v>122</v>
      </c>
      <c r="AH149" s="24" t="s">
        <v>116</v>
      </c>
      <c r="AI149" s="93">
        <f t="shared" si="9"/>
        <v>3989530</v>
      </c>
      <c r="AJ149" s="93">
        <v>0</v>
      </c>
      <c r="AK149" s="93">
        <f t="shared" si="40"/>
        <v>0</v>
      </c>
      <c r="AL149" s="93">
        <f>IFERROR(INT(($AI149*(VLOOKUP($D149,'PORCENTAJES FACTORES'!B:N,12,0))/100)),0)</f>
        <v>0</v>
      </c>
      <c r="AM149" s="93">
        <f t="shared" si="41"/>
        <v>0</v>
      </c>
      <c r="AN149" s="93">
        <f t="shared" si="13"/>
        <v>0</v>
      </c>
      <c r="AO149" s="93">
        <f t="shared" si="14"/>
        <v>0</v>
      </c>
      <c r="AP149" s="95">
        <f t="shared" si="32"/>
        <v>3989530</v>
      </c>
      <c r="AQ149" s="96"/>
      <c r="AR149" s="97" t="s">
        <v>381</v>
      </c>
      <c r="AS149" s="58"/>
      <c r="AT149" s="58"/>
      <c r="AU149" s="58"/>
      <c r="AV149" s="98">
        <f t="shared" si="16"/>
        <v>30333406</v>
      </c>
      <c r="AW149" s="58"/>
      <c r="AX149" s="58"/>
      <c r="AY149" s="58"/>
      <c r="AZ149" s="58"/>
      <c r="BA149" s="48"/>
      <c r="BB149" s="48"/>
      <c r="BC149" s="48"/>
      <c r="BD149" s="48"/>
      <c r="BE149" s="48"/>
      <c r="BF149" s="48"/>
      <c r="BG149" s="48"/>
      <c r="BH149" s="48"/>
      <c r="BI149" s="48"/>
      <c r="BJ149" s="48"/>
      <c r="BK149" s="48"/>
      <c r="BL149" s="48"/>
      <c r="BM149" s="48"/>
      <c r="BN149" s="48"/>
      <c r="BO149" s="48"/>
      <c r="BP149" s="48"/>
      <c r="BQ149" s="48"/>
    </row>
    <row r="150" spans="1:69" ht="12.75" customHeight="1">
      <c r="A150" s="85">
        <v>146</v>
      </c>
      <c r="B150" s="86">
        <v>5143</v>
      </c>
      <c r="C150" s="29">
        <v>112</v>
      </c>
      <c r="D150" s="14">
        <v>28488940</v>
      </c>
      <c r="E150" s="18" t="str">
        <f>IF(D150&gt;0,VLOOKUP(D150,'PLANTA PERNO'!A:D,4,0)&amp;" "&amp;VLOOKUP(D150,'PLANTA PERNO'!A:D,2,0)&amp;" "&amp;VLOOKUP(D150,'PLANTA PERNO'!A:D,3,0),IF(N150="","VACANTE DEFINITIVA","VACANTE TEMPORAL"))</f>
        <v>CAROLINA ANAYA SARMIENTO</v>
      </c>
      <c r="F150" s="20" t="s">
        <v>49</v>
      </c>
      <c r="G150" s="20" t="str">
        <f t="shared" si="0"/>
        <v>EN ENCARGO</v>
      </c>
      <c r="H150" s="33">
        <f t="shared" si="43"/>
        <v>44138</v>
      </c>
      <c r="I150" s="33">
        <f t="shared" si="44"/>
        <v>44138</v>
      </c>
      <c r="J150" s="31" t="str">
        <f t="shared" si="45"/>
        <v>MUJER</v>
      </c>
      <c r="K150" s="21">
        <f t="shared" ca="1" si="46"/>
        <v>44</v>
      </c>
      <c r="L150" s="87" t="str">
        <f t="shared" si="39"/>
        <v>ENCARGO</v>
      </c>
      <c r="M150" s="21" t="str">
        <f t="shared" si="18"/>
        <v>VACANTE DEFINITIVA</v>
      </c>
      <c r="N150" s="21" t="s">
        <v>25</v>
      </c>
      <c r="O150" s="18" t="str">
        <f>IF(N150="","VACANTE DEFINITIVA",(VLOOKUP(N150,'PLANTA PERNO'!A:D,4,0)&amp;" "&amp;VLOOKUP(N150,'PLANTA PERNO'!A:D,2,0)&amp;" "&amp;VLOOKUP(N150,'PLANTA PERNO'!A:D,3,0)))</f>
        <v>VACANTE DEFINITIVA</v>
      </c>
      <c r="P150" s="21" t="s">
        <v>2419</v>
      </c>
      <c r="Q150" s="21">
        <v>1</v>
      </c>
      <c r="R150" s="21"/>
      <c r="S150" s="21"/>
      <c r="T150" s="21"/>
      <c r="U150" s="21"/>
      <c r="V150" s="128"/>
      <c r="W150" s="21" t="str">
        <f t="shared" si="7"/>
        <v>OCUPADO</v>
      </c>
      <c r="X150" s="23" t="s">
        <v>50</v>
      </c>
      <c r="Y150" s="90" t="s">
        <v>72</v>
      </c>
      <c r="Z150" s="25">
        <v>219</v>
      </c>
      <c r="AA150" s="27">
        <v>1</v>
      </c>
      <c r="AB150" s="28" t="str">
        <f t="shared" si="42"/>
        <v>219-1</v>
      </c>
      <c r="AC150" s="24" t="s">
        <v>153</v>
      </c>
      <c r="AD150" s="24" t="s">
        <v>153</v>
      </c>
      <c r="AE150" s="41" t="s">
        <v>2420</v>
      </c>
      <c r="AF150" s="41" t="s">
        <v>2421</v>
      </c>
      <c r="AG150" s="41" t="s">
        <v>80</v>
      </c>
      <c r="AH150" s="41" t="s">
        <v>2422</v>
      </c>
      <c r="AI150" s="93">
        <f t="shared" si="9"/>
        <v>3989530</v>
      </c>
      <c r="AJ150" s="93">
        <v>0</v>
      </c>
      <c r="AK150" s="93">
        <f t="shared" si="40"/>
        <v>119685</v>
      </c>
      <c r="AL150" s="93">
        <f>IFERROR(INT(($AI150*(VLOOKUP($D150,'PORCENTAJES FACTORES'!B:N,12,0))/100)),0)</f>
        <v>1468147</v>
      </c>
      <c r="AM150" s="93">
        <f t="shared" si="41"/>
        <v>0</v>
      </c>
      <c r="AN150" s="93">
        <f t="shared" si="13"/>
        <v>0</v>
      </c>
      <c r="AO150" s="93">
        <f t="shared" si="14"/>
        <v>0</v>
      </c>
      <c r="AP150" s="95">
        <f t="shared" si="32"/>
        <v>5577362</v>
      </c>
      <c r="AQ150" s="96" t="s">
        <v>2423</v>
      </c>
      <c r="AR150" s="97" t="s">
        <v>381</v>
      </c>
      <c r="AS150" s="58"/>
      <c r="AT150" s="58"/>
      <c r="AU150" s="58"/>
      <c r="AV150" s="98" t="e">
        <f t="shared" si="16"/>
        <v>#N/A</v>
      </c>
      <c r="AW150" s="58"/>
      <c r="AX150" s="58"/>
      <c r="AY150" s="58"/>
      <c r="AZ150" s="58"/>
      <c r="BA150" s="48"/>
      <c r="BB150" s="48"/>
      <c r="BC150" s="48"/>
      <c r="BD150" s="48"/>
      <c r="BE150" s="48"/>
      <c r="BF150" s="48"/>
      <c r="BG150" s="48"/>
      <c r="BH150" s="48"/>
      <c r="BI150" s="48"/>
      <c r="BJ150" s="48"/>
      <c r="BK150" s="48"/>
      <c r="BL150" s="48"/>
      <c r="BM150" s="48"/>
      <c r="BN150" s="48"/>
      <c r="BO150" s="48"/>
      <c r="BP150" s="48"/>
      <c r="BQ150" s="48"/>
    </row>
    <row r="151" spans="1:69" ht="12.75" customHeight="1">
      <c r="A151" s="85">
        <v>147</v>
      </c>
      <c r="B151" s="86">
        <v>5144</v>
      </c>
      <c r="C151" s="29">
        <v>113</v>
      </c>
      <c r="D151" s="14">
        <v>1032479676</v>
      </c>
      <c r="E151" s="18" t="str">
        <f>IF(D151&gt;0,VLOOKUP(D151,'PLANTA PERNO'!A:D,4,0)&amp;" "&amp;VLOOKUP(D151,'PLANTA PERNO'!A:D,2,0)&amp;" "&amp;VLOOKUP(D151,'PLANTA PERNO'!A:D,3,0),IF(N151="","VACANTE DEFINITIVA","VACANTE TEMPORAL"))</f>
        <v>DAVID ALEJANDRO MORA BERMUDEZ</v>
      </c>
      <c r="F151" s="20" t="s">
        <v>49</v>
      </c>
      <c r="G151" s="20" t="str">
        <f t="shared" si="0"/>
        <v>CARRERA ADMINISTRATIVA</v>
      </c>
      <c r="H151" s="33">
        <f t="shared" si="43"/>
        <v>44153</v>
      </c>
      <c r="I151" s="33">
        <f t="shared" si="44"/>
        <v>44153</v>
      </c>
      <c r="J151" s="31" t="str">
        <f t="shared" si="45"/>
        <v>HOMBRE</v>
      </c>
      <c r="K151" s="21">
        <f t="shared" ca="1" si="46"/>
        <v>30</v>
      </c>
      <c r="L151" s="87" t="str">
        <f t="shared" si="39"/>
        <v/>
      </c>
      <c r="M151" s="21" t="str">
        <f t="shared" si="18"/>
        <v>EN PROPIEDAD</v>
      </c>
      <c r="N151" s="21">
        <v>1032479676</v>
      </c>
      <c r="O151" s="18" t="str">
        <f>IF(N151="","VACANTE DEFINITIVA",(VLOOKUP(N151,'PLANTA PERNO'!A:D,4,0)&amp;" "&amp;VLOOKUP(N151,'PLANTA PERNO'!A:D,2,0)&amp;" "&amp;VLOOKUP(N151,'PLANTA PERNO'!A:D,3,0)))</f>
        <v>DAVID ALEJANDRO MORA BERMUDEZ</v>
      </c>
      <c r="P151" s="21"/>
      <c r="Q151" s="21"/>
      <c r="R151" s="21"/>
      <c r="S151" s="21"/>
      <c r="T151" s="21"/>
      <c r="U151" s="21"/>
      <c r="V151" s="128"/>
      <c r="W151" s="21" t="str">
        <f t="shared" si="7"/>
        <v>OCUPADO</v>
      </c>
      <c r="X151" s="23" t="s">
        <v>50</v>
      </c>
      <c r="Y151" s="90" t="s">
        <v>72</v>
      </c>
      <c r="Z151" s="25">
        <v>219</v>
      </c>
      <c r="AA151" s="27">
        <v>1</v>
      </c>
      <c r="AB151" s="28" t="str">
        <f t="shared" si="42"/>
        <v>219-1</v>
      </c>
      <c r="AC151" s="24" t="s">
        <v>150</v>
      </c>
      <c r="AD151" s="24" t="s">
        <v>150</v>
      </c>
      <c r="AE151" s="24" t="s">
        <v>2424</v>
      </c>
      <c r="AF151" s="24" t="s">
        <v>2425</v>
      </c>
      <c r="AG151" s="24" t="s">
        <v>2426</v>
      </c>
      <c r="AH151" s="24" t="s">
        <v>2427</v>
      </c>
      <c r="AI151" s="93">
        <f t="shared" si="9"/>
        <v>3989530</v>
      </c>
      <c r="AJ151" s="93">
        <v>0</v>
      </c>
      <c r="AK151" s="93">
        <f t="shared" si="40"/>
        <v>119685</v>
      </c>
      <c r="AL151" s="93">
        <f>IFERROR(INT(($AI151*(VLOOKUP($D151,'PORCENTAJES FACTORES'!B:N,12,0))/100)),0)</f>
        <v>1595812</v>
      </c>
      <c r="AM151" s="93">
        <f t="shared" si="41"/>
        <v>0</v>
      </c>
      <c r="AN151" s="93">
        <f t="shared" si="13"/>
        <v>0</v>
      </c>
      <c r="AO151" s="93">
        <f t="shared" si="14"/>
        <v>0</v>
      </c>
      <c r="AP151" s="95">
        <f t="shared" si="32"/>
        <v>5705027</v>
      </c>
      <c r="AQ151" s="96"/>
      <c r="AR151" s="97" t="s">
        <v>381</v>
      </c>
      <c r="AS151" s="58"/>
      <c r="AT151" s="58"/>
      <c r="AU151" s="58"/>
      <c r="AV151" s="98">
        <f t="shared" si="16"/>
        <v>1032479676</v>
      </c>
      <c r="AW151" s="58"/>
      <c r="AX151" s="58"/>
      <c r="AY151" s="58"/>
      <c r="AZ151" s="58"/>
      <c r="BA151" s="48"/>
      <c r="BB151" s="48"/>
      <c r="BC151" s="48"/>
      <c r="BD151" s="48"/>
      <c r="BE151" s="48"/>
      <c r="BF151" s="48"/>
      <c r="BG151" s="48"/>
      <c r="BH151" s="48"/>
      <c r="BI151" s="48"/>
      <c r="BJ151" s="48"/>
      <c r="BK151" s="48"/>
      <c r="BL151" s="48"/>
      <c r="BM151" s="48"/>
      <c r="BN151" s="48"/>
      <c r="BO151" s="48"/>
      <c r="BP151" s="48"/>
      <c r="BQ151" s="48"/>
    </row>
    <row r="152" spans="1:69" ht="12.75" customHeight="1">
      <c r="A152" s="85">
        <v>148</v>
      </c>
      <c r="B152" s="86">
        <v>5145</v>
      </c>
      <c r="C152" s="29">
        <v>114</v>
      </c>
      <c r="D152" s="14">
        <v>79296576</v>
      </c>
      <c r="E152" s="18" t="str">
        <f>IF(D152&gt;0,VLOOKUP(D152,'PLANTA PERNO'!A:D,4,0)&amp;" "&amp;VLOOKUP(D152,'PLANTA PERNO'!A:D,2,0)&amp;" "&amp;VLOOKUP(D152,'PLANTA PERNO'!A:D,3,0),IF(N152="","VACANTE DEFINITIVA","VACANTE TEMPORAL"))</f>
        <v>JOSE JAVIER PINTO CASTAÃ‘EDA</v>
      </c>
      <c r="F152" s="20" t="s">
        <v>24</v>
      </c>
      <c r="G152" s="20" t="str">
        <f t="shared" si="0"/>
        <v>EN PROVISIONALIDAD</v>
      </c>
      <c r="H152" s="33">
        <f t="shared" si="43"/>
        <v>45954</v>
      </c>
      <c r="I152" s="33">
        <f t="shared" si="44"/>
        <v>45954</v>
      </c>
      <c r="J152" s="31" t="str">
        <f t="shared" si="45"/>
        <v>HOMBRE</v>
      </c>
      <c r="K152" s="21">
        <f t="shared" ca="1" si="46"/>
        <v>62</v>
      </c>
      <c r="L152" s="87" t="str">
        <f t="shared" si="39"/>
        <v>PROVISIONALIDAD</v>
      </c>
      <c r="M152" s="21" t="str">
        <f t="shared" si="18"/>
        <v>EN ENCARGO</v>
      </c>
      <c r="N152" s="21">
        <v>1110573560</v>
      </c>
      <c r="O152" s="18" t="str">
        <f>IF(N152="","VACANTE DEFINITIVA",(VLOOKUP(N152,'PLANTA PERNO'!A:D,4,0)&amp;" "&amp;VLOOKUP(N152,'PLANTA PERNO'!A:D,2,0)&amp;" "&amp;VLOOKUP(N152,'PLANTA PERNO'!A:D,3,0)))</f>
        <v>CRISTHIAM DAVID JIMENEZ VASQUEZ</v>
      </c>
      <c r="P152" s="21" t="s">
        <v>2342</v>
      </c>
      <c r="Q152" s="21">
        <v>3</v>
      </c>
      <c r="R152" s="21" t="s">
        <v>166</v>
      </c>
      <c r="S152" s="21"/>
      <c r="T152" s="21"/>
      <c r="U152" s="21"/>
      <c r="V152" s="128"/>
      <c r="W152" s="21" t="str">
        <f t="shared" si="7"/>
        <v>OCUPADO</v>
      </c>
      <c r="X152" s="23" t="s">
        <v>50</v>
      </c>
      <c r="Y152" s="90" t="s">
        <v>72</v>
      </c>
      <c r="Z152" s="25">
        <v>219</v>
      </c>
      <c r="AA152" s="27">
        <v>1</v>
      </c>
      <c r="AB152" s="28" t="str">
        <f t="shared" si="42"/>
        <v>219-1</v>
      </c>
      <c r="AC152" s="24" t="s">
        <v>150</v>
      </c>
      <c r="AD152" s="24" t="s">
        <v>150</v>
      </c>
      <c r="AE152" s="24" t="s">
        <v>2428</v>
      </c>
      <c r="AF152" s="24" t="s">
        <v>2429</v>
      </c>
      <c r="AG152" s="24" t="s">
        <v>92</v>
      </c>
      <c r="AH152" s="24" t="s">
        <v>2430</v>
      </c>
      <c r="AI152" s="93">
        <f t="shared" si="9"/>
        <v>3989530</v>
      </c>
      <c r="AJ152" s="93">
        <v>0</v>
      </c>
      <c r="AK152" s="93">
        <f t="shared" si="40"/>
        <v>0</v>
      </c>
      <c r="AL152" s="93">
        <f>IFERROR(INT(($AI152*(VLOOKUP($D152,'PORCENTAJES FACTORES'!B:N,12,0))/100)),0)</f>
        <v>0</v>
      </c>
      <c r="AM152" s="93">
        <f t="shared" si="41"/>
        <v>0</v>
      </c>
      <c r="AN152" s="93">
        <f t="shared" si="13"/>
        <v>0</v>
      </c>
      <c r="AO152" s="93">
        <f t="shared" si="14"/>
        <v>0</v>
      </c>
      <c r="AP152" s="95">
        <f t="shared" si="32"/>
        <v>3989530</v>
      </c>
      <c r="AQ152" s="96"/>
      <c r="AR152" s="97" t="s">
        <v>381</v>
      </c>
      <c r="AS152" s="58"/>
      <c r="AT152" s="58"/>
      <c r="AU152" s="58"/>
      <c r="AV152" s="98">
        <f t="shared" si="16"/>
        <v>1110573560</v>
      </c>
      <c r="AW152" s="58"/>
      <c r="AX152" s="58"/>
      <c r="AY152" s="58"/>
      <c r="AZ152" s="58"/>
      <c r="BA152" s="48"/>
      <c r="BB152" s="48"/>
      <c r="BC152" s="48"/>
      <c r="BD152" s="48"/>
      <c r="BE152" s="48"/>
      <c r="BF152" s="48"/>
      <c r="BG152" s="48"/>
      <c r="BH152" s="48"/>
      <c r="BI152" s="48"/>
      <c r="BJ152" s="48"/>
      <c r="BK152" s="48"/>
      <c r="BL152" s="48"/>
      <c r="BM152" s="48"/>
      <c r="BN152" s="48"/>
      <c r="BO152" s="48"/>
      <c r="BP152" s="48"/>
      <c r="BQ152" s="48"/>
    </row>
    <row r="153" spans="1:69" ht="12.75" customHeight="1">
      <c r="A153" s="85">
        <v>149</v>
      </c>
      <c r="B153" s="86">
        <v>5147</v>
      </c>
      <c r="C153" s="29">
        <v>116</v>
      </c>
      <c r="D153" s="14">
        <v>1020837889</v>
      </c>
      <c r="E153" s="153" t="str">
        <f>IF(D153&gt;0,VLOOKUP(D153,'PLANTA PERNO'!A:D,4,0)&amp;" "&amp;VLOOKUP(D153,'PLANTA PERNO'!A:D,2,0)&amp;" "&amp;VLOOKUP(D153,'PLANTA PERNO'!A:D,3,0),IF(N153="","VACANTE DEFINITIVA","VACANTE TEMPORAL"))</f>
        <v>NICOLAS SANTIAGO SOTO ALBA</v>
      </c>
      <c r="F153" s="20" t="s">
        <v>24</v>
      </c>
      <c r="G153" s="20" t="str">
        <f t="shared" si="0"/>
        <v>EN PROVISIONALIDAD</v>
      </c>
      <c r="H153" s="33">
        <f t="shared" si="43"/>
        <v>45799</v>
      </c>
      <c r="I153" s="33">
        <f t="shared" si="44"/>
        <v>45799</v>
      </c>
      <c r="J153" s="31" t="str">
        <f t="shared" si="45"/>
        <v>HOMBRE</v>
      </c>
      <c r="K153" s="21">
        <f t="shared" ca="1" si="46"/>
        <v>27</v>
      </c>
      <c r="L153" s="87" t="str">
        <f t="shared" si="39"/>
        <v>PROVISIONALIDAD</v>
      </c>
      <c r="M153" s="21" t="str">
        <f t="shared" si="18"/>
        <v>VACANTE DEFINITIVA</v>
      </c>
      <c r="N153" s="21"/>
      <c r="O153" s="18" t="str">
        <f>IF(N153="","VACANTE DEFINITIVA",(VLOOKUP(N153,'PLANTA PERNO'!A:D,4,0)&amp;" "&amp;VLOOKUP(N153,'PLANTA PERNO'!A:D,2,0)&amp;" "&amp;VLOOKUP(N153,'PLANTA PERNO'!A:D,3,0)))</f>
        <v>VACANTE DEFINITIVA</v>
      </c>
      <c r="P153" s="21"/>
      <c r="Q153" s="21"/>
      <c r="R153" s="21" t="s">
        <v>166</v>
      </c>
      <c r="S153" s="21"/>
      <c r="T153" s="21"/>
      <c r="U153" s="21"/>
      <c r="V153" s="128"/>
      <c r="W153" s="21" t="str">
        <f t="shared" si="7"/>
        <v>OCUPADO</v>
      </c>
      <c r="X153" s="23" t="s">
        <v>50</v>
      </c>
      <c r="Y153" s="90" t="s">
        <v>72</v>
      </c>
      <c r="Z153" s="25">
        <v>219</v>
      </c>
      <c r="AA153" s="27">
        <v>1</v>
      </c>
      <c r="AB153" s="28" t="str">
        <f t="shared" si="42"/>
        <v>219-1</v>
      </c>
      <c r="AC153" s="24" t="s">
        <v>150</v>
      </c>
      <c r="AD153" s="24" t="s">
        <v>150</v>
      </c>
      <c r="AE153" s="24" t="s">
        <v>2428</v>
      </c>
      <c r="AF153" s="24" t="s">
        <v>2429</v>
      </c>
      <c r="AG153" s="24" t="s">
        <v>92</v>
      </c>
      <c r="AH153" s="24" t="s">
        <v>2430</v>
      </c>
      <c r="AI153" s="93">
        <f t="shared" si="9"/>
        <v>3989530</v>
      </c>
      <c r="AJ153" s="93">
        <v>0</v>
      </c>
      <c r="AK153" s="93">
        <f t="shared" si="40"/>
        <v>0</v>
      </c>
      <c r="AL153" s="93">
        <f>IFERROR(INT(($AI153*(VLOOKUP($D153,'PORCENTAJES FACTORES'!B:N,12,0))/100)),0)</f>
        <v>458795</v>
      </c>
      <c r="AM153" s="93">
        <f t="shared" si="41"/>
        <v>0</v>
      </c>
      <c r="AN153" s="93">
        <f t="shared" si="13"/>
        <v>0</v>
      </c>
      <c r="AO153" s="93">
        <f t="shared" si="14"/>
        <v>0</v>
      </c>
      <c r="AP153" s="95">
        <f t="shared" si="32"/>
        <v>4448325</v>
      </c>
      <c r="AQ153" s="96"/>
      <c r="AR153" s="97" t="s">
        <v>381</v>
      </c>
      <c r="AS153" s="58"/>
      <c r="AT153" s="58"/>
      <c r="AU153" s="58"/>
      <c r="AV153" s="98" t="e">
        <f t="shared" si="16"/>
        <v>#N/A</v>
      </c>
      <c r="AW153" s="58"/>
      <c r="AX153" s="58"/>
      <c r="AY153" s="58"/>
      <c r="AZ153" s="58"/>
      <c r="BA153" s="48"/>
      <c r="BB153" s="48"/>
      <c r="BC153" s="48"/>
      <c r="BD153" s="48"/>
      <c r="BE153" s="48"/>
      <c r="BF153" s="48"/>
      <c r="BG153" s="48"/>
      <c r="BH153" s="48"/>
      <c r="BI153" s="48"/>
      <c r="BJ153" s="48"/>
      <c r="BK153" s="48"/>
      <c r="BL153" s="48"/>
      <c r="BM153" s="48"/>
      <c r="BN153" s="48"/>
      <c r="BO153" s="48"/>
      <c r="BP153" s="48"/>
      <c r="BQ153" s="48"/>
    </row>
    <row r="154" spans="1:69" ht="12.75" customHeight="1">
      <c r="A154" s="85">
        <v>150</v>
      </c>
      <c r="B154" s="86">
        <v>5146</v>
      </c>
      <c r="C154" s="29">
        <v>115</v>
      </c>
      <c r="D154" s="14">
        <v>52151785</v>
      </c>
      <c r="E154" s="18" t="str">
        <f>IF(D154&gt;0,VLOOKUP(D154,'PLANTA PERNO'!A:D,4,0)&amp;" "&amp;VLOOKUP(D154,'PLANTA PERNO'!A:D,2,0)&amp;" "&amp;VLOOKUP(D154,'PLANTA PERNO'!A:D,3,0),IF(N154="","VACANTE DEFINITIVA","VACANTE TEMPORAL"))</f>
        <v>DALIDA VILLANUEVA SANCHEZ</v>
      </c>
      <c r="F154" s="20" t="s">
        <v>49</v>
      </c>
      <c r="G154" s="20" t="str">
        <f t="shared" si="0"/>
        <v>CARRERA ADMINISTRATIVA</v>
      </c>
      <c r="H154" s="33">
        <f t="shared" si="43"/>
        <v>44138</v>
      </c>
      <c r="I154" s="33">
        <f t="shared" si="44"/>
        <v>44138</v>
      </c>
      <c r="J154" s="31" t="str">
        <f t="shared" si="45"/>
        <v>MUJER</v>
      </c>
      <c r="K154" s="21">
        <f t="shared" ca="1" si="46"/>
        <v>51</v>
      </c>
      <c r="L154" s="87" t="str">
        <f t="shared" si="39"/>
        <v/>
      </c>
      <c r="M154" s="21" t="str">
        <f t="shared" si="18"/>
        <v>EN PROPIEDAD</v>
      </c>
      <c r="N154" s="21">
        <v>52151785</v>
      </c>
      <c r="O154" s="18" t="str">
        <f>IF(N154="","VACANTE DEFINITIVA",(VLOOKUP(N154,'PLANTA PERNO'!A:D,4,0)&amp;" "&amp;VLOOKUP(N154,'PLANTA PERNO'!A:D,2,0)&amp;" "&amp;VLOOKUP(N154,'PLANTA PERNO'!A:D,3,0)))</f>
        <v>DALIDA VILLANUEVA SANCHEZ</v>
      </c>
      <c r="P154" s="21"/>
      <c r="Q154" s="21"/>
      <c r="R154" s="21"/>
      <c r="S154" s="21"/>
      <c r="T154" s="21"/>
      <c r="U154" s="21"/>
      <c r="V154" s="128"/>
      <c r="W154" s="21" t="str">
        <f t="shared" si="7"/>
        <v>OCUPADO</v>
      </c>
      <c r="X154" s="23" t="s">
        <v>50</v>
      </c>
      <c r="Y154" s="90" t="s">
        <v>72</v>
      </c>
      <c r="Z154" s="25">
        <v>219</v>
      </c>
      <c r="AA154" s="27">
        <v>1</v>
      </c>
      <c r="AB154" s="28" t="str">
        <f t="shared" si="42"/>
        <v>219-1</v>
      </c>
      <c r="AC154" s="24" t="s">
        <v>150</v>
      </c>
      <c r="AD154" s="24" t="s">
        <v>150</v>
      </c>
      <c r="AE154" s="24" t="s">
        <v>2424</v>
      </c>
      <c r="AF154" s="24" t="s">
        <v>2425</v>
      </c>
      <c r="AG154" s="24" t="s">
        <v>2426</v>
      </c>
      <c r="AH154" s="24" t="s">
        <v>2427</v>
      </c>
      <c r="AI154" s="93">
        <f t="shared" si="9"/>
        <v>3989530</v>
      </c>
      <c r="AJ154" s="93">
        <v>0</v>
      </c>
      <c r="AK154" s="93">
        <f t="shared" si="40"/>
        <v>119685</v>
      </c>
      <c r="AL154" s="93">
        <f>IFERROR(INT(($AI154*(VLOOKUP($D154,'PORCENTAJES FACTORES'!B:N,12,0))/100)),0)</f>
        <v>1595812</v>
      </c>
      <c r="AM154" s="93">
        <f t="shared" si="41"/>
        <v>0</v>
      </c>
      <c r="AN154" s="93">
        <f t="shared" si="13"/>
        <v>0</v>
      </c>
      <c r="AO154" s="93">
        <f t="shared" si="14"/>
        <v>0</v>
      </c>
      <c r="AP154" s="95">
        <f t="shared" si="32"/>
        <v>5705027</v>
      </c>
      <c r="AQ154" s="96"/>
      <c r="AR154" s="97" t="s">
        <v>381</v>
      </c>
      <c r="AS154" s="58"/>
      <c r="AT154" s="58"/>
      <c r="AU154" s="58"/>
      <c r="AV154" s="98">
        <f t="shared" si="16"/>
        <v>52151785</v>
      </c>
      <c r="AW154" s="58"/>
      <c r="AX154" s="58"/>
      <c r="AY154" s="58"/>
      <c r="AZ154" s="58"/>
      <c r="BA154" s="48"/>
      <c r="BB154" s="48"/>
      <c r="BC154" s="48"/>
      <c r="BD154" s="48"/>
      <c r="BE154" s="48"/>
      <c r="BF154" s="48"/>
      <c r="BG154" s="48"/>
      <c r="BH154" s="48"/>
      <c r="BI154" s="48"/>
      <c r="BJ154" s="48"/>
      <c r="BK154" s="48"/>
      <c r="BL154" s="48"/>
      <c r="BM154" s="48"/>
      <c r="BN154" s="48"/>
      <c r="BO154" s="48"/>
      <c r="BP154" s="48"/>
      <c r="BQ154" s="48"/>
    </row>
    <row r="155" spans="1:69" ht="12.75" customHeight="1">
      <c r="A155" s="85">
        <v>151</v>
      </c>
      <c r="B155" s="86">
        <v>5148</v>
      </c>
      <c r="C155" s="29">
        <v>117</v>
      </c>
      <c r="D155" s="14">
        <v>1072493406</v>
      </c>
      <c r="E155" s="18" t="str">
        <f>IF(D155&gt;0,VLOOKUP(D155,'PLANTA PERNO'!A:D,4,0)&amp;" "&amp;VLOOKUP(D155,'PLANTA PERNO'!A:D,2,0)&amp;" "&amp;VLOOKUP(D155,'PLANTA PERNO'!A:D,3,0),IF(N155="","VACANTE DEFINITIVA","VACANTE TEMPORAL"))</f>
        <v>DANIEL FERNANDO BUITRAGO DIAZ</v>
      </c>
      <c r="F155" s="20" t="s">
        <v>49</v>
      </c>
      <c r="G155" s="20" t="str">
        <f t="shared" si="0"/>
        <v>EN ENCARGO</v>
      </c>
      <c r="H155" s="33">
        <f t="shared" si="43"/>
        <v>44146</v>
      </c>
      <c r="I155" s="33">
        <f t="shared" si="44"/>
        <v>44146</v>
      </c>
      <c r="J155" s="31" t="str">
        <f t="shared" si="45"/>
        <v>HOMBRE</v>
      </c>
      <c r="K155" s="21">
        <f t="shared" ca="1" si="46"/>
        <v>37</v>
      </c>
      <c r="L155" s="87" t="str">
        <f t="shared" si="39"/>
        <v>ENCARGO</v>
      </c>
      <c r="M155" s="21" t="str">
        <f t="shared" si="18"/>
        <v>EN ENCARGO</v>
      </c>
      <c r="N155" s="21">
        <v>52171949</v>
      </c>
      <c r="O155" s="18" t="str">
        <f>IF(N155="","VACANTE DEFINITIVA",(VLOOKUP(N155,'PLANTA PERNO'!A:D,4,0)&amp;" "&amp;VLOOKUP(N155,'PLANTA PERNO'!A:D,2,0)&amp;" "&amp;VLOOKUP(N155,'PLANTA PERNO'!A:D,3,0)))</f>
        <v>GLORIA INES MARTINEZ ORTIZ</v>
      </c>
      <c r="P155" s="21" t="s">
        <v>1006</v>
      </c>
      <c r="Q155" s="21">
        <v>2</v>
      </c>
      <c r="R155" s="21"/>
      <c r="S155" s="21"/>
      <c r="T155" s="21"/>
      <c r="U155" s="21"/>
      <c r="V155" s="123">
        <v>220287</v>
      </c>
      <c r="W155" s="21" t="str">
        <f t="shared" si="7"/>
        <v>OCUPADO</v>
      </c>
      <c r="X155" s="23" t="s">
        <v>124</v>
      </c>
      <c r="Y155" s="90" t="s">
        <v>124</v>
      </c>
      <c r="Z155" s="25">
        <v>314</v>
      </c>
      <c r="AA155" s="27">
        <v>21</v>
      </c>
      <c r="AB155" s="28" t="str">
        <f t="shared" si="42"/>
        <v>314-21</v>
      </c>
      <c r="AC155" s="24" t="s">
        <v>98</v>
      </c>
      <c r="AD155" s="24" t="s">
        <v>98</v>
      </c>
      <c r="AE155" s="24" t="s">
        <v>2431</v>
      </c>
      <c r="AF155" s="24" t="s">
        <v>2432</v>
      </c>
      <c r="AG155" s="24" t="s">
        <v>2433</v>
      </c>
      <c r="AH155" s="24" t="s">
        <v>2434</v>
      </c>
      <c r="AI155" s="93">
        <f t="shared" si="9"/>
        <v>4789389</v>
      </c>
      <c r="AJ155" s="93">
        <v>0</v>
      </c>
      <c r="AK155" s="93">
        <f t="shared" si="40"/>
        <v>143681</v>
      </c>
      <c r="AL155" s="93">
        <f>IFERROR(INT(($AI155*(VLOOKUP($D155,'PORCENTAJES FACTORES'!B:N,12,0))/100)),0)</f>
        <v>0</v>
      </c>
      <c r="AM155" s="93">
        <f t="shared" si="41"/>
        <v>0</v>
      </c>
      <c r="AN155" s="93">
        <f t="shared" si="13"/>
        <v>0</v>
      </c>
      <c r="AO155" s="93">
        <f t="shared" si="14"/>
        <v>0</v>
      </c>
      <c r="AP155" s="95">
        <f t="shared" si="32"/>
        <v>4933070</v>
      </c>
      <c r="AQ155" s="96"/>
      <c r="AR155" s="97" t="s">
        <v>1924</v>
      </c>
      <c r="AS155" s="58"/>
      <c r="AT155" s="58"/>
      <c r="AU155" s="58"/>
      <c r="AV155" s="98">
        <f t="shared" si="16"/>
        <v>52171949</v>
      </c>
      <c r="AW155" s="58"/>
      <c r="AX155" s="58"/>
      <c r="AY155" s="58"/>
      <c r="AZ155" s="58"/>
      <c r="BA155" s="48"/>
      <c r="BB155" s="48"/>
      <c r="BC155" s="48"/>
      <c r="BD155" s="48"/>
      <c r="BE155" s="48"/>
      <c r="BF155" s="48"/>
      <c r="BG155" s="48"/>
      <c r="BH155" s="48"/>
      <c r="BI155" s="48"/>
      <c r="BJ155" s="48"/>
      <c r="BK155" s="48"/>
      <c r="BL155" s="48"/>
      <c r="BM155" s="48"/>
      <c r="BN155" s="48"/>
      <c r="BO155" s="48"/>
      <c r="BP155" s="48"/>
      <c r="BQ155" s="48"/>
    </row>
    <row r="156" spans="1:69" ht="12.75" customHeight="1">
      <c r="A156" s="85">
        <v>152</v>
      </c>
      <c r="B156" s="86">
        <v>5149</v>
      </c>
      <c r="C156" s="29">
        <v>118</v>
      </c>
      <c r="D156" s="14">
        <v>79994178</v>
      </c>
      <c r="E156" s="18" t="str">
        <f>IF(D156&gt;0,VLOOKUP(D156,'PLANTA PERNO'!A:D,4,0)&amp;" "&amp;VLOOKUP(D156,'PLANTA PERNO'!A:D,2,0)&amp;" "&amp;VLOOKUP(D156,'PLANTA PERNO'!A:D,3,0),IF(N156="","VACANTE DEFINITIVA","VACANTE TEMPORAL"))</f>
        <v>RODRIGO DIDIER MUÃ‘OZ CONTRERAS</v>
      </c>
      <c r="F156" s="20" t="s">
        <v>247</v>
      </c>
      <c r="G156" s="20" t="str">
        <f t="shared" si="0"/>
        <v>EN PERIODO DE PRUEBA</v>
      </c>
      <c r="H156" s="33">
        <f t="shared" si="43"/>
        <v>46134</v>
      </c>
      <c r="I156" s="33">
        <f t="shared" si="44"/>
        <v>46134</v>
      </c>
      <c r="J156" s="31" t="str">
        <f t="shared" si="45"/>
        <v>HOMBRE</v>
      </c>
      <c r="K156" s="21">
        <f t="shared" ca="1" si="46"/>
        <v>37</v>
      </c>
      <c r="L156" s="87" t="str">
        <f t="shared" si="39"/>
        <v/>
      </c>
      <c r="M156" s="21" t="str">
        <f t="shared" si="18"/>
        <v>EN PROPIEDAD</v>
      </c>
      <c r="N156" s="21">
        <f>+D156</f>
        <v>79994178</v>
      </c>
      <c r="O156" s="18" t="str">
        <f>IF(N156="","VACANTE DEFINITIVA",(VLOOKUP(N156,'PLANTA PERNO'!A:D,4,0)&amp;" "&amp;VLOOKUP(N156,'PLANTA PERNO'!A:D,2,0)&amp;" "&amp;VLOOKUP(N156,'PLANTA PERNO'!A:D,3,0)))</f>
        <v>RODRIGO DIDIER MUÃ‘OZ CONTRERAS</v>
      </c>
      <c r="P156" s="21"/>
      <c r="Q156" s="21"/>
      <c r="R156" s="21"/>
      <c r="S156" s="21"/>
      <c r="T156" s="21"/>
      <c r="U156" s="21"/>
      <c r="V156" s="123">
        <v>203201</v>
      </c>
      <c r="W156" s="21" t="str">
        <f t="shared" si="7"/>
        <v>OCUPADO</v>
      </c>
      <c r="X156" s="23" t="s">
        <v>124</v>
      </c>
      <c r="Y156" s="90" t="s">
        <v>124</v>
      </c>
      <c r="Z156" s="25">
        <v>314</v>
      </c>
      <c r="AA156" s="27">
        <v>20</v>
      </c>
      <c r="AB156" s="28" t="str">
        <f t="shared" si="42"/>
        <v>314-20</v>
      </c>
      <c r="AC156" s="24" t="s">
        <v>75</v>
      </c>
      <c r="AD156" s="24" t="s">
        <v>75</v>
      </c>
      <c r="AE156" s="24" t="s">
        <v>2435</v>
      </c>
      <c r="AF156" s="24" t="s">
        <v>2436</v>
      </c>
      <c r="AG156" s="24" t="s">
        <v>2437</v>
      </c>
      <c r="AH156" s="24" t="s">
        <v>2438</v>
      </c>
      <c r="AI156" s="93">
        <f t="shared" si="9"/>
        <v>4789274</v>
      </c>
      <c r="AJ156" s="93">
        <v>0</v>
      </c>
      <c r="AK156" s="93">
        <f t="shared" si="40"/>
        <v>0</v>
      </c>
      <c r="AL156" s="93">
        <f>IFERROR(INT(($AI156*(VLOOKUP($D156,'PORCENTAJES FACTORES'!B:N,12,0))/100)),0)</f>
        <v>0</v>
      </c>
      <c r="AM156" s="93">
        <f t="shared" si="41"/>
        <v>0</v>
      </c>
      <c r="AN156" s="93">
        <f t="shared" si="13"/>
        <v>0</v>
      </c>
      <c r="AO156" s="93">
        <f t="shared" si="14"/>
        <v>0</v>
      </c>
      <c r="AP156" s="95">
        <f t="shared" si="32"/>
        <v>4789274</v>
      </c>
      <c r="AQ156" s="96"/>
      <c r="AR156" s="97" t="s">
        <v>1897</v>
      </c>
      <c r="AS156" s="58"/>
      <c r="AT156" s="58"/>
      <c r="AU156" s="58"/>
      <c r="AV156" s="98">
        <f t="shared" si="16"/>
        <v>79994178</v>
      </c>
      <c r="AW156" s="58"/>
      <c r="AX156" s="58"/>
      <c r="AY156" s="213"/>
      <c r="AZ156" s="58"/>
      <c r="BA156" s="48"/>
      <c r="BB156" s="48"/>
      <c r="BC156" s="48"/>
      <c r="BD156" s="48"/>
      <c r="BE156" s="48"/>
      <c r="BF156" s="48"/>
      <c r="BG156" s="48"/>
      <c r="BH156" s="48"/>
      <c r="BI156" s="48"/>
      <c r="BJ156" s="48"/>
      <c r="BK156" s="48"/>
      <c r="BL156" s="48"/>
      <c r="BM156" s="48"/>
      <c r="BN156" s="48"/>
      <c r="BO156" s="48"/>
      <c r="BP156" s="48"/>
      <c r="BQ156" s="48"/>
    </row>
    <row r="157" spans="1:69" ht="12.75" customHeight="1">
      <c r="A157" s="85">
        <v>153</v>
      </c>
      <c r="B157" s="86">
        <v>5157</v>
      </c>
      <c r="C157" s="29">
        <v>121</v>
      </c>
      <c r="D157" s="14">
        <v>79538698</v>
      </c>
      <c r="E157" s="18" t="str">
        <f>IF(D157&gt;0,VLOOKUP(D157,'PLANTA PERNO'!A:D,4,0)&amp;" "&amp;VLOOKUP(D157,'PLANTA PERNO'!A:D,2,0)&amp;" "&amp;VLOOKUP(D157,'PLANTA PERNO'!A:D,3,0),IF(N157="","VACANTE DEFINITIVA","VACANTE TEMPORAL"))</f>
        <v>WILLIAM FONSECA APERADOR</v>
      </c>
      <c r="F157" s="20" t="s">
        <v>49</v>
      </c>
      <c r="G157" s="20" t="str">
        <f t="shared" si="0"/>
        <v>CARRERA ADMINISTRATIVA</v>
      </c>
      <c r="H157" s="33">
        <f t="shared" si="43"/>
        <v>44228</v>
      </c>
      <c r="I157" s="33">
        <f t="shared" si="44"/>
        <v>43049</v>
      </c>
      <c r="J157" s="31" t="str">
        <f t="shared" si="45"/>
        <v>HOMBRE</v>
      </c>
      <c r="K157" s="21">
        <f t="shared" ca="1" si="46"/>
        <v>56</v>
      </c>
      <c r="L157" s="87" t="str">
        <f t="shared" si="39"/>
        <v/>
      </c>
      <c r="M157" s="21" t="str">
        <f t="shared" si="18"/>
        <v>EN PROPIEDAD</v>
      </c>
      <c r="N157" s="21">
        <v>79538698</v>
      </c>
      <c r="O157" s="18" t="str">
        <f>IF(N157="","VACANTE DEFINITIVA",(VLOOKUP(N157,'PLANTA PERNO'!A:D,4,0)&amp;" "&amp;VLOOKUP(N157,'PLANTA PERNO'!A:D,2,0)&amp;" "&amp;VLOOKUP(N157,'PLANTA PERNO'!A:D,3,0)))</f>
        <v>WILLIAM FONSECA APERADOR</v>
      </c>
      <c r="P157" s="21"/>
      <c r="Q157" s="21"/>
      <c r="R157" s="21"/>
      <c r="S157" s="21"/>
      <c r="T157" s="21"/>
      <c r="U157" s="21"/>
      <c r="V157" s="128"/>
      <c r="W157" s="21" t="str">
        <f t="shared" si="7"/>
        <v>OCUPADO</v>
      </c>
      <c r="X157" s="23" t="s">
        <v>124</v>
      </c>
      <c r="Y157" s="90" t="s">
        <v>124</v>
      </c>
      <c r="Z157" s="25">
        <v>314</v>
      </c>
      <c r="AA157" s="27">
        <v>20</v>
      </c>
      <c r="AB157" s="28" t="str">
        <f t="shared" si="42"/>
        <v>314-20</v>
      </c>
      <c r="AC157" s="24" t="s">
        <v>75</v>
      </c>
      <c r="AD157" s="24" t="s">
        <v>75</v>
      </c>
      <c r="AE157" s="24" t="s">
        <v>2435</v>
      </c>
      <c r="AF157" s="24" t="s">
        <v>2436</v>
      </c>
      <c r="AG157" s="24" t="s">
        <v>2437</v>
      </c>
      <c r="AH157" s="24" t="s">
        <v>2438</v>
      </c>
      <c r="AI157" s="93">
        <f t="shared" si="9"/>
        <v>4789274</v>
      </c>
      <c r="AJ157" s="93">
        <v>0</v>
      </c>
      <c r="AK157" s="93">
        <f t="shared" si="40"/>
        <v>143678</v>
      </c>
      <c r="AL157" s="93">
        <f>IFERROR(INT(($AI157*(VLOOKUP($D157,'PORCENTAJES FACTORES'!B:N,12,0))/100)),0)</f>
        <v>0</v>
      </c>
      <c r="AM157" s="93">
        <f t="shared" si="41"/>
        <v>0</v>
      </c>
      <c r="AN157" s="93">
        <f t="shared" si="13"/>
        <v>0</v>
      </c>
      <c r="AO157" s="93">
        <f t="shared" si="14"/>
        <v>0</v>
      </c>
      <c r="AP157" s="95">
        <f t="shared" si="32"/>
        <v>4932952</v>
      </c>
      <c r="AQ157" s="96"/>
      <c r="AR157" s="97" t="s">
        <v>1897</v>
      </c>
      <c r="AS157" s="58"/>
      <c r="AT157" s="58"/>
      <c r="AU157" s="58"/>
      <c r="AV157" s="98">
        <f t="shared" si="16"/>
        <v>79538698</v>
      </c>
      <c r="AW157" s="58"/>
      <c r="AX157" s="58"/>
      <c r="AY157" s="58"/>
      <c r="AZ157" s="58"/>
      <c r="BA157" s="48"/>
      <c r="BB157" s="48"/>
      <c r="BC157" s="48"/>
      <c r="BD157" s="48"/>
      <c r="BE157" s="48"/>
      <c r="BF157" s="48"/>
      <c r="BG157" s="48"/>
      <c r="BH157" s="48"/>
      <c r="BI157" s="48"/>
      <c r="BJ157" s="48"/>
      <c r="BK157" s="48"/>
      <c r="BL157" s="48"/>
      <c r="BM157" s="48"/>
      <c r="BN157" s="48"/>
      <c r="BO157" s="48"/>
      <c r="BP157" s="48"/>
      <c r="BQ157" s="48"/>
    </row>
    <row r="158" spans="1:69" ht="12.75" customHeight="1">
      <c r="A158" s="85">
        <v>154</v>
      </c>
      <c r="B158" s="86">
        <v>5156</v>
      </c>
      <c r="C158" s="29">
        <v>119</v>
      </c>
      <c r="D158" s="14">
        <v>52277284</v>
      </c>
      <c r="E158" s="18" t="str">
        <f>IF(D158&gt;0,VLOOKUP(D158,'PLANTA PERNO'!A:D,4,0)&amp;" "&amp;VLOOKUP(D158,'PLANTA PERNO'!A:D,2,0)&amp;" "&amp;VLOOKUP(D158,'PLANTA PERNO'!A:D,3,0),IF(N158="","VACANTE DEFINITIVA","VACANTE TEMPORAL"))</f>
        <v>MARTHA RUBIELA CRUZ PARDO</v>
      </c>
      <c r="F158" s="20" t="s">
        <v>49</v>
      </c>
      <c r="G158" s="20" t="str">
        <f t="shared" si="0"/>
        <v>CARRERA ADMINISTRATIVA</v>
      </c>
      <c r="H158" s="33">
        <f t="shared" si="43"/>
        <v>44200</v>
      </c>
      <c r="I158" s="33">
        <f t="shared" si="44"/>
        <v>44200</v>
      </c>
      <c r="J158" s="31" t="str">
        <f t="shared" si="45"/>
        <v>MUJER</v>
      </c>
      <c r="K158" s="21">
        <f t="shared" ca="1" si="46"/>
        <v>50</v>
      </c>
      <c r="L158" s="87" t="str">
        <f t="shared" si="39"/>
        <v/>
      </c>
      <c r="M158" s="21" t="str">
        <f t="shared" si="18"/>
        <v>EN PROPIEDAD</v>
      </c>
      <c r="N158" s="21">
        <v>52277284</v>
      </c>
      <c r="O158" s="18" t="str">
        <f>IF(N158="","VACANTE DEFINITIVA",(VLOOKUP(N158,'PLANTA PERNO'!A:D,4,0)&amp;" "&amp;VLOOKUP(N158,'PLANTA PERNO'!A:D,2,0)&amp;" "&amp;VLOOKUP(N158,'PLANTA PERNO'!A:D,3,0)))</f>
        <v>MARTHA RUBIELA CRUZ PARDO</v>
      </c>
      <c r="P158" s="21"/>
      <c r="Q158" s="21"/>
      <c r="R158" s="21"/>
      <c r="S158" s="21"/>
      <c r="T158" s="21"/>
      <c r="U158" s="21"/>
      <c r="V158" s="128"/>
      <c r="W158" s="21" t="str">
        <f t="shared" si="7"/>
        <v>OCUPADO</v>
      </c>
      <c r="X158" s="23" t="s">
        <v>124</v>
      </c>
      <c r="Y158" s="90" t="s">
        <v>124</v>
      </c>
      <c r="Z158" s="25">
        <v>314</v>
      </c>
      <c r="AA158" s="27">
        <v>20</v>
      </c>
      <c r="AB158" s="28" t="str">
        <f t="shared" si="42"/>
        <v>314-20</v>
      </c>
      <c r="AC158" s="24" t="s">
        <v>147</v>
      </c>
      <c r="AD158" s="24" t="s">
        <v>147</v>
      </c>
      <c r="AE158" s="24" t="s">
        <v>2439</v>
      </c>
      <c r="AF158" s="24" t="s">
        <v>2440</v>
      </c>
      <c r="AG158" s="24" t="s">
        <v>2441</v>
      </c>
      <c r="AH158" s="24" t="s">
        <v>2442</v>
      </c>
      <c r="AI158" s="93">
        <f t="shared" si="9"/>
        <v>4789274</v>
      </c>
      <c r="AJ158" s="93">
        <v>0</v>
      </c>
      <c r="AK158" s="93">
        <f t="shared" si="40"/>
        <v>143678</v>
      </c>
      <c r="AL158" s="93">
        <f>IFERROR(INT(($AI158*(VLOOKUP($D158,'PORCENTAJES FACTORES'!B:N,12,0))/100)),0)</f>
        <v>1609196</v>
      </c>
      <c r="AM158" s="93">
        <f t="shared" si="41"/>
        <v>0</v>
      </c>
      <c r="AN158" s="93">
        <f t="shared" si="13"/>
        <v>0</v>
      </c>
      <c r="AO158" s="93">
        <f t="shared" si="14"/>
        <v>0</v>
      </c>
      <c r="AP158" s="95">
        <f t="shared" si="32"/>
        <v>6542148</v>
      </c>
      <c r="AQ158" s="96"/>
      <c r="AR158" s="97" t="s">
        <v>1897</v>
      </c>
      <c r="AS158" s="58"/>
      <c r="AT158" s="58"/>
      <c r="AU158" s="58"/>
      <c r="AV158" s="98">
        <f t="shared" si="16"/>
        <v>52277284</v>
      </c>
      <c r="AW158" s="58"/>
      <c r="AX158" s="58"/>
      <c r="AY158" s="58"/>
      <c r="AZ158" s="58"/>
      <c r="BA158" s="48"/>
      <c r="BB158" s="48"/>
      <c r="BC158" s="48"/>
      <c r="BD158" s="48"/>
      <c r="BE158" s="48"/>
      <c r="BF158" s="48"/>
      <c r="BG158" s="48"/>
      <c r="BH158" s="48"/>
      <c r="BI158" s="48"/>
      <c r="BJ158" s="48"/>
      <c r="BK158" s="48"/>
      <c r="BL158" s="48"/>
      <c r="BM158" s="48"/>
      <c r="BN158" s="48"/>
      <c r="BO158" s="48"/>
      <c r="BP158" s="48"/>
      <c r="BQ158" s="48"/>
    </row>
    <row r="159" spans="1:69" ht="12.75" customHeight="1">
      <c r="A159" s="85">
        <v>155</v>
      </c>
      <c r="B159" s="86">
        <v>5151</v>
      </c>
      <c r="C159" s="29">
        <v>120</v>
      </c>
      <c r="D159" s="14">
        <v>51961579</v>
      </c>
      <c r="E159" s="18" t="str">
        <f>IF(D159&gt;0,VLOOKUP(D159,'PLANTA PERNO'!A:D,4,0)&amp;" "&amp;VLOOKUP(D159,'PLANTA PERNO'!A:D,2,0)&amp;" "&amp;VLOOKUP(D159,'PLANTA PERNO'!A:D,3,0),IF(N159="","VACANTE DEFINITIVA","VACANTE TEMPORAL"))</f>
        <v>AZULA URIBE CABALLERO</v>
      </c>
      <c r="F159" s="20" t="s">
        <v>247</v>
      </c>
      <c r="G159" s="20" t="str">
        <f t="shared" si="0"/>
        <v>EN ENCARGO</v>
      </c>
      <c r="H159" s="33">
        <f t="shared" si="43"/>
        <v>44482</v>
      </c>
      <c r="I159" s="33">
        <f t="shared" si="44"/>
        <v>44482</v>
      </c>
      <c r="J159" s="31" t="str">
        <f t="shared" si="45"/>
        <v>MUJER</v>
      </c>
      <c r="K159" s="21">
        <f t="shared" ca="1" si="46"/>
        <v>57</v>
      </c>
      <c r="L159" s="87" t="str">
        <f t="shared" si="39"/>
        <v>ENCARGO</v>
      </c>
      <c r="M159" s="21" t="str">
        <f t="shared" si="18"/>
        <v>VACANTE DEFINITIVA</v>
      </c>
      <c r="N159" s="21" t="s">
        <v>25</v>
      </c>
      <c r="O159" s="18" t="str">
        <f>IF(N159="","VACANTE DEFINITIVA",(VLOOKUP(N159,'PLANTA PERNO'!A:D,4,0)&amp;" "&amp;VLOOKUP(N159,'PLANTA PERNO'!A:D,2,0)&amp;" "&amp;VLOOKUP(N159,'PLANTA PERNO'!A:D,3,0)))</f>
        <v>VACANTE DEFINITIVA</v>
      </c>
      <c r="P159" s="21" t="s">
        <v>340</v>
      </c>
      <c r="Q159" s="21">
        <v>1</v>
      </c>
      <c r="R159" s="21"/>
      <c r="S159" s="21"/>
      <c r="T159" s="21"/>
      <c r="U159" s="21"/>
      <c r="V159" s="123">
        <v>220285</v>
      </c>
      <c r="W159" s="21" t="str">
        <f t="shared" si="7"/>
        <v>OCUPADO</v>
      </c>
      <c r="X159" s="23" t="s">
        <v>124</v>
      </c>
      <c r="Y159" s="90" t="s">
        <v>124</v>
      </c>
      <c r="Z159" s="25">
        <v>314</v>
      </c>
      <c r="AA159" s="27">
        <v>20</v>
      </c>
      <c r="AB159" s="28" t="str">
        <f t="shared" si="42"/>
        <v>314-20</v>
      </c>
      <c r="AC159" s="24" t="s">
        <v>147</v>
      </c>
      <c r="AD159" s="24" t="s">
        <v>147</v>
      </c>
      <c r="AE159" s="24" t="s">
        <v>2443</v>
      </c>
      <c r="AF159" s="24" t="s">
        <v>2444</v>
      </c>
      <c r="AG159" s="24" t="s">
        <v>2445</v>
      </c>
      <c r="AH159" s="24" t="s">
        <v>2446</v>
      </c>
      <c r="AI159" s="93">
        <f t="shared" si="9"/>
        <v>4789274</v>
      </c>
      <c r="AJ159" s="93">
        <v>0</v>
      </c>
      <c r="AK159" s="93">
        <f t="shared" si="40"/>
        <v>0</v>
      </c>
      <c r="AL159" s="93">
        <f>IFERROR(INT(($AI159*(VLOOKUP($D159,'PORCENTAJES FACTORES'!B:N,12,0))/100)),0)</f>
        <v>0</v>
      </c>
      <c r="AM159" s="93">
        <f t="shared" si="41"/>
        <v>0</v>
      </c>
      <c r="AN159" s="93">
        <f t="shared" si="13"/>
        <v>0</v>
      </c>
      <c r="AO159" s="93">
        <f t="shared" si="14"/>
        <v>0</v>
      </c>
      <c r="AP159" s="95">
        <f t="shared" si="32"/>
        <v>4789274</v>
      </c>
      <c r="AQ159" s="96"/>
      <c r="AR159" s="97" t="s">
        <v>1897</v>
      </c>
      <c r="AS159" s="58"/>
      <c r="AT159" s="58"/>
      <c r="AU159" s="58"/>
      <c r="AV159" s="98" t="e">
        <f t="shared" si="16"/>
        <v>#N/A</v>
      </c>
      <c r="AW159" s="58"/>
      <c r="AX159" s="58"/>
      <c r="AY159" s="58"/>
      <c r="AZ159" s="58"/>
      <c r="BA159" s="48"/>
      <c r="BB159" s="48"/>
      <c r="BC159" s="48"/>
      <c r="BD159" s="48"/>
      <c r="BE159" s="48"/>
      <c r="BF159" s="48"/>
      <c r="BG159" s="48"/>
      <c r="BH159" s="48"/>
      <c r="BI159" s="48"/>
      <c r="BJ159" s="48"/>
      <c r="BK159" s="48"/>
      <c r="BL159" s="48"/>
      <c r="BM159" s="48"/>
      <c r="BN159" s="48"/>
      <c r="BO159" s="48"/>
      <c r="BP159" s="48"/>
      <c r="BQ159" s="48"/>
    </row>
    <row r="160" spans="1:69" ht="12.75" customHeight="1">
      <c r="A160" s="85">
        <v>156</v>
      </c>
      <c r="B160" s="86">
        <v>5150</v>
      </c>
      <c r="C160" s="29">
        <v>123</v>
      </c>
      <c r="D160" s="14">
        <v>1030618681</v>
      </c>
      <c r="E160" s="18" t="str">
        <f>IF(D160&gt;0,VLOOKUP(D160,'PLANTA PERNO'!A:D,4,0)&amp;" "&amp;VLOOKUP(D160,'PLANTA PERNO'!A:D,2,0)&amp;" "&amp;VLOOKUP(D160,'PLANTA PERNO'!A:D,3,0),IF(N160="","VACANTE DEFINITIVA","VACANTE TEMPORAL"))</f>
        <v>JENNIFER LIZBETH GOMEZ AREVALO</v>
      </c>
      <c r="F160" s="20" t="s">
        <v>49</v>
      </c>
      <c r="G160" s="20" t="str">
        <f t="shared" si="0"/>
        <v>EN ENCARGO</v>
      </c>
      <c r="H160" s="33">
        <f t="shared" si="43"/>
        <v>44489</v>
      </c>
      <c r="I160" s="33">
        <f t="shared" si="44"/>
        <v>44489</v>
      </c>
      <c r="J160" s="31" t="str">
        <f t="shared" si="45"/>
        <v>MUJER</v>
      </c>
      <c r="K160" s="21">
        <f t="shared" ca="1" si="46"/>
        <v>33</v>
      </c>
      <c r="L160" s="87" t="str">
        <f t="shared" si="39"/>
        <v>ENCARGO</v>
      </c>
      <c r="M160" s="21" t="str">
        <f t="shared" si="18"/>
        <v>EN ENCARGO</v>
      </c>
      <c r="N160" s="21">
        <v>41059054</v>
      </c>
      <c r="O160" s="18" t="str">
        <f>IF(N160="","VACANTE DEFINITIVA",(VLOOKUP(N160,'PLANTA PERNO'!A:D,4,0)&amp;" "&amp;VLOOKUP(N160,'PLANTA PERNO'!A:D,2,0)&amp;" "&amp;VLOOKUP(N160,'PLANTA PERNO'!A:D,3,0)))</f>
        <v>MARIA TERESA VALDERRAMA PEREIRA</v>
      </c>
      <c r="P160" s="21" t="s">
        <v>489</v>
      </c>
      <c r="Q160" s="21">
        <v>2</v>
      </c>
      <c r="R160" s="21"/>
      <c r="S160" s="21"/>
      <c r="T160" s="21"/>
      <c r="U160" s="21"/>
      <c r="V160" s="38"/>
      <c r="W160" s="21" t="str">
        <f t="shared" si="7"/>
        <v>OCUPADO</v>
      </c>
      <c r="X160" s="23" t="s">
        <v>124</v>
      </c>
      <c r="Y160" s="90" t="s">
        <v>124</v>
      </c>
      <c r="Z160" s="25">
        <v>314</v>
      </c>
      <c r="AA160" s="27">
        <v>20</v>
      </c>
      <c r="AB160" s="28" t="str">
        <f t="shared" si="42"/>
        <v>314-20</v>
      </c>
      <c r="AC160" s="24" t="s">
        <v>150</v>
      </c>
      <c r="AD160" s="24" t="s">
        <v>150</v>
      </c>
      <c r="AE160" s="24" t="s">
        <v>2447</v>
      </c>
      <c r="AF160" s="24" t="s">
        <v>2448</v>
      </c>
      <c r="AG160" s="24" t="s">
        <v>2449</v>
      </c>
      <c r="AH160" s="24" t="s">
        <v>2450</v>
      </c>
      <c r="AI160" s="93">
        <f t="shared" si="9"/>
        <v>4789274</v>
      </c>
      <c r="AJ160" s="93">
        <v>0</v>
      </c>
      <c r="AK160" s="93">
        <f t="shared" si="40"/>
        <v>0</v>
      </c>
      <c r="AL160" s="93">
        <f>IFERROR(INT(($AI160*(VLOOKUP($D160,'PORCENTAJES FACTORES'!B:N,12,0))/100)),0)</f>
        <v>0</v>
      </c>
      <c r="AM160" s="93">
        <f t="shared" si="41"/>
        <v>0</v>
      </c>
      <c r="AN160" s="93">
        <f t="shared" si="13"/>
        <v>0</v>
      </c>
      <c r="AO160" s="93">
        <f t="shared" si="14"/>
        <v>0</v>
      </c>
      <c r="AP160" s="95">
        <f t="shared" si="32"/>
        <v>4789274</v>
      </c>
      <c r="AQ160" s="96"/>
      <c r="AR160" s="97" t="s">
        <v>1897</v>
      </c>
      <c r="AS160" s="58"/>
      <c r="AT160" s="58"/>
      <c r="AU160" s="58"/>
      <c r="AV160" s="98">
        <f t="shared" si="16"/>
        <v>41059054</v>
      </c>
      <c r="AW160" s="58"/>
      <c r="AX160" s="58"/>
      <c r="AY160" s="58"/>
      <c r="AZ160" s="58"/>
      <c r="BA160" s="48"/>
      <c r="BB160" s="48"/>
      <c r="BC160" s="48"/>
      <c r="BD160" s="48"/>
      <c r="BE160" s="48"/>
      <c r="BF160" s="48"/>
      <c r="BG160" s="48"/>
      <c r="BH160" s="48"/>
      <c r="BI160" s="48"/>
      <c r="BJ160" s="48"/>
      <c r="BK160" s="48"/>
      <c r="BL160" s="48"/>
      <c r="BM160" s="48"/>
      <c r="BN160" s="48"/>
      <c r="BO160" s="48"/>
      <c r="BP160" s="48"/>
      <c r="BQ160" s="48"/>
    </row>
    <row r="161" spans="1:69" ht="12.75" customHeight="1">
      <c r="A161" s="85">
        <v>157</v>
      </c>
      <c r="B161" s="86">
        <v>5153</v>
      </c>
      <c r="C161" s="29">
        <v>122</v>
      </c>
      <c r="D161" s="14">
        <v>79431243</v>
      </c>
      <c r="E161" s="18" t="str">
        <f>IF(D161&gt;0,VLOOKUP(D161,'PLANTA PERNO'!A:D,4,0)&amp;" "&amp;VLOOKUP(D161,'PLANTA PERNO'!A:D,2,0)&amp;" "&amp;VLOOKUP(D161,'PLANTA PERNO'!A:D,3,0),IF(N161="","VACANTE DEFINITIVA","VACANTE TEMPORAL"))</f>
        <v>WALTER OSPINA ZAPATA</v>
      </c>
      <c r="F161" s="20" t="s">
        <v>49</v>
      </c>
      <c r="G161" s="20" t="str">
        <f t="shared" si="0"/>
        <v>EN ENCARGO</v>
      </c>
      <c r="H161" s="33">
        <f t="shared" si="43"/>
        <v>42585</v>
      </c>
      <c r="I161" s="33">
        <f t="shared" si="44"/>
        <v>38443</v>
      </c>
      <c r="J161" s="31" t="str">
        <f t="shared" si="45"/>
        <v>HOMBRE</v>
      </c>
      <c r="K161" s="21">
        <f t="shared" ca="1" si="46"/>
        <v>59</v>
      </c>
      <c r="L161" s="87" t="str">
        <f t="shared" si="39"/>
        <v>ENCARGO</v>
      </c>
      <c r="M161" s="21" t="str">
        <f t="shared" si="18"/>
        <v>VACANTE DEFINITIVA</v>
      </c>
      <c r="N161" s="21" t="s">
        <v>25</v>
      </c>
      <c r="O161" s="18" t="str">
        <f>IF(N161="","VACANTE DEFINITIVA",(VLOOKUP(N161,'PLANTA PERNO'!A:D,4,0)&amp;" "&amp;VLOOKUP(N161,'PLANTA PERNO'!A:D,2,0)&amp;" "&amp;VLOOKUP(N161,'PLANTA PERNO'!A:D,3,0)))</f>
        <v>VACANTE DEFINITIVA</v>
      </c>
      <c r="P161" s="21" t="s">
        <v>352</v>
      </c>
      <c r="Q161" s="21">
        <v>1</v>
      </c>
      <c r="R161" s="21"/>
      <c r="S161" s="21"/>
      <c r="T161" s="21"/>
      <c r="U161" s="21"/>
      <c r="V161" s="38"/>
      <c r="W161" s="21" t="str">
        <f t="shared" si="7"/>
        <v>OCUPADO</v>
      </c>
      <c r="X161" s="23" t="s">
        <v>124</v>
      </c>
      <c r="Y161" s="90" t="s">
        <v>124</v>
      </c>
      <c r="Z161" s="25">
        <v>314</v>
      </c>
      <c r="AA161" s="27">
        <v>20</v>
      </c>
      <c r="AB161" s="28" t="str">
        <f t="shared" si="42"/>
        <v>314-20</v>
      </c>
      <c r="AC161" s="24" t="s">
        <v>150</v>
      </c>
      <c r="AD161" s="24" t="s">
        <v>150</v>
      </c>
      <c r="AE161" s="24" t="s">
        <v>2447</v>
      </c>
      <c r="AF161" s="24" t="s">
        <v>2448</v>
      </c>
      <c r="AG161" s="24" t="s">
        <v>2449</v>
      </c>
      <c r="AH161" s="24" t="s">
        <v>2450</v>
      </c>
      <c r="AI161" s="93">
        <f t="shared" si="9"/>
        <v>4789274</v>
      </c>
      <c r="AJ161" s="93">
        <v>0</v>
      </c>
      <c r="AK161" s="93">
        <f t="shared" si="40"/>
        <v>335249</v>
      </c>
      <c r="AL161" s="93">
        <f>IFERROR(INT(($AI161*(VLOOKUP($D161,'PORCENTAJES FACTORES'!B:N,12,0))/100)),0)</f>
        <v>0</v>
      </c>
      <c r="AM161" s="93">
        <f t="shared" si="41"/>
        <v>0</v>
      </c>
      <c r="AN161" s="93">
        <f t="shared" si="13"/>
        <v>0</v>
      </c>
      <c r="AO161" s="93">
        <f t="shared" si="14"/>
        <v>0</v>
      </c>
      <c r="AP161" s="95">
        <f t="shared" si="32"/>
        <v>5124523</v>
      </c>
      <c r="AQ161" s="96"/>
      <c r="AR161" s="97" t="s">
        <v>1897</v>
      </c>
      <c r="AS161" s="43"/>
      <c r="AT161" s="43"/>
      <c r="AU161" s="43"/>
      <c r="AV161" s="98" t="e">
        <f t="shared" si="16"/>
        <v>#N/A</v>
      </c>
      <c r="AW161" s="58"/>
      <c r="AX161" s="58"/>
      <c r="AY161" s="58"/>
      <c r="AZ161" s="58"/>
      <c r="BA161" s="48"/>
      <c r="BB161" s="48"/>
      <c r="BC161" s="48"/>
      <c r="BD161" s="48"/>
      <c r="BE161" s="48"/>
      <c r="BF161" s="48"/>
      <c r="BG161" s="48"/>
      <c r="BH161" s="48"/>
      <c r="BI161" s="48"/>
      <c r="BJ161" s="48"/>
      <c r="BK161" s="48"/>
      <c r="BL161" s="48"/>
      <c r="BM161" s="48"/>
      <c r="BN161" s="48"/>
      <c r="BO161" s="48"/>
      <c r="BP161" s="48"/>
      <c r="BQ161" s="48"/>
    </row>
    <row r="162" spans="1:69" ht="12.75" customHeight="1">
      <c r="A162" s="85">
        <v>158</v>
      </c>
      <c r="B162" s="86">
        <v>5152</v>
      </c>
      <c r="C162" s="29">
        <v>126</v>
      </c>
      <c r="D162" s="14">
        <v>52281297</v>
      </c>
      <c r="E162" s="18" t="str">
        <f>IF(D162&gt;0,VLOOKUP(D162,'PLANTA PERNO'!A:D,4,0)&amp;" "&amp;VLOOKUP(D162,'PLANTA PERNO'!A:D,2,0)&amp;" "&amp;VLOOKUP(D162,'PLANTA PERNO'!A:D,3,0),IF(N162="","VACANTE DEFINITIVA","VACANTE TEMPORAL"))</f>
        <v>ANA JULIETH GIL HERRERA</v>
      </c>
      <c r="F162" s="20" t="s">
        <v>49</v>
      </c>
      <c r="G162" s="20" t="str">
        <f t="shared" si="0"/>
        <v>EN ENCARGO</v>
      </c>
      <c r="H162" s="33">
        <f t="shared" si="43"/>
        <v>44138</v>
      </c>
      <c r="I162" s="33">
        <f t="shared" si="44"/>
        <v>44138</v>
      </c>
      <c r="J162" s="31" t="str">
        <f t="shared" si="45"/>
        <v>MUJER</v>
      </c>
      <c r="K162" s="21">
        <f t="shared" ca="1" si="46"/>
        <v>49</v>
      </c>
      <c r="L162" s="87" t="str">
        <f t="shared" si="39"/>
        <v>ENCARGO</v>
      </c>
      <c r="M162" s="21" t="str">
        <f t="shared" si="18"/>
        <v>EN ENCARGO</v>
      </c>
      <c r="N162" s="21">
        <v>1022362951</v>
      </c>
      <c r="O162" s="18" t="str">
        <f>IF(N162="","VACANTE DEFINITIVA",(VLOOKUP(N162,'PLANTA PERNO'!A:D,4,0)&amp;" "&amp;VLOOKUP(N162,'PLANTA PERNO'!A:D,2,0)&amp;" "&amp;VLOOKUP(N162,'PLANTA PERNO'!A:D,3,0)))</f>
        <v>LUIS CARLOS GAONA FARIAS</v>
      </c>
      <c r="P162" s="21" t="s">
        <v>333</v>
      </c>
      <c r="Q162" s="21">
        <v>2</v>
      </c>
      <c r="R162" s="21"/>
      <c r="S162" s="21"/>
      <c r="T162" s="21"/>
      <c r="U162" s="21"/>
      <c r="V162" s="38"/>
      <c r="W162" s="21" t="str">
        <f t="shared" si="7"/>
        <v>OCUPADO</v>
      </c>
      <c r="X162" s="23" t="s">
        <v>124</v>
      </c>
      <c r="Y162" s="90" t="s">
        <v>124</v>
      </c>
      <c r="Z162" s="25">
        <v>314</v>
      </c>
      <c r="AA162" s="27">
        <v>20</v>
      </c>
      <c r="AB162" s="28" t="str">
        <f t="shared" si="42"/>
        <v>314-20</v>
      </c>
      <c r="AC162" s="24" t="s">
        <v>150</v>
      </c>
      <c r="AD162" s="24" t="s">
        <v>150</v>
      </c>
      <c r="AE162" s="24" t="s">
        <v>2447</v>
      </c>
      <c r="AF162" s="24" t="s">
        <v>2448</v>
      </c>
      <c r="AG162" s="24" t="s">
        <v>2449</v>
      </c>
      <c r="AH162" s="24" t="s">
        <v>2450</v>
      </c>
      <c r="AI162" s="93">
        <f t="shared" si="9"/>
        <v>4789274</v>
      </c>
      <c r="AJ162" s="93">
        <v>0</v>
      </c>
      <c r="AK162" s="93">
        <f t="shared" si="40"/>
        <v>143678</v>
      </c>
      <c r="AL162" s="93">
        <f>IFERROR(INT(($AI162*(VLOOKUP($D162,'PORCENTAJES FACTORES'!B:N,12,0))/100)),0)</f>
        <v>0</v>
      </c>
      <c r="AM162" s="93">
        <f t="shared" si="41"/>
        <v>0</v>
      </c>
      <c r="AN162" s="93">
        <f t="shared" si="13"/>
        <v>0</v>
      </c>
      <c r="AO162" s="93">
        <f t="shared" si="14"/>
        <v>0</v>
      </c>
      <c r="AP162" s="95">
        <f t="shared" si="32"/>
        <v>4932952</v>
      </c>
      <c r="AQ162" s="96"/>
      <c r="AR162" s="97" t="s">
        <v>1897</v>
      </c>
      <c r="AS162" s="58"/>
      <c r="AT162" s="58"/>
      <c r="AU162" s="58"/>
      <c r="AV162" s="98">
        <f t="shared" si="16"/>
        <v>1022362951</v>
      </c>
      <c r="AW162" s="58"/>
      <c r="AX162" s="58"/>
      <c r="AY162" s="58"/>
      <c r="AZ162" s="58"/>
      <c r="BA162" s="48"/>
      <c r="BB162" s="48"/>
      <c r="BC162" s="48"/>
      <c r="BD162" s="48"/>
      <c r="BE162" s="48"/>
      <c r="BF162" s="48"/>
      <c r="BG162" s="48"/>
      <c r="BH162" s="48"/>
      <c r="BI162" s="48"/>
      <c r="BJ162" s="48"/>
      <c r="BK162" s="48"/>
      <c r="BL162" s="48"/>
      <c r="BM162" s="48"/>
      <c r="BN162" s="48"/>
      <c r="BO162" s="48"/>
      <c r="BP162" s="48"/>
      <c r="BQ162" s="48"/>
    </row>
    <row r="163" spans="1:69" ht="12.75" customHeight="1">
      <c r="A163" s="85">
        <v>159</v>
      </c>
      <c r="B163" s="86">
        <v>5155</v>
      </c>
      <c r="C163" s="29">
        <v>124</v>
      </c>
      <c r="D163" s="14">
        <v>53100696</v>
      </c>
      <c r="E163" s="18" t="str">
        <f>IF(D163&gt;0,VLOOKUP(D163,'PLANTA PERNO'!A:D,4,0)&amp;" "&amp;VLOOKUP(D163,'PLANTA PERNO'!A:D,2,0)&amp;" "&amp;VLOOKUP(D163,'PLANTA PERNO'!A:D,3,0),IF(N163="","VACANTE DEFINITIVA","VACANTE TEMPORAL"))</f>
        <v>MARIA VICTORIA TORRES BECERRA</v>
      </c>
      <c r="F163" s="20" t="s">
        <v>49</v>
      </c>
      <c r="G163" s="20" t="str">
        <f t="shared" si="0"/>
        <v>CARRERA ADMINISTRATIVA</v>
      </c>
      <c r="H163" s="33">
        <f t="shared" si="43"/>
        <v>44378</v>
      </c>
      <c r="I163" s="33">
        <f t="shared" si="44"/>
        <v>43374</v>
      </c>
      <c r="J163" s="31" t="str">
        <f t="shared" si="45"/>
        <v>MUJER</v>
      </c>
      <c r="K163" s="21">
        <f t="shared" ca="1" si="46"/>
        <v>41</v>
      </c>
      <c r="L163" s="87" t="str">
        <f t="shared" si="39"/>
        <v/>
      </c>
      <c r="M163" s="21" t="str">
        <f t="shared" si="18"/>
        <v>EN PROPIEDAD</v>
      </c>
      <c r="N163" s="21">
        <v>53100696</v>
      </c>
      <c r="O163" s="18" t="str">
        <f>IF(N163="","VACANTE DEFINITIVA",(VLOOKUP(N163,'PLANTA PERNO'!A:D,4,0)&amp;" "&amp;VLOOKUP(N163,'PLANTA PERNO'!A:D,2,0)&amp;" "&amp;VLOOKUP(N163,'PLANTA PERNO'!A:D,3,0)))</f>
        <v>MARIA VICTORIA TORRES BECERRA</v>
      </c>
      <c r="P163" s="21"/>
      <c r="Q163" s="21"/>
      <c r="R163" s="21"/>
      <c r="S163" s="21"/>
      <c r="T163" s="21"/>
      <c r="U163" s="21"/>
      <c r="V163" s="38"/>
      <c r="W163" s="21" t="str">
        <f t="shared" si="7"/>
        <v>OCUPADO</v>
      </c>
      <c r="X163" s="23" t="s">
        <v>124</v>
      </c>
      <c r="Y163" s="90" t="s">
        <v>124</v>
      </c>
      <c r="Z163" s="25">
        <v>314</v>
      </c>
      <c r="AA163" s="27">
        <v>20</v>
      </c>
      <c r="AB163" s="28" t="str">
        <f t="shared" si="42"/>
        <v>314-20</v>
      </c>
      <c r="AC163" s="24" t="s">
        <v>150</v>
      </c>
      <c r="AD163" s="24" t="s">
        <v>150</v>
      </c>
      <c r="AE163" s="24" t="s">
        <v>2447</v>
      </c>
      <c r="AF163" s="24" t="s">
        <v>2448</v>
      </c>
      <c r="AG163" s="24" t="s">
        <v>2449</v>
      </c>
      <c r="AH163" s="24" t="s">
        <v>2450</v>
      </c>
      <c r="AI163" s="93">
        <f t="shared" si="9"/>
        <v>4789274</v>
      </c>
      <c r="AJ163" s="93">
        <v>0</v>
      </c>
      <c r="AK163" s="93">
        <f t="shared" si="40"/>
        <v>143678</v>
      </c>
      <c r="AL163" s="93">
        <f>IFERROR(INT(($AI163*(VLOOKUP($D163,'PORCENTAJES FACTORES'!B:N,12,0))/100)),0)</f>
        <v>0</v>
      </c>
      <c r="AM163" s="93">
        <f t="shared" si="41"/>
        <v>0</v>
      </c>
      <c r="AN163" s="93">
        <f t="shared" si="13"/>
        <v>0</v>
      </c>
      <c r="AO163" s="93">
        <f t="shared" si="14"/>
        <v>0</v>
      </c>
      <c r="AP163" s="95">
        <f t="shared" si="32"/>
        <v>4932952</v>
      </c>
      <c r="AQ163" s="96"/>
      <c r="AR163" s="97" t="s">
        <v>1897</v>
      </c>
      <c r="AS163" s="58"/>
      <c r="AT163" s="58"/>
      <c r="AU163" s="58"/>
      <c r="AV163" s="98">
        <f t="shared" si="16"/>
        <v>53100696</v>
      </c>
      <c r="AW163" s="58"/>
      <c r="AX163" s="58"/>
      <c r="AY163" s="58"/>
      <c r="AZ163" s="58"/>
      <c r="BA163" s="48"/>
      <c r="BB163" s="48"/>
      <c r="BC163" s="48"/>
      <c r="BD163" s="48"/>
      <c r="BE163" s="48"/>
      <c r="BF163" s="48"/>
      <c r="BG163" s="48"/>
      <c r="BH163" s="48"/>
      <c r="BI163" s="48"/>
      <c r="BJ163" s="48"/>
      <c r="BK163" s="48"/>
      <c r="BL163" s="48"/>
      <c r="BM163" s="48"/>
      <c r="BN163" s="48"/>
      <c r="BO163" s="48"/>
      <c r="BP163" s="48"/>
      <c r="BQ163" s="48"/>
    </row>
    <row r="164" spans="1:69" ht="12.75" customHeight="1">
      <c r="A164" s="85">
        <v>160</v>
      </c>
      <c r="B164" s="86">
        <v>5154</v>
      </c>
      <c r="C164" s="29">
        <v>125</v>
      </c>
      <c r="D164" s="14">
        <v>1073159399</v>
      </c>
      <c r="E164" s="18" t="str">
        <f>IF(D164&gt;0,VLOOKUP(D164,'PLANTA PERNO'!A:D,4,0)&amp;" "&amp;VLOOKUP(D164,'PLANTA PERNO'!A:D,2,0)&amp;" "&amp;VLOOKUP(D164,'PLANTA PERNO'!A:D,3,0),IF(N164="","VACANTE DEFINITIVA","VACANTE TEMPORAL"))</f>
        <v>WENDY PAOLA LEON CITA</v>
      </c>
      <c r="F164" s="20" t="s">
        <v>49</v>
      </c>
      <c r="G164" s="20" t="str">
        <f t="shared" si="0"/>
        <v>CARRERA ADMINISTRATIVA</v>
      </c>
      <c r="H164" s="33">
        <f t="shared" si="43"/>
        <v>44145</v>
      </c>
      <c r="I164" s="33">
        <f t="shared" si="44"/>
        <v>44145</v>
      </c>
      <c r="J164" s="31" t="str">
        <f t="shared" si="45"/>
        <v>MUJER</v>
      </c>
      <c r="K164" s="21">
        <f t="shared" ca="1" si="46"/>
        <v>36</v>
      </c>
      <c r="L164" s="87" t="str">
        <f t="shared" si="39"/>
        <v/>
      </c>
      <c r="M164" s="21" t="str">
        <f t="shared" si="18"/>
        <v>EN PROPIEDAD</v>
      </c>
      <c r="N164" s="21">
        <v>1073159399</v>
      </c>
      <c r="O164" s="18" t="str">
        <f>IF(N164="","VACANTE DEFINITIVA",(VLOOKUP(N164,'PLANTA PERNO'!A:D,4,0)&amp;" "&amp;VLOOKUP(N164,'PLANTA PERNO'!A:D,2,0)&amp;" "&amp;VLOOKUP(N164,'PLANTA PERNO'!A:D,3,0)))</f>
        <v>WENDY PAOLA LEON CITA</v>
      </c>
      <c r="P164" s="21"/>
      <c r="Q164" s="21"/>
      <c r="R164" s="21"/>
      <c r="S164" s="21"/>
      <c r="T164" s="21"/>
      <c r="U164" s="21"/>
      <c r="V164" s="38"/>
      <c r="W164" s="21" t="str">
        <f t="shared" si="7"/>
        <v>OCUPADO</v>
      </c>
      <c r="X164" s="23" t="s">
        <v>124</v>
      </c>
      <c r="Y164" s="90" t="s">
        <v>124</v>
      </c>
      <c r="Z164" s="25">
        <v>314</v>
      </c>
      <c r="AA164" s="27">
        <v>20</v>
      </c>
      <c r="AB164" s="28" t="str">
        <f t="shared" si="42"/>
        <v>314-20</v>
      </c>
      <c r="AC164" s="24" t="s">
        <v>150</v>
      </c>
      <c r="AD164" s="24" t="s">
        <v>150</v>
      </c>
      <c r="AE164" s="24" t="s">
        <v>2447</v>
      </c>
      <c r="AF164" s="24" t="s">
        <v>2448</v>
      </c>
      <c r="AG164" s="24" t="s">
        <v>2449</v>
      </c>
      <c r="AH164" s="24" t="s">
        <v>2450</v>
      </c>
      <c r="AI164" s="93">
        <f t="shared" si="9"/>
        <v>4789274</v>
      </c>
      <c r="AJ164" s="93">
        <v>0</v>
      </c>
      <c r="AK164" s="93">
        <f t="shared" si="40"/>
        <v>143678</v>
      </c>
      <c r="AL164" s="93">
        <f>IFERROR(INT(($AI164*(VLOOKUP($D164,'PORCENTAJES FACTORES'!B:N,12,0))/100)),0)</f>
        <v>0</v>
      </c>
      <c r="AM164" s="93">
        <f t="shared" si="41"/>
        <v>0</v>
      </c>
      <c r="AN164" s="93">
        <f t="shared" si="13"/>
        <v>0</v>
      </c>
      <c r="AO164" s="93">
        <f t="shared" si="14"/>
        <v>0</v>
      </c>
      <c r="AP164" s="95">
        <f t="shared" si="32"/>
        <v>4932952</v>
      </c>
      <c r="AQ164" s="96"/>
      <c r="AR164" s="97" t="s">
        <v>1897</v>
      </c>
      <c r="AS164" s="58"/>
      <c r="AT164" s="58"/>
      <c r="AU164" s="58"/>
      <c r="AV164" s="98">
        <f t="shared" si="16"/>
        <v>1073159399</v>
      </c>
      <c r="AW164" s="58"/>
      <c r="AX164" s="58"/>
      <c r="AY164" s="58"/>
      <c r="AZ164" s="58"/>
      <c r="BA164" s="48"/>
      <c r="BB164" s="48"/>
      <c r="BC164" s="48"/>
      <c r="BD164" s="48"/>
      <c r="BE164" s="48"/>
      <c r="BF164" s="48"/>
      <c r="BG164" s="48"/>
      <c r="BH164" s="48"/>
      <c r="BI164" s="48"/>
      <c r="BJ164" s="48"/>
      <c r="BK164" s="48"/>
      <c r="BL164" s="48"/>
      <c r="BM164" s="48"/>
      <c r="BN164" s="48"/>
      <c r="BO164" s="48"/>
      <c r="BP164" s="48"/>
      <c r="BQ164" s="48"/>
    </row>
    <row r="165" spans="1:69" ht="12.75" customHeight="1">
      <c r="A165" s="85">
        <v>161</v>
      </c>
      <c r="B165" s="86">
        <v>5158</v>
      </c>
      <c r="C165" s="29">
        <v>127</v>
      </c>
      <c r="D165" s="14">
        <v>51732443</v>
      </c>
      <c r="E165" s="18" t="str">
        <f>IF(D165&gt;0,VLOOKUP(D165,'PLANTA PERNO'!A:D,4,0)&amp;" "&amp;VLOOKUP(D165,'PLANTA PERNO'!A:D,2,0)&amp;" "&amp;VLOOKUP(D165,'PLANTA PERNO'!A:D,3,0),IF(N165="","VACANTE DEFINITIVA","VACANTE TEMPORAL"))</f>
        <v>ACENETH TORRES ROJAS</v>
      </c>
      <c r="F165" s="20" t="s">
        <v>49</v>
      </c>
      <c r="G165" s="20" t="str">
        <f t="shared" si="0"/>
        <v>EN ENCARGO</v>
      </c>
      <c r="H165" s="33">
        <f t="shared" ref="H165:H174" si="47">IFERROR(VLOOKUP($D165,PLANTA_PERNO,16,0)," ")</f>
        <v>42585</v>
      </c>
      <c r="I165" s="33">
        <f t="shared" ref="I165:I174" si="48">IFERROR(VLOOKUP($D165,PLANTA_PERNO,17,0),"")</f>
        <v>40672</v>
      </c>
      <c r="J165" s="31" t="str">
        <f t="shared" ref="J165:J174" si="49">IF(IFERROR((VLOOKUP($D165,PLANTA_PERNO,9,0)),"")="F","MUJER",IF(IFERROR((VLOOKUP($D165,PLANTA_PERNO,9,0)),"")="M","HOMBRE",""))</f>
        <v>MUJER</v>
      </c>
      <c r="K165" s="21">
        <f t="shared" ref="K165:K174" ca="1" si="50">IFERROR(DATEDIF((VLOOKUP($D165,PLANTA_PERNO,6,0)),$K$3,"Y"),"")</f>
        <v>63</v>
      </c>
      <c r="L165" s="87" t="str">
        <f t="shared" si="39"/>
        <v>ENCARGO</v>
      </c>
      <c r="M165" s="21" t="str">
        <f t="shared" si="18"/>
        <v>EN ENCARGO</v>
      </c>
      <c r="N165" s="21">
        <v>1030618681</v>
      </c>
      <c r="O165" s="18" t="str">
        <f>IF(N165="","VACANTE DEFINITIVA",(VLOOKUP(N165,'PLANTA PERNO'!A:D,4,0)&amp;" "&amp;VLOOKUP(N165,'PLANTA PERNO'!A:D,2,0)&amp;" "&amp;VLOOKUP(N165,'PLANTA PERNO'!A:D,3,0)))</f>
        <v>JENNIFER LIZBETH GOMEZ AREVALO</v>
      </c>
      <c r="P165" s="21" t="s">
        <v>489</v>
      </c>
      <c r="Q165" s="21">
        <v>3</v>
      </c>
      <c r="R165" s="21"/>
      <c r="S165" s="21"/>
      <c r="T165" s="21"/>
      <c r="U165" s="21"/>
      <c r="V165" s="38"/>
      <c r="W165" s="21" t="str">
        <f t="shared" si="7"/>
        <v>OCUPADO</v>
      </c>
      <c r="X165" s="23" t="s">
        <v>124</v>
      </c>
      <c r="Y165" s="90" t="s">
        <v>124</v>
      </c>
      <c r="Z165" s="25">
        <v>314</v>
      </c>
      <c r="AA165" s="27">
        <v>15</v>
      </c>
      <c r="AB165" s="28" t="str">
        <f t="shared" si="42"/>
        <v>314-15</v>
      </c>
      <c r="AC165" s="24" t="s">
        <v>174</v>
      </c>
      <c r="AD165" s="24" t="s">
        <v>174</v>
      </c>
      <c r="AE165" s="24" t="s">
        <v>2431</v>
      </c>
      <c r="AF165" s="24" t="s">
        <v>2432</v>
      </c>
      <c r="AG165" s="24" t="s">
        <v>2451</v>
      </c>
      <c r="AH165" s="24" t="s">
        <v>2452</v>
      </c>
      <c r="AI165" s="93">
        <f t="shared" si="9"/>
        <v>4226650</v>
      </c>
      <c r="AJ165" s="93">
        <v>0</v>
      </c>
      <c r="AK165" s="93">
        <f t="shared" si="40"/>
        <v>295865</v>
      </c>
      <c r="AL165" s="93">
        <f>IFERROR(INT(($AI165*(VLOOKUP($D165,'PORCENTAJES FACTORES'!B:N,12,0))/100)),0)</f>
        <v>0</v>
      </c>
      <c r="AM165" s="93">
        <f t="shared" si="41"/>
        <v>84533</v>
      </c>
      <c r="AN165" s="93">
        <f t="shared" si="13"/>
        <v>0</v>
      </c>
      <c r="AO165" s="93">
        <f t="shared" si="14"/>
        <v>0</v>
      </c>
      <c r="AP165" s="95">
        <f t="shared" si="32"/>
        <v>4607048</v>
      </c>
      <c r="AQ165" s="96"/>
      <c r="AR165" s="97" t="s">
        <v>1748</v>
      </c>
      <c r="AS165" s="58"/>
      <c r="AT165" s="58"/>
      <c r="AU165" s="58"/>
      <c r="AV165" s="98">
        <f t="shared" si="16"/>
        <v>1030618681</v>
      </c>
      <c r="AW165" s="58"/>
      <c r="AX165" s="58"/>
      <c r="AY165" s="58"/>
      <c r="AZ165" s="58"/>
      <c r="BA165" s="48"/>
      <c r="BB165" s="48"/>
      <c r="BC165" s="48"/>
      <c r="BD165" s="48"/>
      <c r="BE165" s="48"/>
      <c r="BF165" s="48"/>
      <c r="BG165" s="48"/>
      <c r="BH165" s="48"/>
      <c r="BI165" s="48"/>
      <c r="BJ165" s="48"/>
      <c r="BK165" s="48"/>
      <c r="BL165" s="48"/>
      <c r="BM165" s="48"/>
      <c r="BN165" s="48"/>
      <c r="BO165" s="48"/>
      <c r="BP165" s="48"/>
      <c r="BQ165" s="48"/>
    </row>
    <row r="166" spans="1:69" ht="12.75" customHeight="1">
      <c r="A166" s="85">
        <v>162</v>
      </c>
      <c r="B166" s="86">
        <v>5159</v>
      </c>
      <c r="C166" s="29">
        <v>131</v>
      </c>
      <c r="D166" s="14">
        <v>1085338624</v>
      </c>
      <c r="E166" s="18" t="str">
        <f>IF(D166&gt;0,VLOOKUP(D166,'PLANTA PERNO'!A:D,4,0)&amp;" "&amp;VLOOKUP(D166,'PLANTA PERNO'!A:D,2,0)&amp;" "&amp;VLOOKUP(D166,'PLANTA PERNO'!A:D,3,0),IF(N166="","VACANTE DEFINITIVA","VACANTE TEMPORAL"))</f>
        <v>JUAN DIEGO ACOSTA TORRES</v>
      </c>
      <c r="F166" s="20" t="s">
        <v>24</v>
      </c>
      <c r="G166" s="20" t="str">
        <f t="shared" si="0"/>
        <v>EN PROVISIONALIDAD</v>
      </c>
      <c r="H166" s="33">
        <f t="shared" si="47"/>
        <v>45873</v>
      </c>
      <c r="I166" s="33">
        <f t="shared" si="48"/>
        <v>45873</v>
      </c>
      <c r="J166" s="31" t="str">
        <f t="shared" si="49"/>
        <v>HOMBRE</v>
      </c>
      <c r="K166" s="21">
        <f t="shared" ca="1" si="50"/>
        <v>28</v>
      </c>
      <c r="L166" s="87" t="str">
        <f t="shared" si="39"/>
        <v>PROVISIONALIDAD</v>
      </c>
      <c r="M166" s="21" t="str">
        <f t="shared" si="18"/>
        <v>VACANTE DEFINITIVA</v>
      </c>
      <c r="N166" s="21"/>
      <c r="O166" s="18" t="str">
        <f>IF(N166="","VACANTE DEFINITIVA",(VLOOKUP(N166,'PLANTA PERNO'!A:D,4,0)&amp;" "&amp;VLOOKUP(N166,'PLANTA PERNO'!A:D,2,0)&amp;" "&amp;VLOOKUP(N166,'PLANTA PERNO'!A:D,3,0)))</f>
        <v>VACANTE DEFINITIVA</v>
      </c>
      <c r="P166" s="21"/>
      <c r="Q166" s="21"/>
      <c r="R166" s="21" t="s">
        <v>166</v>
      </c>
      <c r="S166" s="21"/>
      <c r="T166" s="21"/>
      <c r="U166" s="21"/>
      <c r="V166" s="38"/>
      <c r="W166" s="21" t="str">
        <f t="shared" si="7"/>
        <v>OCUPADO</v>
      </c>
      <c r="X166" s="23" t="s">
        <v>124</v>
      </c>
      <c r="Y166" s="90" t="s">
        <v>124</v>
      </c>
      <c r="Z166" s="25">
        <v>314</v>
      </c>
      <c r="AA166" s="27">
        <v>15</v>
      </c>
      <c r="AB166" s="28" t="str">
        <f t="shared" si="42"/>
        <v>314-15</v>
      </c>
      <c r="AC166" s="24" t="s">
        <v>153</v>
      </c>
      <c r="AD166" s="24" t="s">
        <v>153</v>
      </c>
      <c r="AE166" s="24" t="s">
        <v>2453</v>
      </c>
      <c r="AF166" s="24" t="s">
        <v>2454</v>
      </c>
      <c r="AG166" s="24" t="s">
        <v>2455</v>
      </c>
      <c r="AH166" s="24" t="s">
        <v>2456</v>
      </c>
      <c r="AI166" s="93">
        <f t="shared" si="9"/>
        <v>4226650</v>
      </c>
      <c r="AJ166" s="93">
        <v>0</v>
      </c>
      <c r="AK166" s="93">
        <f t="shared" si="40"/>
        <v>0</v>
      </c>
      <c r="AL166" s="93">
        <f>IFERROR(INT(($AI166*(VLOOKUP($D166,'PORCENTAJES FACTORES'!B:N,12,0))/100)),0)</f>
        <v>0</v>
      </c>
      <c r="AM166" s="93">
        <f t="shared" si="41"/>
        <v>0</v>
      </c>
      <c r="AN166" s="93">
        <f t="shared" si="13"/>
        <v>0</v>
      </c>
      <c r="AO166" s="93">
        <f t="shared" si="14"/>
        <v>0</v>
      </c>
      <c r="AP166" s="95">
        <f t="shared" si="32"/>
        <v>4226650</v>
      </c>
      <c r="AQ166" s="96"/>
      <c r="AR166" s="97" t="s">
        <v>1748</v>
      </c>
      <c r="AS166" s="58"/>
      <c r="AT166" s="58"/>
      <c r="AU166" s="58"/>
      <c r="AV166" s="98" t="e">
        <f t="shared" si="16"/>
        <v>#N/A</v>
      </c>
      <c r="AW166" s="58"/>
      <c r="AX166" s="58"/>
      <c r="AY166" s="58"/>
      <c r="AZ166" s="58"/>
      <c r="BA166" s="48"/>
      <c r="BB166" s="48"/>
      <c r="BC166" s="48"/>
      <c r="BD166" s="48"/>
      <c r="BE166" s="48"/>
      <c r="BF166" s="48"/>
      <c r="BG166" s="48"/>
      <c r="BH166" s="48"/>
      <c r="BI166" s="48"/>
      <c r="BJ166" s="48"/>
      <c r="BK166" s="48"/>
      <c r="BL166" s="48"/>
      <c r="BM166" s="48"/>
      <c r="BN166" s="48"/>
      <c r="BO166" s="48"/>
      <c r="BP166" s="48"/>
      <c r="BQ166" s="48"/>
    </row>
    <row r="167" spans="1:69" ht="12.75" customHeight="1">
      <c r="A167" s="85">
        <v>163</v>
      </c>
      <c r="B167" s="86">
        <v>5160</v>
      </c>
      <c r="C167" s="29">
        <v>128</v>
      </c>
      <c r="D167" s="14">
        <v>1005488395</v>
      </c>
      <c r="E167" s="18" t="str">
        <f>IF(D167&gt;0,VLOOKUP(D167,'PLANTA PERNO'!A:D,4,0)&amp;" "&amp;VLOOKUP(D167,'PLANTA PERNO'!A:D,2,0)&amp;" "&amp;VLOOKUP(D167,'PLANTA PERNO'!A:D,3,0),IF(N167="","VACANTE DEFINITIVA","VACANTE TEMPORAL"))</f>
        <v>JEFFERSON JOSE OSUNA BERRIO</v>
      </c>
      <c r="F167" s="20" t="s">
        <v>24</v>
      </c>
      <c r="G167" s="20" t="str">
        <f t="shared" si="0"/>
        <v>EN PROVISIONALIDAD</v>
      </c>
      <c r="H167" s="33">
        <f t="shared" si="47"/>
        <v>45901</v>
      </c>
      <c r="I167" s="33">
        <f t="shared" si="48"/>
        <v>45901</v>
      </c>
      <c r="J167" s="31" t="str">
        <f t="shared" si="49"/>
        <v>HOMBRE</v>
      </c>
      <c r="K167" s="21">
        <f t="shared" ca="1" si="50"/>
        <v>25</v>
      </c>
      <c r="L167" s="87" t="str">
        <f t="shared" si="39"/>
        <v>PROVISIONALIDAD</v>
      </c>
      <c r="M167" s="21" t="str">
        <f t="shared" si="18"/>
        <v>EN ENCARGO</v>
      </c>
      <c r="N167" s="21">
        <v>1015419295</v>
      </c>
      <c r="O167" s="18" t="str">
        <f>IF(N167="","VACANTE DEFINITIVA",(VLOOKUP(N167,'PLANTA PERNO'!A:D,4,0)&amp;" "&amp;VLOOKUP(N167,'PLANTA PERNO'!A:D,2,0)&amp;" "&amp;VLOOKUP(N167,'PLANTA PERNO'!A:D,3,0)))</f>
        <v>HELVER MANUEL MORA MONTOYA</v>
      </c>
      <c r="P167" s="21" t="s">
        <v>2381</v>
      </c>
      <c r="Q167" s="21">
        <v>2</v>
      </c>
      <c r="R167" s="21" t="s">
        <v>166</v>
      </c>
      <c r="S167" s="21"/>
      <c r="T167" s="21"/>
      <c r="U167" s="21"/>
      <c r="V167" s="38"/>
      <c r="W167" s="21" t="str">
        <f t="shared" si="7"/>
        <v>OCUPADO</v>
      </c>
      <c r="X167" s="23" t="s">
        <v>124</v>
      </c>
      <c r="Y167" s="90" t="s">
        <v>124</v>
      </c>
      <c r="Z167" s="25">
        <v>314</v>
      </c>
      <c r="AA167" s="27">
        <v>15</v>
      </c>
      <c r="AB167" s="28" t="str">
        <f t="shared" si="42"/>
        <v>314-15</v>
      </c>
      <c r="AC167" s="24" t="s">
        <v>153</v>
      </c>
      <c r="AD167" s="24" t="s">
        <v>153</v>
      </c>
      <c r="AE167" s="24" t="s">
        <v>2453</v>
      </c>
      <c r="AF167" s="24" t="s">
        <v>2454</v>
      </c>
      <c r="AG167" s="24" t="s">
        <v>2455</v>
      </c>
      <c r="AH167" s="24" t="s">
        <v>2456</v>
      </c>
      <c r="AI167" s="93">
        <f t="shared" si="9"/>
        <v>4226650</v>
      </c>
      <c r="AJ167" s="93">
        <v>0</v>
      </c>
      <c r="AK167" s="93">
        <f t="shared" si="40"/>
        <v>0</v>
      </c>
      <c r="AL167" s="93">
        <f>IFERROR(INT(($AI167*(VLOOKUP($D167,'PORCENTAJES FACTORES'!B:N,12,0))/100)),0)</f>
        <v>0</v>
      </c>
      <c r="AM167" s="93">
        <f t="shared" si="41"/>
        <v>0</v>
      </c>
      <c r="AN167" s="93">
        <f t="shared" si="13"/>
        <v>0</v>
      </c>
      <c r="AO167" s="93">
        <f t="shared" si="14"/>
        <v>0</v>
      </c>
      <c r="AP167" s="95">
        <f t="shared" si="32"/>
        <v>4226650</v>
      </c>
      <c r="AQ167" s="96"/>
      <c r="AR167" s="97" t="s">
        <v>1748</v>
      </c>
      <c r="AS167" s="58"/>
      <c r="AT167" s="58"/>
      <c r="AU167" s="58"/>
      <c r="AV167" s="98">
        <f t="shared" si="16"/>
        <v>1015419295</v>
      </c>
      <c r="AW167" s="58"/>
      <c r="AX167" s="58"/>
      <c r="AY167" s="58"/>
      <c r="AZ167" s="58"/>
      <c r="BA167" s="48"/>
      <c r="BB167" s="48"/>
      <c r="BC167" s="48"/>
      <c r="BD167" s="48"/>
      <c r="BE167" s="48"/>
      <c r="BF167" s="48"/>
      <c r="BG167" s="48"/>
      <c r="BH167" s="48"/>
      <c r="BI167" s="48"/>
      <c r="BJ167" s="48"/>
      <c r="BK167" s="48"/>
      <c r="BL167" s="48"/>
      <c r="BM167" s="48"/>
      <c r="BN167" s="48"/>
      <c r="BO167" s="48"/>
      <c r="BP167" s="48"/>
      <c r="BQ167" s="48"/>
    </row>
    <row r="168" spans="1:69" ht="12.75" customHeight="1">
      <c r="A168" s="85">
        <v>164</v>
      </c>
      <c r="B168" s="86">
        <v>5163</v>
      </c>
      <c r="C168" s="29">
        <v>129</v>
      </c>
      <c r="D168" s="14">
        <v>1015438831</v>
      </c>
      <c r="E168" s="18" t="str">
        <f>IF(D168&gt;0,VLOOKUP(D168,'PLANTA PERNO'!A:D,4,0)&amp;" "&amp;VLOOKUP(D168,'PLANTA PERNO'!A:D,2,0)&amp;" "&amp;VLOOKUP(D168,'PLANTA PERNO'!A:D,3,0),IF(N168="","VACANTE DEFINITIVA","VACANTE TEMPORAL"))</f>
        <v>ESTEBAN RAMIREZ CARDENAS</v>
      </c>
      <c r="F168" s="20" t="s">
        <v>24</v>
      </c>
      <c r="G168" s="20" t="str">
        <f t="shared" si="0"/>
        <v>EN PROVISIONALIDAD</v>
      </c>
      <c r="H168" s="33">
        <f t="shared" si="47"/>
        <v>45489</v>
      </c>
      <c r="I168" s="33">
        <f t="shared" si="48"/>
        <v>45489</v>
      </c>
      <c r="J168" s="31" t="str">
        <f t="shared" si="49"/>
        <v>HOMBRE</v>
      </c>
      <c r="K168" s="21">
        <f t="shared" ca="1" si="50"/>
        <v>33</v>
      </c>
      <c r="L168" s="87" t="str">
        <f t="shared" si="39"/>
        <v>PROVISIONALIDAD</v>
      </c>
      <c r="M168" s="21" t="str">
        <f t="shared" si="18"/>
        <v>EN ENCARGO</v>
      </c>
      <c r="N168" s="21">
        <v>1015425376</v>
      </c>
      <c r="O168" s="18" t="str">
        <f>IF(N168="","VACANTE DEFINITIVA",(VLOOKUP(N168,'PLANTA PERNO'!A:D,4,0)&amp;" "&amp;VLOOKUP(N168,'PLANTA PERNO'!A:D,2,0)&amp;" "&amp;VLOOKUP(N168,'PLANTA PERNO'!A:D,3,0)))</f>
        <v>ALEJANDRA NATALY CASALLAS MARTINEZ</v>
      </c>
      <c r="P168" s="21" t="s">
        <v>2376</v>
      </c>
      <c r="Q168" s="21">
        <v>7</v>
      </c>
      <c r="R168" s="21" t="s">
        <v>166</v>
      </c>
      <c r="S168" s="21"/>
      <c r="T168" s="21"/>
      <c r="U168" s="21"/>
      <c r="V168" s="38"/>
      <c r="W168" s="21" t="str">
        <f t="shared" si="7"/>
        <v>OCUPADO</v>
      </c>
      <c r="X168" s="23" t="s">
        <v>124</v>
      </c>
      <c r="Y168" s="90" t="s">
        <v>124</v>
      </c>
      <c r="Z168" s="25">
        <v>314</v>
      </c>
      <c r="AA168" s="27">
        <v>15</v>
      </c>
      <c r="AB168" s="28" t="str">
        <f t="shared" si="42"/>
        <v>314-15</v>
      </c>
      <c r="AC168" s="24" t="s">
        <v>153</v>
      </c>
      <c r="AD168" s="24" t="s">
        <v>153</v>
      </c>
      <c r="AE168" s="24" t="s">
        <v>2453</v>
      </c>
      <c r="AF168" s="24" t="s">
        <v>2454</v>
      </c>
      <c r="AG168" s="24" t="s">
        <v>2455</v>
      </c>
      <c r="AH168" s="24" t="s">
        <v>2456</v>
      </c>
      <c r="AI168" s="93">
        <f t="shared" si="9"/>
        <v>4226650</v>
      </c>
      <c r="AJ168" s="93">
        <v>0</v>
      </c>
      <c r="AK168" s="93">
        <f t="shared" si="40"/>
        <v>0</v>
      </c>
      <c r="AL168" s="93">
        <f>IFERROR(INT(($AI168*(VLOOKUP($D168,'PORCENTAJES FACTORES'!B:N,12,0))/100)),0)</f>
        <v>0</v>
      </c>
      <c r="AM168" s="93">
        <f t="shared" si="41"/>
        <v>0</v>
      </c>
      <c r="AN168" s="93">
        <f t="shared" si="13"/>
        <v>0</v>
      </c>
      <c r="AO168" s="93">
        <f t="shared" si="14"/>
        <v>0</v>
      </c>
      <c r="AP168" s="95">
        <f t="shared" si="32"/>
        <v>4226650</v>
      </c>
      <c r="AQ168" s="96"/>
      <c r="AR168" s="97" t="s">
        <v>1748</v>
      </c>
      <c r="AS168" s="58"/>
      <c r="AT168" s="58"/>
      <c r="AU168" s="58"/>
      <c r="AV168" s="98">
        <f t="shared" si="16"/>
        <v>1015425376</v>
      </c>
      <c r="AW168" s="58"/>
      <c r="AX168" s="58"/>
      <c r="AY168" s="58"/>
      <c r="AZ168" s="58"/>
      <c r="BA168" s="48"/>
      <c r="BB168" s="48"/>
      <c r="BC168" s="48"/>
      <c r="BD168" s="48"/>
      <c r="BE168" s="48"/>
      <c r="BF168" s="48"/>
      <c r="BG168" s="48"/>
      <c r="BH168" s="48"/>
      <c r="BI168" s="48"/>
      <c r="BJ168" s="48"/>
      <c r="BK168" s="48"/>
      <c r="BL168" s="48"/>
      <c r="BM168" s="48"/>
      <c r="BN168" s="48"/>
      <c r="BO168" s="48"/>
      <c r="BP168" s="48"/>
      <c r="BQ168" s="48"/>
    </row>
    <row r="169" spans="1:69" ht="12.75" customHeight="1">
      <c r="A169" s="85">
        <v>165</v>
      </c>
      <c r="B169" s="86">
        <v>5161</v>
      </c>
      <c r="C169" s="29">
        <v>130</v>
      </c>
      <c r="D169" s="132">
        <v>1001170136</v>
      </c>
      <c r="E169" s="133" t="str">
        <f>IF(D169&gt;0,VLOOKUP(D169,'PLANTA PERNO'!A:D,4,0)&amp;" "&amp;VLOOKUP(D169,'PLANTA PERNO'!A:D,2,0)&amp;" "&amp;VLOOKUP(D169,'PLANTA PERNO'!A:D,3,0),IF(N169="","VACANTE DEFINITIVA","VACANTE TEMPORAL"))</f>
        <v>DIANA YURANY MARTINEZ MARTINEZ</v>
      </c>
      <c r="F169" s="134" t="s">
        <v>24</v>
      </c>
      <c r="G169" s="20" t="str">
        <f t="shared" si="0"/>
        <v>EN PROVISIONALIDAD</v>
      </c>
      <c r="H169" s="33">
        <f t="shared" si="47"/>
        <v>45462</v>
      </c>
      <c r="I169" s="33">
        <f t="shared" si="48"/>
        <v>45462</v>
      </c>
      <c r="J169" s="31" t="str">
        <f t="shared" si="49"/>
        <v>MUJER</v>
      </c>
      <c r="K169" s="21">
        <f t="shared" ca="1" si="50"/>
        <v>25</v>
      </c>
      <c r="L169" s="87" t="str">
        <f t="shared" si="39"/>
        <v>PROVISIONALIDAD</v>
      </c>
      <c r="M169" s="21" t="str">
        <f t="shared" si="18"/>
        <v>EN ENCARGO</v>
      </c>
      <c r="N169" s="21">
        <v>37625914</v>
      </c>
      <c r="O169" s="18" t="str">
        <f>IF(N169="","VACANTE DEFINITIVA",(VLOOKUP(N169,'PLANTA PERNO'!A:D,4,0)&amp;" "&amp;VLOOKUP(N169,'PLANTA PERNO'!A:D,2,0)&amp;" "&amp;VLOOKUP(N169,'PLANTA PERNO'!A:D,3,0)))</f>
        <v>MARY DAYANA SANCHEZ ROJAS</v>
      </c>
      <c r="P169" s="21" t="s">
        <v>2354</v>
      </c>
      <c r="Q169" s="21">
        <v>3</v>
      </c>
      <c r="R169" s="21" t="s">
        <v>166</v>
      </c>
      <c r="S169" s="21"/>
      <c r="T169" s="21"/>
      <c r="U169" s="21"/>
      <c r="V169" s="38"/>
      <c r="W169" s="21" t="str">
        <f t="shared" si="7"/>
        <v>OCUPADO</v>
      </c>
      <c r="X169" s="23" t="s">
        <v>124</v>
      </c>
      <c r="Y169" s="90" t="s">
        <v>124</v>
      </c>
      <c r="Z169" s="25">
        <v>314</v>
      </c>
      <c r="AA169" s="27">
        <v>15</v>
      </c>
      <c r="AB169" s="28" t="str">
        <f t="shared" si="42"/>
        <v>314-15</v>
      </c>
      <c r="AC169" s="24" t="s">
        <v>153</v>
      </c>
      <c r="AD169" s="24" t="s">
        <v>153</v>
      </c>
      <c r="AE169" s="24" t="s">
        <v>2453</v>
      </c>
      <c r="AF169" s="24" t="s">
        <v>2454</v>
      </c>
      <c r="AG169" s="24" t="s">
        <v>2455</v>
      </c>
      <c r="AH169" s="24" t="s">
        <v>2456</v>
      </c>
      <c r="AI169" s="93">
        <f t="shared" si="9"/>
        <v>4226650</v>
      </c>
      <c r="AJ169" s="93">
        <v>0</v>
      </c>
      <c r="AK169" s="93">
        <f t="shared" si="40"/>
        <v>0</v>
      </c>
      <c r="AL169" s="93">
        <f>IFERROR(INT(($AI169*(VLOOKUP($D169,'PORCENTAJES FACTORES'!B:N,12,0))/100)),0)</f>
        <v>0</v>
      </c>
      <c r="AM169" s="93">
        <f t="shared" si="41"/>
        <v>0</v>
      </c>
      <c r="AN169" s="93">
        <f t="shared" si="13"/>
        <v>0</v>
      </c>
      <c r="AO169" s="93">
        <f t="shared" si="14"/>
        <v>0</v>
      </c>
      <c r="AP169" s="95">
        <f t="shared" si="32"/>
        <v>4226650</v>
      </c>
      <c r="AQ169" s="96"/>
      <c r="AR169" s="97" t="s">
        <v>1748</v>
      </c>
      <c r="AS169" s="58"/>
      <c r="AT169" s="58"/>
      <c r="AU169" s="58"/>
      <c r="AV169" s="98">
        <f t="shared" si="16"/>
        <v>37625914</v>
      </c>
      <c r="AW169" s="58"/>
      <c r="AX169" s="58"/>
      <c r="AY169" s="58"/>
      <c r="AZ169" s="58"/>
      <c r="BA169" s="48"/>
      <c r="BB169" s="48"/>
      <c r="BC169" s="48"/>
      <c r="BD169" s="48"/>
      <c r="BE169" s="48"/>
      <c r="BF169" s="48"/>
      <c r="BG169" s="48"/>
      <c r="BH169" s="48"/>
      <c r="BI169" s="48"/>
      <c r="BJ169" s="48"/>
      <c r="BK169" s="48"/>
      <c r="BL169" s="48"/>
      <c r="BM169" s="48"/>
      <c r="BN169" s="48"/>
      <c r="BO169" s="48"/>
      <c r="BP169" s="48"/>
      <c r="BQ169" s="48"/>
    </row>
    <row r="170" spans="1:69" ht="12.75" customHeight="1">
      <c r="A170" s="85">
        <v>166</v>
      </c>
      <c r="B170" s="86">
        <v>5164</v>
      </c>
      <c r="C170" s="135">
        <v>132</v>
      </c>
      <c r="D170" s="136">
        <v>1007538666</v>
      </c>
      <c r="E170" s="18" t="str">
        <f>IF(D170&gt;0,VLOOKUP(D170,'PLANTA PERNO'!A:D,4,0)&amp;" "&amp;VLOOKUP(D170,'PLANTA PERNO'!A:D,2,0)&amp;" "&amp;VLOOKUP(D170,'PLANTA PERNO'!A:D,3,0),IF(N170="","VACANTE DEFINITIVA","VACANTE TEMPORAL"))</f>
        <v>MARIA PAULA ROCHA VEGA</v>
      </c>
      <c r="F170" s="20" t="s">
        <v>24</v>
      </c>
      <c r="G170" s="137" t="str">
        <f t="shared" si="0"/>
        <v>EN PROVISIONALIDAD</v>
      </c>
      <c r="H170" s="33">
        <f t="shared" si="47"/>
        <v>46288</v>
      </c>
      <c r="I170" s="33">
        <f t="shared" si="48"/>
        <v>46288</v>
      </c>
      <c r="J170" s="31" t="str">
        <f t="shared" si="49"/>
        <v>MUJER</v>
      </c>
      <c r="K170" s="21">
        <f t="shared" ca="1" si="50"/>
        <v>26</v>
      </c>
      <c r="L170" s="87" t="str">
        <f t="shared" si="39"/>
        <v>PROVISIONALIDAD</v>
      </c>
      <c r="M170" s="21" t="str">
        <f t="shared" si="18"/>
        <v>EN ENCARGO</v>
      </c>
      <c r="N170" s="21">
        <v>1030577699</v>
      </c>
      <c r="O170" s="18" t="str">
        <f>IF(N170="","VACANTE DEFINITIVA",(VLOOKUP(N170,'PLANTA PERNO'!A:D,4,0)&amp;" "&amp;VLOOKUP(N170,'PLANTA PERNO'!A:D,2,0)&amp;" "&amp;VLOOKUP(N170,'PLANTA PERNO'!A:D,3,0)))</f>
        <v>KATHERINE PAOLA ARAGON CASTIBLANCO</v>
      </c>
      <c r="P170" s="21" t="s">
        <v>1823</v>
      </c>
      <c r="Q170" s="21">
        <v>5</v>
      </c>
      <c r="R170" s="21" t="s">
        <v>166</v>
      </c>
      <c r="S170" s="21"/>
      <c r="T170" s="21"/>
      <c r="U170" s="21"/>
      <c r="V170" s="129">
        <v>220274</v>
      </c>
      <c r="W170" s="21" t="str">
        <f t="shared" si="7"/>
        <v>OCUPADO</v>
      </c>
      <c r="X170" s="23" t="s">
        <v>124</v>
      </c>
      <c r="Y170" s="90" t="s">
        <v>124</v>
      </c>
      <c r="Z170" s="25">
        <v>314</v>
      </c>
      <c r="AA170" s="27">
        <v>15</v>
      </c>
      <c r="AB170" s="28" t="str">
        <f t="shared" si="42"/>
        <v>314-15</v>
      </c>
      <c r="AC170" s="24" t="s">
        <v>213</v>
      </c>
      <c r="AD170" s="24" t="s">
        <v>213</v>
      </c>
      <c r="AE170" s="24" t="s">
        <v>2457</v>
      </c>
      <c r="AF170" s="24" t="s">
        <v>2458</v>
      </c>
      <c r="AG170" s="24" t="s">
        <v>128</v>
      </c>
      <c r="AH170" s="24" t="s">
        <v>2459</v>
      </c>
      <c r="AI170" s="93">
        <f t="shared" si="9"/>
        <v>4226650</v>
      </c>
      <c r="AJ170" s="93">
        <v>0</v>
      </c>
      <c r="AK170" s="93">
        <f t="shared" si="40"/>
        <v>0</v>
      </c>
      <c r="AL170" s="93">
        <f>IFERROR(INT(($AI170*(VLOOKUP($D170,'PORCENTAJES FACTORES'!B:N,12,0))/100)),0)</f>
        <v>0</v>
      </c>
      <c r="AM170" s="93">
        <f t="shared" si="41"/>
        <v>0</v>
      </c>
      <c r="AN170" s="93">
        <f t="shared" si="13"/>
        <v>0</v>
      </c>
      <c r="AO170" s="93">
        <f t="shared" si="14"/>
        <v>0</v>
      </c>
      <c r="AP170" s="95">
        <f t="shared" si="32"/>
        <v>4226650</v>
      </c>
      <c r="AQ170" s="96"/>
      <c r="AR170" s="97" t="s">
        <v>1748</v>
      </c>
      <c r="AS170" s="58"/>
      <c r="AT170" s="58"/>
      <c r="AU170" s="58"/>
      <c r="AV170" s="98">
        <f t="shared" si="16"/>
        <v>1030577699</v>
      </c>
      <c r="AW170" s="58"/>
      <c r="AX170" s="58"/>
      <c r="AY170" s="58"/>
      <c r="AZ170" s="58"/>
      <c r="BA170" s="48"/>
      <c r="BB170" s="48"/>
      <c r="BC170" s="48"/>
      <c r="BD170" s="48"/>
      <c r="BE170" s="48"/>
      <c r="BF170" s="48"/>
      <c r="BG170" s="48"/>
      <c r="BH170" s="48"/>
      <c r="BI170" s="48"/>
      <c r="BJ170" s="48"/>
      <c r="BK170" s="48"/>
      <c r="BL170" s="48"/>
      <c r="BM170" s="48"/>
      <c r="BN170" s="48"/>
      <c r="BO170" s="48"/>
      <c r="BP170" s="48"/>
      <c r="BQ170" s="48"/>
    </row>
    <row r="171" spans="1:69" ht="12.75" customHeight="1">
      <c r="A171" s="85">
        <v>167</v>
      </c>
      <c r="B171" s="86">
        <v>5162</v>
      </c>
      <c r="C171" s="29">
        <v>133</v>
      </c>
      <c r="D171" s="138">
        <v>1014976247</v>
      </c>
      <c r="E171" s="139" t="str">
        <f>IF(D171&gt;0,VLOOKUP(D171,'PLANTA PERNO'!A:D,4,0)&amp;" "&amp;VLOOKUP(D171,'PLANTA PERNO'!A:D,2,0)&amp;" "&amp;VLOOKUP(D171,'PLANTA PERNO'!A:D,3,0),IF(N171="","VACANTE DEFINITIVA","VACANTE TEMPORAL"))</f>
        <v>JUAN ANDRES GUERRERO RAMOS</v>
      </c>
      <c r="F171" s="140" t="s">
        <v>24</v>
      </c>
      <c r="G171" s="20" t="str">
        <f t="shared" si="0"/>
        <v>EN PROVISIONALIDAD</v>
      </c>
      <c r="H171" s="33">
        <f t="shared" si="47"/>
        <v>46275</v>
      </c>
      <c r="I171" s="33">
        <f t="shared" si="48"/>
        <v>46275</v>
      </c>
      <c r="J171" s="31" t="str">
        <f t="shared" si="49"/>
        <v>MUJER</v>
      </c>
      <c r="K171" s="21">
        <f t="shared" ca="1" si="50"/>
        <v>22</v>
      </c>
      <c r="L171" s="87" t="str">
        <f t="shared" si="39"/>
        <v>PROVISIONALIDAD</v>
      </c>
      <c r="M171" s="21" t="str">
        <f t="shared" si="18"/>
        <v>EN ENCARGO</v>
      </c>
      <c r="N171" s="21">
        <v>22446641</v>
      </c>
      <c r="O171" s="18" t="str">
        <f>IF(N171="","VACANTE DEFINITIVA",(VLOOKUP(N171,'PLANTA PERNO'!A:D,4,0)&amp;" "&amp;VLOOKUP(N171,'PLANTA PERNO'!A:D,2,0)&amp;" "&amp;VLOOKUP(N171,'PLANTA PERNO'!A:D,3,0)))</f>
        <v>ROSA ISABEL SIERRA LABORDE</v>
      </c>
      <c r="P171" s="21" t="s">
        <v>2365</v>
      </c>
      <c r="Q171" s="21">
        <v>3</v>
      </c>
      <c r="R171" s="21" t="s">
        <v>166</v>
      </c>
      <c r="S171" s="21"/>
      <c r="T171" s="21"/>
      <c r="U171" s="21"/>
      <c r="V171" s="38"/>
      <c r="W171" s="21" t="str">
        <f t="shared" si="7"/>
        <v>OCUPADO</v>
      </c>
      <c r="X171" s="23" t="s">
        <v>124</v>
      </c>
      <c r="Y171" s="90" t="s">
        <v>124</v>
      </c>
      <c r="Z171" s="25">
        <v>314</v>
      </c>
      <c r="AA171" s="27">
        <v>15</v>
      </c>
      <c r="AB171" s="28" t="str">
        <f t="shared" si="42"/>
        <v>314-15</v>
      </c>
      <c r="AC171" s="24" t="s">
        <v>33</v>
      </c>
      <c r="AD171" s="24" t="s">
        <v>33</v>
      </c>
      <c r="AE171" s="24" t="s">
        <v>126</v>
      </c>
      <c r="AF171" s="24" t="s">
        <v>127</v>
      </c>
      <c r="AG171" s="24" t="s">
        <v>128</v>
      </c>
      <c r="AH171" s="24" t="s">
        <v>130</v>
      </c>
      <c r="AI171" s="93">
        <f t="shared" si="9"/>
        <v>4226650</v>
      </c>
      <c r="AJ171" s="93">
        <v>0</v>
      </c>
      <c r="AK171" s="93">
        <f t="shared" si="40"/>
        <v>0</v>
      </c>
      <c r="AL171" s="93">
        <f>IFERROR(INT(($AI171*(VLOOKUP($D171,'PORCENTAJES FACTORES'!B:N,12,0))/100)),0)</f>
        <v>0</v>
      </c>
      <c r="AM171" s="93">
        <f t="shared" si="41"/>
        <v>0</v>
      </c>
      <c r="AN171" s="93">
        <f t="shared" si="13"/>
        <v>0</v>
      </c>
      <c r="AO171" s="93">
        <f t="shared" si="14"/>
        <v>0</v>
      </c>
      <c r="AP171" s="95">
        <f t="shared" si="32"/>
        <v>4226650</v>
      </c>
      <c r="AQ171" s="96"/>
      <c r="AR171" s="97" t="s">
        <v>1748</v>
      </c>
      <c r="AS171" s="58"/>
      <c r="AT171" s="58"/>
      <c r="AU171" s="58"/>
      <c r="AV171" s="98">
        <f t="shared" si="16"/>
        <v>22446641</v>
      </c>
      <c r="AW171" s="58"/>
      <c r="AX171" s="58"/>
      <c r="AY171" s="58"/>
      <c r="AZ171" s="58"/>
      <c r="BA171" s="48"/>
      <c r="BB171" s="48"/>
      <c r="BC171" s="48"/>
      <c r="BD171" s="48"/>
      <c r="BE171" s="48"/>
      <c r="BF171" s="48"/>
      <c r="BG171" s="48"/>
      <c r="BH171" s="48"/>
      <c r="BI171" s="48"/>
      <c r="BJ171" s="48"/>
      <c r="BK171" s="48"/>
      <c r="BL171" s="48"/>
      <c r="BM171" s="48"/>
      <c r="BN171" s="48"/>
      <c r="BO171" s="48"/>
      <c r="BP171" s="48"/>
      <c r="BQ171" s="48"/>
    </row>
    <row r="172" spans="1:69" ht="12.75" customHeight="1">
      <c r="A172" s="85">
        <v>168</v>
      </c>
      <c r="B172" s="86">
        <v>5165</v>
      </c>
      <c r="C172" s="29">
        <v>134</v>
      </c>
      <c r="D172" s="14">
        <v>1010176886</v>
      </c>
      <c r="E172" s="18" t="str">
        <f>IF(D172&gt;0,VLOOKUP(D172,'PLANTA PERNO'!A:D,4,0)&amp;" "&amp;VLOOKUP(D172,'PLANTA PERNO'!A:D,2,0)&amp;" "&amp;VLOOKUP(D172,'PLANTA PERNO'!A:D,3,0),IF(N172="","VACANTE DEFINITIVA","VACANTE TEMPORAL"))</f>
        <v>JOAN SEBASTIAN FLECHAS ALONSO</v>
      </c>
      <c r="F172" s="20" t="s">
        <v>49</v>
      </c>
      <c r="G172" s="20" t="str">
        <f t="shared" si="0"/>
        <v>CARRERA ADMINISTRATIVA</v>
      </c>
      <c r="H172" s="33">
        <f t="shared" si="47"/>
        <v>44144</v>
      </c>
      <c r="I172" s="33">
        <f t="shared" si="48"/>
        <v>44144</v>
      </c>
      <c r="J172" s="31" t="str">
        <f t="shared" si="49"/>
        <v>HOMBRE</v>
      </c>
      <c r="K172" s="21">
        <f t="shared" ca="1" si="50"/>
        <v>38</v>
      </c>
      <c r="L172" s="87" t="str">
        <f t="shared" si="39"/>
        <v/>
      </c>
      <c r="M172" s="21" t="str">
        <f t="shared" si="18"/>
        <v>EN PROPIEDAD</v>
      </c>
      <c r="N172" s="21">
        <v>1010176886</v>
      </c>
      <c r="O172" s="18" t="str">
        <f>IF(N172="","VACANTE DEFINITIVA",(VLOOKUP(N172,'PLANTA PERNO'!A:D,4,0)&amp;" "&amp;VLOOKUP(N172,'PLANTA PERNO'!A:D,2,0)&amp;" "&amp;VLOOKUP(N172,'PLANTA PERNO'!A:D,3,0)))</f>
        <v>JOAN SEBASTIAN FLECHAS ALONSO</v>
      </c>
      <c r="P172" s="21"/>
      <c r="Q172" s="21"/>
      <c r="R172" s="21"/>
      <c r="S172" s="21"/>
      <c r="T172" s="21"/>
      <c r="U172" s="21"/>
      <c r="V172" s="38"/>
      <c r="W172" s="21" t="str">
        <f t="shared" si="7"/>
        <v>OCUPADO</v>
      </c>
      <c r="X172" s="23" t="s">
        <v>124</v>
      </c>
      <c r="Y172" s="90" t="s">
        <v>124</v>
      </c>
      <c r="Z172" s="25">
        <v>314</v>
      </c>
      <c r="AA172" s="27">
        <v>15</v>
      </c>
      <c r="AB172" s="28" t="str">
        <f t="shared" si="42"/>
        <v>314-15</v>
      </c>
      <c r="AC172" s="24" t="s">
        <v>33</v>
      </c>
      <c r="AD172" s="24" t="s">
        <v>33</v>
      </c>
      <c r="AE172" s="24" t="s">
        <v>126</v>
      </c>
      <c r="AF172" s="24" t="s">
        <v>127</v>
      </c>
      <c r="AG172" s="24" t="s">
        <v>128</v>
      </c>
      <c r="AH172" s="24" t="s">
        <v>130</v>
      </c>
      <c r="AI172" s="93">
        <f t="shared" si="9"/>
        <v>4226650</v>
      </c>
      <c r="AJ172" s="93">
        <v>0</v>
      </c>
      <c r="AK172" s="93">
        <f t="shared" si="40"/>
        <v>126799</v>
      </c>
      <c r="AL172" s="93">
        <f>IFERROR(INT(($AI172*(VLOOKUP($D172,'PORCENTAJES FACTORES'!B:N,12,0))/100)),0)</f>
        <v>0</v>
      </c>
      <c r="AM172" s="93">
        <f t="shared" si="41"/>
        <v>0</v>
      </c>
      <c r="AN172" s="93">
        <f t="shared" si="13"/>
        <v>0</v>
      </c>
      <c r="AO172" s="93">
        <f t="shared" si="14"/>
        <v>0</v>
      </c>
      <c r="AP172" s="95">
        <f t="shared" si="32"/>
        <v>4353449</v>
      </c>
      <c r="AQ172" s="96"/>
      <c r="AR172" s="97" t="s">
        <v>1748</v>
      </c>
      <c r="AS172" s="58"/>
      <c r="AT172" s="58"/>
      <c r="AU172" s="58"/>
      <c r="AV172" s="98">
        <f t="shared" si="16"/>
        <v>1010176886</v>
      </c>
      <c r="AW172" s="58"/>
      <c r="AX172" s="58"/>
      <c r="AY172" s="58"/>
      <c r="AZ172" s="58"/>
      <c r="BA172" s="48"/>
      <c r="BB172" s="48"/>
      <c r="BC172" s="48"/>
      <c r="BD172" s="48"/>
      <c r="BE172" s="48"/>
      <c r="BF172" s="48"/>
      <c r="BG172" s="48"/>
      <c r="BH172" s="48"/>
      <c r="BI172" s="48"/>
      <c r="BJ172" s="48"/>
      <c r="BK172" s="48"/>
      <c r="BL172" s="48"/>
      <c r="BM172" s="48"/>
      <c r="BN172" s="48"/>
      <c r="BO172" s="48"/>
      <c r="BP172" s="48"/>
      <c r="BQ172" s="48"/>
    </row>
    <row r="173" spans="1:69" ht="12.75" customHeight="1">
      <c r="A173" s="85">
        <v>169</v>
      </c>
      <c r="B173" s="86">
        <v>5166</v>
      </c>
      <c r="C173" s="29">
        <v>135</v>
      </c>
      <c r="D173" s="14">
        <v>1024566898</v>
      </c>
      <c r="E173" s="18" t="str">
        <f>IF(D173&gt;0,VLOOKUP(D173,'PLANTA PERNO'!A:D,4,0)&amp;" "&amp;VLOOKUP(D173,'PLANTA PERNO'!A:D,2,0)&amp;" "&amp;VLOOKUP(D173,'PLANTA PERNO'!A:D,3,0),IF(N173="","VACANTE DEFINITIVA","VACANTE TEMPORAL"))</f>
        <v>ALVARO FELIPE ALEJO CASTIBLANCO</v>
      </c>
      <c r="F173" s="20" t="s">
        <v>24</v>
      </c>
      <c r="G173" s="20" t="str">
        <f t="shared" si="0"/>
        <v>EN PROVISIONALIDAD</v>
      </c>
      <c r="H173" s="33">
        <f t="shared" si="47"/>
        <v>44820</v>
      </c>
      <c r="I173" s="33">
        <f t="shared" si="48"/>
        <v>44820</v>
      </c>
      <c r="J173" s="31" t="str">
        <f t="shared" si="49"/>
        <v>HOMBRE</v>
      </c>
      <c r="K173" s="21">
        <f t="shared" ca="1" si="50"/>
        <v>30</v>
      </c>
      <c r="L173" s="87" t="str">
        <f t="shared" si="39"/>
        <v>PROVISIONALIDAD</v>
      </c>
      <c r="M173" s="21" t="str">
        <f t="shared" si="18"/>
        <v>VACANTE DEFINITIVA</v>
      </c>
      <c r="N173" s="21" t="s">
        <v>25</v>
      </c>
      <c r="O173" s="18" t="str">
        <f>IF(N173="","VACANTE DEFINITIVA",(VLOOKUP(N173,'PLANTA PERNO'!A:D,4,0)&amp;" "&amp;VLOOKUP(N173,'PLANTA PERNO'!A:D,2,0)&amp;" "&amp;VLOOKUP(N173,'PLANTA PERNO'!A:D,3,0)))</f>
        <v>VACANTE DEFINITIVA</v>
      </c>
      <c r="P173" s="21"/>
      <c r="Q173" s="21"/>
      <c r="R173" s="21" t="s">
        <v>166</v>
      </c>
      <c r="S173" s="21"/>
      <c r="T173" s="21"/>
      <c r="U173" s="21"/>
      <c r="V173" s="38"/>
      <c r="W173" s="21" t="str">
        <f t="shared" si="7"/>
        <v>OCUPADO</v>
      </c>
      <c r="X173" s="23" t="s">
        <v>124</v>
      </c>
      <c r="Y173" s="90" t="s">
        <v>124</v>
      </c>
      <c r="Z173" s="25">
        <v>314</v>
      </c>
      <c r="AA173" s="27">
        <v>9</v>
      </c>
      <c r="AB173" s="28" t="str">
        <f t="shared" si="42"/>
        <v>314-9</v>
      </c>
      <c r="AC173" s="24" t="s">
        <v>153</v>
      </c>
      <c r="AD173" s="24" t="s">
        <v>153</v>
      </c>
      <c r="AE173" s="24" t="s">
        <v>2460</v>
      </c>
      <c r="AF173" s="24" t="s">
        <v>2461</v>
      </c>
      <c r="AG173" s="24" t="s">
        <v>2462</v>
      </c>
      <c r="AH173" s="24" t="s">
        <v>2463</v>
      </c>
      <c r="AI173" s="93">
        <f t="shared" si="9"/>
        <v>3687785</v>
      </c>
      <c r="AJ173" s="93">
        <v>0</v>
      </c>
      <c r="AK173" s="93">
        <f t="shared" si="40"/>
        <v>0</v>
      </c>
      <c r="AL173" s="93">
        <f>IFERROR(INT(($AI173*(VLOOKUP($D173,'PORCENTAJES FACTORES'!B:N,12,0))/100)),0)</f>
        <v>0</v>
      </c>
      <c r="AM173" s="93">
        <f t="shared" si="41"/>
        <v>0</v>
      </c>
      <c r="AN173" s="93">
        <f t="shared" si="13"/>
        <v>0</v>
      </c>
      <c r="AO173" s="93">
        <f t="shared" si="14"/>
        <v>0</v>
      </c>
      <c r="AP173" s="95">
        <f t="shared" si="32"/>
        <v>3687785</v>
      </c>
      <c r="AQ173" s="96"/>
      <c r="AR173" s="97" t="s">
        <v>1611</v>
      </c>
      <c r="AS173" s="58"/>
      <c r="AT173" s="58"/>
      <c r="AU173" s="58"/>
      <c r="AV173" s="98" t="e">
        <f t="shared" si="16"/>
        <v>#N/A</v>
      </c>
      <c r="AW173" s="58"/>
      <c r="AX173" s="58"/>
      <c r="AY173" s="58"/>
      <c r="AZ173" s="58"/>
      <c r="BA173" s="48"/>
      <c r="BB173" s="48"/>
      <c r="BC173" s="48"/>
      <c r="BD173" s="48"/>
      <c r="BE173" s="48"/>
      <c r="BF173" s="48"/>
      <c r="BG173" s="48"/>
      <c r="BH173" s="48"/>
      <c r="BI173" s="48"/>
      <c r="BJ173" s="48"/>
      <c r="BK173" s="48"/>
      <c r="BL173" s="48"/>
      <c r="BM173" s="48"/>
      <c r="BN173" s="48"/>
      <c r="BO173" s="48"/>
      <c r="BP173" s="48"/>
      <c r="BQ173" s="48"/>
    </row>
    <row r="174" spans="1:69" ht="12.75" customHeight="1">
      <c r="A174" s="85">
        <v>170</v>
      </c>
      <c r="B174" s="86">
        <v>5167</v>
      </c>
      <c r="C174" s="29">
        <v>136</v>
      </c>
      <c r="D174" s="14">
        <v>1030597508</v>
      </c>
      <c r="E174" s="18" t="str">
        <f>IF(D174&gt;0,VLOOKUP(D174,'PLANTA PERNO'!A:D,4,0)&amp;" "&amp;VLOOKUP(D174,'PLANTA PERNO'!A:D,2,0)&amp;" "&amp;VLOOKUP(D174,'PLANTA PERNO'!A:D,3,0),IF(N174="","VACANTE DEFINITIVA","VACANTE TEMPORAL"))</f>
        <v>DORA RAQUEL BARRERA PALACIO</v>
      </c>
      <c r="F174" s="20" t="s">
        <v>24</v>
      </c>
      <c r="G174" s="20" t="str">
        <f t="shared" si="0"/>
        <v>EN PROVISIONALIDAD</v>
      </c>
      <c r="H174" s="33">
        <f t="shared" si="47"/>
        <v>45848</v>
      </c>
      <c r="I174" s="33">
        <f t="shared" si="48"/>
        <v>45848</v>
      </c>
      <c r="J174" s="31" t="str">
        <f t="shared" si="49"/>
        <v>MUJER</v>
      </c>
      <c r="K174" s="21">
        <f t="shared" ca="1" si="50"/>
        <v>35</v>
      </c>
      <c r="L174" s="87" t="str">
        <f t="shared" si="39"/>
        <v>PROVISIONALIDAD</v>
      </c>
      <c r="M174" s="21" t="str">
        <f t="shared" si="18"/>
        <v>EN ENCARGO</v>
      </c>
      <c r="N174" s="21">
        <v>28488940</v>
      </c>
      <c r="O174" s="18" t="str">
        <f>IF(N174="","VACANTE DEFINITIVA",(VLOOKUP(N174,'PLANTA PERNO'!A:D,4,0)&amp;" "&amp;VLOOKUP(N174,'PLANTA PERNO'!A:D,2,0)&amp;" "&amp;VLOOKUP(N174,'PLANTA PERNO'!A:D,3,0)))</f>
        <v>CAROLINA ANAYA SARMIENTO</v>
      </c>
      <c r="P174" s="21" t="s">
        <v>2419</v>
      </c>
      <c r="Q174" s="21">
        <v>2</v>
      </c>
      <c r="R174" s="21" t="s">
        <v>166</v>
      </c>
      <c r="S174" s="21"/>
      <c r="T174" s="21"/>
      <c r="U174" s="21"/>
      <c r="V174" s="38"/>
      <c r="W174" s="21" t="str">
        <f t="shared" si="7"/>
        <v>OCUPADO</v>
      </c>
      <c r="X174" s="23" t="s">
        <v>124</v>
      </c>
      <c r="Y174" s="90" t="s">
        <v>124</v>
      </c>
      <c r="Z174" s="25">
        <v>314</v>
      </c>
      <c r="AA174" s="27">
        <v>9</v>
      </c>
      <c r="AB174" s="28" t="str">
        <f t="shared" si="42"/>
        <v>314-9</v>
      </c>
      <c r="AC174" s="24" t="s">
        <v>147</v>
      </c>
      <c r="AD174" s="24" t="s">
        <v>213</v>
      </c>
      <c r="AE174" s="24" t="s">
        <v>2464</v>
      </c>
      <c r="AF174" s="24" t="s">
        <v>2465</v>
      </c>
      <c r="AG174" s="24" t="s">
        <v>2466</v>
      </c>
      <c r="AH174" s="24" t="s">
        <v>2467</v>
      </c>
      <c r="AI174" s="93">
        <f t="shared" si="9"/>
        <v>3687785</v>
      </c>
      <c r="AJ174" s="93">
        <v>0</v>
      </c>
      <c r="AK174" s="93">
        <f t="shared" si="40"/>
        <v>0</v>
      </c>
      <c r="AL174" s="93">
        <f>IFERROR(INT(($AI174*(VLOOKUP($D174,'PORCENTAJES FACTORES'!B:N,12,0))/100)),0)</f>
        <v>0</v>
      </c>
      <c r="AM174" s="93">
        <f t="shared" si="41"/>
        <v>73755</v>
      </c>
      <c r="AN174" s="93">
        <f t="shared" si="13"/>
        <v>0</v>
      </c>
      <c r="AO174" s="93">
        <f t="shared" si="14"/>
        <v>0</v>
      </c>
      <c r="AP174" s="95">
        <f t="shared" si="32"/>
        <v>3761540</v>
      </c>
      <c r="AQ174" s="96" t="s">
        <v>2487</v>
      </c>
      <c r="AR174" s="97" t="s">
        <v>1611</v>
      </c>
      <c r="AS174" s="58"/>
      <c r="AT174" s="58"/>
      <c r="AU174" s="58"/>
      <c r="AV174" s="98">
        <f t="shared" si="16"/>
        <v>28488940</v>
      </c>
      <c r="AW174" s="58"/>
      <c r="AX174" s="58"/>
      <c r="AY174" s="58"/>
      <c r="AZ174" s="58"/>
      <c r="BA174" s="48"/>
      <c r="BB174" s="48"/>
      <c r="BC174" s="48"/>
      <c r="BD174" s="48"/>
      <c r="BE174" s="48"/>
      <c r="BF174" s="48"/>
      <c r="BG174" s="48"/>
      <c r="BH174" s="48"/>
      <c r="BI174" s="48"/>
      <c r="BJ174" s="48"/>
      <c r="BK174" s="48"/>
      <c r="BL174" s="48"/>
      <c r="BM174" s="48"/>
      <c r="BN174" s="48"/>
      <c r="BO174" s="48"/>
      <c r="BP174" s="48"/>
      <c r="BQ174" s="48"/>
    </row>
    <row r="175" spans="1:69" ht="25.5" customHeight="1">
      <c r="A175" s="214"/>
      <c r="B175" s="215"/>
      <c r="C175" s="216"/>
      <c r="D175" s="217"/>
      <c r="E175" s="218"/>
      <c r="F175" s="219"/>
      <c r="G175" s="219"/>
      <c r="H175" s="220"/>
      <c r="I175" s="220"/>
      <c r="J175" s="221"/>
      <c r="K175" s="222"/>
      <c r="L175" s="222"/>
      <c r="M175" s="222"/>
      <c r="N175" s="222"/>
      <c r="O175" s="218"/>
      <c r="P175" s="222"/>
      <c r="Q175" s="222"/>
      <c r="R175" s="222"/>
      <c r="S175" s="222"/>
      <c r="T175" s="222"/>
      <c r="U175" s="222"/>
      <c r="V175" s="223"/>
      <c r="W175" s="222"/>
      <c r="X175" s="224"/>
      <c r="Y175" s="225"/>
      <c r="Z175" s="226"/>
      <c r="AA175" s="227"/>
      <c r="AB175" s="228"/>
      <c r="AC175" s="225"/>
      <c r="AD175" s="225"/>
      <c r="AE175" s="225"/>
      <c r="AF175" s="225"/>
      <c r="AG175" s="225"/>
      <c r="AH175" s="225"/>
      <c r="AI175" s="46"/>
      <c r="AJ175" s="46"/>
      <c r="AK175" s="46"/>
      <c r="AL175" s="46">
        <f>AI96*1.43</f>
        <v>9389993.4699999988</v>
      </c>
      <c r="AM175" s="46">
        <f>AL175*16.76</f>
        <v>157376290.55719998</v>
      </c>
      <c r="AN175" s="46"/>
      <c r="AO175" s="46">
        <f>AM175/12</f>
        <v>13114690.879766665</v>
      </c>
      <c r="AP175" s="229">
        <v>3800000</v>
      </c>
      <c r="AQ175" s="229">
        <f>20000000/12</f>
        <v>1666666.6666666667</v>
      </c>
      <c r="AR175" s="229">
        <f>AO175+AP175+AQ175</f>
        <v>18581357.546433333</v>
      </c>
      <c r="AS175" s="230"/>
      <c r="AT175" s="230"/>
      <c r="AU175" s="230"/>
      <c r="AV175" s="231"/>
      <c r="AW175" s="230"/>
      <c r="AX175" s="230"/>
      <c r="AY175" s="230"/>
      <c r="AZ175" s="230"/>
      <c r="BA175" s="232"/>
      <c r="BB175" s="232"/>
      <c r="BC175" s="232"/>
      <c r="BD175" s="232"/>
      <c r="BE175" s="232"/>
      <c r="BF175" s="232"/>
      <c r="BG175" s="232"/>
      <c r="BH175" s="232"/>
      <c r="BI175" s="232"/>
      <c r="BJ175" s="232"/>
      <c r="BK175" s="232"/>
      <c r="BL175" s="232"/>
      <c r="BM175" s="232"/>
      <c r="BN175" s="232"/>
      <c r="BO175" s="232"/>
      <c r="BP175" s="232"/>
      <c r="BQ175" s="232"/>
    </row>
    <row r="176" spans="1:69" ht="15.75" customHeight="1">
      <c r="A176" s="2"/>
      <c r="B176" s="2"/>
      <c r="C176" s="2"/>
      <c r="D176" s="46"/>
      <c r="E176" s="233"/>
      <c r="F176" s="234"/>
      <c r="G176" s="234"/>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46"/>
      <c r="AI176" s="46">
        <f>AI161*1.07</f>
        <v>5124523.1800000006</v>
      </c>
      <c r="AJ176" s="46"/>
      <c r="AK176" s="235" t="s">
        <v>2009</v>
      </c>
      <c r="AL176" s="235" t="s">
        <v>148</v>
      </c>
      <c r="AM176" s="46">
        <v>158000000</v>
      </c>
      <c r="AN176" s="46">
        <f>AM176*1.07</f>
        <v>169060000</v>
      </c>
      <c r="AO176" s="46">
        <f>AN176/12</f>
        <v>14088333.333333334</v>
      </c>
      <c r="AP176" s="46"/>
      <c r="AQ176" s="46"/>
      <c r="AR176" s="46">
        <f>AO176</f>
        <v>14088333.333333334</v>
      </c>
      <c r="AS176" s="229"/>
      <c r="AT176" s="46"/>
      <c r="AU176" s="46"/>
      <c r="AV176" s="231"/>
      <c r="AW176" s="232"/>
      <c r="AX176" s="232"/>
      <c r="AY176" s="232"/>
      <c r="AZ176" s="232"/>
      <c r="BA176" s="232"/>
      <c r="BB176" s="232"/>
      <c r="BC176" s="232"/>
      <c r="BD176" s="232"/>
      <c r="BE176" s="232"/>
      <c r="BF176" s="232"/>
      <c r="BG176" s="232"/>
      <c r="BH176" s="232"/>
      <c r="BI176" s="232"/>
      <c r="BJ176" s="232"/>
      <c r="BK176" s="232"/>
      <c r="BL176" s="232"/>
      <c r="BM176" s="232"/>
      <c r="BN176" s="232"/>
      <c r="BO176" s="232"/>
      <c r="BP176" s="232"/>
      <c r="BQ176" s="232"/>
    </row>
    <row r="177" spans="1:69" ht="15.75" customHeight="1">
      <c r="A177" s="2"/>
      <c r="B177" s="2"/>
      <c r="C177" s="2"/>
      <c r="D177" s="46"/>
      <c r="E177" s="233"/>
      <c r="F177" s="234"/>
      <c r="G177" s="234"/>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46"/>
      <c r="AI177" s="46">
        <f>AI176*12</f>
        <v>61494278.160000011</v>
      </c>
      <c r="AJ177" s="46"/>
      <c r="AK177" s="93" t="s">
        <v>2468</v>
      </c>
      <c r="AL177" s="236">
        <v>6877240</v>
      </c>
      <c r="AM177" s="46"/>
      <c r="AN177" s="46"/>
      <c r="AO177" s="46"/>
      <c r="AP177" s="46"/>
      <c r="AQ177" s="46"/>
      <c r="AR177" s="46"/>
      <c r="AS177" s="46"/>
      <c r="AT177" s="46"/>
      <c r="AU177" s="46"/>
      <c r="AV177" s="231"/>
      <c r="AW177" s="232"/>
      <c r="AX177" s="232"/>
      <c r="AY177" s="232"/>
      <c r="AZ177" s="232"/>
      <c r="BA177" s="232"/>
      <c r="BB177" s="232"/>
      <c r="BC177" s="232"/>
      <c r="BD177" s="232"/>
      <c r="BE177" s="232"/>
      <c r="BF177" s="232"/>
      <c r="BG177" s="232"/>
      <c r="BH177" s="232"/>
      <c r="BI177" s="232"/>
      <c r="BJ177" s="232"/>
      <c r="BK177" s="232"/>
      <c r="BL177" s="232"/>
      <c r="BM177" s="232"/>
      <c r="BN177" s="232"/>
      <c r="BO177" s="232"/>
      <c r="BP177" s="232"/>
      <c r="BQ177" s="232"/>
    </row>
    <row r="178" spans="1:69" ht="15.75" customHeight="1">
      <c r="A178" s="2"/>
      <c r="B178" s="2"/>
      <c r="C178" s="2"/>
      <c r="D178" s="46"/>
      <c r="E178" s="233"/>
      <c r="F178" s="237"/>
      <c r="G178" s="234"/>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46"/>
      <c r="AI178" s="46">
        <f>AI177*18%</f>
        <v>11068970.068800002</v>
      </c>
      <c r="AJ178" s="46"/>
      <c r="AK178" s="93" t="s">
        <v>610</v>
      </c>
      <c r="AL178" s="236">
        <v>2750896</v>
      </c>
      <c r="AN178" s="46"/>
      <c r="AO178" s="46"/>
      <c r="AP178" s="46"/>
      <c r="AQ178" s="46"/>
      <c r="AR178" s="46">
        <f t="shared" ref="AR178:AR179" si="51">AR175*12</f>
        <v>222976290.55720001</v>
      </c>
      <c r="AS178" s="46"/>
      <c r="AT178" s="46"/>
      <c r="AU178" s="46"/>
      <c r="AV178" s="231"/>
      <c r="AW178" s="232"/>
      <c r="AX178" s="232"/>
      <c r="AY178" s="232"/>
      <c r="AZ178" s="232"/>
      <c r="BA178" s="232"/>
      <c r="BB178" s="232"/>
      <c r="BC178" s="232"/>
      <c r="BD178" s="232"/>
      <c r="BE178" s="232"/>
      <c r="BF178" s="232"/>
      <c r="BG178" s="232"/>
      <c r="BH178" s="232"/>
      <c r="BI178" s="232"/>
      <c r="BJ178" s="232"/>
      <c r="BK178" s="232"/>
      <c r="BL178" s="232"/>
      <c r="BM178" s="232"/>
      <c r="BN178" s="232"/>
      <c r="BO178" s="232"/>
      <c r="BP178" s="232"/>
      <c r="BQ178" s="232"/>
    </row>
    <row r="179" spans="1:69" ht="15.75" customHeight="1">
      <c r="A179" s="2"/>
      <c r="B179" s="2"/>
      <c r="C179" s="2"/>
      <c r="D179" s="46"/>
      <c r="E179" s="233"/>
      <c r="F179" s="237"/>
      <c r="G179" s="234"/>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f>AI22*1.07</f>
        <v>3945929.95</v>
      </c>
      <c r="AJ179" s="2"/>
      <c r="AK179" s="238" t="s">
        <v>2469</v>
      </c>
      <c r="AL179" s="239">
        <f>SUBTOTAL(9,AL177:AL178)</f>
        <v>9628136</v>
      </c>
      <c r="AM179" s="46"/>
      <c r="AN179" s="46"/>
      <c r="AO179" s="46"/>
      <c r="AP179" s="46"/>
      <c r="AQ179" s="46"/>
      <c r="AR179" s="46">
        <f t="shared" si="51"/>
        <v>169060000</v>
      </c>
      <c r="AS179" s="46"/>
      <c r="AT179" s="46"/>
      <c r="AU179" s="46"/>
      <c r="AV179" s="231"/>
      <c r="AW179" s="232"/>
      <c r="AX179" s="232"/>
      <c r="AY179" s="232"/>
      <c r="AZ179" s="232"/>
      <c r="BA179" s="232"/>
      <c r="BB179" s="232"/>
      <c r="BC179" s="232"/>
      <c r="BD179" s="232"/>
      <c r="BE179" s="232"/>
      <c r="BF179" s="232"/>
      <c r="BG179" s="232"/>
      <c r="BH179" s="232"/>
      <c r="BI179" s="232"/>
      <c r="BJ179" s="232"/>
      <c r="BK179" s="232"/>
      <c r="BL179" s="232"/>
      <c r="BM179" s="232"/>
      <c r="BN179" s="232"/>
      <c r="BO179" s="232"/>
      <c r="BP179" s="232"/>
      <c r="BQ179" s="232"/>
    </row>
    <row r="180" spans="1:69" ht="15.75" customHeight="1">
      <c r="A180" s="2"/>
      <c r="B180" s="2"/>
      <c r="C180" s="2"/>
      <c r="D180" s="46"/>
      <c r="E180" s="233"/>
      <c r="F180" s="237"/>
      <c r="G180" s="234"/>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46">
        <f>AI179*12</f>
        <v>47351159.400000006</v>
      </c>
      <c r="AJ180" s="46"/>
      <c r="AK180" s="2"/>
      <c r="AL180" s="240"/>
      <c r="AM180" s="46"/>
      <c r="AN180" s="46"/>
      <c r="AO180" s="46"/>
      <c r="AP180" s="46"/>
      <c r="AQ180" s="46"/>
      <c r="AR180" s="229">
        <f>AR178+AR179</f>
        <v>392036290.55720001</v>
      </c>
      <c r="AS180" s="46">
        <f>AR180/12</f>
        <v>32669690.879766669</v>
      </c>
      <c r="AT180" s="46"/>
      <c r="AU180" s="46"/>
      <c r="AV180" s="231"/>
      <c r="AW180" s="232"/>
      <c r="AX180" s="232"/>
      <c r="AY180" s="232"/>
      <c r="AZ180" s="232"/>
      <c r="BA180" s="232"/>
      <c r="BB180" s="232"/>
      <c r="BC180" s="232"/>
      <c r="BD180" s="232"/>
      <c r="BE180" s="232"/>
      <c r="BF180" s="232"/>
      <c r="BG180" s="232"/>
      <c r="BH180" s="232"/>
      <c r="BI180" s="232"/>
      <c r="BJ180" s="232"/>
      <c r="BK180" s="232"/>
      <c r="BL180" s="232"/>
      <c r="BM180" s="232"/>
      <c r="BN180" s="232"/>
      <c r="BO180" s="232"/>
      <c r="BP180" s="232"/>
      <c r="BQ180" s="232"/>
    </row>
    <row r="181" spans="1:69" ht="15.75" customHeight="1">
      <c r="A181" s="2"/>
      <c r="B181" s="2"/>
      <c r="C181" s="2"/>
      <c r="D181" s="46"/>
      <c r="E181" s="233"/>
      <c r="F181" s="237"/>
      <c r="G181" s="234"/>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46">
        <f>AI180*18%</f>
        <v>8523208.6920000017</v>
      </c>
      <c r="AJ181" s="46"/>
      <c r="AK181" s="2"/>
      <c r="AL181" s="240"/>
      <c r="AM181" s="46"/>
      <c r="AN181" s="46"/>
      <c r="AO181" s="46"/>
      <c r="AP181" s="46"/>
      <c r="AQ181" s="46"/>
      <c r="AR181" s="46"/>
      <c r="AS181" s="46"/>
      <c r="AT181" s="46"/>
      <c r="AU181" s="46"/>
      <c r="AV181" s="231"/>
      <c r="AW181" s="232"/>
      <c r="AX181" s="232"/>
      <c r="AY181" s="232"/>
      <c r="AZ181" s="232"/>
      <c r="BA181" s="232"/>
      <c r="BB181" s="232"/>
      <c r="BC181" s="232"/>
      <c r="BD181" s="232"/>
      <c r="BE181" s="232"/>
      <c r="BF181" s="232"/>
      <c r="BG181" s="232"/>
      <c r="BH181" s="232"/>
      <c r="BI181" s="232"/>
      <c r="BJ181" s="232"/>
      <c r="BK181" s="232"/>
      <c r="BL181" s="232"/>
      <c r="BM181" s="232"/>
      <c r="BN181" s="232"/>
      <c r="BO181" s="232"/>
      <c r="BP181" s="232"/>
      <c r="BQ181" s="232"/>
    </row>
    <row r="182" spans="1:69" ht="15.75" customHeight="1">
      <c r="A182" s="46"/>
      <c r="B182" s="46"/>
      <c r="C182" s="46"/>
      <c r="D182" s="241" t="s">
        <v>2470</v>
      </c>
      <c r="E182" s="242"/>
      <c r="F182" s="237"/>
      <c r="G182" s="237"/>
      <c r="H182" s="46"/>
      <c r="I182" s="46"/>
      <c r="J182" s="46"/>
      <c r="K182" s="46"/>
      <c r="L182" s="46"/>
      <c r="M182" s="46"/>
      <c r="N182" s="46"/>
      <c r="O182" s="46"/>
      <c r="P182" s="46"/>
      <c r="Q182" s="46"/>
      <c r="R182" s="46"/>
      <c r="S182" s="46"/>
      <c r="T182" s="46"/>
      <c r="U182" s="46"/>
      <c r="V182" s="46"/>
      <c r="W182" s="46"/>
      <c r="X182" s="46"/>
      <c r="Y182" s="46"/>
      <c r="Z182" s="46"/>
      <c r="AA182" s="46"/>
      <c r="AB182" s="46"/>
      <c r="AC182" s="46"/>
      <c r="AD182" s="2"/>
      <c r="AE182" s="46"/>
      <c r="AF182" s="46"/>
      <c r="AG182" s="46"/>
      <c r="AH182" s="46"/>
      <c r="AI182" s="46"/>
      <c r="AJ182" s="46"/>
      <c r="AK182" s="46"/>
      <c r="AL182" s="46"/>
      <c r="AM182" s="46"/>
      <c r="AN182" s="46"/>
      <c r="AO182" s="46"/>
      <c r="AP182" s="46"/>
      <c r="AQ182" s="46"/>
      <c r="AR182" s="46"/>
      <c r="AS182" s="46"/>
      <c r="AT182" s="46"/>
      <c r="AU182" s="46"/>
      <c r="AV182" s="230"/>
      <c r="AW182" s="230"/>
      <c r="AX182" s="230"/>
      <c r="AY182" s="230"/>
      <c r="AZ182" s="230"/>
      <c r="BA182" s="230"/>
      <c r="BB182" s="230"/>
      <c r="BC182" s="230"/>
      <c r="BD182" s="230"/>
      <c r="BE182" s="230"/>
      <c r="BF182" s="230"/>
      <c r="BG182" s="230"/>
      <c r="BH182" s="230"/>
      <c r="BI182" s="230"/>
      <c r="BJ182" s="230"/>
      <c r="BK182" s="230"/>
      <c r="BL182" s="230"/>
      <c r="BM182" s="230"/>
      <c r="BN182" s="230"/>
      <c r="BO182" s="230"/>
      <c r="BP182" s="230"/>
      <c r="BQ182" s="230"/>
    </row>
    <row r="183" spans="1:69" ht="15.75" customHeight="1">
      <c r="A183" s="46"/>
      <c r="B183" s="46"/>
      <c r="C183" s="46"/>
      <c r="D183" s="243">
        <v>52557124</v>
      </c>
      <c r="E183" s="244" t="s">
        <v>2471</v>
      </c>
      <c r="F183" s="237"/>
      <c r="G183" s="237"/>
      <c r="H183" s="46"/>
      <c r="I183" s="46"/>
      <c r="J183" s="46"/>
      <c r="K183" s="46"/>
      <c r="L183" s="46"/>
      <c r="M183" s="46"/>
      <c r="N183" s="46"/>
      <c r="O183" s="46"/>
      <c r="P183" s="46"/>
      <c r="Q183" s="46"/>
      <c r="R183" s="46"/>
      <c r="S183" s="46"/>
      <c r="T183" s="46"/>
      <c r="U183" s="46"/>
      <c r="V183" s="46"/>
      <c r="W183" s="46"/>
      <c r="X183" s="46"/>
      <c r="Y183" s="46"/>
      <c r="Z183" s="46"/>
      <c r="AA183" s="46"/>
      <c r="AB183" s="46"/>
      <c r="AC183" s="46"/>
      <c r="AD183" s="2"/>
      <c r="AE183" s="46"/>
      <c r="AF183" s="46"/>
      <c r="AG183" s="46"/>
      <c r="AH183" s="46"/>
      <c r="AI183" s="46"/>
      <c r="AJ183" s="46"/>
      <c r="AK183" s="46"/>
      <c r="AL183" s="46"/>
      <c r="AM183" s="229"/>
      <c r="AN183" s="46"/>
      <c r="AO183" s="46"/>
      <c r="AP183" s="46"/>
      <c r="AQ183" s="46"/>
      <c r="AR183" s="46"/>
      <c r="AS183" s="46"/>
      <c r="AT183" s="46"/>
      <c r="AU183" s="46"/>
      <c r="AV183" s="230"/>
      <c r="AW183" s="230"/>
      <c r="AX183" s="230"/>
      <c r="AY183" s="230"/>
      <c r="AZ183" s="230"/>
      <c r="BA183" s="230"/>
      <c r="BB183" s="230"/>
      <c r="BC183" s="230"/>
      <c r="BD183" s="230"/>
      <c r="BE183" s="230"/>
      <c r="BF183" s="230"/>
      <c r="BG183" s="230"/>
      <c r="BH183" s="230"/>
      <c r="BI183" s="230"/>
      <c r="BJ183" s="230"/>
      <c r="BK183" s="230"/>
      <c r="BL183" s="230"/>
      <c r="BM183" s="230"/>
      <c r="BN183" s="230"/>
      <c r="BO183" s="230"/>
      <c r="BP183" s="230"/>
      <c r="BQ183" s="230"/>
    </row>
    <row r="184" spans="1:69" ht="15.75" customHeight="1">
      <c r="A184" s="46"/>
      <c r="B184" s="46"/>
      <c r="C184" s="46"/>
      <c r="D184" s="243">
        <v>80188856</v>
      </c>
      <c r="E184" s="244" t="s">
        <v>2472</v>
      </c>
      <c r="F184" s="237"/>
      <c r="G184" s="237"/>
      <c r="H184" s="46"/>
      <c r="I184" s="46"/>
      <c r="J184" s="46"/>
      <c r="K184" s="46"/>
      <c r="L184" s="46"/>
      <c r="M184" s="46"/>
      <c r="N184" s="46"/>
      <c r="O184" s="46"/>
      <c r="P184" s="46"/>
      <c r="Q184" s="46"/>
      <c r="R184" s="46"/>
      <c r="S184" s="46"/>
      <c r="T184" s="46"/>
      <c r="U184" s="46"/>
      <c r="V184" s="46"/>
      <c r="W184" s="46"/>
      <c r="X184" s="46"/>
      <c r="Y184" s="46"/>
      <c r="Z184" s="46"/>
      <c r="AA184" s="46"/>
      <c r="AB184" s="46"/>
      <c r="AC184" s="46"/>
      <c r="AD184" s="2"/>
      <c r="AE184" s="46"/>
      <c r="AF184" s="46"/>
      <c r="AG184" s="46"/>
      <c r="AH184" s="46"/>
      <c r="AI184" s="46">
        <f>AI164</f>
        <v>4789274</v>
      </c>
      <c r="AJ184" s="46"/>
      <c r="AK184" s="46"/>
      <c r="AL184" s="46"/>
      <c r="AM184" s="46"/>
      <c r="AN184" s="46"/>
      <c r="AO184" s="46"/>
      <c r="AP184" s="46"/>
      <c r="AQ184" s="46"/>
      <c r="AR184" s="46"/>
      <c r="AS184" s="46"/>
      <c r="AT184" s="46"/>
      <c r="AU184" s="46"/>
      <c r="AV184" s="230"/>
      <c r="AW184" s="230"/>
      <c r="AX184" s="230"/>
      <c r="AY184" s="230"/>
      <c r="AZ184" s="230"/>
      <c r="BA184" s="230"/>
      <c r="BB184" s="230"/>
      <c r="BC184" s="230"/>
      <c r="BD184" s="230"/>
      <c r="BE184" s="230"/>
      <c r="BF184" s="230"/>
      <c r="BG184" s="230"/>
      <c r="BH184" s="230"/>
      <c r="BI184" s="230"/>
      <c r="BJ184" s="230"/>
      <c r="BK184" s="230"/>
      <c r="BL184" s="230"/>
      <c r="BM184" s="230"/>
      <c r="BN184" s="230"/>
      <c r="BO184" s="230"/>
      <c r="BP184" s="230"/>
      <c r="BQ184" s="230"/>
    </row>
    <row r="185" spans="1:69" ht="15.75" customHeight="1">
      <c r="A185" s="46"/>
      <c r="B185" s="46"/>
      <c r="C185" s="46"/>
      <c r="D185" s="243">
        <v>52781142</v>
      </c>
      <c r="E185" s="244" t="s">
        <v>2473</v>
      </c>
      <c r="F185" s="237"/>
      <c r="G185" s="237"/>
      <c r="H185" s="46"/>
      <c r="I185" s="46"/>
      <c r="J185" s="46"/>
      <c r="K185" s="46"/>
      <c r="L185" s="46"/>
      <c r="M185" s="46"/>
      <c r="N185" s="46"/>
      <c r="O185" s="46"/>
      <c r="P185" s="46"/>
      <c r="Q185" s="46"/>
      <c r="R185" s="46"/>
      <c r="S185" s="46"/>
      <c r="T185" s="46"/>
      <c r="U185" s="46"/>
      <c r="V185" s="46"/>
      <c r="W185" s="46"/>
      <c r="X185" s="46"/>
      <c r="Y185" s="46"/>
      <c r="Z185" s="46"/>
      <c r="AA185" s="46"/>
      <c r="AB185" s="46"/>
      <c r="AC185" s="46"/>
      <c r="AD185" s="2"/>
      <c r="AE185" s="46"/>
      <c r="AF185" s="46"/>
      <c r="AG185" s="46"/>
      <c r="AH185" s="46"/>
      <c r="AI185" s="46">
        <f>AI140*0.4</f>
        <v>2188439.2000000002</v>
      </c>
      <c r="AJ185" s="46"/>
      <c r="AK185" s="46"/>
      <c r="AL185" s="46"/>
      <c r="AM185" s="46"/>
      <c r="AN185" s="46"/>
      <c r="AO185" s="46"/>
      <c r="AP185" s="46"/>
      <c r="AQ185" s="46"/>
      <c r="AR185" s="46"/>
      <c r="AS185" s="46"/>
      <c r="AT185" s="46"/>
      <c r="AU185" s="46"/>
      <c r="AV185" s="230"/>
      <c r="AW185" s="230"/>
      <c r="AX185" s="230"/>
      <c r="AY185" s="230"/>
      <c r="AZ185" s="230"/>
      <c r="BA185" s="230"/>
      <c r="BB185" s="230"/>
      <c r="BC185" s="230"/>
      <c r="BD185" s="230"/>
      <c r="BE185" s="230"/>
      <c r="BF185" s="230"/>
      <c r="BG185" s="230"/>
      <c r="BH185" s="230"/>
      <c r="BI185" s="230"/>
      <c r="BJ185" s="230"/>
      <c r="BK185" s="230"/>
      <c r="BL185" s="230"/>
      <c r="BM185" s="230"/>
      <c r="BN185" s="230"/>
      <c r="BO185" s="230"/>
      <c r="BP185" s="230"/>
      <c r="BQ185" s="230"/>
    </row>
    <row r="186" spans="1:69" ht="15.75" customHeight="1">
      <c r="A186" s="46"/>
      <c r="B186" s="46"/>
      <c r="C186" s="46"/>
      <c r="D186" s="243">
        <v>91526810</v>
      </c>
      <c r="E186" s="244" t="s">
        <v>1443</v>
      </c>
      <c r="F186" s="237"/>
      <c r="G186" s="237"/>
      <c r="H186" s="46"/>
      <c r="I186" s="46"/>
      <c r="J186" s="46"/>
      <c r="K186" s="46"/>
      <c r="L186" s="46"/>
      <c r="M186" s="46"/>
      <c r="N186" s="46"/>
      <c r="O186" s="46"/>
      <c r="P186" s="46"/>
      <c r="Q186" s="46"/>
      <c r="R186" s="46"/>
      <c r="S186" s="46"/>
      <c r="T186" s="46"/>
      <c r="U186" s="46"/>
      <c r="V186" s="46"/>
      <c r="W186" s="46"/>
      <c r="X186" s="46"/>
      <c r="Y186" s="46"/>
      <c r="Z186" s="46"/>
      <c r="AA186" s="46"/>
      <c r="AB186" s="46"/>
      <c r="AC186" s="46"/>
      <c r="AD186" s="2"/>
      <c r="AE186" s="46"/>
      <c r="AF186" s="46"/>
      <c r="AG186" s="46"/>
      <c r="AH186" s="46"/>
      <c r="AI186" s="46"/>
      <c r="AJ186" s="46"/>
      <c r="AK186" s="46"/>
      <c r="AL186" s="229"/>
      <c r="AM186" s="46"/>
      <c r="AN186" s="46"/>
      <c r="AO186" s="46"/>
      <c r="AP186" s="46"/>
      <c r="AQ186" s="46"/>
      <c r="AR186" s="46"/>
      <c r="AS186" s="46"/>
      <c r="AT186" s="46"/>
      <c r="AU186" s="46"/>
      <c r="AV186" s="230"/>
      <c r="AW186" s="230"/>
      <c r="AX186" s="230"/>
      <c r="AY186" s="230"/>
      <c r="AZ186" s="230"/>
      <c r="BA186" s="230"/>
      <c r="BB186" s="230"/>
      <c r="BC186" s="230"/>
      <c r="BD186" s="230"/>
      <c r="BE186" s="230"/>
      <c r="BF186" s="230"/>
      <c r="BG186" s="230"/>
      <c r="BH186" s="230"/>
      <c r="BI186" s="230"/>
      <c r="BJ186" s="230"/>
      <c r="BK186" s="230"/>
      <c r="BL186" s="230"/>
      <c r="BM186" s="230"/>
      <c r="BN186" s="230"/>
      <c r="BO186" s="230"/>
      <c r="BP186" s="230"/>
      <c r="BQ186" s="230"/>
    </row>
    <row r="187" spans="1:69" ht="15.75" customHeight="1">
      <c r="A187" s="46"/>
      <c r="B187" s="46"/>
      <c r="C187" s="46"/>
      <c r="D187" s="46"/>
      <c r="E187" s="245"/>
      <c r="F187" s="237"/>
      <c r="G187" s="237"/>
      <c r="H187" s="46"/>
      <c r="I187" s="46"/>
      <c r="J187" s="46"/>
      <c r="K187" s="46"/>
      <c r="L187" s="46"/>
      <c r="M187" s="46"/>
      <c r="N187" s="46"/>
      <c r="O187" s="46"/>
      <c r="P187" s="46"/>
      <c r="Q187" s="46"/>
      <c r="R187" s="46"/>
      <c r="S187" s="46"/>
      <c r="T187" s="46"/>
      <c r="U187" s="46"/>
      <c r="V187" s="46"/>
      <c r="W187" s="46"/>
      <c r="X187" s="46"/>
      <c r="Y187" s="46"/>
      <c r="Z187" s="46"/>
      <c r="AA187" s="46"/>
      <c r="AB187" s="46"/>
      <c r="AC187" s="46"/>
      <c r="AD187" s="2"/>
      <c r="AE187" s="46"/>
      <c r="AF187" s="46"/>
      <c r="AG187" s="46"/>
      <c r="AH187" s="46" t="s">
        <v>2474</v>
      </c>
      <c r="AI187" s="46"/>
      <c r="AJ187" s="46"/>
      <c r="AK187" s="46">
        <f>AI54/30*6</f>
        <v>2237362.7999999998</v>
      </c>
      <c r="AL187" s="46">
        <f t="shared" ref="AL187:AL188" si="52">AK187*50%</f>
        <v>1118681.3999999999</v>
      </c>
      <c r="AM187" s="46">
        <f t="shared" ref="AM187:AM188" si="53">AK187*40%</f>
        <v>894945.12</v>
      </c>
      <c r="AN187" s="46"/>
      <c r="AO187" s="46"/>
      <c r="AP187" s="46"/>
      <c r="AQ187" s="46"/>
      <c r="AR187" s="46"/>
      <c r="AS187" s="46"/>
      <c r="AT187" s="46"/>
      <c r="AU187" s="46"/>
      <c r="AV187" s="230"/>
      <c r="AW187" s="230"/>
      <c r="AX187" s="230"/>
      <c r="AY187" s="230"/>
      <c r="AZ187" s="230"/>
      <c r="BA187" s="230"/>
      <c r="BB187" s="230"/>
      <c r="BC187" s="230"/>
      <c r="BD187" s="230"/>
      <c r="BE187" s="230"/>
      <c r="BF187" s="230"/>
      <c r="BG187" s="230"/>
      <c r="BH187" s="230"/>
      <c r="BI187" s="230"/>
      <c r="BJ187" s="230"/>
      <c r="BK187" s="230"/>
      <c r="BL187" s="230"/>
      <c r="BM187" s="230"/>
      <c r="BN187" s="230"/>
      <c r="BO187" s="230"/>
      <c r="BP187" s="230"/>
      <c r="BQ187" s="230"/>
    </row>
    <row r="188" spans="1:69" ht="15.75" customHeight="1">
      <c r="A188" s="46"/>
      <c r="B188" s="46"/>
      <c r="C188" s="46"/>
      <c r="D188" s="14"/>
      <c r="E188" s="245"/>
      <c r="F188" s="237"/>
      <c r="G188" s="237"/>
      <c r="H188" s="46"/>
      <c r="I188" s="46"/>
      <c r="J188" s="46"/>
      <c r="K188" s="46"/>
      <c r="L188" s="46"/>
      <c r="M188" s="46"/>
      <c r="N188" s="46"/>
      <c r="O188" s="46"/>
      <c r="P188" s="46"/>
      <c r="Q188" s="46"/>
      <c r="R188" s="46"/>
      <c r="S188" s="46"/>
      <c r="T188" s="46"/>
      <c r="U188" s="46"/>
      <c r="V188" s="46"/>
      <c r="W188" s="46"/>
      <c r="X188" s="46"/>
      <c r="Y188" s="46"/>
      <c r="Z188" s="46"/>
      <c r="AA188" s="46"/>
      <c r="AB188" s="46"/>
      <c r="AC188" s="46"/>
      <c r="AD188" s="2"/>
      <c r="AE188" s="46" t="e">
        <f>AH188*30%</f>
        <v>#VALUE!</v>
      </c>
      <c r="AF188" s="46" t="e">
        <f t="shared" ref="AF188:AF189" si="54">AH188*3%</f>
        <v>#VALUE!</v>
      </c>
      <c r="AG188" s="46"/>
      <c r="AH188" s="46" t="s">
        <v>2475</v>
      </c>
      <c r="AI188" s="46"/>
      <c r="AJ188" s="46"/>
      <c r="AK188" s="46">
        <f>AI48/30*24</f>
        <v>10025397.600000001</v>
      </c>
      <c r="AL188" s="46">
        <f t="shared" si="52"/>
        <v>5012698.8000000007</v>
      </c>
      <c r="AM188" s="46">
        <f t="shared" si="53"/>
        <v>4010159.040000001</v>
      </c>
      <c r="AN188" s="46"/>
      <c r="AO188" s="46"/>
      <c r="AP188" s="46"/>
      <c r="AQ188" s="46"/>
      <c r="AR188" s="46"/>
      <c r="AS188" s="46"/>
      <c r="AT188" s="46"/>
      <c r="AU188" s="46"/>
      <c r="AV188" s="230"/>
      <c r="AW188" s="230"/>
      <c r="AX188" s="230"/>
      <c r="AY188" s="230"/>
      <c r="AZ188" s="230"/>
      <c r="BA188" s="230"/>
      <c r="BB188" s="230"/>
      <c r="BC188" s="230"/>
      <c r="BD188" s="230"/>
      <c r="BE188" s="230"/>
      <c r="BF188" s="230"/>
      <c r="BG188" s="230"/>
      <c r="BH188" s="230"/>
      <c r="BI188" s="230"/>
      <c r="BJ188" s="230"/>
      <c r="BK188" s="230"/>
      <c r="BL188" s="230"/>
      <c r="BM188" s="230"/>
      <c r="BN188" s="230"/>
      <c r="BO188" s="230"/>
      <c r="BP188" s="230"/>
      <c r="BQ188" s="230"/>
    </row>
    <row r="189" spans="1:69" ht="15.75" customHeight="1">
      <c r="A189" s="46"/>
      <c r="B189" s="46"/>
      <c r="C189" s="46"/>
      <c r="D189" s="46"/>
      <c r="E189" s="245"/>
      <c r="F189" s="237"/>
      <c r="G189" s="237"/>
      <c r="H189" s="46"/>
      <c r="I189" s="46"/>
      <c r="J189" s="46"/>
      <c r="K189" s="46"/>
      <c r="L189" s="46"/>
      <c r="M189" s="46"/>
      <c r="N189" s="46"/>
      <c r="O189" s="46"/>
      <c r="P189" s="46"/>
      <c r="Q189" s="46"/>
      <c r="R189" s="46"/>
      <c r="S189" s="46"/>
      <c r="T189" s="46"/>
      <c r="U189" s="46"/>
      <c r="V189" s="46"/>
      <c r="W189" s="46"/>
      <c r="X189" s="46"/>
      <c r="Y189" s="46"/>
      <c r="Z189" s="46"/>
      <c r="AA189" s="46"/>
      <c r="AB189" s="46"/>
      <c r="AC189" s="46"/>
      <c r="AD189" s="2"/>
      <c r="AE189" s="46"/>
      <c r="AF189" s="46">
        <f t="shared" si="54"/>
        <v>0</v>
      </c>
      <c r="AG189" s="46"/>
      <c r="AH189" s="46"/>
      <c r="AI189" s="229"/>
      <c r="AJ189" s="46"/>
      <c r="AK189" s="46"/>
      <c r="AL189" s="46"/>
      <c r="AM189" s="46"/>
      <c r="AN189" s="46"/>
      <c r="AO189" s="46"/>
      <c r="AP189" s="46"/>
      <c r="AQ189" s="46"/>
      <c r="AR189" s="46"/>
      <c r="AS189" s="46"/>
      <c r="AT189" s="46"/>
      <c r="AU189" s="46"/>
      <c r="AV189" s="230"/>
      <c r="AW189" s="230"/>
      <c r="AX189" s="230"/>
      <c r="AY189" s="230"/>
      <c r="AZ189" s="230"/>
      <c r="BA189" s="230"/>
      <c r="BB189" s="230"/>
      <c r="BC189" s="230"/>
      <c r="BD189" s="230"/>
      <c r="BE189" s="230"/>
      <c r="BF189" s="230"/>
      <c r="BG189" s="230"/>
      <c r="BH189" s="230"/>
      <c r="BI189" s="230"/>
      <c r="BJ189" s="230"/>
      <c r="BK189" s="230"/>
      <c r="BL189" s="230"/>
      <c r="BM189" s="230"/>
      <c r="BN189" s="230"/>
      <c r="BO189" s="230"/>
      <c r="BP189" s="230"/>
      <c r="BQ189" s="230"/>
    </row>
    <row r="190" spans="1:69" ht="15.75" customHeight="1">
      <c r="A190" s="46"/>
      <c r="B190" s="46"/>
      <c r="C190" s="46"/>
      <c r="D190" s="46"/>
      <c r="E190" s="245"/>
      <c r="F190" s="237"/>
      <c r="G190" s="237"/>
      <c r="H190" s="46"/>
      <c r="I190" s="46"/>
      <c r="J190" s="46"/>
      <c r="K190" s="46"/>
      <c r="L190" s="46"/>
      <c r="N190" s="46"/>
      <c r="O190" s="46"/>
      <c r="P190" s="46"/>
      <c r="Q190" s="46"/>
      <c r="R190" s="46"/>
      <c r="S190" s="46"/>
      <c r="T190" s="46"/>
      <c r="U190" s="46"/>
      <c r="V190" s="46"/>
      <c r="W190" s="46"/>
      <c r="X190" s="46"/>
      <c r="Y190" s="46"/>
      <c r="Z190" s="46"/>
      <c r="AA190" s="46"/>
      <c r="AB190" s="46"/>
      <c r="AC190" s="46"/>
      <c r="AD190" s="2"/>
      <c r="AE190" s="46"/>
      <c r="AF190" s="46"/>
      <c r="AG190" s="46"/>
      <c r="AH190" s="46"/>
      <c r="AI190" s="46"/>
      <c r="AJ190" s="46"/>
      <c r="AK190" s="46"/>
      <c r="AL190" s="46"/>
      <c r="AM190" s="46"/>
      <c r="AN190" s="46"/>
      <c r="AO190" s="46"/>
      <c r="AP190" s="46"/>
      <c r="AQ190" s="46"/>
      <c r="AR190" s="46"/>
      <c r="AS190" s="46"/>
      <c r="AT190" s="46"/>
      <c r="AU190" s="46"/>
      <c r="AV190" s="230"/>
      <c r="AW190" s="230"/>
      <c r="AX190" s="230"/>
      <c r="AY190" s="230"/>
      <c r="AZ190" s="230"/>
      <c r="BA190" s="230"/>
      <c r="BB190" s="230"/>
      <c r="BC190" s="230"/>
      <c r="BD190" s="230"/>
      <c r="BE190" s="230"/>
      <c r="BF190" s="230"/>
      <c r="BG190" s="230"/>
      <c r="BH190" s="230"/>
      <c r="BI190" s="230"/>
      <c r="BJ190" s="230"/>
      <c r="BK190" s="230"/>
      <c r="BL190" s="230"/>
      <c r="BM190" s="230"/>
      <c r="BN190" s="230"/>
      <c r="BO190" s="230"/>
      <c r="BP190" s="230"/>
      <c r="BQ190" s="230"/>
    </row>
    <row r="191" spans="1:69" ht="15.75" customHeight="1">
      <c r="A191" s="46"/>
      <c r="B191" s="46"/>
      <c r="C191" s="46"/>
      <c r="D191" s="46"/>
      <c r="E191" s="245"/>
      <c r="F191" s="237"/>
      <c r="G191" s="237"/>
      <c r="H191" s="46"/>
      <c r="I191" s="46"/>
      <c r="J191" s="46"/>
      <c r="K191" s="46"/>
      <c r="L191" s="46"/>
      <c r="M191" s="46"/>
      <c r="N191" s="46"/>
      <c r="O191" s="46"/>
      <c r="P191" s="46"/>
      <c r="Q191" s="46"/>
      <c r="R191" s="46"/>
      <c r="S191" s="46"/>
      <c r="T191" s="46"/>
      <c r="U191" s="46"/>
      <c r="V191" s="46"/>
      <c r="W191" s="46"/>
      <c r="X191" s="46"/>
      <c r="Y191" s="46"/>
      <c r="Z191" s="46"/>
      <c r="AA191" s="46"/>
      <c r="AB191" s="46"/>
      <c r="AC191" s="46"/>
      <c r="AD191" s="2"/>
      <c r="AE191" s="46"/>
      <c r="AF191" s="46"/>
      <c r="AG191" s="46"/>
      <c r="AH191" s="46"/>
      <c r="AI191" s="46"/>
      <c r="AJ191" s="46"/>
      <c r="AK191" s="46"/>
      <c r="AL191" s="46"/>
      <c r="AM191" s="46"/>
      <c r="AN191" s="46"/>
      <c r="AO191" s="46"/>
      <c r="AP191" s="46"/>
      <c r="AQ191" s="46"/>
      <c r="AR191" s="46"/>
      <c r="AS191" s="46"/>
      <c r="AT191" s="46"/>
      <c r="AU191" s="46"/>
      <c r="AV191" s="230"/>
      <c r="AW191" s="230"/>
      <c r="AX191" s="230"/>
      <c r="AY191" s="230"/>
      <c r="AZ191" s="230"/>
      <c r="BA191" s="230"/>
      <c r="BB191" s="230"/>
      <c r="BC191" s="230"/>
      <c r="BD191" s="230"/>
      <c r="BE191" s="230"/>
      <c r="BF191" s="230"/>
      <c r="BG191" s="230"/>
      <c r="BH191" s="230"/>
      <c r="BI191" s="230"/>
      <c r="BJ191" s="230"/>
      <c r="BK191" s="230"/>
      <c r="BL191" s="230"/>
      <c r="BM191" s="230"/>
      <c r="BN191" s="230"/>
      <c r="BO191" s="230"/>
      <c r="BP191" s="230"/>
      <c r="BQ191" s="230"/>
    </row>
    <row r="192" spans="1:69" ht="15.75" customHeight="1">
      <c r="A192" s="46"/>
      <c r="B192" s="46"/>
      <c r="C192" s="46"/>
      <c r="D192" s="46"/>
      <c r="E192" s="245"/>
      <c r="F192" s="237"/>
      <c r="G192" s="237"/>
      <c r="H192" s="46"/>
      <c r="I192" s="46"/>
      <c r="J192" s="46"/>
      <c r="K192" s="46"/>
      <c r="L192" s="46"/>
      <c r="M192" s="46"/>
      <c r="N192" s="46"/>
      <c r="O192" s="46"/>
      <c r="P192" s="46"/>
      <c r="Q192" s="46"/>
      <c r="R192" s="46"/>
      <c r="S192" s="46"/>
      <c r="T192" s="46"/>
      <c r="U192" s="46"/>
      <c r="V192" s="46"/>
      <c r="W192" s="46"/>
      <c r="X192" s="46"/>
      <c r="Y192" s="46"/>
      <c r="Z192" s="46"/>
      <c r="AA192" s="46"/>
      <c r="AB192" s="46"/>
      <c r="AC192" s="46"/>
      <c r="AD192" s="2"/>
      <c r="AE192" s="46"/>
      <c r="AF192" s="46"/>
      <c r="AG192" s="46"/>
      <c r="AH192" s="46"/>
      <c r="AI192" s="46"/>
      <c r="AJ192" s="46"/>
      <c r="AK192" s="46"/>
      <c r="AL192" s="46"/>
      <c r="AM192" s="46"/>
      <c r="AN192" s="46"/>
      <c r="AO192" s="46"/>
      <c r="AP192" s="46"/>
      <c r="AQ192" s="46"/>
      <c r="AR192" s="46"/>
      <c r="AS192" s="46"/>
      <c r="AT192" s="46"/>
      <c r="AU192" s="46"/>
      <c r="AV192" s="230"/>
      <c r="AW192" s="230"/>
      <c r="AX192" s="230"/>
      <c r="AY192" s="230"/>
      <c r="AZ192" s="230"/>
      <c r="BA192" s="230"/>
      <c r="BB192" s="230"/>
      <c r="BC192" s="230"/>
      <c r="BD192" s="230"/>
      <c r="BE192" s="230"/>
      <c r="BF192" s="230"/>
      <c r="BG192" s="230"/>
      <c r="BH192" s="230"/>
      <c r="BI192" s="230"/>
      <c r="BJ192" s="230"/>
      <c r="BK192" s="230"/>
      <c r="BL192" s="230"/>
      <c r="BM192" s="230"/>
      <c r="BN192" s="230"/>
      <c r="BO192" s="230"/>
      <c r="BP192" s="230"/>
      <c r="BQ192" s="230"/>
    </row>
    <row r="193" spans="1:69" ht="15.75" customHeight="1">
      <c r="A193" s="46"/>
      <c r="B193" s="46"/>
      <c r="C193" s="46"/>
      <c r="D193" s="46"/>
      <c r="E193" s="245"/>
      <c r="F193" s="237"/>
      <c r="G193" s="237"/>
      <c r="H193" s="46"/>
      <c r="I193" s="46"/>
      <c r="J193" s="46"/>
      <c r="K193" s="46"/>
      <c r="L193" s="46"/>
      <c r="M193" s="46"/>
      <c r="N193" s="46"/>
      <c r="O193" s="46"/>
      <c r="P193" s="46"/>
      <c r="Q193" s="46"/>
      <c r="R193" s="46"/>
      <c r="S193" s="46"/>
      <c r="T193" s="46"/>
      <c r="U193" s="46"/>
      <c r="V193" s="46"/>
      <c r="W193" s="46"/>
      <c r="X193" s="46"/>
      <c r="Y193" s="46"/>
      <c r="Z193" s="46"/>
      <c r="AA193" s="46"/>
      <c r="AB193" s="46"/>
      <c r="AC193" s="46"/>
      <c r="AD193" s="2"/>
      <c r="AE193" s="46"/>
      <c r="AF193" s="46"/>
      <c r="AG193" s="46"/>
      <c r="AH193" s="46"/>
      <c r="AI193" s="46"/>
      <c r="AJ193" s="46"/>
      <c r="AK193" s="46"/>
      <c r="AL193" s="46"/>
      <c r="AM193" s="46"/>
      <c r="AN193" s="46"/>
      <c r="AO193" s="46"/>
      <c r="AP193" s="46"/>
      <c r="AQ193" s="46"/>
      <c r="AR193" s="46"/>
      <c r="AS193" s="46"/>
      <c r="AT193" s="46"/>
      <c r="AU193" s="46"/>
      <c r="AV193" s="230"/>
      <c r="AW193" s="230"/>
      <c r="AX193" s="230"/>
      <c r="AY193" s="230"/>
      <c r="AZ193" s="230"/>
      <c r="BA193" s="230"/>
      <c r="BB193" s="230"/>
      <c r="BC193" s="230"/>
      <c r="BD193" s="230"/>
      <c r="BE193" s="230"/>
      <c r="BF193" s="230"/>
      <c r="BG193" s="230"/>
      <c r="BH193" s="230"/>
      <c r="BI193" s="230"/>
      <c r="BJ193" s="230"/>
      <c r="BK193" s="230"/>
      <c r="BL193" s="230"/>
      <c r="BM193" s="230"/>
      <c r="BN193" s="230"/>
      <c r="BO193" s="230"/>
      <c r="BP193" s="230"/>
      <c r="BQ193" s="230"/>
    </row>
    <row r="194" spans="1:69" ht="15.75" customHeight="1">
      <c r="A194" s="46"/>
      <c r="B194" s="46"/>
      <c r="C194" s="46"/>
      <c r="D194" s="46"/>
      <c r="E194" s="245"/>
      <c r="F194" s="237"/>
      <c r="G194" s="237"/>
      <c r="H194" s="46"/>
      <c r="I194" s="46"/>
      <c r="J194" s="46"/>
      <c r="K194" s="46"/>
      <c r="L194" s="46"/>
      <c r="M194" s="46"/>
      <c r="N194" s="46"/>
      <c r="O194" s="46"/>
      <c r="P194" s="46"/>
      <c r="Q194" s="46"/>
      <c r="R194" s="46"/>
      <c r="S194" s="46"/>
      <c r="T194" s="46"/>
      <c r="U194" s="46"/>
      <c r="V194" s="46"/>
      <c r="W194" s="46"/>
      <c r="X194" s="46"/>
      <c r="Y194" s="46"/>
      <c r="Z194" s="46"/>
      <c r="AA194" s="46"/>
      <c r="AB194" s="46"/>
      <c r="AC194" s="46"/>
      <c r="AD194" s="2"/>
      <c r="AE194" s="46"/>
      <c r="AF194" s="46"/>
      <c r="AG194" s="46"/>
      <c r="AH194" s="46"/>
      <c r="AI194" s="46"/>
      <c r="AJ194" s="46"/>
      <c r="AK194" s="46"/>
      <c r="AL194" s="46"/>
      <c r="AM194" s="46"/>
      <c r="AN194" s="46"/>
      <c r="AO194" s="46"/>
      <c r="AP194" s="46"/>
      <c r="AQ194" s="46"/>
      <c r="AR194" s="46"/>
      <c r="AS194" s="46"/>
      <c r="AT194" s="46"/>
      <c r="AU194" s="46"/>
      <c r="AV194" s="230"/>
      <c r="AW194" s="230"/>
      <c r="AX194" s="230"/>
      <c r="AY194" s="230"/>
      <c r="AZ194" s="230"/>
      <c r="BA194" s="230"/>
      <c r="BB194" s="230"/>
      <c r="BC194" s="230"/>
      <c r="BD194" s="230"/>
      <c r="BE194" s="230"/>
      <c r="BF194" s="230"/>
      <c r="BG194" s="230"/>
      <c r="BH194" s="230"/>
      <c r="BI194" s="230"/>
      <c r="BJ194" s="230"/>
      <c r="BK194" s="230"/>
      <c r="BL194" s="230"/>
      <c r="BM194" s="230"/>
      <c r="BN194" s="230"/>
      <c r="BO194" s="230"/>
      <c r="BP194" s="230"/>
      <c r="BQ194" s="230"/>
    </row>
    <row r="195" spans="1:69" ht="15.75" customHeight="1">
      <c r="A195" s="46"/>
      <c r="B195" s="46"/>
      <c r="C195" s="46"/>
      <c r="D195" s="46"/>
      <c r="E195" s="245"/>
      <c r="F195" s="237"/>
      <c r="G195" s="237"/>
      <c r="H195" s="46"/>
      <c r="I195" s="46"/>
      <c r="J195" s="46"/>
      <c r="K195" s="46"/>
      <c r="L195" s="46"/>
      <c r="M195" s="46"/>
      <c r="N195" s="46"/>
      <c r="O195" s="46"/>
      <c r="P195" s="46"/>
      <c r="Q195" s="46"/>
      <c r="R195" s="46"/>
      <c r="S195" s="46"/>
      <c r="T195" s="46"/>
      <c r="U195" s="46"/>
      <c r="V195" s="46"/>
      <c r="W195" s="46"/>
      <c r="X195" s="46"/>
      <c r="Y195" s="46"/>
      <c r="Z195" s="46"/>
      <c r="AA195" s="46"/>
      <c r="AB195" s="46"/>
      <c r="AC195" s="46"/>
      <c r="AD195" s="2"/>
      <c r="AE195" s="46"/>
      <c r="AF195" s="46"/>
      <c r="AG195" s="46"/>
      <c r="AH195" s="46"/>
      <c r="AI195" s="46"/>
      <c r="AJ195" s="46"/>
      <c r="AK195" s="46"/>
      <c r="AL195" s="46"/>
      <c r="AM195" s="46"/>
      <c r="AN195" s="46"/>
      <c r="AO195" s="46"/>
      <c r="AP195" s="46"/>
      <c r="AQ195" s="46"/>
      <c r="AR195" s="46"/>
      <c r="AS195" s="46"/>
      <c r="AT195" s="46"/>
      <c r="AU195" s="46"/>
      <c r="AV195" s="230"/>
      <c r="AW195" s="230"/>
      <c r="AX195" s="230"/>
      <c r="AY195" s="230"/>
      <c r="AZ195" s="230"/>
      <c r="BA195" s="230"/>
      <c r="BB195" s="230"/>
      <c r="BC195" s="230"/>
      <c r="BD195" s="230"/>
      <c r="BE195" s="230"/>
      <c r="BF195" s="230"/>
      <c r="BG195" s="230"/>
      <c r="BH195" s="230"/>
      <c r="BI195" s="230"/>
      <c r="BJ195" s="230"/>
      <c r="BK195" s="230"/>
      <c r="BL195" s="230"/>
      <c r="BM195" s="230"/>
      <c r="BN195" s="230"/>
      <c r="BO195" s="230"/>
      <c r="BP195" s="230"/>
      <c r="BQ195" s="230"/>
    </row>
    <row r="196" spans="1:69" ht="15.75" customHeight="1">
      <c r="A196" s="46"/>
      <c r="B196" s="46"/>
      <c r="C196" s="46"/>
      <c r="D196" s="46"/>
      <c r="E196" s="245"/>
      <c r="F196" s="237"/>
      <c r="G196" s="237"/>
      <c r="H196" s="46"/>
      <c r="I196" s="46"/>
      <c r="J196" s="46"/>
      <c r="K196" s="46"/>
      <c r="L196" s="46"/>
      <c r="M196" s="46"/>
      <c r="N196" s="46"/>
      <c r="O196" s="46"/>
      <c r="P196" s="46"/>
      <c r="Q196" s="46"/>
      <c r="R196" s="46"/>
      <c r="S196" s="46"/>
      <c r="T196" s="46"/>
      <c r="U196" s="46"/>
      <c r="V196" s="46"/>
      <c r="W196" s="46"/>
      <c r="X196" s="46"/>
      <c r="Y196" s="46"/>
      <c r="Z196" s="46"/>
      <c r="AA196" s="46"/>
      <c r="AB196" s="46"/>
      <c r="AC196" s="46"/>
      <c r="AD196" s="2"/>
      <c r="AE196" s="46"/>
      <c r="AF196" s="46"/>
      <c r="AG196" s="46"/>
      <c r="AH196" s="46"/>
      <c r="AI196" s="229"/>
      <c r="AJ196" s="46"/>
      <c r="AK196" s="46"/>
      <c r="AL196" s="46"/>
      <c r="AM196" s="46"/>
      <c r="AN196" s="46"/>
      <c r="AO196" s="46"/>
      <c r="AP196" s="46"/>
      <c r="AQ196" s="46"/>
      <c r="AR196" s="46"/>
      <c r="AS196" s="46"/>
      <c r="AT196" s="46"/>
      <c r="AU196" s="46"/>
      <c r="AV196" s="230"/>
      <c r="AW196" s="230"/>
      <c r="AX196" s="230"/>
      <c r="AY196" s="230"/>
      <c r="AZ196" s="230"/>
      <c r="BA196" s="230"/>
      <c r="BB196" s="230"/>
      <c r="BC196" s="230"/>
      <c r="BD196" s="230"/>
      <c r="BE196" s="230"/>
      <c r="BF196" s="230"/>
      <c r="BG196" s="230"/>
      <c r="BH196" s="230"/>
      <c r="BI196" s="230"/>
      <c r="BJ196" s="230"/>
      <c r="BK196" s="230"/>
      <c r="BL196" s="230"/>
      <c r="BM196" s="230"/>
      <c r="BN196" s="230"/>
      <c r="BO196" s="230"/>
      <c r="BP196" s="230"/>
      <c r="BQ196" s="230"/>
    </row>
    <row r="197" spans="1:69" ht="15.75" customHeight="1">
      <c r="A197" s="46"/>
      <c r="B197" s="46"/>
      <c r="C197" s="46"/>
      <c r="D197" s="46"/>
      <c r="E197" s="245"/>
      <c r="F197" s="237"/>
      <c r="G197" s="237"/>
      <c r="H197" s="46"/>
      <c r="I197" s="46"/>
      <c r="J197" s="46"/>
      <c r="K197" s="46"/>
      <c r="L197" s="46"/>
      <c r="M197" s="46"/>
      <c r="N197" s="46"/>
      <c r="O197" s="46"/>
      <c r="P197" s="46"/>
      <c r="Q197" s="46"/>
      <c r="R197" s="46"/>
      <c r="S197" s="46"/>
      <c r="T197" s="46"/>
      <c r="U197" s="46"/>
      <c r="V197" s="46"/>
      <c r="W197" s="46"/>
      <c r="X197" s="46"/>
      <c r="Y197" s="46"/>
      <c r="Z197" s="46"/>
      <c r="AA197" s="46"/>
      <c r="AB197" s="46"/>
      <c r="AC197" s="46"/>
      <c r="AD197" s="2"/>
      <c r="AE197" s="46"/>
      <c r="AF197" s="46"/>
      <c r="AG197" s="46"/>
      <c r="AH197" s="46"/>
      <c r="AI197" s="46"/>
      <c r="AJ197" s="46"/>
      <c r="AK197" s="46"/>
      <c r="AL197" s="46"/>
      <c r="AM197" s="46"/>
      <c r="AN197" s="46"/>
      <c r="AO197" s="46"/>
      <c r="AP197" s="46"/>
      <c r="AQ197" s="46"/>
      <c r="AR197" s="46"/>
      <c r="AS197" s="46"/>
      <c r="AT197" s="46"/>
      <c r="AU197" s="46"/>
      <c r="AV197" s="230"/>
      <c r="AW197" s="230"/>
      <c r="AX197" s="230"/>
      <c r="AY197" s="230"/>
      <c r="AZ197" s="230"/>
      <c r="BA197" s="230"/>
      <c r="BB197" s="230"/>
      <c r="BC197" s="230"/>
      <c r="BD197" s="230"/>
      <c r="BE197" s="230"/>
      <c r="BF197" s="230"/>
      <c r="BG197" s="230"/>
      <c r="BH197" s="230"/>
      <c r="BI197" s="230"/>
      <c r="BJ197" s="230"/>
      <c r="BK197" s="230"/>
      <c r="BL197" s="230"/>
      <c r="BM197" s="230"/>
      <c r="BN197" s="230"/>
      <c r="BO197" s="230"/>
      <c r="BP197" s="230"/>
      <c r="BQ197" s="230"/>
    </row>
    <row r="198" spans="1:69" ht="15.75" customHeight="1">
      <c r="A198" s="46"/>
      <c r="B198" s="46"/>
      <c r="C198" s="46"/>
      <c r="D198" s="46"/>
      <c r="E198" s="245"/>
      <c r="F198" s="237"/>
      <c r="G198" s="237"/>
      <c r="H198" s="46"/>
      <c r="I198" s="46"/>
      <c r="J198" s="46"/>
      <c r="K198" s="46"/>
      <c r="L198" s="229"/>
      <c r="M198" s="46"/>
      <c r="N198" s="46"/>
      <c r="O198" s="46"/>
      <c r="P198" s="46"/>
      <c r="Q198" s="46"/>
      <c r="R198" s="46"/>
      <c r="S198" s="46"/>
      <c r="T198" s="46"/>
      <c r="U198" s="46"/>
      <c r="V198" s="46"/>
      <c r="W198" s="46"/>
      <c r="X198" s="46"/>
      <c r="Y198" s="46"/>
      <c r="Z198" s="46"/>
      <c r="AA198" s="46"/>
      <c r="AB198" s="46"/>
      <c r="AC198" s="46"/>
      <c r="AD198" s="2"/>
      <c r="AE198" s="46"/>
      <c r="AF198" s="46"/>
      <c r="AG198" s="46"/>
      <c r="AH198" s="46"/>
      <c r="AI198" s="46"/>
      <c r="AJ198" s="46"/>
      <c r="AK198" s="46"/>
      <c r="AL198" s="46"/>
      <c r="AM198" s="46"/>
      <c r="AN198" s="46"/>
      <c r="AO198" s="46"/>
      <c r="AP198" s="46"/>
      <c r="AQ198" s="46"/>
      <c r="AR198" s="46"/>
      <c r="AS198" s="46"/>
      <c r="AT198" s="46"/>
      <c r="AU198" s="46"/>
      <c r="AV198" s="230"/>
      <c r="AW198" s="230"/>
      <c r="AX198" s="230"/>
      <c r="AY198" s="230"/>
      <c r="AZ198" s="230"/>
      <c r="BA198" s="230"/>
      <c r="BB198" s="230"/>
      <c r="BC198" s="230"/>
      <c r="BD198" s="230"/>
      <c r="BE198" s="230"/>
      <c r="BF198" s="230"/>
      <c r="BG198" s="230"/>
      <c r="BH198" s="230"/>
      <c r="BI198" s="230"/>
      <c r="BJ198" s="230"/>
      <c r="BK198" s="230"/>
      <c r="BL198" s="230"/>
      <c r="BM198" s="230"/>
      <c r="BN198" s="230"/>
      <c r="BO198" s="230"/>
      <c r="BP198" s="230"/>
      <c r="BQ198" s="230"/>
    </row>
    <row r="199" spans="1:69" ht="15.75" customHeight="1">
      <c r="A199" s="46"/>
      <c r="B199" s="46"/>
      <c r="C199" s="46"/>
      <c r="D199" s="46"/>
      <c r="E199" s="245"/>
      <c r="F199" s="237"/>
      <c r="G199" s="237"/>
      <c r="H199" s="46"/>
      <c r="I199" s="46"/>
      <c r="J199" s="46"/>
      <c r="K199" s="46"/>
      <c r="L199" s="229"/>
      <c r="M199" s="46"/>
      <c r="N199" s="46"/>
      <c r="O199" s="46"/>
      <c r="P199" s="46"/>
      <c r="Q199" s="46"/>
      <c r="R199" s="46"/>
      <c r="S199" s="46"/>
      <c r="T199" s="46"/>
      <c r="U199" s="46"/>
      <c r="V199" s="46"/>
      <c r="W199" s="46"/>
      <c r="X199" s="46"/>
      <c r="Y199" s="46"/>
      <c r="Z199" s="46"/>
      <c r="AA199" s="46"/>
      <c r="AB199" s="46"/>
      <c r="AC199" s="46"/>
      <c r="AD199" s="2"/>
      <c r="AE199" s="46"/>
      <c r="AF199" s="46"/>
      <c r="AG199" s="46"/>
      <c r="AH199" s="46"/>
      <c r="AI199" s="46"/>
      <c r="AJ199" s="46"/>
      <c r="AK199" s="46"/>
      <c r="AL199" s="46"/>
      <c r="AM199" s="46"/>
      <c r="AN199" s="46"/>
      <c r="AO199" s="46"/>
      <c r="AP199" s="46"/>
      <c r="AQ199" s="46"/>
      <c r="AR199" s="46"/>
      <c r="AS199" s="46"/>
      <c r="AT199" s="46"/>
      <c r="AU199" s="46"/>
      <c r="AV199" s="230"/>
      <c r="AW199" s="230"/>
      <c r="AX199" s="230"/>
      <c r="AY199" s="230"/>
      <c r="AZ199" s="230"/>
      <c r="BA199" s="230"/>
      <c r="BB199" s="230"/>
      <c r="BC199" s="230"/>
      <c r="BD199" s="230"/>
      <c r="BE199" s="230"/>
      <c r="BF199" s="230"/>
      <c r="BG199" s="230"/>
      <c r="BH199" s="230"/>
      <c r="BI199" s="230"/>
      <c r="BJ199" s="230"/>
      <c r="BK199" s="230"/>
      <c r="BL199" s="230"/>
      <c r="BM199" s="230"/>
      <c r="BN199" s="230"/>
      <c r="BO199" s="230"/>
      <c r="BP199" s="230"/>
      <c r="BQ199" s="230"/>
    </row>
    <row r="200" spans="1:69" ht="15.75" customHeight="1">
      <c r="A200" s="46"/>
      <c r="B200" s="46"/>
      <c r="C200" s="46"/>
      <c r="D200" s="46"/>
      <c r="E200" s="245"/>
      <c r="F200" s="237"/>
      <c r="G200" s="237"/>
      <c r="H200" s="46"/>
      <c r="I200" s="46"/>
      <c r="J200" s="46"/>
      <c r="K200" s="46"/>
      <c r="L200" s="46"/>
      <c r="M200" s="46"/>
      <c r="N200" s="46"/>
      <c r="O200" s="46"/>
      <c r="P200" s="46"/>
      <c r="Q200" s="46"/>
      <c r="R200" s="46"/>
      <c r="S200" s="46"/>
      <c r="T200" s="46"/>
      <c r="U200" s="46"/>
      <c r="V200" s="46"/>
      <c r="W200" s="46"/>
      <c r="X200" s="46"/>
      <c r="Y200" s="46"/>
      <c r="Z200" s="46"/>
      <c r="AA200" s="46"/>
      <c r="AB200" s="46"/>
      <c r="AC200" s="46"/>
      <c r="AD200" s="2"/>
      <c r="AE200" s="46"/>
      <c r="AF200" s="46"/>
      <c r="AG200" s="46"/>
      <c r="AH200" s="46"/>
      <c r="AI200" s="46"/>
      <c r="AJ200" s="46"/>
      <c r="AK200" s="46"/>
      <c r="AL200" s="46"/>
      <c r="AM200" s="46"/>
      <c r="AN200" s="46"/>
      <c r="AO200" s="46"/>
      <c r="AP200" s="46"/>
      <c r="AQ200" s="46"/>
      <c r="AR200" s="46"/>
      <c r="AS200" s="46"/>
      <c r="AT200" s="46"/>
      <c r="AU200" s="46"/>
      <c r="AV200" s="230"/>
      <c r="AW200" s="230"/>
      <c r="AX200" s="230"/>
      <c r="AY200" s="230"/>
      <c r="AZ200" s="230"/>
      <c r="BA200" s="230"/>
      <c r="BB200" s="230"/>
      <c r="BC200" s="230"/>
      <c r="BD200" s="230"/>
      <c r="BE200" s="230"/>
      <c r="BF200" s="230"/>
      <c r="BG200" s="230"/>
      <c r="BH200" s="230"/>
      <c r="BI200" s="230"/>
      <c r="BJ200" s="230"/>
      <c r="BK200" s="230"/>
      <c r="BL200" s="230"/>
      <c r="BM200" s="230"/>
      <c r="BN200" s="230"/>
      <c r="BO200" s="230"/>
      <c r="BP200" s="230"/>
      <c r="BQ200" s="230"/>
    </row>
    <row r="201" spans="1:69" ht="15.75" customHeight="1">
      <c r="A201" s="46"/>
      <c r="B201" s="46"/>
      <c r="C201" s="46"/>
      <c r="D201" s="46"/>
      <c r="E201" s="245"/>
      <c r="F201" s="237"/>
      <c r="G201" s="237"/>
      <c r="H201" s="46"/>
      <c r="I201" s="46"/>
      <c r="J201" s="46"/>
      <c r="K201" s="46"/>
      <c r="L201" s="46"/>
      <c r="M201" s="46"/>
      <c r="N201" s="46"/>
      <c r="O201" s="46"/>
      <c r="P201" s="46"/>
      <c r="Q201" s="46"/>
      <c r="R201" s="46"/>
      <c r="S201" s="46"/>
      <c r="T201" s="46"/>
      <c r="U201" s="46"/>
      <c r="V201" s="46"/>
      <c r="W201" s="46"/>
      <c r="X201" s="46"/>
      <c r="Y201" s="46"/>
      <c r="Z201" s="46"/>
      <c r="AA201" s="46"/>
      <c r="AB201" s="46"/>
      <c r="AC201" s="46"/>
      <c r="AD201" s="2"/>
      <c r="AE201" s="46"/>
      <c r="AF201" s="46"/>
      <c r="AG201" s="46"/>
      <c r="AH201" s="46"/>
      <c r="AI201" s="46"/>
      <c r="AJ201" s="46"/>
      <c r="AK201" s="46"/>
      <c r="AL201" s="46"/>
      <c r="AM201" s="46"/>
      <c r="AN201" s="46"/>
      <c r="AO201" s="46"/>
      <c r="AP201" s="46"/>
      <c r="AQ201" s="46"/>
      <c r="AR201" s="46"/>
      <c r="AS201" s="46"/>
      <c r="AT201" s="46"/>
      <c r="AU201" s="46"/>
      <c r="AV201" s="230"/>
      <c r="AW201" s="230"/>
      <c r="AX201" s="230"/>
      <c r="AY201" s="230"/>
      <c r="AZ201" s="230"/>
      <c r="BA201" s="230"/>
      <c r="BB201" s="230"/>
      <c r="BC201" s="230"/>
      <c r="BD201" s="230"/>
      <c r="BE201" s="230"/>
      <c r="BF201" s="230"/>
      <c r="BG201" s="230"/>
      <c r="BH201" s="230"/>
      <c r="BI201" s="230"/>
      <c r="BJ201" s="230"/>
      <c r="BK201" s="230"/>
      <c r="BL201" s="230"/>
      <c r="BM201" s="230"/>
      <c r="BN201" s="230"/>
      <c r="BO201" s="230"/>
      <c r="BP201" s="230"/>
      <c r="BQ201" s="230"/>
    </row>
    <row r="202" spans="1:69" ht="15.75" customHeight="1">
      <c r="A202" s="46"/>
      <c r="B202" s="46"/>
      <c r="C202" s="46"/>
      <c r="D202" s="46"/>
      <c r="E202" s="245"/>
      <c r="F202" s="237"/>
      <c r="G202" s="237"/>
      <c r="H202" s="46"/>
      <c r="I202" s="229"/>
      <c r="J202" s="229"/>
      <c r="K202" s="229"/>
      <c r="L202" s="46"/>
      <c r="M202" s="46"/>
      <c r="N202" s="46"/>
      <c r="O202" s="46"/>
      <c r="P202" s="46"/>
      <c r="Q202" s="46"/>
      <c r="R202" s="46"/>
      <c r="S202" s="46"/>
      <c r="T202" s="46"/>
      <c r="U202" s="46"/>
      <c r="V202" s="46"/>
      <c r="W202" s="46"/>
      <c r="X202" s="46"/>
      <c r="Y202" s="46"/>
      <c r="Z202" s="46"/>
      <c r="AA202" s="46"/>
      <c r="AB202" s="46"/>
      <c r="AC202" s="46"/>
      <c r="AD202" s="2"/>
      <c r="AE202" s="46"/>
      <c r="AF202" s="46"/>
      <c r="AG202" s="46"/>
      <c r="AH202" s="46"/>
      <c r="AI202" s="46"/>
      <c r="AJ202" s="46"/>
      <c r="AK202" s="46"/>
      <c r="AL202" s="46"/>
      <c r="AM202" s="46"/>
      <c r="AN202" s="46"/>
      <c r="AO202" s="46"/>
      <c r="AP202" s="46"/>
      <c r="AQ202" s="46"/>
      <c r="AR202" s="46"/>
      <c r="AS202" s="46"/>
      <c r="AT202" s="46"/>
      <c r="AU202" s="46"/>
      <c r="AV202" s="230"/>
      <c r="AW202" s="230"/>
      <c r="AX202" s="230"/>
      <c r="AY202" s="230"/>
      <c r="AZ202" s="230"/>
      <c r="BA202" s="230"/>
      <c r="BB202" s="230"/>
      <c r="BC202" s="230"/>
      <c r="BD202" s="230"/>
      <c r="BE202" s="230"/>
      <c r="BF202" s="230"/>
      <c r="BG202" s="230"/>
      <c r="BH202" s="230"/>
      <c r="BI202" s="230"/>
      <c r="BJ202" s="230"/>
      <c r="BK202" s="230"/>
      <c r="BL202" s="230"/>
      <c r="BM202" s="230"/>
      <c r="BN202" s="230"/>
      <c r="BO202" s="230"/>
      <c r="BP202" s="230"/>
      <c r="BQ202" s="230"/>
    </row>
    <row r="203" spans="1:69" ht="15.75" customHeight="1">
      <c r="A203" s="46"/>
      <c r="B203" s="46"/>
      <c r="C203" s="46"/>
      <c r="D203" s="46"/>
      <c r="E203" s="245"/>
      <c r="F203" s="237"/>
      <c r="G203" s="237"/>
      <c r="H203" s="46"/>
      <c r="I203" s="46"/>
      <c r="J203" s="46"/>
      <c r="K203" s="46"/>
      <c r="L203" s="46"/>
      <c r="M203" s="46"/>
      <c r="N203" s="46"/>
      <c r="O203" s="46"/>
      <c r="P203" s="46"/>
      <c r="Q203" s="46"/>
      <c r="R203" s="46"/>
      <c r="S203" s="46"/>
      <c r="T203" s="46"/>
      <c r="U203" s="46"/>
      <c r="V203" s="46"/>
      <c r="W203" s="46"/>
      <c r="X203" s="46"/>
      <c r="Y203" s="46"/>
      <c r="Z203" s="46"/>
      <c r="AA203" s="46"/>
      <c r="AB203" s="46"/>
      <c r="AC203" s="46"/>
      <c r="AD203" s="2"/>
      <c r="AE203" s="46"/>
      <c r="AF203" s="46"/>
      <c r="AG203" s="46"/>
      <c r="AH203" s="46"/>
      <c r="AI203" s="46"/>
      <c r="AJ203" s="46"/>
      <c r="AK203" s="46"/>
      <c r="AL203" s="46"/>
      <c r="AM203" s="46"/>
      <c r="AN203" s="46"/>
      <c r="AO203" s="46"/>
      <c r="AP203" s="46"/>
      <c r="AQ203" s="46"/>
      <c r="AR203" s="46"/>
      <c r="AS203" s="46"/>
      <c r="AT203" s="46"/>
      <c r="AU203" s="46"/>
      <c r="AV203" s="230"/>
      <c r="AW203" s="230"/>
      <c r="AX203" s="230"/>
      <c r="AY203" s="230"/>
      <c r="AZ203" s="230"/>
      <c r="BA203" s="230"/>
      <c r="BB203" s="230"/>
      <c r="BC203" s="230"/>
      <c r="BD203" s="230"/>
      <c r="BE203" s="230"/>
      <c r="BF203" s="230"/>
      <c r="BG203" s="230"/>
      <c r="BH203" s="230"/>
      <c r="BI203" s="230"/>
      <c r="BJ203" s="230"/>
      <c r="BK203" s="230"/>
      <c r="BL203" s="230"/>
      <c r="BM203" s="230"/>
      <c r="BN203" s="230"/>
      <c r="BO203" s="230"/>
      <c r="BP203" s="230"/>
      <c r="BQ203" s="230"/>
    </row>
    <row r="204" spans="1:69" ht="15.75" customHeight="1">
      <c r="A204" s="46"/>
      <c r="B204" s="46"/>
      <c r="C204" s="46"/>
      <c r="D204" s="46"/>
      <c r="E204" s="245"/>
      <c r="F204" s="237"/>
      <c r="G204" s="237"/>
      <c r="H204" s="46"/>
      <c r="I204" s="46"/>
      <c r="J204" s="46"/>
      <c r="K204" s="46"/>
      <c r="L204" s="46"/>
      <c r="M204" s="46"/>
      <c r="N204" s="46"/>
      <c r="O204" s="46"/>
      <c r="P204" s="46"/>
      <c r="Q204" s="46"/>
      <c r="R204" s="46"/>
      <c r="S204" s="46"/>
      <c r="T204" s="46"/>
      <c r="U204" s="46"/>
      <c r="V204" s="46"/>
      <c r="W204" s="46"/>
      <c r="X204" s="46"/>
      <c r="Y204" s="46"/>
      <c r="Z204" s="46"/>
      <c r="AA204" s="46"/>
      <c r="AB204" s="46"/>
      <c r="AC204" s="46"/>
      <c r="AD204" s="2"/>
      <c r="AE204" s="46"/>
      <c r="AF204" s="46"/>
      <c r="AG204" s="46"/>
      <c r="AH204" s="46"/>
      <c r="AI204" s="46"/>
      <c r="AJ204" s="46"/>
      <c r="AK204" s="46"/>
      <c r="AL204" s="46"/>
      <c r="AM204" s="46"/>
      <c r="AN204" s="46"/>
      <c r="AO204" s="46"/>
      <c r="AP204" s="46"/>
      <c r="AQ204" s="46"/>
      <c r="AR204" s="46"/>
      <c r="AS204" s="46"/>
      <c r="AT204" s="46"/>
      <c r="AU204" s="46"/>
      <c r="AV204" s="230"/>
      <c r="AW204" s="230"/>
      <c r="AX204" s="230"/>
      <c r="AY204" s="230"/>
      <c r="AZ204" s="230"/>
      <c r="BA204" s="230"/>
      <c r="BB204" s="230"/>
      <c r="BC204" s="230"/>
      <c r="BD204" s="230"/>
      <c r="BE204" s="230"/>
      <c r="BF204" s="230"/>
      <c r="BG204" s="230"/>
      <c r="BH204" s="230"/>
      <c r="BI204" s="230"/>
      <c r="BJ204" s="230"/>
      <c r="BK204" s="230"/>
      <c r="BL204" s="230"/>
      <c r="BM204" s="230"/>
      <c r="BN204" s="230"/>
      <c r="BO204" s="230"/>
      <c r="BP204" s="230"/>
      <c r="BQ204" s="230"/>
    </row>
    <row r="205" spans="1:69" ht="15.75" customHeight="1">
      <c r="A205" s="46"/>
      <c r="B205" s="46"/>
      <c r="C205" s="46"/>
      <c r="D205" s="46"/>
      <c r="E205" s="245"/>
      <c r="F205" s="237"/>
      <c r="G205" s="237"/>
      <c r="H205" s="46"/>
      <c r="I205" s="46"/>
      <c r="J205" s="46"/>
      <c r="K205" s="46"/>
      <c r="L205" s="46"/>
      <c r="M205" s="46"/>
      <c r="N205" s="46"/>
      <c r="O205" s="46"/>
      <c r="P205" s="46"/>
      <c r="Q205" s="46"/>
      <c r="R205" s="46"/>
      <c r="S205" s="46"/>
      <c r="T205" s="46"/>
      <c r="U205" s="46"/>
      <c r="V205" s="46"/>
      <c r="W205" s="46"/>
      <c r="X205" s="46"/>
      <c r="Y205" s="46"/>
      <c r="Z205" s="46"/>
      <c r="AA205" s="46"/>
      <c r="AB205" s="46"/>
      <c r="AC205" s="46"/>
      <c r="AD205" s="2"/>
      <c r="AE205" s="46"/>
      <c r="AF205" s="46"/>
      <c r="AG205" s="46"/>
      <c r="AH205" s="46"/>
      <c r="AI205" s="46"/>
      <c r="AJ205" s="46"/>
      <c r="AK205" s="46"/>
      <c r="AL205" s="46"/>
      <c r="AM205" s="46"/>
      <c r="AN205" s="46"/>
      <c r="AO205" s="46"/>
      <c r="AP205" s="46"/>
      <c r="AQ205" s="46"/>
      <c r="AR205" s="46"/>
      <c r="AS205" s="46"/>
      <c r="AT205" s="46"/>
      <c r="AU205" s="46"/>
      <c r="AV205" s="230"/>
      <c r="AW205" s="230"/>
      <c r="AX205" s="230"/>
      <c r="AY205" s="230"/>
      <c r="AZ205" s="230"/>
      <c r="BA205" s="230"/>
      <c r="BB205" s="230"/>
      <c r="BC205" s="230"/>
      <c r="BD205" s="230"/>
      <c r="BE205" s="230"/>
      <c r="BF205" s="230"/>
      <c r="BG205" s="230"/>
      <c r="BH205" s="230"/>
      <c r="BI205" s="230"/>
      <c r="BJ205" s="230"/>
      <c r="BK205" s="230"/>
      <c r="BL205" s="230"/>
      <c r="BM205" s="230"/>
      <c r="BN205" s="230"/>
      <c r="BO205" s="230"/>
      <c r="BP205" s="230"/>
      <c r="BQ205" s="230"/>
    </row>
    <row r="206" spans="1:69" ht="15.75" customHeight="1">
      <c r="A206" s="46"/>
      <c r="B206" s="46"/>
      <c r="C206" s="46"/>
      <c r="D206" s="46"/>
      <c r="E206" s="245"/>
      <c r="F206" s="237"/>
      <c r="G206" s="237"/>
      <c r="H206" s="46"/>
      <c r="I206" s="46"/>
      <c r="J206" s="46"/>
      <c r="K206" s="46"/>
      <c r="L206" s="46"/>
      <c r="M206" s="46"/>
      <c r="N206" s="46"/>
      <c r="O206" s="46"/>
      <c r="P206" s="46"/>
      <c r="Q206" s="46"/>
      <c r="R206" s="46"/>
      <c r="S206" s="46"/>
      <c r="T206" s="46"/>
      <c r="U206" s="46"/>
      <c r="V206" s="46"/>
      <c r="W206" s="46"/>
      <c r="X206" s="46"/>
      <c r="Y206" s="46"/>
      <c r="Z206" s="46"/>
      <c r="AA206" s="46"/>
      <c r="AB206" s="46"/>
      <c r="AC206" s="46"/>
      <c r="AD206" s="2"/>
      <c r="AE206" s="46"/>
      <c r="AF206" s="46"/>
      <c r="AG206" s="46"/>
      <c r="AH206" s="46"/>
      <c r="AI206" s="46"/>
      <c r="AJ206" s="46"/>
      <c r="AK206" s="46"/>
      <c r="AL206" s="46"/>
      <c r="AM206" s="46"/>
      <c r="AN206" s="46"/>
      <c r="AO206" s="46"/>
      <c r="AP206" s="46"/>
      <c r="AQ206" s="46"/>
      <c r="AR206" s="46"/>
      <c r="AS206" s="46"/>
      <c r="AT206" s="46"/>
      <c r="AU206" s="46"/>
      <c r="AV206" s="230"/>
      <c r="AW206" s="230"/>
      <c r="AX206" s="230"/>
      <c r="AY206" s="230"/>
      <c r="AZ206" s="230"/>
      <c r="BA206" s="230"/>
      <c r="BB206" s="230"/>
      <c r="BC206" s="230"/>
      <c r="BD206" s="230"/>
      <c r="BE206" s="230"/>
      <c r="BF206" s="230"/>
      <c r="BG206" s="230"/>
      <c r="BH206" s="230"/>
      <c r="BI206" s="230"/>
      <c r="BJ206" s="230"/>
      <c r="BK206" s="230"/>
      <c r="BL206" s="230"/>
      <c r="BM206" s="230"/>
      <c r="BN206" s="230"/>
      <c r="BO206" s="230"/>
      <c r="BP206" s="230"/>
      <c r="BQ206" s="230"/>
    </row>
    <row r="207" spans="1:69" ht="15.75" customHeight="1">
      <c r="A207" s="46"/>
      <c r="B207" s="46"/>
      <c r="C207" s="46"/>
      <c r="D207" s="46"/>
      <c r="E207" s="245"/>
      <c r="F207" s="237"/>
      <c r="G207" s="237"/>
      <c r="H207" s="46"/>
      <c r="I207" s="46"/>
      <c r="J207" s="46"/>
      <c r="K207" s="46"/>
      <c r="L207" s="46"/>
      <c r="M207" s="46"/>
      <c r="N207" s="46"/>
      <c r="O207" s="46"/>
      <c r="P207" s="46"/>
      <c r="Q207" s="46"/>
      <c r="R207" s="46"/>
      <c r="S207" s="46"/>
      <c r="T207" s="46"/>
      <c r="U207" s="46"/>
      <c r="V207" s="46"/>
      <c r="W207" s="46"/>
      <c r="X207" s="46"/>
      <c r="Y207" s="46"/>
      <c r="Z207" s="46"/>
      <c r="AA207" s="46"/>
      <c r="AB207" s="46"/>
      <c r="AC207" s="46"/>
      <c r="AD207" s="2"/>
      <c r="AE207" s="46"/>
      <c r="AF207" s="46"/>
      <c r="AG207" s="46"/>
      <c r="AH207" s="46"/>
      <c r="AI207" s="46"/>
      <c r="AJ207" s="46"/>
      <c r="AK207" s="46"/>
      <c r="AL207" s="46"/>
      <c r="AM207" s="46"/>
      <c r="AN207" s="46"/>
      <c r="AO207" s="46"/>
      <c r="AP207" s="46"/>
      <c r="AQ207" s="46"/>
      <c r="AR207" s="46"/>
      <c r="AS207" s="46"/>
      <c r="AT207" s="46"/>
      <c r="AU207" s="46"/>
      <c r="AV207" s="230"/>
      <c r="AW207" s="230"/>
      <c r="AX207" s="230"/>
      <c r="AY207" s="230"/>
      <c r="AZ207" s="230"/>
      <c r="BA207" s="230"/>
      <c r="BB207" s="230"/>
      <c r="BC207" s="230"/>
      <c r="BD207" s="230"/>
      <c r="BE207" s="230"/>
      <c r="BF207" s="230"/>
      <c r="BG207" s="230"/>
      <c r="BH207" s="230"/>
      <c r="BI207" s="230"/>
      <c r="BJ207" s="230"/>
      <c r="BK207" s="230"/>
      <c r="BL207" s="230"/>
      <c r="BM207" s="230"/>
      <c r="BN207" s="230"/>
      <c r="BO207" s="230"/>
      <c r="BP207" s="230"/>
      <c r="BQ207" s="230"/>
    </row>
    <row r="208" spans="1:69" ht="15.75" customHeight="1">
      <c r="A208" s="46"/>
      <c r="B208" s="46"/>
      <c r="C208" s="46"/>
      <c r="D208" s="46"/>
      <c r="E208" s="245"/>
      <c r="F208" s="237"/>
      <c r="G208" s="237"/>
      <c r="H208" s="46"/>
      <c r="I208" s="46"/>
      <c r="J208" s="46"/>
      <c r="K208" s="46"/>
      <c r="L208" s="46"/>
      <c r="M208" s="46"/>
      <c r="N208" s="46"/>
      <c r="O208" s="46"/>
      <c r="P208" s="46"/>
      <c r="Q208" s="46"/>
      <c r="R208" s="46"/>
      <c r="S208" s="46"/>
      <c r="T208" s="46"/>
      <c r="U208" s="46"/>
      <c r="V208" s="46"/>
      <c r="W208" s="46"/>
      <c r="X208" s="46"/>
      <c r="Y208" s="46"/>
      <c r="Z208" s="46"/>
      <c r="AA208" s="46"/>
      <c r="AB208" s="46"/>
      <c r="AC208" s="46"/>
      <c r="AD208" s="2"/>
      <c r="AE208" s="46"/>
      <c r="AF208" s="46"/>
      <c r="AG208" s="46"/>
      <c r="AH208" s="46"/>
      <c r="AI208" s="46"/>
      <c r="AJ208" s="46"/>
      <c r="AK208" s="46"/>
      <c r="AL208" s="46"/>
      <c r="AM208" s="46"/>
      <c r="AN208" s="46"/>
      <c r="AO208" s="46"/>
      <c r="AP208" s="46"/>
      <c r="AQ208" s="46"/>
      <c r="AR208" s="46"/>
      <c r="AS208" s="46"/>
      <c r="AT208" s="46"/>
      <c r="AU208" s="46"/>
      <c r="AV208" s="230"/>
      <c r="AW208" s="230"/>
      <c r="AX208" s="230"/>
      <c r="AY208" s="230"/>
      <c r="AZ208" s="230"/>
      <c r="BA208" s="230"/>
      <c r="BB208" s="230"/>
      <c r="BC208" s="230"/>
      <c r="BD208" s="230"/>
      <c r="BE208" s="230"/>
      <c r="BF208" s="230"/>
      <c r="BG208" s="230"/>
      <c r="BH208" s="230"/>
      <c r="BI208" s="230"/>
      <c r="BJ208" s="230"/>
      <c r="BK208" s="230"/>
      <c r="BL208" s="230"/>
      <c r="BM208" s="230"/>
      <c r="BN208" s="230"/>
      <c r="BO208" s="230"/>
      <c r="BP208" s="230"/>
      <c r="BQ208" s="230"/>
    </row>
    <row r="209" spans="1:69" ht="15.75" customHeight="1">
      <c r="A209" s="46"/>
      <c r="B209" s="46"/>
      <c r="C209" s="46"/>
      <c r="D209" s="46"/>
      <c r="E209" s="245"/>
      <c r="F209" s="237"/>
      <c r="G209" s="237"/>
      <c r="H209" s="46"/>
      <c r="I209" s="46"/>
      <c r="J209" s="46"/>
      <c r="K209" s="46"/>
      <c r="L209" s="46"/>
      <c r="M209" s="46"/>
      <c r="N209" s="46"/>
      <c r="O209" s="46"/>
      <c r="P209" s="46"/>
      <c r="Q209" s="46"/>
      <c r="R209" s="46"/>
      <c r="S209" s="46"/>
      <c r="T209" s="46"/>
      <c r="U209" s="46"/>
      <c r="V209" s="46"/>
      <c r="W209" s="46"/>
      <c r="X209" s="46"/>
      <c r="Y209" s="46"/>
      <c r="Z209" s="46"/>
      <c r="AA209" s="46"/>
      <c r="AB209" s="46"/>
      <c r="AC209" s="46"/>
      <c r="AD209" s="2"/>
      <c r="AE209" s="46"/>
      <c r="AF209" s="46"/>
      <c r="AG209" s="46"/>
      <c r="AH209" s="46"/>
      <c r="AI209" s="46"/>
      <c r="AJ209" s="46"/>
      <c r="AK209" s="46"/>
      <c r="AL209" s="46"/>
      <c r="AM209" s="46"/>
      <c r="AN209" s="46"/>
      <c r="AO209" s="46"/>
      <c r="AP209" s="46"/>
      <c r="AQ209" s="46"/>
      <c r="AR209" s="46"/>
      <c r="AS209" s="46"/>
      <c r="AT209" s="46"/>
      <c r="AU209" s="46"/>
      <c r="AV209" s="230"/>
      <c r="AW209" s="230"/>
      <c r="AX209" s="230"/>
      <c r="AY209" s="230"/>
      <c r="AZ209" s="230"/>
      <c r="BA209" s="230"/>
      <c r="BB209" s="230"/>
      <c r="BC209" s="230"/>
      <c r="BD209" s="230"/>
      <c r="BE209" s="230"/>
      <c r="BF209" s="230"/>
      <c r="BG209" s="230"/>
      <c r="BH209" s="230"/>
      <c r="BI209" s="230"/>
      <c r="BJ209" s="230"/>
      <c r="BK209" s="230"/>
      <c r="BL209" s="230"/>
      <c r="BM209" s="230"/>
      <c r="BN209" s="230"/>
      <c r="BO209" s="230"/>
      <c r="BP209" s="230"/>
      <c r="BQ209" s="230"/>
    </row>
    <row r="210" spans="1:69" ht="15.75" customHeight="1">
      <c r="A210" s="46"/>
      <c r="B210" s="46"/>
      <c r="C210" s="46"/>
      <c r="D210" s="46"/>
      <c r="E210" s="245"/>
      <c r="F210" s="237"/>
      <c r="G210" s="237"/>
      <c r="H210" s="46"/>
      <c r="I210" s="46"/>
      <c r="J210" s="46"/>
      <c r="K210" s="46"/>
      <c r="L210" s="46"/>
      <c r="M210" s="46"/>
      <c r="N210" s="46"/>
      <c r="O210" s="46"/>
      <c r="P210" s="46"/>
      <c r="Q210" s="46"/>
      <c r="R210" s="46"/>
      <c r="S210" s="46"/>
      <c r="T210" s="46"/>
      <c r="U210" s="46"/>
      <c r="V210" s="46"/>
      <c r="W210" s="46"/>
      <c r="X210" s="46"/>
      <c r="Y210" s="46"/>
      <c r="Z210" s="46"/>
      <c r="AA210" s="46"/>
      <c r="AB210" s="46"/>
      <c r="AC210" s="46"/>
      <c r="AD210" s="2"/>
      <c r="AE210" s="46"/>
      <c r="AF210" s="46"/>
      <c r="AG210" s="46"/>
      <c r="AH210" s="46"/>
      <c r="AI210" s="46"/>
      <c r="AJ210" s="46"/>
      <c r="AK210" s="46"/>
      <c r="AL210" s="46"/>
      <c r="AM210" s="46"/>
      <c r="AN210" s="46"/>
      <c r="AO210" s="46"/>
      <c r="AP210" s="46"/>
      <c r="AQ210" s="46"/>
      <c r="AR210" s="46"/>
      <c r="AS210" s="46"/>
      <c r="AT210" s="46"/>
      <c r="AU210" s="46"/>
      <c r="AV210" s="230"/>
      <c r="AW210" s="230"/>
      <c r="AX210" s="230"/>
      <c r="AY210" s="230"/>
      <c r="AZ210" s="230"/>
      <c r="BA210" s="230"/>
      <c r="BB210" s="230"/>
      <c r="BC210" s="230"/>
      <c r="BD210" s="230"/>
      <c r="BE210" s="230"/>
      <c r="BF210" s="230"/>
      <c r="BG210" s="230"/>
      <c r="BH210" s="230"/>
      <c r="BI210" s="230"/>
      <c r="BJ210" s="230"/>
      <c r="BK210" s="230"/>
      <c r="BL210" s="230"/>
      <c r="BM210" s="230"/>
      <c r="BN210" s="230"/>
      <c r="BO210" s="230"/>
      <c r="BP210" s="230"/>
      <c r="BQ210" s="230"/>
    </row>
    <row r="211" spans="1:69" ht="15.75" customHeight="1">
      <c r="A211" s="46"/>
      <c r="B211" s="46"/>
      <c r="C211" s="46"/>
      <c r="D211" s="46"/>
      <c r="E211" s="245"/>
      <c r="F211" s="237"/>
      <c r="G211" s="237"/>
      <c r="H211" s="46"/>
      <c r="I211" s="46"/>
      <c r="J211" s="46"/>
      <c r="K211" s="46"/>
      <c r="L211" s="46"/>
      <c r="M211" s="46"/>
      <c r="N211" s="46"/>
      <c r="O211" s="46"/>
      <c r="P211" s="46"/>
      <c r="Q211" s="46"/>
      <c r="R211" s="46"/>
      <c r="S211" s="46"/>
      <c r="T211" s="46"/>
      <c r="U211" s="46"/>
      <c r="V211" s="46"/>
      <c r="W211" s="46"/>
      <c r="X211" s="46"/>
      <c r="Y211" s="46"/>
      <c r="Z211" s="46"/>
      <c r="AA211" s="46"/>
      <c r="AB211" s="46"/>
      <c r="AC211" s="46"/>
      <c r="AD211" s="2"/>
      <c r="AE211" s="46"/>
      <c r="AF211" s="46"/>
      <c r="AG211" s="46"/>
      <c r="AH211" s="46"/>
      <c r="AI211" s="46"/>
      <c r="AJ211" s="46"/>
      <c r="AK211" s="46"/>
      <c r="AL211" s="46"/>
      <c r="AM211" s="46"/>
      <c r="AN211" s="46"/>
      <c r="AO211" s="46"/>
      <c r="AP211" s="46"/>
      <c r="AQ211" s="46"/>
      <c r="AR211" s="46"/>
      <c r="AS211" s="46"/>
      <c r="AT211" s="46"/>
      <c r="AU211" s="46"/>
      <c r="AV211" s="230"/>
      <c r="AW211" s="230"/>
      <c r="AX211" s="230"/>
      <c r="AY211" s="230"/>
      <c r="AZ211" s="230"/>
      <c r="BA211" s="230"/>
      <c r="BB211" s="230"/>
      <c r="BC211" s="230"/>
      <c r="BD211" s="230"/>
      <c r="BE211" s="230"/>
      <c r="BF211" s="230"/>
      <c r="BG211" s="230"/>
      <c r="BH211" s="230"/>
      <c r="BI211" s="230"/>
      <c r="BJ211" s="230"/>
      <c r="BK211" s="230"/>
      <c r="BL211" s="230"/>
      <c r="BM211" s="230"/>
      <c r="BN211" s="230"/>
      <c r="BO211" s="230"/>
      <c r="BP211" s="230"/>
      <c r="BQ211" s="230"/>
    </row>
    <row r="212" spans="1:69" ht="15.75" customHeight="1">
      <c r="A212" s="46"/>
      <c r="B212" s="46"/>
      <c r="C212" s="46"/>
      <c r="D212" s="46"/>
      <c r="E212" s="245"/>
      <c r="F212" s="237"/>
      <c r="G212" s="237"/>
      <c r="H212" s="46"/>
      <c r="I212" s="46"/>
      <c r="J212" s="46"/>
      <c r="K212" s="46"/>
      <c r="L212" s="46"/>
      <c r="M212" s="46"/>
      <c r="N212" s="46"/>
      <c r="O212" s="46"/>
      <c r="P212" s="46"/>
      <c r="Q212" s="46"/>
      <c r="R212" s="46"/>
      <c r="S212" s="46"/>
      <c r="T212" s="46"/>
      <c r="U212" s="46"/>
      <c r="V212" s="46"/>
      <c r="W212" s="46"/>
      <c r="X212" s="46"/>
      <c r="Y212" s="46"/>
      <c r="Z212" s="46"/>
      <c r="AA212" s="46"/>
      <c r="AB212" s="46"/>
      <c r="AC212" s="46"/>
      <c r="AD212" s="2"/>
      <c r="AE212" s="46"/>
      <c r="AF212" s="46"/>
      <c r="AG212" s="46"/>
      <c r="AH212" s="46"/>
      <c r="AI212" s="46"/>
      <c r="AJ212" s="46"/>
      <c r="AK212" s="46"/>
      <c r="AL212" s="46"/>
      <c r="AM212" s="46"/>
      <c r="AN212" s="46"/>
      <c r="AO212" s="46"/>
      <c r="AP212" s="46"/>
      <c r="AQ212" s="46"/>
      <c r="AR212" s="46"/>
      <c r="AS212" s="46"/>
      <c r="AT212" s="46"/>
      <c r="AU212" s="46"/>
      <c r="AV212" s="230"/>
      <c r="AW212" s="230"/>
      <c r="AX212" s="230"/>
      <c r="AY212" s="230"/>
      <c r="AZ212" s="230"/>
      <c r="BA212" s="230"/>
      <c r="BB212" s="230"/>
      <c r="BC212" s="230"/>
      <c r="BD212" s="230"/>
      <c r="BE212" s="230"/>
      <c r="BF212" s="230"/>
      <c r="BG212" s="230"/>
      <c r="BH212" s="230"/>
      <c r="BI212" s="230"/>
      <c r="BJ212" s="230"/>
      <c r="BK212" s="230"/>
      <c r="BL212" s="230"/>
      <c r="BM212" s="230"/>
      <c r="BN212" s="230"/>
      <c r="BO212" s="230"/>
      <c r="BP212" s="230"/>
      <c r="BQ212" s="230"/>
    </row>
    <row r="213" spans="1:69" ht="15.75" customHeight="1">
      <c r="A213" s="46"/>
      <c r="B213" s="46"/>
      <c r="C213" s="46"/>
      <c r="D213" s="46"/>
      <c r="E213" s="245"/>
      <c r="F213" s="237"/>
      <c r="G213" s="237"/>
      <c r="H213" s="46"/>
      <c r="I213" s="46"/>
      <c r="J213" s="46"/>
      <c r="K213" s="46"/>
      <c r="L213" s="46"/>
      <c r="M213" s="46"/>
      <c r="N213" s="46"/>
      <c r="O213" s="46"/>
      <c r="P213" s="46"/>
      <c r="Q213" s="46"/>
      <c r="R213" s="46"/>
      <c r="S213" s="46"/>
      <c r="T213" s="46"/>
      <c r="U213" s="46"/>
      <c r="V213" s="46"/>
      <c r="W213" s="46"/>
      <c r="X213" s="46"/>
      <c r="Y213" s="46"/>
      <c r="Z213" s="46"/>
      <c r="AA213" s="46"/>
      <c r="AB213" s="46"/>
      <c r="AC213" s="46"/>
      <c r="AD213" s="2"/>
      <c r="AE213" s="46"/>
      <c r="AF213" s="46"/>
      <c r="AG213" s="46"/>
      <c r="AH213" s="46"/>
      <c r="AI213" s="46"/>
      <c r="AJ213" s="46"/>
      <c r="AK213" s="46"/>
      <c r="AL213" s="46"/>
      <c r="AM213" s="46"/>
      <c r="AN213" s="46"/>
      <c r="AO213" s="46"/>
      <c r="AP213" s="46"/>
      <c r="AQ213" s="46"/>
      <c r="AR213" s="46"/>
      <c r="AS213" s="46"/>
      <c r="AT213" s="46"/>
      <c r="AU213" s="46"/>
      <c r="AV213" s="230"/>
      <c r="AW213" s="230"/>
      <c r="AX213" s="230"/>
      <c r="AY213" s="230"/>
      <c r="AZ213" s="230"/>
      <c r="BA213" s="230"/>
      <c r="BB213" s="230"/>
      <c r="BC213" s="230"/>
      <c r="BD213" s="230"/>
      <c r="BE213" s="230"/>
      <c r="BF213" s="230"/>
      <c r="BG213" s="230"/>
      <c r="BH213" s="230"/>
      <c r="BI213" s="230"/>
      <c r="BJ213" s="230"/>
      <c r="BK213" s="230"/>
      <c r="BL213" s="230"/>
      <c r="BM213" s="230"/>
      <c r="BN213" s="230"/>
      <c r="BO213" s="230"/>
      <c r="BP213" s="230"/>
      <c r="BQ213" s="230"/>
    </row>
    <row r="214" spans="1:69" ht="15.75" customHeight="1">
      <c r="A214" s="46"/>
      <c r="B214" s="46"/>
      <c r="C214" s="46"/>
      <c r="D214" s="46"/>
      <c r="E214" s="245"/>
      <c r="F214" s="237"/>
      <c r="G214" s="237"/>
      <c r="H214" s="46"/>
      <c r="I214" s="46"/>
      <c r="J214" s="46"/>
      <c r="K214" s="46"/>
      <c r="L214" s="46"/>
      <c r="M214" s="46"/>
      <c r="N214" s="46"/>
      <c r="O214" s="46"/>
      <c r="P214" s="46"/>
      <c r="Q214" s="46"/>
      <c r="R214" s="46"/>
      <c r="S214" s="46"/>
      <c r="T214" s="46"/>
      <c r="U214" s="46"/>
      <c r="V214" s="46"/>
      <c r="W214" s="46"/>
      <c r="X214" s="46"/>
      <c r="Y214" s="46"/>
      <c r="Z214" s="46"/>
      <c r="AA214" s="46"/>
      <c r="AB214" s="46"/>
      <c r="AC214" s="46"/>
      <c r="AD214" s="2"/>
      <c r="AE214" s="46"/>
      <c r="AF214" s="46"/>
      <c r="AG214" s="46"/>
      <c r="AH214" s="46"/>
      <c r="AI214" s="46"/>
      <c r="AJ214" s="46"/>
      <c r="AK214" s="46"/>
      <c r="AL214" s="46"/>
      <c r="AM214" s="46"/>
      <c r="AN214" s="46"/>
      <c r="AO214" s="46"/>
      <c r="AP214" s="46"/>
      <c r="AQ214" s="46"/>
      <c r="AR214" s="46"/>
      <c r="AS214" s="46"/>
      <c r="AT214" s="46"/>
      <c r="AU214" s="46"/>
      <c r="AV214" s="230"/>
      <c r="AW214" s="230"/>
      <c r="AX214" s="230"/>
      <c r="AY214" s="230"/>
      <c r="AZ214" s="230"/>
      <c r="BA214" s="230"/>
      <c r="BB214" s="230"/>
      <c r="BC214" s="230"/>
      <c r="BD214" s="230"/>
      <c r="BE214" s="230"/>
      <c r="BF214" s="230"/>
      <c r="BG214" s="230"/>
      <c r="BH214" s="230"/>
      <c r="BI214" s="230"/>
      <c r="BJ214" s="230"/>
      <c r="BK214" s="230"/>
      <c r="BL214" s="230"/>
      <c r="BM214" s="230"/>
      <c r="BN214" s="230"/>
      <c r="BO214" s="230"/>
      <c r="BP214" s="230"/>
      <c r="BQ214" s="230"/>
    </row>
    <row r="215" spans="1:69" ht="15.75" customHeight="1">
      <c r="A215" s="46"/>
      <c r="B215" s="46"/>
      <c r="C215" s="46"/>
      <c r="D215" s="46"/>
      <c r="E215" s="245"/>
      <c r="F215" s="237"/>
      <c r="G215" s="237"/>
      <c r="H215" s="46"/>
      <c r="I215" s="46"/>
      <c r="J215" s="46"/>
      <c r="K215" s="46"/>
      <c r="L215" s="46"/>
      <c r="M215" s="46"/>
      <c r="N215" s="46"/>
      <c r="O215" s="46"/>
      <c r="P215" s="46"/>
      <c r="Q215" s="46"/>
      <c r="R215" s="46"/>
      <c r="S215" s="46"/>
      <c r="T215" s="46"/>
      <c r="U215" s="46"/>
      <c r="V215" s="46"/>
      <c r="W215" s="46"/>
      <c r="X215" s="46"/>
      <c r="Y215" s="46"/>
      <c r="Z215" s="46"/>
      <c r="AA215" s="46"/>
      <c r="AB215" s="46"/>
      <c r="AC215" s="46"/>
      <c r="AD215" s="2"/>
      <c r="AE215" s="46"/>
      <c r="AF215" s="46"/>
      <c r="AG215" s="46"/>
      <c r="AH215" s="46"/>
      <c r="AI215" s="46"/>
      <c r="AJ215" s="46"/>
      <c r="AK215" s="46"/>
      <c r="AL215" s="46"/>
      <c r="AM215" s="46"/>
      <c r="AN215" s="46"/>
      <c r="AO215" s="46"/>
      <c r="AP215" s="46"/>
      <c r="AQ215" s="46"/>
      <c r="AR215" s="46"/>
      <c r="AS215" s="46"/>
      <c r="AT215" s="46"/>
      <c r="AU215" s="46"/>
      <c r="AV215" s="230"/>
      <c r="AW215" s="230"/>
      <c r="AX215" s="230"/>
      <c r="AY215" s="230"/>
      <c r="AZ215" s="230"/>
      <c r="BA215" s="230"/>
      <c r="BB215" s="230"/>
      <c r="BC215" s="230"/>
      <c r="BD215" s="230"/>
      <c r="BE215" s="230"/>
      <c r="BF215" s="230"/>
      <c r="BG215" s="230"/>
      <c r="BH215" s="230"/>
      <c r="BI215" s="230"/>
      <c r="BJ215" s="230"/>
      <c r="BK215" s="230"/>
      <c r="BL215" s="230"/>
      <c r="BM215" s="230"/>
      <c r="BN215" s="230"/>
      <c r="BO215" s="230"/>
      <c r="BP215" s="230"/>
      <c r="BQ215" s="230"/>
    </row>
    <row r="216" spans="1:69" ht="15.75" customHeight="1">
      <c r="A216" s="46"/>
      <c r="B216" s="46"/>
      <c r="C216" s="46"/>
      <c r="D216" s="46"/>
      <c r="E216" s="245"/>
      <c r="F216" s="237"/>
      <c r="G216" s="237"/>
      <c r="H216" s="46"/>
      <c r="I216" s="46"/>
      <c r="J216" s="46"/>
      <c r="K216" s="46"/>
      <c r="L216" s="46"/>
      <c r="M216" s="46"/>
      <c r="N216" s="46"/>
      <c r="O216" s="46"/>
      <c r="P216" s="46"/>
      <c r="Q216" s="46"/>
      <c r="R216" s="46"/>
      <c r="S216" s="46"/>
      <c r="T216" s="46"/>
      <c r="U216" s="46"/>
      <c r="V216" s="46"/>
      <c r="W216" s="46"/>
      <c r="X216" s="46"/>
      <c r="Y216" s="46"/>
      <c r="Z216" s="46"/>
      <c r="AA216" s="46"/>
      <c r="AB216" s="46"/>
      <c r="AC216" s="46"/>
      <c r="AD216" s="2"/>
      <c r="AE216" s="46"/>
      <c r="AF216" s="46"/>
      <c r="AG216" s="46"/>
      <c r="AH216" s="46"/>
      <c r="AI216" s="46"/>
      <c r="AJ216" s="46"/>
      <c r="AK216" s="46"/>
      <c r="AL216" s="46"/>
      <c r="AM216" s="46"/>
      <c r="AN216" s="46"/>
      <c r="AO216" s="46"/>
      <c r="AP216" s="46"/>
      <c r="AQ216" s="46"/>
      <c r="AR216" s="46"/>
      <c r="AS216" s="46"/>
      <c r="AT216" s="46"/>
      <c r="AU216" s="46"/>
      <c r="AV216" s="230"/>
      <c r="AW216" s="230"/>
      <c r="AX216" s="230"/>
      <c r="AY216" s="230"/>
      <c r="AZ216" s="230"/>
      <c r="BA216" s="230"/>
      <c r="BB216" s="230"/>
      <c r="BC216" s="230"/>
      <c r="BD216" s="230"/>
      <c r="BE216" s="230"/>
      <c r="BF216" s="230"/>
      <c r="BG216" s="230"/>
      <c r="BH216" s="230"/>
      <c r="BI216" s="230"/>
      <c r="BJ216" s="230"/>
      <c r="BK216" s="230"/>
      <c r="BL216" s="230"/>
      <c r="BM216" s="230"/>
      <c r="BN216" s="230"/>
      <c r="BO216" s="230"/>
      <c r="BP216" s="230"/>
      <c r="BQ216" s="230"/>
    </row>
    <row r="217" spans="1:69" ht="15.75" customHeight="1">
      <c r="A217" s="46"/>
      <c r="B217" s="46"/>
      <c r="C217" s="46"/>
      <c r="D217" s="46"/>
      <c r="E217" s="245"/>
      <c r="F217" s="237"/>
      <c r="G217" s="237"/>
      <c r="H217" s="46"/>
      <c r="I217" s="46"/>
      <c r="J217" s="46"/>
      <c r="K217" s="46"/>
      <c r="L217" s="46"/>
      <c r="M217" s="46"/>
      <c r="N217" s="46"/>
      <c r="O217" s="46"/>
      <c r="P217" s="46"/>
      <c r="Q217" s="46"/>
      <c r="R217" s="46"/>
      <c r="S217" s="46"/>
      <c r="T217" s="46"/>
      <c r="U217" s="46"/>
      <c r="V217" s="46"/>
      <c r="W217" s="46"/>
      <c r="X217" s="46"/>
      <c r="Y217" s="46"/>
      <c r="Z217" s="46"/>
      <c r="AA217" s="46"/>
      <c r="AB217" s="46"/>
      <c r="AC217" s="46"/>
      <c r="AD217" s="2"/>
      <c r="AE217" s="46"/>
      <c r="AF217" s="46"/>
      <c r="AG217" s="46"/>
      <c r="AH217" s="46"/>
      <c r="AI217" s="46"/>
      <c r="AJ217" s="46"/>
      <c r="AK217" s="46"/>
      <c r="AL217" s="46"/>
      <c r="AM217" s="46"/>
      <c r="AN217" s="46"/>
      <c r="AO217" s="46"/>
      <c r="AP217" s="46"/>
      <c r="AQ217" s="46"/>
      <c r="AR217" s="46"/>
      <c r="AS217" s="46"/>
      <c r="AT217" s="46"/>
      <c r="AU217" s="46"/>
      <c r="AV217" s="230"/>
      <c r="AW217" s="230"/>
      <c r="AX217" s="230"/>
      <c r="AY217" s="230"/>
      <c r="AZ217" s="230"/>
      <c r="BA217" s="230"/>
      <c r="BB217" s="230"/>
      <c r="BC217" s="230"/>
      <c r="BD217" s="230"/>
      <c r="BE217" s="230"/>
      <c r="BF217" s="230"/>
      <c r="BG217" s="230"/>
      <c r="BH217" s="230"/>
      <c r="BI217" s="230"/>
      <c r="BJ217" s="230"/>
      <c r="BK217" s="230"/>
      <c r="BL217" s="230"/>
      <c r="BM217" s="230"/>
      <c r="BN217" s="230"/>
      <c r="BO217" s="230"/>
      <c r="BP217" s="230"/>
      <c r="BQ217" s="230"/>
    </row>
    <row r="218" spans="1:69" ht="15.75" customHeight="1">
      <c r="A218" s="46"/>
      <c r="B218" s="46"/>
      <c r="C218" s="46"/>
      <c r="D218" s="46"/>
      <c r="E218" s="245"/>
      <c r="F218" s="237"/>
      <c r="G218" s="237"/>
      <c r="H218" s="46"/>
      <c r="I218" s="46"/>
      <c r="J218" s="46"/>
      <c r="K218" s="46"/>
      <c r="L218" s="46"/>
      <c r="M218" s="46"/>
      <c r="N218" s="46"/>
      <c r="O218" s="46"/>
      <c r="P218" s="46"/>
      <c r="Q218" s="46"/>
      <c r="R218" s="46"/>
      <c r="S218" s="46"/>
      <c r="T218" s="46"/>
      <c r="U218" s="46"/>
      <c r="V218" s="46"/>
      <c r="W218" s="46"/>
      <c r="X218" s="46"/>
      <c r="Y218" s="46"/>
      <c r="Z218" s="46"/>
      <c r="AA218" s="46"/>
      <c r="AB218" s="46"/>
      <c r="AC218" s="46"/>
      <c r="AD218" s="2"/>
      <c r="AE218" s="46"/>
      <c r="AF218" s="46"/>
      <c r="AG218" s="46"/>
      <c r="AH218" s="46"/>
      <c r="AI218" s="46"/>
      <c r="AJ218" s="46"/>
      <c r="AK218" s="46"/>
      <c r="AL218" s="46"/>
      <c r="AM218" s="46"/>
      <c r="AN218" s="46"/>
      <c r="AO218" s="46"/>
      <c r="AP218" s="46"/>
      <c r="AQ218" s="46"/>
      <c r="AR218" s="46"/>
      <c r="AS218" s="46"/>
      <c r="AT218" s="46"/>
      <c r="AU218" s="46"/>
      <c r="AV218" s="230"/>
      <c r="AW218" s="230"/>
      <c r="AX218" s="230"/>
      <c r="AY218" s="230"/>
      <c r="AZ218" s="230"/>
      <c r="BA218" s="230"/>
      <c r="BB218" s="230"/>
      <c r="BC218" s="230"/>
      <c r="BD218" s="230"/>
      <c r="BE218" s="230"/>
      <c r="BF218" s="230"/>
      <c r="BG218" s="230"/>
      <c r="BH218" s="230"/>
      <c r="BI218" s="230"/>
      <c r="BJ218" s="230"/>
      <c r="BK218" s="230"/>
      <c r="BL218" s="230"/>
      <c r="BM218" s="230"/>
      <c r="BN218" s="230"/>
      <c r="BO218" s="230"/>
      <c r="BP218" s="230"/>
      <c r="BQ218" s="230"/>
    </row>
    <row r="219" spans="1:69" ht="15.75" customHeight="1">
      <c r="A219" s="46"/>
      <c r="B219" s="46"/>
      <c r="C219" s="46"/>
      <c r="D219" s="46"/>
      <c r="E219" s="245"/>
      <c r="F219" s="237"/>
      <c r="G219" s="237"/>
      <c r="H219" s="46"/>
      <c r="I219" s="46"/>
      <c r="J219" s="46"/>
      <c r="K219" s="46"/>
      <c r="L219" s="46"/>
      <c r="M219" s="46"/>
      <c r="N219" s="46"/>
      <c r="O219" s="46"/>
      <c r="P219" s="46"/>
      <c r="Q219" s="46"/>
      <c r="R219" s="46"/>
      <c r="S219" s="46"/>
      <c r="T219" s="46"/>
      <c r="U219" s="46"/>
      <c r="V219" s="46"/>
      <c r="W219" s="46"/>
      <c r="X219" s="46"/>
      <c r="Y219" s="46"/>
      <c r="Z219" s="46"/>
      <c r="AA219" s="46"/>
      <c r="AB219" s="46"/>
      <c r="AC219" s="46"/>
      <c r="AD219" s="2"/>
      <c r="AE219" s="46"/>
      <c r="AF219" s="46"/>
      <c r="AG219" s="46"/>
      <c r="AH219" s="46"/>
      <c r="AI219" s="46"/>
      <c r="AJ219" s="46"/>
      <c r="AK219" s="46"/>
      <c r="AL219" s="46"/>
      <c r="AM219" s="46"/>
      <c r="AN219" s="46"/>
      <c r="AO219" s="46"/>
      <c r="AP219" s="46"/>
      <c r="AQ219" s="46"/>
      <c r="AR219" s="46"/>
      <c r="AS219" s="46"/>
      <c r="AT219" s="46"/>
      <c r="AU219" s="46"/>
      <c r="AV219" s="230"/>
      <c r="AW219" s="230"/>
      <c r="AX219" s="230"/>
      <c r="AY219" s="230"/>
      <c r="AZ219" s="230"/>
      <c r="BA219" s="230"/>
      <c r="BB219" s="230"/>
      <c r="BC219" s="230"/>
      <c r="BD219" s="230"/>
      <c r="BE219" s="230"/>
      <c r="BF219" s="230"/>
      <c r="BG219" s="230"/>
      <c r="BH219" s="230"/>
      <c r="BI219" s="230"/>
      <c r="BJ219" s="230"/>
      <c r="BK219" s="230"/>
      <c r="BL219" s="230"/>
      <c r="BM219" s="230"/>
      <c r="BN219" s="230"/>
      <c r="BO219" s="230"/>
      <c r="BP219" s="230"/>
      <c r="BQ219" s="230"/>
    </row>
    <row r="220" spans="1:69" ht="15.75" customHeight="1">
      <c r="A220" s="46"/>
      <c r="B220" s="46"/>
      <c r="C220" s="46"/>
      <c r="D220" s="46"/>
      <c r="E220" s="245"/>
      <c r="F220" s="237"/>
      <c r="G220" s="237"/>
      <c r="H220" s="46"/>
      <c r="I220" s="46"/>
      <c r="J220" s="46"/>
      <c r="K220" s="46"/>
      <c r="L220" s="46"/>
      <c r="M220" s="46"/>
      <c r="N220" s="46"/>
      <c r="O220" s="46"/>
      <c r="P220" s="46"/>
      <c r="Q220" s="46"/>
      <c r="R220" s="46"/>
      <c r="S220" s="46"/>
      <c r="T220" s="46"/>
      <c r="U220" s="46"/>
      <c r="V220" s="46"/>
      <c r="W220" s="46"/>
      <c r="X220" s="46"/>
      <c r="Y220" s="46"/>
      <c r="Z220" s="46"/>
      <c r="AA220" s="46"/>
      <c r="AB220" s="46"/>
      <c r="AC220" s="46"/>
      <c r="AD220" s="2"/>
      <c r="AE220" s="46"/>
      <c r="AF220" s="46"/>
      <c r="AG220" s="46"/>
      <c r="AH220" s="46"/>
      <c r="AI220" s="46"/>
      <c r="AJ220" s="46"/>
      <c r="AK220" s="46"/>
      <c r="AL220" s="46"/>
      <c r="AM220" s="46"/>
      <c r="AN220" s="46"/>
      <c r="AO220" s="46"/>
      <c r="AP220" s="46"/>
      <c r="AQ220" s="46"/>
      <c r="AR220" s="46"/>
      <c r="AS220" s="46"/>
      <c r="AT220" s="46"/>
      <c r="AU220" s="46"/>
      <c r="AV220" s="230"/>
      <c r="AW220" s="230"/>
      <c r="AX220" s="230"/>
      <c r="AY220" s="230"/>
      <c r="AZ220" s="230"/>
      <c r="BA220" s="230"/>
      <c r="BB220" s="230"/>
      <c r="BC220" s="230"/>
      <c r="BD220" s="230"/>
      <c r="BE220" s="230"/>
      <c r="BF220" s="230"/>
      <c r="BG220" s="230"/>
      <c r="BH220" s="230"/>
      <c r="BI220" s="230"/>
      <c r="BJ220" s="230"/>
      <c r="BK220" s="230"/>
      <c r="BL220" s="230"/>
      <c r="BM220" s="230"/>
      <c r="BN220" s="230"/>
      <c r="BO220" s="230"/>
      <c r="BP220" s="230"/>
      <c r="BQ220" s="230"/>
    </row>
    <row r="221" spans="1:69" ht="15.75" customHeight="1">
      <c r="A221" s="46"/>
      <c r="B221" s="46"/>
      <c r="C221" s="46"/>
      <c r="D221" s="46"/>
      <c r="E221" s="245"/>
      <c r="F221" s="237"/>
      <c r="G221" s="237"/>
      <c r="H221" s="46"/>
      <c r="I221" s="46"/>
      <c r="J221" s="46"/>
      <c r="K221" s="46"/>
      <c r="L221" s="46"/>
      <c r="M221" s="46"/>
      <c r="N221" s="46"/>
      <c r="O221" s="46"/>
      <c r="P221" s="46"/>
      <c r="Q221" s="46"/>
      <c r="R221" s="46"/>
      <c r="S221" s="46"/>
      <c r="T221" s="46"/>
      <c r="U221" s="46"/>
      <c r="V221" s="46"/>
      <c r="W221" s="46"/>
      <c r="X221" s="46"/>
      <c r="Y221" s="46"/>
      <c r="Z221" s="46"/>
      <c r="AA221" s="46"/>
      <c r="AB221" s="46"/>
      <c r="AC221" s="46"/>
      <c r="AD221" s="2"/>
      <c r="AE221" s="46"/>
      <c r="AF221" s="46"/>
      <c r="AG221" s="46"/>
      <c r="AH221" s="46"/>
      <c r="AI221" s="46"/>
      <c r="AJ221" s="46"/>
      <c r="AK221" s="46"/>
      <c r="AL221" s="46"/>
      <c r="AM221" s="46"/>
      <c r="AN221" s="46"/>
      <c r="AO221" s="46"/>
      <c r="AP221" s="46"/>
      <c r="AQ221" s="46"/>
      <c r="AR221" s="46"/>
      <c r="AS221" s="46"/>
      <c r="AT221" s="46"/>
      <c r="AU221" s="46"/>
      <c r="AV221" s="230"/>
      <c r="AW221" s="230"/>
      <c r="AX221" s="230"/>
      <c r="AY221" s="230"/>
      <c r="AZ221" s="230"/>
      <c r="BA221" s="230"/>
      <c r="BB221" s="230"/>
      <c r="BC221" s="230"/>
      <c r="BD221" s="230"/>
      <c r="BE221" s="230"/>
      <c r="BF221" s="230"/>
      <c r="BG221" s="230"/>
      <c r="BH221" s="230"/>
      <c r="BI221" s="230"/>
      <c r="BJ221" s="230"/>
      <c r="BK221" s="230"/>
      <c r="BL221" s="230"/>
      <c r="BM221" s="230"/>
      <c r="BN221" s="230"/>
      <c r="BO221" s="230"/>
      <c r="BP221" s="230"/>
      <c r="BQ221" s="230"/>
    </row>
    <row r="222" spans="1:69" ht="15.75" customHeight="1">
      <c r="A222" s="46"/>
      <c r="B222" s="46"/>
      <c r="C222" s="46"/>
      <c r="D222" s="46"/>
      <c r="E222" s="245"/>
      <c r="F222" s="237"/>
      <c r="G222" s="237"/>
      <c r="H222" s="46"/>
      <c r="I222" s="46"/>
      <c r="J222" s="46"/>
      <c r="K222" s="46"/>
      <c r="L222" s="46"/>
      <c r="M222" s="46"/>
      <c r="N222" s="46"/>
      <c r="O222" s="46"/>
      <c r="P222" s="46"/>
      <c r="Q222" s="46"/>
      <c r="R222" s="46"/>
      <c r="S222" s="46"/>
      <c r="T222" s="46"/>
      <c r="U222" s="46"/>
      <c r="V222" s="46"/>
      <c r="W222" s="46"/>
      <c r="X222" s="46"/>
      <c r="Y222" s="46"/>
      <c r="Z222" s="46"/>
      <c r="AA222" s="46"/>
      <c r="AB222" s="46"/>
      <c r="AC222" s="46"/>
      <c r="AD222" s="2"/>
      <c r="AE222" s="46"/>
      <c r="AF222" s="46"/>
      <c r="AG222" s="46"/>
      <c r="AH222" s="46"/>
      <c r="AI222" s="46"/>
      <c r="AJ222" s="46"/>
      <c r="AK222" s="46"/>
      <c r="AL222" s="46"/>
      <c r="AM222" s="46"/>
      <c r="AN222" s="46"/>
      <c r="AO222" s="46"/>
      <c r="AP222" s="46"/>
      <c r="AQ222" s="46"/>
      <c r="AR222" s="46"/>
      <c r="AS222" s="46"/>
      <c r="AT222" s="46"/>
      <c r="AU222" s="46"/>
      <c r="AV222" s="230"/>
      <c r="AW222" s="230"/>
      <c r="AX222" s="230"/>
      <c r="AY222" s="230"/>
      <c r="AZ222" s="230"/>
      <c r="BA222" s="230"/>
      <c r="BB222" s="230"/>
      <c r="BC222" s="230"/>
      <c r="BD222" s="230"/>
      <c r="BE222" s="230"/>
      <c r="BF222" s="230"/>
      <c r="BG222" s="230"/>
      <c r="BH222" s="230"/>
      <c r="BI222" s="230"/>
      <c r="BJ222" s="230"/>
      <c r="BK222" s="230"/>
      <c r="BL222" s="230"/>
      <c r="BM222" s="230"/>
      <c r="BN222" s="230"/>
      <c r="BO222" s="230"/>
      <c r="BP222" s="230"/>
      <c r="BQ222" s="230"/>
    </row>
    <row r="223" spans="1:69" ht="15.75" customHeight="1">
      <c r="A223" s="46"/>
      <c r="B223" s="46"/>
      <c r="C223" s="46"/>
      <c r="D223" s="46"/>
      <c r="E223" s="245"/>
      <c r="F223" s="237"/>
      <c r="G223" s="237"/>
      <c r="H223" s="46"/>
      <c r="I223" s="46"/>
      <c r="J223" s="46"/>
      <c r="K223" s="46"/>
      <c r="L223" s="46"/>
      <c r="M223" s="46"/>
      <c r="N223" s="46"/>
      <c r="O223" s="46"/>
      <c r="P223" s="46"/>
      <c r="Q223" s="46"/>
      <c r="R223" s="46"/>
      <c r="S223" s="46"/>
      <c r="T223" s="46"/>
      <c r="U223" s="46"/>
      <c r="V223" s="46"/>
      <c r="W223" s="46"/>
      <c r="X223" s="46"/>
      <c r="Y223" s="46"/>
      <c r="Z223" s="46"/>
      <c r="AA223" s="46"/>
      <c r="AB223" s="46"/>
      <c r="AC223" s="46"/>
      <c r="AD223" s="2"/>
      <c r="AE223" s="46"/>
      <c r="AF223" s="46"/>
      <c r="AG223" s="46"/>
      <c r="AH223" s="46"/>
      <c r="AI223" s="46"/>
      <c r="AJ223" s="46"/>
      <c r="AK223" s="46"/>
      <c r="AL223" s="46"/>
      <c r="AM223" s="46"/>
      <c r="AN223" s="46"/>
      <c r="AO223" s="46"/>
      <c r="AP223" s="46"/>
      <c r="AQ223" s="46"/>
      <c r="AR223" s="46"/>
      <c r="AS223" s="46"/>
      <c r="AT223" s="46"/>
      <c r="AU223" s="46"/>
      <c r="AV223" s="230"/>
      <c r="AW223" s="230"/>
      <c r="AX223" s="230"/>
      <c r="AY223" s="230"/>
      <c r="AZ223" s="230"/>
      <c r="BA223" s="230"/>
      <c r="BB223" s="230"/>
      <c r="BC223" s="230"/>
      <c r="BD223" s="230"/>
      <c r="BE223" s="230"/>
      <c r="BF223" s="230"/>
      <c r="BG223" s="230"/>
      <c r="BH223" s="230"/>
      <c r="BI223" s="230"/>
      <c r="BJ223" s="230"/>
      <c r="BK223" s="230"/>
      <c r="BL223" s="230"/>
      <c r="BM223" s="230"/>
      <c r="BN223" s="230"/>
      <c r="BO223" s="230"/>
      <c r="BP223" s="230"/>
      <c r="BQ223" s="230"/>
    </row>
    <row r="224" spans="1:69" ht="15.75" customHeight="1">
      <c r="A224" s="46"/>
      <c r="B224" s="46"/>
      <c r="C224" s="46"/>
      <c r="D224" s="46"/>
      <c r="E224" s="245"/>
      <c r="F224" s="237"/>
      <c r="G224" s="237"/>
      <c r="H224" s="46"/>
      <c r="I224" s="46"/>
      <c r="J224" s="46"/>
      <c r="K224" s="46"/>
      <c r="L224" s="46"/>
      <c r="M224" s="46"/>
      <c r="N224" s="46"/>
      <c r="O224" s="46"/>
      <c r="P224" s="46"/>
      <c r="Q224" s="46"/>
      <c r="R224" s="46"/>
      <c r="S224" s="46"/>
      <c r="T224" s="46"/>
      <c r="U224" s="46"/>
      <c r="V224" s="46"/>
      <c r="W224" s="46"/>
      <c r="X224" s="46"/>
      <c r="Y224" s="46"/>
      <c r="Z224" s="46"/>
      <c r="AA224" s="46"/>
      <c r="AB224" s="46"/>
      <c r="AC224" s="46"/>
      <c r="AD224" s="2"/>
      <c r="AE224" s="46"/>
      <c r="AF224" s="46"/>
      <c r="AG224" s="46"/>
      <c r="AH224" s="46"/>
      <c r="AI224" s="46"/>
      <c r="AJ224" s="46"/>
      <c r="AK224" s="46"/>
      <c r="AL224" s="46"/>
      <c r="AM224" s="46"/>
      <c r="AN224" s="46"/>
      <c r="AO224" s="46"/>
      <c r="AP224" s="46"/>
      <c r="AQ224" s="46"/>
      <c r="AR224" s="46"/>
      <c r="AS224" s="46"/>
      <c r="AT224" s="46"/>
      <c r="AU224" s="46"/>
      <c r="AV224" s="230"/>
      <c r="AW224" s="230"/>
      <c r="AX224" s="230"/>
      <c r="AY224" s="230"/>
      <c r="AZ224" s="230"/>
      <c r="BA224" s="230"/>
      <c r="BB224" s="230"/>
      <c r="BC224" s="230"/>
      <c r="BD224" s="230"/>
      <c r="BE224" s="230"/>
      <c r="BF224" s="230"/>
      <c r="BG224" s="230"/>
      <c r="BH224" s="230"/>
      <c r="BI224" s="230"/>
      <c r="BJ224" s="230"/>
      <c r="BK224" s="230"/>
      <c r="BL224" s="230"/>
      <c r="BM224" s="230"/>
      <c r="BN224" s="230"/>
      <c r="BO224" s="230"/>
      <c r="BP224" s="230"/>
      <c r="BQ224" s="230"/>
    </row>
    <row r="225" spans="1:69" ht="15.75" customHeight="1">
      <c r="A225" s="46"/>
      <c r="B225" s="46"/>
      <c r="C225" s="46"/>
      <c r="D225" s="46"/>
      <c r="E225" s="245"/>
      <c r="F225" s="237"/>
      <c r="G225" s="237"/>
      <c r="H225" s="46"/>
      <c r="I225" s="46"/>
      <c r="J225" s="46"/>
      <c r="K225" s="46"/>
      <c r="L225" s="46"/>
      <c r="M225" s="46"/>
      <c r="N225" s="46"/>
      <c r="O225" s="46"/>
      <c r="P225" s="46"/>
      <c r="Q225" s="46"/>
      <c r="R225" s="46"/>
      <c r="S225" s="46"/>
      <c r="T225" s="46"/>
      <c r="U225" s="46"/>
      <c r="V225" s="46"/>
      <c r="W225" s="46"/>
      <c r="X225" s="46"/>
      <c r="Y225" s="46"/>
      <c r="Z225" s="46"/>
      <c r="AA225" s="46"/>
      <c r="AB225" s="46"/>
      <c r="AC225" s="46"/>
      <c r="AD225" s="2"/>
      <c r="AE225" s="46"/>
      <c r="AF225" s="46"/>
      <c r="AG225" s="46"/>
      <c r="AH225" s="46"/>
      <c r="AI225" s="46"/>
      <c r="AJ225" s="46"/>
      <c r="AK225" s="46"/>
      <c r="AL225" s="46"/>
      <c r="AM225" s="46"/>
      <c r="AN225" s="46"/>
      <c r="AO225" s="46"/>
      <c r="AP225" s="46"/>
      <c r="AQ225" s="46"/>
      <c r="AR225" s="46"/>
      <c r="AS225" s="46"/>
      <c r="AT225" s="46"/>
      <c r="AU225" s="46"/>
      <c r="AV225" s="230"/>
      <c r="AW225" s="230"/>
      <c r="AX225" s="230"/>
      <c r="AY225" s="230"/>
      <c r="AZ225" s="230"/>
      <c r="BA225" s="230"/>
      <c r="BB225" s="230"/>
      <c r="BC225" s="230"/>
      <c r="BD225" s="230"/>
      <c r="BE225" s="230"/>
      <c r="BF225" s="230"/>
      <c r="BG225" s="230"/>
      <c r="BH225" s="230"/>
      <c r="BI225" s="230"/>
      <c r="BJ225" s="230"/>
      <c r="BK225" s="230"/>
      <c r="BL225" s="230"/>
      <c r="BM225" s="230"/>
      <c r="BN225" s="230"/>
      <c r="BO225" s="230"/>
      <c r="BP225" s="230"/>
      <c r="BQ225" s="230"/>
    </row>
    <row r="226" spans="1:69" ht="15.75" customHeight="1">
      <c r="A226" s="46"/>
      <c r="B226" s="46"/>
      <c r="C226" s="46"/>
      <c r="D226" s="46"/>
      <c r="E226" s="245"/>
      <c r="F226" s="237"/>
      <c r="G226" s="237"/>
      <c r="H226" s="46"/>
      <c r="I226" s="46"/>
      <c r="J226" s="46"/>
      <c r="K226" s="46"/>
      <c r="L226" s="46"/>
      <c r="M226" s="46"/>
      <c r="N226" s="46"/>
      <c r="O226" s="46"/>
      <c r="P226" s="46"/>
      <c r="Q226" s="46"/>
      <c r="R226" s="46"/>
      <c r="S226" s="46"/>
      <c r="T226" s="46"/>
      <c r="U226" s="46"/>
      <c r="V226" s="46"/>
      <c r="W226" s="46"/>
      <c r="X226" s="46"/>
      <c r="Y226" s="46"/>
      <c r="Z226" s="46"/>
      <c r="AA226" s="46"/>
      <c r="AB226" s="46"/>
      <c r="AC226" s="46"/>
      <c r="AD226" s="2"/>
      <c r="AE226" s="46"/>
      <c r="AF226" s="46"/>
      <c r="AG226" s="46"/>
      <c r="AH226" s="46"/>
      <c r="AI226" s="46"/>
      <c r="AJ226" s="46"/>
      <c r="AK226" s="46"/>
      <c r="AL226" s="46"/>
      <c r="AM226" s="46"/>
      <c r="AN226" s="46"/>
      <c r="AO226" s="46"/>
      <c r="AP226" s="46"/>
      <c r="AQ226" s="46"/>
      <c r="AR226" s="46"/>
      <c r="AS226" s="46"/>
      <c r="AT226" s="46"/>
      <c r="AU226" s="46"/>
      <c r="AV226" s="230"/>
      <c r="AW226" s="230"/>
      <c r="AX226" s="230"/>
      <c r="AY226" s="230"/>
      <c r="AZ226" s="230"/>
      <c r="BA226" s="230"/>
      <c r="BB226" s="230"/>
      <c r="BC226" s="230"/>
      <c r="BD226" s="230"/>
      <c r="BE226" s="230"/>
      <c r="BF226" s="230"/>
      <c r="BG226" s="230"/>
      <c r="BH226" s="230"/>
      <c r="BI226" s="230"/>
      <c r="BJ226" s="230"/>
      <c r="BK226" s="230"/>
      <c r="BL226" s="230"/>
      <c r="BM226" s="230"/>
      <c r="BN226" s="230"/>
      <c r="BO226" s="230"/>
      <c r="BP226" s="230"/>
      <c r="BQ226" s="230"/>
    </row>
    <row r="227" spans="1:69" ht="15.75" customHeight="1">
      <c r="A227" s="46"/>
      <c r="B227" s="46"/>
      <c r="C227" s="46"/>
      <c r="D227" s="46"/>
      <c r="E227" s="245"/>
      <c r="F227" s="237"/>
      <c r="G227" s="237"/>
      <c r="H227" s="46"/>
      <c r="I227" s="46"/>
      <c r="J227" s="46"/>
      <c r="K227" s="46"/>
      <c r="L227" s="46"/>
      <c r="M227" s="46"/>
      <c r="N227" s="46"/>
      <c r="O227" s="46"/>
      <c r="P227" s="46"/>
      <c r="Q227" s="46"/>
      <c r="R227" s="46"/>
      <c r="S227" s="46"/>
      <c r="T227" s="46"/>
      <c r="U227" s="46"/>
      <c r="V227" s="46"/>
      <c r="W227" s="46"/>
      <c r="X227" s="46"/>
      <c r="Y227" s="46"/>
      <c r="Z227" s="46"/>
      <c r="AA227" s="46"/>
      <c r="AB227" s="46"/>
      <c r="AC227" s="46"/>
      <c r="AD227" s="2"/>
      <c r="AE227" s="46"/>
      <c r="AF227" s="46"/>
      <c r="AG227" s="46"/>
      <c r="AH227" s="46"/>
      <c r="AI227" s="46"/>
      <c r="AJ227" s="46"/>
      <c r="AK227" s="46"/>
      <c r="AL227" s="46"/>
      <c r="AM227" s="46"/>
      <c r="AN227" s="46"/>
      <c r="AO227" s="46"/>
      <c r="AP227" s="46"/>
      <c r="AQ227" s="46"/>
      <c r="AR227" s="46"/>
      <c r="AS227" s="46"/>
      <c r="AT227" s="46"/>
      <c r="AU227" s="46"/>
      <c r="AV227" s="230"/>
      <c r="AW227" s="230"/>
      <c r="AX227" s="230"/>
      <c r="AY227" s="230"/>
      <c r="AZ227" s="230"/>
      <c r="BA227" s="230"/>
      <c r="BB227" s="230"/>
      <c r="BC227" s="230"/>
      <c r="BD227" s="230"/>
      <c r="BE227" s="230"/>
      <c r="BF227" s="230"/>
      <c r="BG227" s="230"/>
      <c r="BH227" s="230"/>
      <c r="BI227" s="230"/>
      <c r="BJ227" s="230"/>
      <c r="BK227" s="230"/>
      <c r="BL227" s="230"/>
      <c r="BM227" s="230"/>
      <c r="BN227" s="230"/>
      <c r="BO227" s="230"/>
      <c r="BP227" s="230"/>
      <c r="BQ227" s="230"/>
    </row>
    <row r="228" spans="1:69" ht="15.75" customHeight="1">
      <c r="A228" s="46"/>
      <c r="B228" s="46"/>
      <c r="C228" s="46"/>
      <c r="D228" s="46"/>
      <c r="E228" s="245"/>
      <c r="F228" s="237"/>
      <c r="G228" s="237"/>
      <c r="H228" s="46"/>
      <c r="I228" s="46"/>
      <c r="J228" s="46"/>
      <c r="K228" s="46"/>
      <c r="L228" s="46"/>
      <c r="M228" s="46"/>
      <c r="N228" s="46"/>
      <c r="O228" s="46"/>
      <c r="P228" s="46"/>
      <c r="Q228" s="46"/>
      <c r="R228" s="46"/>
      <c r="S228" s="46"/>
      <c r="T228" s="46"/>
      <c r="U228" s="46"/>
      <c r="V228" s="46"/>
      <c r="W228" s="46"/>
      <c r="X228" s="46"/>
      <c r="Y228" s="46"/>
      <c r="Z228" s="46"/>
      <c r="AA228" s="46"/>
      <c r="AB228" s="46"/>
      <c r="AC228" s="46"/>
      <c r="AD228" s="2"/>
      <c r="AE228" s="46"/>
      <c r="AF228" s="46"/>
      <c r="AG228" s="46"/>
      <c r="AH228" s="46"/>
      <c r="AI228" s="46"/>
      <c r="AJ228" s="46"/>
      <c r="AK228" s="46"/>
      <c r="AL228" s="46"/>
      <c r="AM228" s="46"/>
      <c r="AN228" s="46"/>
      <c r="AO228" s="46"/>
      <c r="AP228" s="46"/>
      <c r="AQ228" s="46"/>
      <c r="AR228" s="46"/>
      <c r="AS228" s="46"/>
      <c r="AT228" s="46"/>
      <c r="AU228" s="46"/>
      <c r="AV228" s="230"/>
      <c r="AW228" s="230"/>
      <c r="AX228" s="230"/>
      <c r="AY228" s="230"/>
      <c r="AZ228" s="230"/>
      <c r="BA228" s="230"/>
      <c r="BB228" s="230"/>
      <c r="BC228" s="230"/>
      <c r="BD228" s="230"/>
      <c r="BE228" s="230"/>
      <c r="BF228" s="230"/>
      <c r="BG228" s="230"/>
      <c r="BH228" s="230"/>
      <c r="BI228" s="230"/>
      <c r="BJ228" s="230"/>
      <c r="BK228" s="230"/>
      <c r="BL228" s="230"/>
      <c r="BM228" s="230"/>
      <c r="BN228" s="230"/>
      <c r="BO228" s="230"/>
      <c r="BP228" s="230"/>
      <c r="BQ228" s="230"/>
    </row>
    <row r="229" spans="1:69" ht="15.75" customHeight="1">
      <c r="A229" s="46"/>
      <c r="B229" s="46"/>
      <c r="C229" s="46"/>
      <c r="D229" s="46"/>
      <c r="E229" s="245"/>
      <c r="F229" s="237"/>
      <c r="G229" s="237"/>
      <c r="H229" s="46"/>
      <c r="I229" s="46"/>
      <c r="J229" s="46"/>
      <c r="K229" s="46"/>
      <c r="L229" s="46"/>
      <c r="M229" s="46"/>
      <c r="N229" s="46"/>
      <c r="O229" s="46"/>
      <c r="P229" s="46"/>
      <c r="Q229" s="46"/>
      <c r="R229" s="46"/>
      <c r="S229" s="46"/>
      <c r="T229" s="46"/>
      <c r="U229" s="46"/>
      <c r="V229" s="46"/>
      <c r="W229" s="46"/>
      <c r="X229" s="46"/>
      <c r="Y229" s="46"/>
      <c r="Z229" s="46"/>
      <c r="AA229" s="46"/>
      <c r="AB229" s="46"/>
      <c r="AC229" s="46"/>
      <c r="AD229" s="2"/>
      <c r="AE229" s="46"/>
      <c r="AF229" s="46"/>
      <c r="AG229" s="46"/>
      <c r="AH229" s="46"/>
      <c r="AI229" s="46"/>
      <c r="AJ229" s="46"/>
      <c r="AK229" s="46"/>
      <c r="AL229" s="46"/>
      <c r="AM229" s="46"/>
      <c r="AN229" s="46"/>
      <c r="AO229" s="46"/>
      <c r="AP229" s="46"/>
      <c r="AQ229" s="46"/>
      <c r="AR229" s="46"/>
      <c r="AS229" s="46"/>
      <c r="AT229" s="46"/>
      <c r="AU229" s="46"/>
      <c r="AV229" s="230"/>
      <c r="AW229" s="230"/>
      <c r="AX229" s="230"/>
      <c r="AY229" s="230"/>
      <c r="AZ229" s="230"/>
      <c r="BA229" s="230"/>
      <c r="BB229" s="230"/>
      <c r="BC229" s="230"/>
      <c r="BD229" s="230"/>
      <c r="BE229" s="230"/>
      <c r="BF229" s="230"/>
      <c r="BG229" s="230"/>
      <c r="BH229" s="230"/>
      <c r="BI229" s="230"/>
      <c r="BJ229" s="230"/>
      <c r="BK229" s="230"/>
      <c r="BL229" s="230"/>
      <c r="BM229" s="230"/>
      <c r="BN229" s="230"/>
      <c r="BO229" s="230"/>
      <c r="BP229" s="230"/>
      <c r="BQ229" s="230"/>
    </row>
    <row r="230" spans="1:69" ht="15.75" customHeight="1">
      <c r="A230" s="46"/>
      <c r="B230" s="46"/>
      <c r="C230" s="46"/>
      <c r="D230" s="46"/>
      <c r="E230" s="245"/>
      <c r="F230" s="237"/>
      <c r="G230" s="237"/>
      <c r="H230" s="46"/>
      <c r="I230" s="46"/>
      <c r="J230" s="46"/>
      <c r="K230" s="46"/>
      <c r="L230" s="46"/>
      <c r="M230" s="46"/>
      <c r="N230" s="46"/>
      <c r="O230" s="46"/>
      <c r="P230" s="46"/>
      <c r="Q230" s="46"/>
      <c r="R230" s="46"/>
      <c r="S230" s="46"/>
      <c r="T230" s="46"/>
      <c r="U230" s="46"/>
      <c r="V230" s="46"/>
      <c r="W230" s="46"/>
      <c r="X230" s="46"/>
      <c r="Y230" s="46"/>
      <c r="Z230" s="46"/>
      <c r="AA230" s="46"/>
      <c r="AB230" s="46"/>
      <c r="AC230" s="46"/>
      <c r="AD230" s="2"/>
      <c r="AE230" s="46"/>
      <c r="AF230" s="46"/>
      <c r="AG230" s="46"/>
      <c r="AH230" s="46"/>
      <c r="AI230" s="46"/>
      <c r="AJ230" s="46"/>
      <c r="AK230" s="46"/>
      <c r="AL230" s="46"/>
      <c r="AM230" s="46"/>
      <c r="AN230" s="46"/>
      <c r="AO230" s="46"/>
      <c r="AP230" s="46"/>
      <c r="AQ230" s="46"/>
      <c r="AR230" s="46"/>
      <c r="AS230" s="46"/>
      <c r="AT230" s="46"/>
      <c r="AU230" s="46"/>
      <c r="AV230" s="230"/>
      <c r="AW230" s="230"/>
      <c r="AX230" s="230"/>
      <c r="AY230" s="230"/>
      <c r="AZ230" s="230"/>
      <c r="BA230" s="230"/>
      <c r="BB230" s="230"/>
      <c r="BC230" s="230"/>
      <c r="BD230" s="230"/>
      <c r="BE230" s="230"/>
      <c r="BF230" s="230"/>
      <c r="BG230" s="230"/>
      <c r="BH230" s="230"/>
      <c r="BI230" s="230"/>
      <c r="BJ230" s="230"/>
      <c r="BK230" s="230"/>
      <c r="BL230" s="230"/>
      <c r="BM230" s="230"/>
      <c r="BN230" s="230"/>
      <c r="BO230" s="230"/>
      <c r="BP230" s="230"/>
      <c r="BQ230" s="230"/>
    </row>
    <row r="231" spans="1:69" ht="15.75" customHeight="1">
      <c r="A231" s="46"/>
      <c r="B231" s="46"/>
      <c r="C231" s="46"/>
      <c r="D231" s="46"/>
      <c r="E231" s="245"/>
      <c r="F231" s="237"/>
      <c r="G231" s="237"/>
      <c r="H231" s="46"/>
      <c r="I231" s="46"/>
      <c r="J231" s="46"/>
      <c r="K231" s="46"/>
      <c r="L231" s="46"/>
      <c r="M231" s="46"/>
      <c r="N231" s="46"/>
      <c r="O231" s="46"/>
      <c r="P231" s="46"/>
      <c r="Q231" s="46"/>
      <c r="R231" s="46"/>
      <c r="S231" s="46"/>
      <c r="T231" s="46"/>
      <c r="U231" s="46"/>
      <c r="V231" s="46"/>
      <c r="W231" s="46"/>
      <c r="X231" s="46"/>
      <c r="Y231" s="46"/>
      <c r="Z231" s="46"/>
      <c r="AA231" s="46"/>
      <c r="AB231" s="46"/>
      <c r="AC231" s="46"/>
      <c r="AD231" s="2"/>
      <c r="AE231" s="46"/>
      <c r="AF231" s="46"/>
      <c r="AG231" s="46"/>
      <c r="AH231" s="46"/>
      <c r="AI231" s="46"/>
      <c r="AJ231" s="46"/>
      <c r="AK231" s="46"/>
      <c r="AL231" s="46"/>
      <c r="AM231" s="46"/>
      <c r="AN231" s="46"/>
      <c r="AO231" s="46"/>
      <c r="AP231" s="46"/>
      <c r="AQ231" s="46"/>
      <c r="AR231" s="46"/>
      <c r="AS231" s="46"/>
      <c r="AT231" s="46"/>
      <c r="AU231" s="46"/>
      <c r="AV231" s="230"/>
      <c r="AW231" s="230"/>
      <c r="AX231" s="230"/>
      <c r="AY231" s="230"/>
      <c r="AZ231" s="230"/>
      <c r="BA231" s="230"/>
      <c r="BB231" s="230"/>
      <c r="BC231" s="230"/>
      <c r="BD231" s="230"/>
      <c r="BE231" s="230"/>
      <c r="BF231" s="230"/>
      <c r="BG231" s="230"/>
      <c r="BH231" s="230"/>
      <c r="BI231" s="230"/>
      <c r="BJ231" s="230"/>
      <c r="BK231" s="230"/>
      <c r="BL231" s="230"/>
      <c r="BM231" s="230"/>
      <c r="BN231" s="230"/>
      <c r="BO231" s="230"/>
      <c r="BP231" s="230"/>
      <c r="BQ231" s="230"/>
    </row>
    <row r="232" spans="1:69" ht="15.75" customHeight="1">
      <c r="A232" s="46"/>
      <c r="B232" s="46"/>
      <c r="C232" s="46"/>
      <c r="D232" s="46"/>
      <c r="E232" s="245"/>
      <c r="F232" s="237"/>
      <c r="G232" s="237"/>
      <c r="H232" s="46"/>
      <c r="I232" s="46"/>
      <c r="J232" s="46"/>
      <c r="K232" s="46"/>
      <c r="L232" s="46"/>
      <c r="M232" s="46"/>
      <c r="N232" s="46"/>
      <c r="O232" s="46"/>
      <c r="P232" s="46"/>
      <c r="Q232" s="46"/>
      <c r="R232" s="46"/>
      <c r="S232" s="46"/>
      <c r="T232" s="46"/>
      <c r="U232" s="46"/>
      <c r="V232" s="46"/>
      <c r="W232" s="46"/>
      <c r="X232" s="46"/>
      <c r="Y232" s="46"/>
      <c r="Z232" s="46"/>
      <c r="AA232" s="46"/>
      <c r="AB232" s="46"/>
      <c r="AC232" s="46"/>
      <c r="AD232" s="2"/>
      <c r="AE232" s="46"/>
      <c r="AF232" s="46"/>
      <c r="AG232" s="46"/>
      <c r="AH232" s="46"/>
      <c r="AI232" s="46"/>
      <c r="AJ232" s="46"/>
      <c r="AK232" s="46"/>
      <c r="AL232" s="46"/>
      <c r="AM232" s="46"/>
      <c r="AN232" s="46"/>
      <c r="AO232" s="46"/>
      <c r="AP232" s="46"/>
      <c r="AQ232" s="46"/>
      <c r="AR232" s="46"/>
      <c r="AS232" s="46"/>
      <c r="AT232" s="46"/>
      <c r="AU232" s="46"/>
      <c r="AV232" s="230"/>
      <c r="AW232" s="230"/>
      <c r="AX232" s="230"/>
      <c r="AY232" s="230"/>
      <c r="AZ232" s="230"/>
      <c r="BA232" s="230"/>
      <c r="BB232" s="230"/>
      <c r="BC232" s="230"/>
      <c r="BD232" s="230"/>
      <c r="BE232" s="230"/>
      <c r="BF232" s="230"/>
      <c r="BG232" s="230"/>
      <c r="BH232" s="230"/>
      <c r="BI232" s="230"/>
      <c r="BJ232" s="230"/>
      <c r="BK232" s="230"/>
      <c r="BL232" s="230"/>
      <c r="BM232" s="230"/>
      <c r="BN232" s="230"/>
      <c r="BO232" s="230"/>
      <c r="BP232" s="230"/>
      <c r="BQ232" s="230"/>
    </row>
    <row r="233" spans="1:69" ht="15.75" customHeight="1">
      <c r="A233" s="46"/>
      <c r="B233" s="46"/>
      <c r="C233" s="46"/>
      <c r="D233" s="46"/>
      <c r="E233" s="245"/>
      <c r="F233" s="237"/>
      <c r="G233" s="237"/>
      <c r="H233" s="46"/>
      <c r="I233" s="46"/>
      <c r="J233" s="46"/>
      <c r="K233" s="46"/>
      <c r="L233" s="46"/>
      <c r="M233" s="46"/>
      <c r="N233" s="46"/>
      <c r="O233" s="46"/>
      <c r="P233" s="46"/>
      <c r="Q233" s="46"/>
      <c r="R233" s="46"/>
      <c r="S233" s="46"/>
      <c r="T233" s="46"/>
      <c r="U233" s="46"/>
      <c r="V233" s="46"/>
      <c r="W233" s="46"/>
      <c r="X233" s="46"/>
      <c r="Y233" s="46"/>
      <c r="Z233" s="46"/>
      <c r="AA233" s="46"/>
      <c r="AB233" s="46"/>
      <c r="AC233" s="46"/>
      <c r="AD233" s="2"/>
      <c r="AE233" s="46"/>
      <c r="AF233" s="46"/>
      <c r="AG233" s="46"/>
      <c r="AH233" s="46"/>
      <c r="AI233" s="46"/>
      <c r="AJ233" s="46"/>
      <c r="AK233" s="46"/>
      <c r="AL233" s="46"/>
      <c r="AM233" s="46"/>
      <c r="AN233" s="46"/>
      <c r="AO233" s="46"/>
      <c r="AP233" s="46"/>
      <c r="AQ233" s="46"/>
      <c r="AR233" s="46"/>
      <c r="AS233" s="46"/>
      <c r="AT233" s="46"/>
      <c r="AU233" s="46"/>
      <c r="AV233" s="230"/>
      <c r="AW233" s="230"/>
      <c r="AX233" s="230"/>
      <c r="AY233" s="230"/>
      <c r="AZ233" s="230"/>
      <c r="BA233" s="230"/>
      <c r="BB233" s="230"/>
      <c r="BC233" s="230"/>
      <c r="BD233" s="230"/>
      <c r="BE233" s="230"/>
      <c r="BF233" s="230"/>
      <c r="BG233" s="230"/>
      <c r="BH233" s="230"/>
      <c r="BI233" s="230"/>
      <c r="BJ233" s="230"/>
      <c r="BK233" s="230"/>
      <c r="BL233" s="230"/>
      <c r="BM233" s="230"/>
      <c r="BN233" s="230"/>
      <c r="BO233" s="230"/>
      <c r="BP233" s="230"/>
      <c r="BQ233" s="230"/>
    </row>
    <row r="234" spans="1:69" ht="15.75" customHeight="1">
      <c r="A234" s="46"/>
      <c r="B234" s="46"/>
      <c r="C234" s="46"/>
      <c r="D234" s="46"/>
      <c r="E234" s="245"/>
      <c r="F234" s="237"/>
      <c r="G234" s="237"/>
      <c r="H234" s="46"/>
      <c r="I234" s="46"/>
      <c r="J234" s="46"/>
      <c r="K234" s="46"/>
      <c r="L234" s="46"/>
      <c r="M234" s="46"/>
      <c r="N234" s="46"/>
      <c r="O234" s="46"/>
      <c r="P234" s="46"/>
      <c r="Q234" s="46"/>
      <c r="R234" s="46"/>
      <c r="S234" s="46"/>
      <c r="T234" s="46"/>
      <c r="U234" s="46"/>
      <c r="V234" s="46"/>
      <c r="W234" s="46"/>
      <c r="X234" s="46"/>
      <c r="Y234" s="46"/>
      <c r="Z234" s="46"/>
      <c r="AA234" s="46"/>
      <c r="AB234" s="46"/>
      <c r="AC234" s="46"/>
      <c r="AD234" s="2"/>
      <c r="AE234" s="46"/>
      <c r="AF234" s="46"/>
      <c r="AG234" s="46"/>
      <c r="AH234" s="46"/>
      <c r="AI234" s="46"/>
      <c r="AJ234" s="46"/>
      <c r="AK234" s="46"/>
      <c r="AL234" s="46"/>
      <c r="AM234" s="46"/>
      <c r="AN234" s="46"/>
      <c r="AO234" s="46"/>
      <c r="AP234" s="46"/>
      <c r="AQ234" s="46"/>
      <c r="AR234" s="46"/>
      <c r="AS234" s="46"/>
      <c r="AT234" s="46"/>
      <c r="AU234" s="46"/>
      <c r="AV234" s="230"/>
      <c r="AW234" s="230"/>
      <c r="AX234" s="230"/>
      <c r="AY234" s="230"/>
      <c r="AZ234" s="230"/>
      <c r="BA234" s="230"/>
      <c r="BB234" s="230"/>
      <c r="BC234" s="230"/>
      <c r="BD234" s="230"/>
      <c r="BE234" s="230"/>
      <c r="BF234" s="230"/>
      <c r="BG234" s="230"/>
      <c r="BH234" s="230"/>
      <c r="BI234" s="230"/>
      <c r="BJ234" s="230"/>
      <c r="BK234" s="230"/>
      <c r="BL234" s="230"/>
      <c r="BM234" s="230"/>
      <c r="BN234" s="230"/>
      <c r="BO234" s="230"/>
      <c r="BP234" s="230"/>
      <c r="BQ234" s="230"/>
    </row>
    <row r="235" spans="1:69" ht="15.75" customHeight="1">
      <c r="A235" s="46"/>
      <c r="B235" s="46"/>
      <c r="C235" s="46"/>
      <c r="D235" s="46"/>
      <c r="E235" s="245"/>
      <c r="F235" s="237"/>
      <c r="G235" s="237"/>
      <c r="H235" s="46"/>
      <c r="I235" s="46"/>
      <c r="J235" s="46"/>
      <c r="K235" s="46"/>
      <c r="L235" s="46"/>
      <c r="M235" s="46"/>
      <c r="N235" s="46"/>
      <c r="O235" s="46"/>
      <c r="P235" s="46"/>
      <c r="Q235" s="46"/>
      <c r="R235" s="46"/>
      <c r="S235" s="46"/>
      <c r="T235" s="46"/>
      <c r="U235" s="46"/>
      <c r="V235" s="46"/>
      <c r="W235" s="46"/>
      <c r="X235" s="46"/>
      <c r="Y235" s="46"/>
      <c r="Z235" s="46"/>
      <c r="AA235" s="46"/>
      <c r="AB235" s="46"/>
      <c r="AC235" s="46"/>
      <c r="AD235" s="2"/>
      <c r="AE235" s="46"/>
      <c r="AF235" s="46"/>
      <c r="AG235" s="46"/>
      <c r="AH235" s="46"/>
      <c r="AI235" s="46"/>
      <c r="AJ235" s="46"/>
      <c r="AK235" s="46"/>
      <c r="AL235" s="46"/>
      <c r="AM235" s="46"/>
      <c r="AN235" s="46"/>
      <c r="AO235" s="46"/>
      <c r="AP235" s="46"/>
      <c r="AQ235" s="46"/>
      <c r="AR235" s="46"/>
      <c r="AS235" s="46"/>
      <c r="AT235" s="46"/>
      <c r="AU235" s="46"/>
      <c r="AV235" s="230"/>
      <c r="AW235" s="230"/>
      <c r="AX235" s="230"/>
      <c r="AY235" s="230"/>
      <c r="AZ235" s="230"/>
      <c r="BA235" s="230"/>
      <c r="BB235" s="230"/>
      <c r="BC235" s="230"/>
      <c r="BD235" s="230"/>
      <c r="BE235" s="230"/>
      <c r="BF235" s="230"/>
      <c r="BG235" s="230"/>
      <c r="BH235" s="230"/>
      <c r="BI235" s="230"/>
      <c r="BJ235" s="230"/>
      <c r="BK235" s="230"/>
      <c r="BL235" s="230"/>
      <c r="BM235" s="230"/>
      <c r="BN235" s="230"/>
      <c r="BO235" s="230"/>
      <c r="BP235" s="230"/>
      <c r="BQ235" s="230"/>
    </row>
    <row r="236" spans="1:69" ht="15.75" customHeight="1">
      <c r="A236" s="46"/>
      <c r="B236" s="46"/>
      <c r="C236" s="46"/>
      <c r="D236" s="46"/>
      <c r="E236" s="245"/>
      <c r="F236" s="237"/>
      <c r="G236" s="237"/>
      <c r="H236" s="46"/>
      <c r="I236" s="46"/>
      <c r="J236" s="46"/>
      <c r="K236" s="46"/>
      <c r="L236" s="46"/>
      <c r="M236" s="46"/>
      <c r="N236" s="46"/>
      <c r="O236" s="46"/>
      <c r="P236" s="46"/>
      <c r="Q236" s="46"/>
      <c r="R236" s="46"/>
      <c r="S236" s="46"/>
      <c r="T236" s="46"/>
      <c r="U236" s="46"/>
      <c r="V236" s="46"/>
      <c r="W236" s="46"/>
      <c r="X236" s="46"/>
      <c r="Y236" s="46"/>
      <c r="Z236" s="46"/>
      <c r="AA236" s="46"/>
      <c r="AB236" s="46"/>
      <c r="AC236" s="46"/>
      <c r="AD236" s="2"/>
      <c r="AE236" s="46"/>
      <c r="AF236" s="46"/>
      <c r="AG236" s="46"/>
      <c r="AH236" s="46"/>
      <c r="AI236" s="46"/>
      <c r="AJ236" s="46"/>
      <c r="AK236" s="46"/>
      <c r="AL236" s="46"/>
      <c r="AM236" s="46"/>
      <c r="AN236" s="46"/>
      <c r="AO236" s="46"/>
      <c r="AP236" s="46"/>
      <c r="AQ236" s="46"/>
      <c r="AR236" s="46"/>
      <c r="AS236" s="46"/>
      <c r="AT236" s="46"/>
      <c r="AU236" s="46"/>
      <c r="AV236" s="230"/>
      <c r="AW236" s="230"/>
      <c r="AX236" s="230"/>
      <c r="AY236" s="230"/>
      <c r="AZ236" s="230"/>
      <c r="BA236" s="230"/>
      <c r="BB236" s="230"/>
      <c r="BC236" s="230"/>
      <c r="BD236" s="230"/>
      <c r="BE236" s="230"/>
      <c r="BF236" s="230"/>
      <c r="BG236" s="230"/>
      <c r="BH236" s="230"/>
      <c r="BI236" s="230"/>
      <c r="BJ236" s="230"/>
      <c r="BK236" s="230"/>
      <c r="BL236" s="230"/>
      <c r="BM236" s="230"/>
      <c r="BN236" s="230"/>
      <c r="BO236" s="230"/>
      <c r="BP236" s="230"/>
      <c r="BQ236" s="230"/>
    </row>
    <row r="237" spans="1:69" ht="15.75" customHeight="1">
      <c r="A237" s="46"/>
      <c r="B237" s="46"/>
      <c r="C237" s="46"/>
      <c r="D237" s="46"/>
      <c r="E237" s="245"/>
      <c r="F237" s="237"/>
      <c r="G237" s="237"/>
      <c r="H237" s="46"/>
      <c r="I237" s="46"/>
      <c r="J237" s="46"/>
      <c r="K237" s="46"/>
      <c r="L237" s="46"/>
      <c r="M237" s="46"/>
      <c r="N237" s="46"/>
      <c r="O237" s="46"/>
      <c r="P237" s="46"/>
      <c r="Q237" s="46"/>
      <c r="R237" s="46"/>
      <c r="S237" s="46"/>
      <c r="T237" s="46"/>
      <c r="U237" s="46"/>
      <c r="V237" s="46"/>
      <c r="W237" s="46"/>
      <c r="X237" s="46"/>
      <c r="Y237" s="46"/>
      <c r="Z237" s="46"/>
      <c r="AA237" s="46"/>
      <c r="AB237" s="46"/>
      <c r="AC237" s="46"/>
      <c r="AD237" s="2"/>
      <c r="AE237" s="46"/>
      <c r="AF237" s="46"/>
      <c r="AG237" s="46"/>
      <c r="AH237" s="46"/>
      <c r="AI237" s="46"/>
      <c r="AJ237" s="46"/>
      <c r="AK237" s="46"/>
      <c r="AL237" s="46"/>
      <c r="AM237" s="46"/>
      <c r="AN237" s="46"/>
      <c r="AO237" s="46"/>
      <c r="AP237" s="46"/>
      <c r="AQ237" s="46"/>
      <c r="AR237" s="46"/>
      <c r="AS237" s="46"/>
      <c r="AT237" s="46"/>
      <c r="AU237" s="46"/>
      <c r="AV237" s="230"/>
      <c r="AW237" s="230"/>
      <c r="AX237" s="230"/>
      <c r="AY237" s="230"/>
      <c r="AZ237" s="230"/>
      <c r="BA237" s="230"/>
      <c r="BB237" s="230"/>
      <c r="BC237" s="230"/>
      <c r="BD237" s="230"/>
      <c r="BE237" s="230"/>
      <c r="BF237" s="230"/>
      <c r="BG237" s="230"/>
      <c r="BH237" s="230"/>
      <c r="BI237" s="230"/>
      <c r="BJ237" s="230"/>
      <c r="BK237" s="230"/>
      <c r="BL237" s="230"/>
      <c r="BM237" s="230"/>
      <c r="BN237" s="230"/>
      <c r="BO237" s="230"/>
      <c r="BP237" s="230"/>
      <c r="BQ237" s="230"/>
    </row>
    <row r="238" spans="1:69" ht="15.75" customHeight="1">
      <c r="A238" s="46"/>
      <c r="B238" s="46"/>
      <c r="C238" s="46"/>
      <c r="D238" s="46"/>
      <c r="E238" s="245"/>
      <c r="F238" s="237"/>
      <c r="G238" s="237"/>
      <c r="H238" s="46"/>
      <c r="I238" s="46"/>
      <c r="J238" s="46"/>
      <c r="K238" s="46"/>
      <c r="L238" s="46"/>
      <c r="M238" s="46"/>
      <c r="N238" s="46"/>
      <c r="O238" s="46"/>
      <c r="P238" s="46"/>
      <c r="Q238" s="46"/>
      <c r="R238" s="46"/>
      <c r="S238" s="46"/>
      <c r="T238" s="46"/>
      <c r="U238" s="46"/>
      <c r="V238" s="46"/>
      <c r="W238" s="46"/>
      <c r="X238" s="46"/>
      <c r="Y238" s="46"/>
      <c r="Z238" s="46"/>
      <c r="AA238" s="46"/>
      <c r="AB238" s="46"/>
      <c r="AC238" s="46"/>
      <c r="AD238" s="2"/>
      <c r="AE238" s="46"/>
      <c r="AF238" s="46"/>
      <c r="AG238" s="46"/>
      <c r="AH238" s="46"/>
      <c r="AI238" s="46"/>
      <c r="AJ238" s="46"/>
      <c r="AK238" s="46"/>
      <c r="AL238" s="46"/>
      <c r="AM238" s="46"/>
      <c r="AN238" s="46"/>
      <c r="AO238" s="46"/>
      <c r="AP238" s="46"/>
      <c r="AQ238" s="46"/>
      <c r="AR238" s="46"/>
      <c r="AS238" s="46"/>
      <c r="AT238" s="46"/>
      <c r="AU238" s="46"/>
      <c r="AV238" s="230"/>
      <c r="AW238" s="230"/>
      <c r="AX238" s="230"/>
      <c r="AY238" s="230"/>
      <c r="AZ238" s="230"/>
      <c r="BA238" s="230"/>
      <c r="BB238" s="230"/>
      <c r="BC238" s="230"/>
      <c r="BD238" s="230"/>
      <c r="BE238" s="230"/>
      <c r="BF238" s="230"/>
      <c r="BG238" s="230"/>
      <c r="BH238" s="230"/>
      <c r="BI238" s="230"/>
      <c r="BJ238" s="230"/>
      <c r="BK238" s="230"/>
      <c r="BL238" s="230"/>
      <c r="BM238" s="230"/>
      <c r="BN238" s="230"/>
      <c r="BO238" s="230"/>
      <c r="BP238" s="230"/>
      <c r="BQ238" s="230"/>
    </row>
    <row r="239" spans="1:69" ht="15.75" customHeight="1">
      <c r="A239" s="46"/>
      <c r="B239" s="46"/>
      <c r="C239" s="46"/>
      <c r="D239" s="46"/>
      <c r="E239" s="245"/>
      <c r="F239" s="237"/>
      <c r="G239" s="237"/>
      <c r="H239" s="46"/>
      <c r="I239" s="46"/>
      <c r="J239" s="46"/>
      <c r="K239" s="46"/>
      <c r="L239" s="46"/>
      <c r="M239" s="46"/>
      <c r="N239" s="46"/>
      <c r="O239" s="46"/>
      <c r="P239" s="46"/>
      <c r="Q239" s="46"/>
      <c r="R239" s="46"/>
      <c r="S239" s="46"/>
      <c r="T239" s="46"/>
      <c r="U239" s="46"/>
      <c r="V239" s="46"/>
      <c r="W239" s="46"/>
      <c r="X239" s="46"/>
      <c r="Y239" s="46"/>
      <c r="Z239" s="46"/>
      <c r="AA239" s="46"/>
      <c r="AB239" s="46"/>
      <c r="AC239" s="46"/>
      <c r="AD239" s="2"/>
      <c r="AE239" s="46"/>
      <c r="AF239" s="46"/>
      <c r="AG239" s="46"/>
      <c r="AH239" s="46"/>
      <c r="AI239" s="46"/>
      <c r="AJ239" s="46"/>
      <c r="AK239" s="46"/>
      <c r="AL239" s="46"/>
      <c r="AM239" s="46"/>
      <c r="AN239" s="46"/>
      <c r="AO239" s="46"/>
      <c r="AP239" s="46"/>
      <c r="AQ239" s="46"/>
      <c r="AR239" s="46"/>
      <c r="AS239" s="46"/>
      <c r="AT239" s="46"/>
      <c r="AU239" s="46"/>
      <c r="AV239" s="230"/>
      <c r="AW239" s="230"/>
      <c r="AX239" s="230"/>
      <c r="AY239" s="230"/>
      <c r="AZ239" s="230"/>
      <c r="BA239" s="230"/>
      <c r="BB239" s="230"/>
      <c r="BC239" s="230"/>
      <c r="BD239" s="230"/>
      <c r="BE239" s="230"/>
      <c r="BF239" s="230"/>
      <c r="BG239" s="230"/>
      <c r="BH239" s="230"/>
      <c r="BI239" s="230"/>
      <c r="BJ239" s="230"/>
      <c r="BK239" s="230"/>
      <c r="BL239" s="230"/>
      <c r="BM239" s="230"/>
      <c r="BN239" s="230"/>
      <c r="BO239" s="230"/>
      <c r="BP239" s="230"/>
      <c r="BQ239" s="230"/>
    </row>
    <row r="240" spans="1:69" ht="15.75" customHeight="1">
      <c r="A240" s="46"/>
      <c r="B240" s="46"/>
      <c r="C240" s="46"/>
      <c r="D240" s="46"/>
      <c r="E240" s="245"/>
      <c r="F240" s="237"/>
      <c r="G240" s="237"/>
      <c r="H240" s="46"/>
      <c r="I240" s="46"/>
      <c r="J240" s="46"/>
      <c r="K240" s="46"/>
      <c r="L240" s="46"/>
      <c r="M240" s="46"/>
      <c r="N240" s="46"/>
      <c r="O240" s="46"/>
      <c r="P240" s="46"/>
      <c r="Q240" s="46"/>
      <c r="R240" s="46"/>
      <c r="S240" s="46"/>
      <c r="T240" s="46"/>
      <c r="U240" s="46"/>
      <c r="V240" s="46"/>
      <c r="W240" s="46"/>
      <c r="X240" s="46"/>
      <c r="Y240" s="46"/>
      <c r="Z240" s="46"/>
      <c r="AA240" s="46"/>
      <c r="AB240" s="46"/>
      <c r="AC240" s="46"/>
      <c r="AD240" s="2"/>
      <c r="AE240" s="46"/>
      <c r="AF240" s="46"/>
      <c r="AG240" s="46"/>
      <c r="AH240" s="46"/>
      <c r="AI240" s="46"/>
      <c r="AJ240" s="46"/>
      <c r="AK240" s="46"/>
      <c r="AL240" s="46"/>
      <c r="AM240" s="46"/>
      <c r="AN240" s="46"/>
      <c r="AO240" s="46"/>
      <c r="AP240" s="46"/>
      <c r="AQ240" s="46"/>
      <c r="AR240" s="46"/>
      <c r="AS240" s="46"/>
      <c r="AT240" s="46"/>
      <c r="AU240" s="46"/>
      <c r="AV240" s="230"/>
      <c r="AW240" s="230"/>
      <c r="AX240" s="230"/>
      <c r="AY240" s="230"/>
      <c r="AZ240" s="230"/>
      <c r="BA240" s="230"/>
      <c r="BB240" s="230"/>
      <c r="BC240" s="230"/>
      <c r="BD240" s="230"/>
      <c r="BE240" s="230"/>
      <c r="BF240" s="230"/>
      <c r="BG240" s="230"/>
      <c r="BH240" s="230"/>
      <c r="BI240" s="230"/>
      <c r="BJ240" s="230"/>
      <c r="BK240" s="230"/>
      <c r="BL240" s="230"/>
      <c r="BM240" s="230"/>
      <c r="BN240" s="230"/>
      <c r="BO240" s="230"/>
      <c r="BP240" s="230"/>
      <c r="BQ240" s="230"/>
    </row>
    <row r="241" spans="1:69" ht="15.75" customHeight="1">
      <c r="A241" s="46"/>
      <c r="B241" s="46"/>
      <c r="C241" s="46"/>
      <c r="D241" s="46"/>
      <c r="E241" s="245"/>
      <c r="F241" s="237"/>
      <c r="G241" s="237"/>
      <c r="H241" s="46"/>
      <c r="I241" s="46"/>
      <c r="J241" s="46"/>
      <c r="K241" s="46"/>
      <c r="L241" s="46"/>
      <c r="M241" s="46"/>
      <c r="N241" s="46"/>
      <c r="O241" s="46"/>
      <c r="P241" s="46"/>
      <c r="Q241" s="46"/>
      <c r="R241" s="46"/>
      <c r="S241" s="46"/>
      <c r="T241" s="46"/>
      <c r="U241" s="46"/>
      <c r="V241" s="46"/>
      <c r="W241" s="46"/>
      <c r="X241" s="46"/>
      <c r="Y241" s="46"/>
      <c r="Z241" s="46"/>
      <c r="AA241" s="46"/>
      <c r="AB241" s="46"/>
      <c r="AC241" s="46"/>
      <c r="AD241" s="2"/>
      <c r="AE241" s="46"/>
      <c r="AF241" s="46"/>
      <c r="AG241" s="46"/>
      <c r="AH241" s="46"/>
      <c r="AI241" s="46"/>
      <c r="AJ241" s="46"/>
      <c r="AK241" s="46"/>
      <c r="AL241" s="46"/>
      <c r="AM241" s="46"/>
      <c r="AN241" s="46"/>
      <c r="AO241" s="46"/>
      <c r="AP241" s="46"/>
      <c r="AQ241" s="46"/>
      <c r="AR241" s="46"/>
      <c r="AS241" s="46"/>
      <c r="AT241" s="46"/>
      <c r="AU241" s="46"/>
      <c r="AV241" s="230"/>
      <c r="AW241" s="230"/>
      <c r="AX241" s="230"/>
      <c r="AY241" s="230"/>
      <c r="AZ241" s="230"/>
      <c r="BA241" s="230"/>
      <c r="BB241" s="230"/>
      <c r="BC241" s="230"/>
      <c r="BD241" s="230"/>
      <c r="BE241" s="230"/>
      <c r="BF241" s="230"/>
      <c r="BG241" s="230"/>
      <c r="BH241" s="230"/>
      <c r="BI241" s="230"/>
      <c r="BJ241" s="230"/>
      <c r="BK241" s="230"/>
      <c r="BL241" s="230"/>
      <c r="BM241" s="230"/>
      <c r="BN241" s="230"/>
      <c r="BO241" s="230"/>
      <c r="BP241" s="230"/>
      <c r="BQ241" s="230"/>
    </row>
    <row r="242" spans="1:69" ht="15.75" customHeight="1">
      <c r="A242" s="46"/>
      <c r="B242" s="46"/>
      <c r="C242" s="46"/>
      <c r="D242" s="46"/>
      <c r="E242" s="245"/>
      <c r="F242" s="237"/>
      <c r="G242" s="237"/>
      <c r="H242" s="46"/>
      <c r="I242" s="46"/>
      <c r="J242" s="46"/>
      <c r="K242" s="46"/>
      <c r="L242" s="46"/>
      <c r="M242" s="46"/>
      <c r="N242" s="46"/>
      <c r="O242" s="46"/>
      <c r="P242" s="46"/>
      <c r="Q242" s="46"/>
      <c r="R242" s="46"/>
      <c r="S242" s="46"/>
      <c r="T242" s="46"/>
      <c r="U242" s="46"/>
      <c r="V242" s="46"/>
      <c r="W242" s="46"/>
      <c r="X242" s="46"/>
      <c r="Y242" s="46"/>
      <c r="Z242" s="46"/>
      <c r="AA242" s="46"/>
      <c r="AB242" s="46"/>
      <c r="AC242" s="46"/>
      <c r="AD242" s="2"/>
      <c r="AE242" s="46"/>
      <c r="AF242" s="46"/>
      <c r="AG242" s="46"/>
      <c r="AH242" s="46"/>
      <c r="AI242" s="46"/>
      <c r="AJ242" s="46"/>
      <c r="AK242" s="46"/>
      <c r="AL242" s="46"/>
      <c r="AM242" s="46"/>
      <c r="AN242" s="46"/>
      <c r="AO242" s="46"/>
      <c r="AP242" s="46"/>
      <c r="AQ242" s="46"/>
      <c r="AR242" s="46"/>
      <c r="AS242" s="46"/>
      <c r="AT242" s="46"/>
      <c r="AU242" s="46"/>
      <c r="AV242" s="230"/>
      <c r="AW242" s="230"/>
      <c r="AX242" s="230"/>
      <c r="AY242" s="230"/>
      <c r="AZ242" s="230"/>
      <c r="BA242" s="230"/>
      <c r="BB242" s="230"/>
      <c r="BC242" s="230"/>
      <c r="BD242" s="230"/>
      <c r="BE242" s="230"/>
      <c r="BF242" s="230"/>
      <c r="BG242" s="230"/>
      <c r="BH242" s="230"/>
      <c r="BI242" s="230"/>
      <c r="BJ242" s="230"/>
      <c r="BK242" s="230"/>
      <c r="BL242" s="230"/>
      <c r="BM242" s="230"/>
      <c r="BN242" s="230"/>
      <c r="BO242" s="230"/>
      <c r="BP242" s="230"/>
      <c r="BQ242" s="230"/>
    </row>
    <row r="243" spans="1:69" ht="15.75" customHeight="1">
      <c r="A243" s="46"/>
      <c r="B243" s="46"/>
      <c r="C243" s="46"/>
      <c r="D243" s="46"/>
      <c r="E243" s="245"/>
      <c r="F243" s="237"/>
      <c r="G243" s="237"/>
      <c r="H243" s="46"/>
      <c r="I243" s="46"/>
      <c r="J243" s="46"/>
      <c r="K243" s="46"/>
      <c r="L243" s="46"/>
      <c r="M243" s="46"/>
      <c r="N243" s="46"/>
      <c r="O243" s="46"/>
      <c r="P243" s="46"/>
      <c r="Q243" s="46"/>
      <c r="R243" s="46"/>
      <c r="S243" s="46"/>
      <c r="T243" s="46"/>
      <c r="U243" s="46"/>
      <c r="V243" s="46"/>
      <c r="W243" s="46"/>
      <c r="X243" s="46"/>
      <c r="Y243" s="46"/>
      <c r="Z243" s="46"/>
      <c r="AA243" s="46"/>
      <c r="AB243" s="46"/>
      <c r="AC243" s="46"/>
      <c r="AD243" s="2"/>
      <c r="AE243" s="46"/>
      <c r="AF243" s="46"/>
      <c r="AG243" s="46"/>
      <c r="AH243" s="46"/>
      <c r="AI243" s="46"/>
      <c r="AJ243" s="46"/>
      <c r="AK243" s="46"/>
      <c r="AL243" s="46"/>
      <c r="AM243" s="46"/>
      <c r="AN243" s="46"/>
      <c r="AO243" s="46"/>
      <c r="AP243" s="46"/>
      <c r="AQ243" s="46"/>
      <c r="AR243" s="46"/>
      <c r="AS243" s="46"/>
      <c r="AT243" s="46"/>
      <c r="AU243" s="46"/>
      <c r="AV243" s="230"/>
      <c r="AW243" s="230"/>
      <c r="AX243" s="230"/>
      <c r="AY243" s="230"/>
      <c r="AZ243" s="230"/>
      <c r="BA243" s="230"/>
      <c r="BB243" s="230"/>
      <c r="BC243" s="230"/>
      <c r="BD243" s="230"/>
      <c r="BE243" s="230"/>
      <c r="BF243" s="230"/>
      <c r="BG243" s="230"/>
      <c r="BH243" s="230"/>
      <c r="BI243" s="230"/>
      <c r="BJ243" s="230"/>
      <c r="BK243" s="230"/>
      <c r="BL243" s="230"/>
      <c r="BM243" s="230"/>
      <c r="BN243" s="230"/>
      <c r="BO243" s="230"/>
      <c r="BP243" s="230"/>
      <c r="BQ243" s="230"/>
    </row>
    <row r="244" spans="1:69" ht="15.75" customHeight="1">
      <c r="A244" s="46"/>
      <c r="B244" s="46"/>
      <c r="C244" s="46"/>
      <c r="D244" s="46"/>
      <c r="E244" s="245"/>
      <c r="F244" s="237"/>
      <c r="G244" s="237"/>
      <c r="H244" s="46"/>
      <c r="I244" s="46"/>
      <c r="J244" s="46"/>
      <c r="K244" s="46"/>
      <c r="L244" s="46"/>
      <c r="M244" s="46"/>
      <c r="N244" s="46"/>
      <c r="O244" s="46"/>
      <c r="P244" s="46"/>
      <c r="Q244" s="46"/>
      <c r="R244" s="46"/>
      <c r="S244" s="46"/>
      <c r="T244" s="46"/>
      <c r="U244" s="46"/>
      <c r="V244" s="46"/>
      <c r="W244" s="46"/>
      <c r="X244" s="46"/>
      <c r="Y244" s="46"/>
      <c r="Z244" s="46"/>
      <c r="AA244" s="46"/>
      <c r="AB244" s="46"/>
      <c r="AC244" s="46"/>
      <c r="AD244" s="2"/>
      <c r="AE244" s="46"/>
      <c r="AF244" s="46"/>
      <c r="AG244" s="46"/>
      <c r="AH244" s="46"/>
      <c r="AI244" s="46"/>
      <c r="AJ244" s="46"/>
      <c r="AK244" s="46"/>
      <c r="AL244" s="46"/>
      <c r="AM244" s="46"/>
      <c r="AN244" s="46"/>
      <c r="AO244" s="46"/>
      <c r="AP244" s="46"/>
      <c r="AQ244" s="46"/>
      <c r="AR244" s="46"/>
      <c r="AS244" s="46"/>
      <c r="AT244" s="46"/>
      <c r="AU244" s="46"/>
      <c r="AV244" s="230"/>
      <c r="AW244" s="230"/>
      <c r="AX244" s="230"/>
      <c r="AY244" s="230"/>
      <c r="AZ244" s="230"/>
      <c r="BA244" s="230"/>
      <c r="BB244" s="230"/>
      <c r="BC244" s="230"/>
      <c r="BD244" s="230"/>
      <c r="BE244" s="230"/>
      <c r="BF244" s="230"/>
      <c r="BG244" s="230"/>
      <c r="BH244" s="230"/>
      <c r="BI244" s="230"/>
      <c r="BJ244" s="230"/>
      <c r="BK244" s="230"/>
      <c r="BL244" s="230"/>
      <c r="BM244" s="230"/>
      <c r="BN244" s="230"/>
      <c r="BO244" s="230"/>
      <c r="BP244" s="230"/>
      <c r="BQ244" s="230"/>
    </row>
    <row r="245" spans="1:69" ht="15.75" customHeight="1">
      <c r="A245" s="46"/>
      <c r="B245" s="46"/>
      <c r="C245" s="46"/>
      <c r="D245" s="46"/>
      <c r="E245" s="245"/>
      <c r="F245" s="237"/>
      <c r="G245" s="237"/>
      <c r="H245" s="46"/>
      <c r="I245" s="46"/>
      <c r="J245" s="46"/>
      <c r="K245" s="46"/>
      <c r="L245" s="46"/>
      <c r="M245" s="46"/>
      <c r="N245" s="46"/>
      <c r="O245" s="46"/>
      <c r="P245" s="46"/>
      <c r="Q245" s="46"/>
      <c r="R245" s="46"/>
      <c r="S245" s="46"/>
      <c r="T245" s="46"/>
      <c r="U245" s="46"/>
      <c r="V245" s="46"/>
      <c r="W245" s="46"/>
      <c r="X245" s="46"/>
      <c r="Y245" s="46"/>
      <c r="Z245" s="46"/>
      <c r="AA245" s="46"/>
      <c r="AB245" s="46"/>
      <c r="AC245" s="46"/>
      <c r="AD245" s="2"/>
      <c r="AE245" s="46"/>
      <c r="AF245" s="46"/>
      <c r="AG245" s="46"/>
      <c r="AH245" s="46"/>
      <c r="AI245" s="46"/>
      <c r="AJ245" s="46"/>
      <c r="AK245" s="46"/>
      <c r="AL245" s="46"/>
      <c r="AM245" s="46"/>
      <c r="AN245" s="46"/>
      <c r="AO245" s="46"/>
      <c r="AP245" s="46"/>
      <c r="AQ245" s="46"/>
      <c r="AR245" s="46"/>
      <c r="AS245" s="46"/>
      <c r="AT245" s="46"/>
      <c r="AU245" s="46"/>
      <c r="AV245" s="230"/>
      <c r="AW245" s="230"/>
      <c r="AX245" s="230"/>
      <c r="AY245" s="230"/>
      <c r="AZ245" s="230"/>
      <c r="BA245" s="230"/>
      <c r="BB245" s="230"/>
      <c r="BC245" s="230"/>
      <c r="BD245" s="230"/>
      <c r="BE245" s="230"/>
      <c r="BF245" s="230"/>
      <c r="BG245" s="230"/>
      <c r="BH245" s="230"/>
      <c r="BI245" s="230"/>
      <c r="BJ245" s="230"/>
      <c r="BK245" s="230"/>
      <c r="BL245" s="230"/>
      <c r="BM245" s="230"/>
      <c r="BN245" s="230"/>
      <c r="BO245" s="230"/>
      <c r="BP245" s="230"/>
      <c r="BQ245" s="230"/>
    </row>
    <row r="246" spans="1:69" ht="15.75" customHeight="1">
      <c r="A246" s="46"/>
      <c r="B246" s="46"/>
      <c r="C246" s="46"/>
      <c r="D246" s="46"/>
      <c r="E246" s="245"/>
      <c r="F246" s="237"/>
      <c r="G246" s="237"/>
      <c r="H246" s="46"/>
      <c r="I246" s="46"/>
      <c r="J246" s="46"/>
      <c r="K246" s="46"/>
      <c r="L246" s="46"/>
      <c r="M246" s="46"/>
      <c r="N246" s="46"/>
      <c r="O246" s="46"/>
      <c r="P246" s="46"/>
      <c r="Q246" s="46"/>
      <c r="R246" s="46"/>
      <c r="S246" s="46"/>
      <c r="T246" s="46"/>
      <c r="U246" s="46"/>
      <c r="V246" s="46"/>
      <c r="W246" s="46"/>
      <c r="X246" s="46"/>
      <c r="Y246" s="46"/>
      <c r="Z246" s="46"/>
      <c r="AA246" s="46"/>
      <c r="AB246" s="46"/>
      <c r="AC246" s="46"/>
      <c r="AD246" s="2"/>
      <c r="AE246" s="46"/>
      <c r="AF246" s="46"/>
      <c r="AG246" s="46"/>
      <c r="AH246" s="46"/>
      <c r="AI246" s="46"/>
      <c r="AJ246" s="46"/>
      <c r="AK246" s="46"/>
      <c r="AL246" s="46"/>
      <c r="AM246" s="46"/>
      <c r="AN246" s="46"/>
      <c r="AO246" s="46"/>
      <c r="AP246" s="46"/>
      <c r="AQ246" s="46"/>
      <c r="AR246" s="46"/>
      <c r="AS246" s="46"/>
      <c r="AT246" s="46"/>
      <c r="AU246" s="46"/>
      <c r="AV246" s="230"/>
      <c r="AW246" s="230"/>
      <c r="AX246" s="230"/>
      <c r="AY246" s="230"/>
      <c r="AZ246" s="230"/>
      <c r="BA246" s="230"/>
      <c r="BB246" s="230"/>
      <c r="BC246" s="230"/>
      <c r="BD246" s="230"/>
      <c r="BE246" s="230"/>
      <c r="BF246" s="230"/>
      <c r="BG246" s="230"/>
      <c r="BH246" s="230"/>
      <c r="BI246" s="230"/>
      <c r="BJ246" s="230"/>
      <c r="BK246" s="230"/>
      <c r="BL246" s="230"/>
      <c r="BM246" s="230"/>
      <c r="BN246" s="230"/>
      <c r="BO246" s="230"/>
      <c r="BP246" s="230"/>
      <c r="BQ246" s="230"/>
    </row>
    <row r="247" spans="1:69" ht="15.75" customHeight="1">
      <c r="A247" s="46"/>
      <c r="B247" s="46"/>
      <c r="C247" s="46"/>
      <c r="D247" s="46"/>
      <c r="E247" s="245"/>
      <c r="F247" s="237"/>
      <c r="G247" s="237"/>
      <c r="H247" s="46"/>
      <c r="I247" s="46"/>
      <c r="J247" s="46"/>
      <c r="K247" s="46"/>
      <c r="L247" s="46"/>
      <c r="M247" s="46"/>
      <c r="N247" s="46"/>
      <c r="O247" s="46"/>
      <c r="P247" s="46"/>
      <c r="Q247" s="46"/>
      <c r="R247" s="46"/>
      <c r="S247" s="46"/>
      <c r="T247" s="46"/>
      <c r="U247" s="46"/>
      <c r="V247" s="46"/>
      <c r="W247" s="46"/>
      <c r="X247" s="46"/>
      <c r="Y247" s="46"/>
      <c r="Z247" s="46"/>
      <c r="AA247" s="46"/>
      <c r="AB247" s="46"/>
      <c r="AC247" s="46"/>
      <c r="AD247" s="2"/>
      <c r="AE247" s="46"/>
      <c r="AF247" s="46"/>
      <c r="AG247" s="46"/>
      <c r="AH247" s="46"/>
      <c r="AI247" s="46"/>
      <c r="AJ247" s="46"/>
      <c r="AK247" s="46"/>
      <c r="AL247" s="46"/>
      <c r="AM247" s="46"/>
      <c r="AN247" s="46"/>
      <c r="AO247" s="46"/>
      <c r="AP247" s="46"/>
      <c r="AQ247" s="46"/>
      <c r="AR247" s="46"/>
      <c r="AS247" s="46"/>
      <c r="AT247" s="46"/>
      <c r="AU247" s="46"/>
      <c r="AV247" s="230"/>
      <c r="AW247" s="230"/>
      <c r="AX247" s="230"/>
      <c r="AY247" s="230"/>
      <c r="AZ247" s="230"/>
      <c r="BA247" s="230"/>
      <c r="BB247" s="230"/>
      <c r="BC247" s="230"/>
      <c r="BD247" s="230"/>
      <c r="BE247" s="230"/>
      <c r="BF247" s="230"/>
      <c r="BG247" s="230"/>
      <c r="BH247" s="230"/>
      <c r="BI247" s="230"/>
      <c r="BJ247" s="230"/>
      <c r="BK247" s="230"/>
      <c r="BL247" s="230"/>
      <c r="BM247" s="230"/>
      <c r="BN247" s="230"/>
      <c r="BO247" s="230"/>
      <c r="BP247" s="230"/>
      <c r="BQ247" s="230"/>
    </row>
    <row r="248" spans="1:69" ht="15.75" customHeight="1">
      <c r="A248" s="46"/>
      <c r="B248" s="46"/>
      <c r="C248" s="46"/>
      <c r="D248" s="46"/>
      <c r="E248" s="245"/>
      <c r="F248" s="237"/>
      <c r="G248" s="237"/>
      <c r="H248" s="46"/>
      <c r="I248" s="46"/>
      <c r="J248" s="46"/>
      <c r="K248" s="46"/>
      <c r="L248" s="46"/>
      <c r="M248" s="46"/>
      <c r="N248" s="46"/>
      <c r="O248" s="46"/>
      <c r="P248" s="46"/>
      <c r="Q248" s="46"/>
      <c r="R248" s="46"/>
      <c r="S248" s="46"/>
      <c r="T248" s="46"/>
      <c r="U248" s="46"/>
      <c r="V248" s="46"/>
      <c r="W248" s="46"/>
      <c r="X248" s="46"/>
      <c r="Y248" s="46"/>
      <c r="Z248" s="46"/>
      <c r="AA248" s="46"/>
      <c r="AB248" s="46"/>
      <c r="AC248" s="46"/>
      <c r="AD248" s="2"/>
      <c r="AE248" s="46"/>
      <c r="AF248" s="46"/>
      <c r="AG248" s="46"/>
      <c r="AH248" s="46"/>
      <c r="AI248" s="46"/>
      <c r="AJ248" s="46"/>
      <c r="AK248" s="46"/>
      <c r="AL248" s="46"/>
      <c r="AM248" s="46"/>
      <c r="AN248" s="46"/>
      <c r="AO248" s="46"/>
      <c r="AP248" s="46"/>
      <c r="AQ248" s="46"/>
      <c r="AR248" s="46"/>
      <c r="AS248" s="46"/>
      <c r="AT248" s="46"/>
      <c r="AU248" s="46"/>
      <c r="AV248" s="230"/>
      <c r="AW248" s="230"/>
      <c r="AX248" s="230"/>
      <c r="AY248" s="230"/>
      <c r="AZ248" s="230"/>
      <c r="BA248" s="230"/>
      <c r="BB248" s="230"/>
      <c r="BC248" s="230"/>
      <c r="BD248" s="230"/>
      <c r="BE248" s="230"/>
      <c r="BF248" s="230"/>
      <c r="BG248" s="230"/>
      <c r="BH248" s="230"/>
      <c r="BI248" s="230"/>
      <c r="BJ248" s="230"/>
      <c r="BK248" s="230"/>
      <c r="BL248" s="230"/>
      <c r="BM248" s="230"/>
      <c r="BN248" s="230"/>
      <c r="BO248" s="230"/>
      <c r="BP248" s="230"/>
      <c r="BQ248" s="230"/>
    </row>
    <row r="249" spans="1:69" ht="15.75" customHeight="1">
      <c r="A249" s="46"/>
      <c r="B249" s="46"/>
      <c r="C249" s="46"/>
      <c r="D249" s="46"/>
      <c r="E249" s="245"/>
      <c r="F249" s="237"/>
      <c r="G249" s="237"/>
      <c r="H249" s="46"/>
      <c r="I249" s="46"/>
      <c r="J249" s="46"/>
      <c r="K249" s="46"/>
      <c r="L249" s="46"/>
      <c r="M249" s="46"/>
      <c r="N249" s="46"/>
      <c r="O249" s="46"/>
      <c r="P249" s="46"/>
      <c r="Q249" s="46"/>
      <c r="R249" s="46"/>
      <c r="S249" s="46"/>
      <c r="T249" s="46"/>
      <c r="U249" s="46"/>
      <c r="V249" s="46"/>
      <c r="W249" s="46"/>
      <c r="X249" s="46"/>
      <c r="Y249" s="46"/>
      <c r="Z249" s="46"/>
      <c r="AA249" s="46"/>
      <c r="AB249" s="46"/>
      <c r="AC249" s="46"/>
      <c r="AD249" s="2"/>
      <c r="AE249" s="46"/>
      <c r="AF249" s="46"/>
      <c r="AG249" s="46"/>
      <c r="AH249" s="46"/>
      <c r="AI249" s="46"/>
      <c r="AJ249" s="46"/>
      <c r="AK249" s="46"/>
      <c r="AL249" s="46"/>
      <c r="AM249" s="46"/>
      <c r="AN249" s="46"/>
      <c r="AO249" s="46"/>
      <c r="AP249" s="46"/>
      <c r="AQ249" s="46"/>
      <c r="AR249" s="46"/>
      <c r="AS249" s="46"/>
      <c r="AT249" s="46"/>
      <c r="AU249" s="46"/>
      <c r="AV249" s="230"/>
      <c r="AW249" s="230"/>
      <c r="AX249" s="230"/>
      <c r="AY249" s="230"/>
      <c r="AZ249" s="230"/>
      <c r="BA249" s="230"/>
      <c r="BB249" s="230"/>
      <c r="BC249" s="230"/>
      <c r="BD249" s="230"/>
      <c r="BE249" s="230"/>
      <c r="BF249" s="230"/>
      <c r="BG249" s="230"/>
      <c r="BH249" s="230"/>
      <c r="BI249" s="230"/>
      <c r="BJ249" s="230"/>
      <c r="BK249" s="230"/>
      <c r="BL249" s="230"/>
      <c r="BM249" s="230"/>
      <c r="BN249" s="230"/>
      <c r="BO249" s="230"/>
      <c r="BP249" s="230"/>
      <c r="BQ249" s="230"/>
    </row>
    <row r="250" spans="1:69" ht="15.75" customHeight="1">
      <c r="A250" s="46"/>
      <c r="B250" s="46"/>
      <c r="C250" s="46"/>
      <c r="D250" s="46"/>
      <c r="E250" s="245"/>
      <c r="F250" s="237"/>
      <c r="G250" s="237"/>
      <c r="H250" s="46"/>
      <c r="I250" s="46"/>
      <c r="J250" s="46"/>
      <c r="K250" s="46"/>
      <c r="L250" s="46"/>
      <c r="M250" s="46"/>
      <c r="N250" s="46"/>
      <c r="O250" s="46"/>
      <c r="P250" s="46"/>
      <c r="Q250" s="46"/>
      <c r="R250" s="46"/>
      <c r="S250" s="46"/>
      <c r="T250" s="46"/>
      <c r="U250" s="46"/>
      <c r="V250" s="46"/>
      <c r="W250" s="46"/>
      <c r="X250" s="46"/>
      <c r="Y250" s="46"/>
      <c r="Z250" s="46"/>
      <c r="AA250" s="46"/>
      <c r="AB250" s="46"/>
      <c r="AC250" s="46"/>
      <c r="AD250" s="2"/>
      <c r="AE250" s="46"/>
      <c r="AF250" s="46"/>
      <c r="AG250" s="46"/>
      <c r="AH250" s="46"/>
      <c r="AI250" s="46"/>
      <c r="AJ250" s="46"/>
      <c r="AK250" s="46"/>
      <c r="AL250" s="46"/>
      <c r="AM250" s="46"/>
      <c r="AN250" s="46"/>
      <c r="AO250" s="46"/>
      <c r="AP250" s="46"/>
      <c r="AQ250" s="46"/>
      <c r="AR250" s="46"/>
      <c r="AS250" s="46"/>
      <c r="AT250" s="46"/>
      <c r="AU250" s="46"/>
      <c r="AV250" s="230"/>
      <c r="AW250" s="230"/>
      <c r="AX250" s="230"/>
      <c r="AY250" s="230"/>
      <c r="AZ250" s="230"/>
      <c r="BA250" s="230"/>
      <c r="BB250" s="230"/>
      <c r="BC250" s="230"/>
      <c r="BD250" s="230"/>
      <c r="BE250" s="230"/>
      <c r="BF250" s="230"/>
      <c r="BG250" s="230"/>
      <c r="BH250" s="230"/>
      <c r="BI250" s="230"/>
      <c r="BJ250" s="230"/>
      <c r="BK250" s="230"/>
      <c r="BL250" s="230"/>
      <c r="BM250" s="230"/>
      <c r="BN250" s="230"/>
      <c r="BO250" s="230"/>
      <c r="BP250" s="230"/>
      <c r="BQ250" s="230"/>
    </row>
    <row r="251" spans="1:69" ht="15.75" customHeight="1">
      <c r="A251" s="46"/>
      <c r="B251" s="46"/>
      <c r="C251" s="46"/>
      <c r="D251" s="46"/>
      <c r="E251" s="245"/>
      <c r="F251" s="237"/>
      <c r="G251" s="237"/>
      <c r="H251" s="46"/>
      <c r="I251" s="46"/>
      <c r="J251" s="46"/>
      <c r="K251" s="46"/>
      <c r="L251" s="46"/>
      <c r="M251" s="46"/>
      <c r="N251" s="46"/>
      <c r="O251" s="46"/>
      <c r="P251" s="46"/>
      <c r="Q251" s="46"/>
      <c r="R251" s="46"/>
      <c r="S251" s="46"/>
      <c r="T251" s="46"/>
      <c r="U251" s="46"/>
      <c r="V251" s="46"/>
      <c r="W251" s="46"/>
      <c r="X251" s="46"/>
      <c r="Y251" s="46"/>
      <c r="Z251" s="46"/>
      <c r="AA251" s="46"/>
      <c r="AB251" s="46"/>
      <c r="AC251" s="46"/>
      <c r="AD251" s="2"/>
      <c r="AE251" s="46"/>
      <c r="AF251" s="46"/>
      <c r="AG251" s="46"/>
      <c r="AH251" s="46"/>
      <c r="AI251" s="46"/>
      <c r="AJ251" s="46"/>
      <c r="AK251" s="46"/>
      <c r="AL251" s="46"/>
      <c r="AM251" s="46"/>
      <c r="AN251" s="46"/>
      <c r="AO251" s="46"/>
      <c r="AP251" s="46"/>
      <c r="AQ251" s="46"/>
      <c r="AR251" s="46"/>
      <c r="AS251" s="46"/>
      <c r="AT251" s="46"/>
      <c r="AU251" s="46"/>
      <c r="AV251" s="230"/>
      <c r="AW251" s="230"/>
      <c r="AX251" s="230"/>
      <c r="AY251" s="230"/>
      <c r="AZ251" s="230"/>
      <c r="BA251" s="230"/>
      <c r="BB251" s="230"/>
      <c r="BC251" s="230"/>
      <c r="BD251" s="230"/>
      <c r="BE251" s="230"/>
      <c r="BF251" s="230"/>
      <c r="BG251" s="230"/>
      <c r="BH251" s="230"/>
      <c r="BI251" s="230"/>
      <c r="BJ251" s="230"/>
      <c r="BK251" s="230"/>
      <c r="BL251" s="230"/>
      <c r="BM251" s="230"/>
      <c r="BN251" s="230"/>
      <c r="BO251" s="230"/>
      <c r="BP251" s="230"/>
      <c r="BQ251" s="230"/>
    </row>
    <row r="252" spans="1:69" ht="15.75" customHeight="1">
      <c r="A252" s="46"/>
      <c r="B252" s="46"/>
      <c r="C252" s="46"/>
      <c r="D252" s="46"/>
      <c r="E252" s="245"/>
      <c r="F252" s="237"/>
      <c r="G252" s="237"/>
      <c r="H252" s="46"/>
      <c r="I252" s="46"/>
      <c r="J252" s="46"/>
      <c r="K252" s="46"/>
      <c r="L252" s="46"/>
      <c r="M252" s="46"/>
      <c r="N252" s="46"/>
      <c r="O252" s="46"/>
      <c r="P252" s="46"/>
      <c r="Q252" s="46"/>
      <c r="R252" s="46"/>
      <c r="S252" s="46"/>
      <c r="T252" s="46"/>
      <c r="U252" s="46"/>
      <c r="V252" s="46"/>
      <c r="W252" s="46"/>
      <c r="X252" s="46"/>
      <c r="Y252" s="46"/>
      <c r="Z252" s="46"/>
      <c r="AA252" s="46"/>
      <c r="AB252" s="46"/>
      <c r="AC252" s="46"/>
      <c r="AD252" s="2"/>
      <c r="AE252" s="46"/>
      <c r="AF252" s="46"/>
      <c r="AG252" s="46"/>
      <c r="AH252" s="46"/>
      <c r="AI252" s="46"/>
      <c r="AJ252" s="46"/>
      <c r="AK252" s="46"/>
      <c r="AL252" s="46"/>
      <c r="AM252" s="46"/>
      <c r="AN252" s="46"/>
      <c r="AO252" s="46"/>
      <c r="AP252" s="46"/>
      <c r="AQ252" s="46"/>
      <c r="AR252" s="46"/>
      <c r="AS252" s="46"/>
      <c r="AT252" s="46"/>
      <c r="AU252" s="46"/>
      <c r="AV252" s="230"/>
      <c r="AW252" s="230"/>
      <c r="AX252" s="230"/>
      <c r="AY252" s="230"/>
      <c r="AZ252" s="230"/>
      <c r="BA252" s="230"/>
      <c r="BB252" s="230"/>
      <c r="BC252" s="230"/>
      <c r="BD252" s="230"/>
      <c r="BE252" s="230"/>
      <c r="BF252" s="230"/>
      <c r="BG252" s="230"/>
      <c r="BH252" s="230"/>
      <c r="BI252" s="230"/>
      <c r="BJ252" s="230"/>
      <c r="BK252" s="230"/>
      <c r="BL252" s="230"/>
      <c r="BM252" s="230"/>
      <c r="BN252" s="230"/>
      <c r="BO252" s="230"/>
      <c r="BP252" s="230"/>
      <c r="BQ252" s="230"/>
    </row>
    <row r="253" spans="1:69" ht="15.75" customHeight="1">
      <c r="A253" s="46"/>
      <c r="B253" s="46"/>
      <c r="C253" s="46"/>
      <c r="D253" s="46"/>
      <c r="E253" s="245"/>
      <c r="F253" s="237"/>
      <c r="G253" s="237"/>
      <c r="H253" s="46"/>
      <c r="I253" s="46"/>
      <c r="J253" s="46"/>
      <c r="K253" s="46"/>
      <c r="L253" s="46"/>
      <c r="M253" s="46"/>
      <c r="N253" s="46"/>
      <c r="O253" s="46"/>
      <c r="P253" s="46"/>
      <c r="Q253" s="46"/>
      <c r="R253" s="46"/>
      <c r="S253" s="46"/>
      <c r="T253" s="46"/>
      <c r="U253" s="46"/>
      <c r="V253" s="46"/>
      <c r="W253" s="46"/>
      <c r="X253" s="46"/>
      <c r="Y253" s="46"/>
      <c r="Z253" s="46"/>
      <c r="AA253" s="46"/>
      <c r="AB253" s="46"/>
      <c r="AC253" s="46"/>
      <c r="AD253" s="2"/>
      <c r="AE253" s="46"/>
      <c r="AF253" s="46"/>
      <c r="AG253" s="46"/>
      <c r="AH253" s="46"/>
      <c r="AI253" s="46"/>
      <c r="AJ253" s="46"/>
      <c r="AK253" s="46"/>
      <c r="AL253" s="46"/>
      <c r="AM253" s="46"/>
      <c r="AN253" s="46"/>
      <c r="AO253" s="46"/>
      <c r="AP253" s="46"/>
      <c r="AQ253" s="46"/>
      <c r="AR253" s="46"/>
      <c r="AS253" s="46"/>
      <c r="AT253" s="46"/>
      <c r="AU253" s="46"/>
      <c r="AV253" s="230"/>
      <c r="AW253" s="230"/>
      <c r="AX253" s="230"/>
      <c r="AY253" s="230"/>
      <c r="AZ253" s="230"/>
      <c r="BA253" s="230"/>
      <c r="BB253" s="230"/>
      <c r="BC253" s="230"/>
      <c r="BD253" s="230"/>
      <c r="BE253" s="230"/>
      <c r="BF253" s="230"/>
      <c r="BG253" s="230"/>
      <c r="BH253" s="230"/>
      <c r="BI253" s="230"/>
      <c r="BJ253" s="230"/>
      <c r="BK253" s="230"/>
      <c r="BL253" s="230"/>
      <c r="BM253" s="230"/>
      <c r="BN253" s="230"/>
      <c r="BO253" s="230"/>
      <c r="BP253" s="230"/>
      <c r="BQ253" s="230"/>
    </row>
    <row r="254" spans="1:69" ht="15.75" customHeight="1">
      <c r="A254" s="46"/>
      <c r="B254" s="46"/>
      <c r="C254" s="46"/>
      <c r="D254" s="46"/>
      <c r="E254" s="245"/>
      <c r="F254" s="237"/>
      <c r="G254" s="237"/>
      <c r="H254" s="46"/>
      <c r="I254" s="46"/>
      <c r="J254" s="46"/>
      <c r="K254" s="46"/>
      <c r="L254" s="46"/>
      <c r="M254" s="46"/>
      <c r="N254" s="46"/>
      <c r="O254" s="46"/>
      <c r="P254" s="46"/>
      <c r="Q254" s="46"/>
      <c r="R254" s="46"/>
      <c r="S254" s="46"/>
      <c r="T254" s="46"/>
      <c r="U254" s="46"/>
      <c r="V254" s="46"/>
      <c r="W254" s="46"/>
      <c r="X254" s="46"/>
      <c r="Y254" s="46"/>
      <c r="Z254" s="46"/>
      <c r="AA254" s="46"/>
      <c r="AB254" s="46"/>
      <c r="AC254" s="46"/>
      <c r="AD254" s="2"/>
      <c r="AE254" s="46"/>
      <c r="AF254" s="46"/>
      <c r="AG254" s="46"/>
      <c r="AH254" s="46"/>
      <c r="AI254" s="46"/>
      <c r="AJ254" s="46"/>
      <c r="AK254" s="46"/>
      <c r="AL254" s="46"/>
      <c r="AM254" s="46"/>
      <c r="AN254" s="46"/>
      <c r="AO254" s="46"/>
      <c r="AP254" s="46"/>
      <c r="AQ254" s="46"/>
      <c r="AR254" s="46"/>
      <c r="AS254" s="46"/>
      <c r="AT254" s="46"/>
      <c r="AU254" s="46"/>
      <c r="AV254" s="230"/>
      <c r="AW254" s="230"/>
      <c r="AX254" s="230"/>
      <c r="AY254" s="230"/>
      <c r="AZ254" s="230"/>
      <c r="BA254" s="230"/>
      <c r="BB254" s="230"/>
      <c r="BC254" s="230"/>
      <c r="BD254" s="230"/>
      <c r="BE254" s="230"/>
      <c r="BF254" s="230"/>
      <c r="BG254" s="230"/>
      <c r="BH254" s="230"/>
      <c r="BI254" s="230"/>
      <c r="BJ254" s="230"/>
      <c r="BK254" s="230"/>
      <c r="BL254" s="230"/>
      <c r="BM254" s="230"/>
      <c r="BN254" s="230"/>
      <c r="BO254" s="230"/>
      <c r="BP254" s="230"/>
      <c r="BQ254" s="230"/>
    </row>
    <row r="255" spans="1:69" ht="15.75" customHeight="1">
      <c r="A255" s="46"/>
      <c r="B255" s="46"/>
      <c r="C255" s="46"/>
      <c r="D255" s="46"/>
      <c r="E255" s="245"/>
      <c r="F255" s="237"/>
      <c r="G255" s="237"/>
      <c r="H255" s="46"/>
      <c r="I255" s="46"/>
      <c r="J255" s="46"/>
      <c r="K255" s="46"/>
      <c r="L255" s="46"/>
      <c r="M255" s="46"/>
      <c r="N255" s="46"/>
      <c r="O255" s="46"/>
      <c r="P255" s="46"/>
      <c r="Q255" s="46"/>
      <c r="R255" s="46"/>
      <c r="S255" s="46"/>
      <c r="T255" s="46"/>
      <c r="U255" s="46"/>
      <c r="V255" s="46"/>
      <c r="W255" s="46"/>
      <c r="X255" s="46"/>
      <c r="Y255" s="46"/>
      <c r="Z255" s="46"/>
      <c r="AA255" s="46"/>
      <c r="AB255" s="46"/>
      <c r="AC255" s="46"/>
      <c r="AD255" s="2"/>
      <c r="AE255" s="46"/>
      <c r="AF255" s="46"/>
      <c r="AG255" s="46"/>
      <c r="AH255" s="46"/>
      <c r="AI255" s="46"/>
      <c r="AJ255" s="46"/>
      <c r="AK255" s="46"/>
      <c r="AL255" s="46"/>
      <c r="AM255" s="46"/>
      <c r="AN255" s="46"/>
      <c r="AO255" s="46"/>
      <c r="AP255" s="46"/>
      <c r="AQ255" s="46"/>
      <c r="AR255" s="46"/>
      <c r="AS255" s="46"/>
      <c r="AT255" s="46"/>
      <c r="AU255" s="46"/>
      <c r="AV255" s="230"/>
      <c r="AW255" s="230"/>
      <c r="AX255" s="230"/>
      <c r="AY255" s="230"/>
      <c r="AZ255" s="230"/>
      <c r="BA255" s="230"/>
      <c r="BB255" s="230"/>
      <c r="BC255" s="230"/>
      <c r="BD255" s="230"/>
      <c r="BE255" s="230"/>
      <c r="BF255" s="230"/>
      <c r="BG255" s="230"/>
      <c r="BH255" s="230"/>
      <c r="BI255" s="230"/>
      <c r="BJ255" s="230"/>
      <c r="BK255" s="230"/>
      <c r="BL255" s="230"/>
      <c r="BM255" s="230"/>
      <c r="BN255" s="230"/>
      <c r="BO255" s="230"/>
      <c r="BP255" s="230"/>
      <c r="BQ255" s="230"/>
    </row>
    <row r="256" spans="1:69" ht="15.75" customHeight="1">
      <c r="A256" s="46"/>
      <c r="B256" s="46"/>
      <c r="C256" s="46"/>
      <c r="D256" s="46"/>
      <c r="E256" s="245"/>
      <c r="F256" s="237"/>
      <c r="G256" s="237"/>
      <c r="H256" s="46"/>
      <c r="I256" s="46"/>
      <c r="J256" s="46"/>
      <c r="K256" s="46"/>
      <c r="L256" s="46"/>
      <c r="M256" s="46"/>
      <c r="N256" s="46"/>
      <c r="O256" s="46"/>
      <c r="P256" s="46"/>
      <c r="Q256" s="46"/>
      <c r="R256" s="46"/>
      <c r="S256" s="46"/>
      <c r="T256" s="46"/>
      <c r="U256" s="46"/>
      <c r="V256" s="46"/>
      <c r="W256" s="46"/>
      <c r="X256" s="46"/>
      <c r="Y256" s="46"/>
      <c r="Z256" s="46"/>
      <c r="AA256" s="46"/>
      <c r="AB256" s="46"/>
      <c r="AC256" s="46"/>
      <c r="AD256" s="2"/>
      <c r="AE256" s="46"/>
      <c r="AF256" s="46"/>
      <c r="AG256" s="46"/>
      <c r="AH256" s="46"/>
      <c r="AI256" s="46"/>
      <c r="AJ256" s="46"/>
      <c r="AK256" s="46"/>
      <c r="AL256" s="46"/>
      <c r="AM256" s="46"/>
      <c r="AN256" s="46"/>
      <c r="AO256" s="46"/>
      <c r="AP256" s="46"/>
      <c r="AQ256" s="46"/>
      <c r="AR256" s="46"/>
      <c r="AS256" s="46"/>
      <c r="AT256" s="46"/>
      <c r="AU256" s="46"/>
      <c r="AV256" s="230"/>
      <c r="AW256" s="230"/>
      <c r="AX256" s="230"/>
      <c r="AY256" s="230"/>
      <c r="AZ256" s="230"/>
      <c r="BA256" s="230"/>
      <c r="BB256" s="230"/>
      <c r="BC256" s="230"/>
      <c r="BD256" s="230"/>
      <c r="BE256" s="230"/>
      <c r="BF256" s="230"/>
      <c r="BG256" s="230"/>
      <c r="BH256" s="230"/>
      <c r="BI256" s="230"/>
      <c r="BJ256" s="230"/>
      <c r="BK256" s="230"/>
      <c r="BL256" s="230"/>
      <c r="BM256" s="230"/>
      <c r="BN256" s="230"/>
      <c r="BO256" s="230"/>
      <c r="BP256" s="230"/>
      <c r="BQ256" s="230"/>
    </row>
    <row r="257" spans="1:69" ht="15.75" customHeight="1">
      <c r="A257" s="46"/>
      <c r="B257" s="46"/>
      <c r="C257" s="46"/>
      <c r="D257" s="46"/>
      <c r="E257" s="245"/>
      <c r="F257" s="237"/>
      <c r="G257" s="237"/>
      <c r="H257" s="46"/>
      <c r="I257" s="46"/>
      <c r="J257" s="46"/>
      <c r="K257" s="46"/>
      <c r="L257" s="46"/>
      <c r="M257" s="46"/>
      <c r="N257" s="46"/>
      <c r="O257" s="46"/>
      <c r="P257" s="46"/>
      <c r="Q257" s="46"/>
      <c r="R257" s="46"/>
      <c r="S257" s="46"/>
      <c r="T257" s="46"/>
      <c r="U257" s="46"/>
      <c r="V257" s="46"/>
      <c r="W257" s="46"/>
      <c r="X257" s="46"/>
      <c r="Y257" s="46"/>
      <c r="Z257" s="46"/>
      <c r="AA257" s="46"/>
      <c r="AB257" s="46"/>
      <c r="AC257" s="46"/>
      <c r="AD257" s="2"/>
      <c r="AE257" s="46"/>
      <c r="AF257" s="46"/>
      <c r="AG257" s="46"/>
      <c r="AH257" s="46"/>
      <c r="AI257" s="46"/>
      <c r="AJ257" s="46"/>
      <c r="AK257" s="46"/>
      <c r="AL257" s="46"/>
      <c r="AM257" s="46"/>
      <c r="AN257" s="46"/>
      <c r="AO257" s="46"/>
      <c r="AP257" s="46"/>
      <c r="AQ257" s="46"/>
      <c r="AR257" s="46"/>
      <c r="AS257" s="46"/>
      <c r="AT257" s="46"/>
      <c r="AU257" s="46"/>
      <c r="AV257" s="230"/>
      <c r="AW257" s="230"/>
      <c r="AX257" s="230"/>
      <c r="AY257" s="230"/>
      <c r="AZ257" s="230"/>
      <c r="BA257" s="230"/>
      <c r="BB257" s="230"/>
      <c r="BC257" s="230"/>
      <c r="BD257" s="230"/>
      <c r="BE257" s="230"/>
      <c r="BF257" s="230"/>
      <c r="BG257" s="230"/>
      <c r="BH257" s="230"/>
      <c r="BI257" s="230"/>
      <c r="BJ257" s="230"/>
      <c r="BK257" s="230"/>
      <c r="BL257" s="230"/>
      <c r="BM257" s="230"/>
      <c r="BN257" s="230"/>
      <c r="BO257" s="230"/>
      <c r="BP257" s="230"/>
      <c r="BQ257" s="230"/>
    </row>
    <row r="258" spans="1:69" ht="15.75" customHeight="1">
      <c r="A258" s="46"/>
      <c r="B258" s="46"/>
      <c r="C258" s="46"/>
      <c r="D258" s="46"/>
      <c r="E258" s="245"/>
      <c r="F258" s="237"/>
      <c r="G258" s="237"/>
      <c r="H258" s="46"/>
      <c r="I258" s="46"/>
      <c r="J258" s="46"/>
      <c r="K258" s="46"/>
      <c r="L258" s="46"/>
      <c r="M258" s="46"/>
      <c r="N258" s="46"/>
      <c r="O258" s="46"/>
      <c r="P258" s="46"/>
      <c r="Q258" s="46"/>
      <c r="R258" s="46"/>
      <c r="S258" s="46"/>
      <c r="T258" s="46"/>
      <c r="U258" s="46"/>
      <c r="V258" s="46"/>
      <c r="W258" s="46"/>
      <c r="X258" s="46"/>
      <c r="Y258" s="46"/>
      <c r="Z258" s="46"/>
      <c r="AA258" s="46"/>
      <c r="AB258" s="46"/>
      <c r="AC258" s="46"/>
      <c r="AD258" s="2"/>
      <c r="AE258" s="46"/>
      <c r="AF258" s="46"/>
      <c r="AG258" s="46"/>
      <c r="AH258" s="46"/>
      <c r="AI258" s="46"/>
      <c r="AJ258" s="46"/>
      <c r="AK258" s="46"/>
      <c r="AL258" s="46"/>
      <c r="AM258" s="46"/>
      <c r="AN258" s="46"/>
      <c r="AO258" s="46"/>
      <c r="AP258" s="46"/>
      <c r="AQ258" s="46"/>
      <c r="AR258" s="46"/>
      <c r="AS258" s="46"/>
      <c r="AT258" s="46"/>
      <c r="AU258" s="46"/>
      <c r="AV258" s="230"/>
      <c r="AW258" s="230"/>
      <c r="AX258" s="230"/>
      <c r="AY258" s="230"/>
      <c r="AZ258" s="230"/>
      <c r="BA258" s="230"/>
      <c r="BB258" s="230"/>
      <c r="BC258" s="230"/>
      <c r="BD258" s="230"/>
      <c r="BE258" s="230"/>
      <c r="BF258" s="230"/>
      <c r="BG258" s="230"/>
      <c r="BH258" s="230"/>
      <c r="BI258" s="230"/>
      <c r="BJ258" s="230"/>
      <c r="BK258" s="230"/>
      <c r="BL258" s="230"/>
      <c r="BM258" s="230"/>
      <c r="BN258" s="230"/>
      <c r="BO258" s="230"/>
      <c r="BP258" s="230"/>
      <c r="BQ258" s="230"/>
    </row>
    <row r="259" spans="1:69" ht="15.75" customHeight="1">
      <c r="A259" s="46"/>
      <c r="B259" s="46"/>
      <c r="C259" s="46"/>
      <c r="D259" s="46"/>
      <c r="E259" s="245"/>
      <c r="F259" s="237"/>
      <c r="G259" s="237"/>
      <c r="H259" s="46"/>
      <c r="I259" s="46"/>
      <c r="J259" s="46"/>
      <c r="K259" s="46"/>
      <c r="L259" s="46"/>
      <c r="M259" s="46"/>
      <c r="N259" s="46"/>
      <c r="O259" s="46"/>
      <c r="P259" s="46"/>
      <c r="Q259" s="46"/>
      <c r="R259" s="46"/>
      <c r="S259" s="46"/>
      <c r="T259" s="46"/>
      <c r="U259" s="46"/>
      <c r="V259" s="46"/>
      <c r="W259" s="46"/>
      <c r="X259" s="46"/>
      <c r="Y259" s="46"/>
      <c r="Z259" s="46"/>
      <c r="AA259" s="46"/>
      <c r="AB259" s="46"/>
      <c r="AC259" s="46"/>
      <c r="AD259" s="2"/>
      <c r="AE259" s="46"/>
      <c r="AF259" s="46"/>
      <c r="AG259" s="46"/>
      <c r="AH259" s="46"/>
      <c r="AI259" s="46"/>
      <c r="AJ259" s="46"/>
      <c r="AK259" s="46"/>
      <c r="AL259" s="46"/>
      <c r="AM259" s="46"/>
      <c r="AN259" s="46"/>
      <c r="AO259" s="46"/>
      <c r="AP259" s="46"/>
      <c r="AQ259" s="46"/>
      <c r="AR259" s="46"/>
      <c r="AS259" s="46"/>
      <c r="AT259" s="46"/>
      <c r="AU259" s="46"/>
      <c r="AV259" s="230"/>
      <c r="AW259" s="230"/>
      <c r="AX259" s="230"/>
      <c r="AY259" s="230"/>
      <c r="AZ259" s="230"/>
      <c r="BA259" s="230"/>
      <c r="BB259" s="230"/>
      <c r="BC259" s="230"/>
      <c r="BD259" s="230"/>
      <c r="BE259" s="230"/>
      <c r="BF259" s="230"/>
      <c r="BG259" s="230"/>
      <c r="BH259" s="230"/>
      <c r="BI259" s="230"/>
      <c r="BJ259" s="230"/>
      <c r="BK259" s="230"/>
      <c r="BL259" s="230"/>
      <c r="BM259" s="230"/>
      <c r="BN259" s="230"/>
      <c r="BO259" s="230"/>
      <c r="BP259" s="230"/>
      <c r="BQ259" s="230"/>
    </row>
    <row r="260" spans="1:69" ht="15.75" customHeight="1">
      <c r="A260" s="46"/>
      <c r="B260" s="46"/>
      <c r="C260" s="46"/>
      <c r="D260" s="46"/>
      <c r="E260" s="245"/>
      <c r="F260" s="237"/>
      <c r="G260" s="237"/>
      <c r="H260" s="46"/>
      <c r="I260" s="46"/>
      <c r="J260" s="46"/>
      <c r="K260" s="46"/>
      <c r="L260" s="46"/>
      <c r="M260" s="46"/>
      <c r="N260" s="46"/>
      <c r="O260" s="46"/>
      <c r="P260" s="46"/>
      <c r="Q260" s="46"/>
      <c r="R260" s="46"/>
      <c r="S260" s="46"/>
      <c r="T260" s="46"/>
      <c r="U260" s="46"/>
      <c r="V260" s="46"/>
      <c r="W260" s="46"/>
      <c r="X260" s="46"/>
      <c r="Y260" s="46"/>
      <c r="Z260" s="46"/>
      <c r="AA260" s="46"/>
      <c r="AB260" s="46"/>
      <c r="AC260" s="46"/>
      <c r="AD260" s="2"/>
      <c r="AE260" s="46"/>
      <c r="AF260" s="46"/>
      <c r="AG260" s="46"/>
      <c r="AH260" s="46"/>
      <c r="AI260" s="46"/>
      <c r="AJ260" s="46"/>
      <c r="AK260" s="46"/>
      <c r="AL260" s="46"/>
      <c r="AM260" s="46"/>
      <c r="AN260" s="46"/>
      <c r="AO260" s="46"/>
      <c r="AP260" s="46"/>
      <c r="AQ260" s="46"/>
      <c r="AR260" s="46"/>
      <c r="AS260" s="46"/>
      <c r="AT260" s="46"/>
      <c r="AU260" s="46"/>
      <c r="AV260" s="230"/>
      <c r="AW260" s="230"/>
      <c r="AX260" s="230"/>
      <c r="AY260" s="230"/>
      <c r="AZ260" s="230"/>
      <c r="BA260" s="230"/>
      <c r="BB260" s="230"/>
      <c r="BC260" s="230"/>
      <c r="BD260" s="230"/>
      <c r="BE260" s="230"/>
      <c r="BF260" s="230"/>
      <c r="BG260" s="230"/>
      <c r="BH260" s="230"/>
      <c r="BI260" s="230"/>
      <c r="BJ260" s="230"/>
      <c r="BK260" s="230"/>
      <c r="BL260" s="230"/>
      <c r="BM260" s="230"/>
      <c r="BN260" s="230"/>
      <c r="BO260" s="230"/>
      <c r="BP260" s="230"/>
      <c r="BQ260" s="230"/>
    </row>
    <row r="261" spans="1:69" ht="15.75" customHeight="1">
      <c r="A261" s="46"/>
      <c r="B261" s="46"/>
      <c r="C261" s="46"/>
      <c r="D261" s="46"/>
      <c r="E261" s="245"/>
      <c r="F261" s="237"/>
      <c r="G261" s="237"/>
      <c r="H261" s="46"/>
      <c r="I261" s="46"/>
      <c r="J261" s="46"/>
      <c r="K261" s="46"/>
      <c r="L261" s="46"/>
      <c r="M261" s="46"/>
      <c r="N261" s="46"/>
      <c r="O261" s="46"/>
      <c r="P261" s="46"/>
      <c r="Q261" s="46"/>
      <c r="R261" s="46"/>
      <c r="S261" s="46"/>
      <c r="T261" s="46"/>
      <c r="U261" s="46"/>
      <c r="V261" s="46"/>
      <c r="W261" s="46"/>
      <c r="X261" s="46"/>
      <c r="Y261" s="46"/>
      <c r="Z261" s="46"/>
      <c r="AA261" s="46"/>
      <c r="AB261" s="46"/>
      <c r="AC261" s="46"/>
      <c r="AD261" s="2"/>
      <c r="AE261" s="46"/>
      <c r="AF261" s="46"/>
      <c r="AG261" s="46"/>
      <c r="AH261" s="46"/>
      <c r="AI261" s="46"/>
      <c r="AJ261" s="46"/>
      <c r="AK261" s="46"/>
      <c r="AL261" s="46"/>
      <c r="AM261" s="46"/>
      <c r="AN261" s="46"/>
      <c r="AO261" s="46"/>
      <c r="AP261" s="46"/>
      <c r="AQ261" s="46"/>
      <c r="AR261" s="46"/>
      <c r="AS261" s="46"/>
      <c r="AT261" s="46"/>
      <c r="AU261" s="46"/>
      <c r="AV261" s="230"/>
      <c r="AW261" s="230"/>
      <c r="AX261" s="230"/>
      <c r="AY261" s="230"/>
      <c r="AZ261" s="230"/>
      <c r="BA261" s="230"/>
      <c r="BB261" s="230"/>
      <c r="BC261" s="230"/>
      <c r="BD261" s="230"/>
      <c r="BE261" s="230"/>
      <c r="BF261" s="230"/>
      <c r="BG261" s="230"/>
      <c r="BH261" s="230"/>
      <c r="BI261" s="230"/>
      <c r="BJ261" s="230"/>
      <c r="BK261" s="230"/>
      <c r="BL261" s="230"/>
      <c r="BM261" s="230"/>
      <c r="BN261" s="230"/>
      <c r="BO261" s="230"/>
      <c r="BP261" s="230"/>
      <c r="BQ261" s="230"/>
    </row>
    <row r="262" spans="1:69" ht="15.75" customHeight="1">
      <c r="A262" s="46"/>
      <c r="B262" s="46"/>
      <c r="C262" s="46"/>
      <c r="D262" s="46"/>
      <c r="E262" s="245"/>
      <c r="F262" s="237"/>
      <c r="G262" s="237"/>
      <c r="H262" s="46"/>
      <c r="I262" s="46"/>
      <c r="J262" s="46"/>
      <c r="K262" s="46"/>
      <c r="L262" s="46"/>
      <c r="M262" s="46"/>
      <c r="N262" s="46"/>
      <c r="O262" s="46"/>
      <c r="P262" s="46"/>
      <c r="Q262" s="46"/>
      <c r="R262" s="46"/>
      <c r="S262" s="46"/>
      <c r="T262" s="46"/>
      <c r="U262" s="46"/>
      <c r="V262" s="46"/>
      <c r="W262" s="46"/>
      <c r="X262" s="46"/>
      <c r="Y262" s="46"/>
      <c r="Z262" s="46"/>
      <c r="AA262" s="46"/>
      <c r="AB262" s="46"/>
      <c r="AC262" s="46"/>
      <c r="AD262" s="2"/>
      <c r="AE262" s="46"/>
      <c r="AF262" s="46"/>
      <c r="AG262" s="46"/>
      <c r="AH262" s="46"/>
      <c r="AI262" s="46"/>
      <c r="AJ262" s="46"/>
      <c r="AK262" s="46"/>
      <c r="AL262" s="46"/>
      <c r="AM262" s="46"/>
      <c r="AN262" s="46"/>
      <c r="AO262" s="46"/>
      <c r="AP262" s="46"/>
      <c r="AQ262" s="46"/>
      <c r="AR262" s="46"/>
      <c r="AS262" s="46"/>
      <c r="AT262" s="46"/>
      <c r="AU262" s="46"/>
      <c r="AV262" s="230"/>
      <c r="AW262" s="230"/>
      <c r="AX262" s="230"/>
      <c r="AY262" s="230"/>
      <c r="AZ262" s="230"/>
      <c r="BA262" s="230"/>
      <c r="BB262" s="230"/>
      <c r="BC262" s="230"/>
      <c r="BD262" s="230"/>
      <c r="BE262" s="230"/>
      <c r="BF262" s="230"/>
      <c r="BG262" s="230"/>
      <c r="BH262" s="230"/>
      <c r="BI262" s="230"/>
      <c r="BJ262" s="230"/>
      <c r="BK262" s="230"/>
      <c r="BL262" s="230"/>
      <c r="BM262" s="230"/>
      <c r="BN262" s="230"/>
      <c r="BO262" s="230"/>
      <c r="BP262" s="230"/>
      <c r="BQ262" s="230"/>
    </row>
    <row r="263" spans="1:69" ht="15.75" customHeight="1">
      <c r="A263" s="46"/>
      <c r="B263" s="46"/>
      <c r="C263" s="46"/>
      <c r="D263" s="46"/>
      <c r="E263" s="245"/>
      <c r="F263" s="237"/>
      <c r="G263" s="237"/>
      <c r="H263" s="46"/>
      <c r="I263" s="46"/>
      <c r="J263" s="46"/>
      <c r="K263" s="46"/>
      <c r="L263" s="46"/>
      <c r="M263" s="46"/>
      <c r="N263" s="46"/>
      <c r="O263" s="46"/>
      <c r="P263" s="46"/>
      <c r="Q263" s="46"/>
      <c r="R263" s="46"/>
      <c r="S263" s="46"/>
      <c r="T263" s="46"/>
      <c r="U263" s="46"/>
      <c r="V263" s="46"/>
      <c r="W263" s="46"/>
      <c r="X263" s="46"/>
      <c r="Y263" s="46"/>
      <c r="Z263" s="46"/>
      <c r="AA263" s="46"/>
      <c r="AB263" s="46"/>
      <c r="AC263" s="46"/>
      <c r="AD263" s="2"/>
      <c r="AE263" s="46"/>
      <c r="AF263" s="46"/>
      <c r="AG263" s="46"/>
      <c r="AH263" s="46"/>
      <c r="AI263" s="46"/>
      <c r="AJ263" s="46"/>
      <c r="AK263" s="46"/>
      <c r="AL263" s="46"/>
      <c r="AM263" s="46"/>
      <c r="AN263" s="46"/>
      <c r="AO263" s="46"/>
      <c r="AP263" s="46"/>
      <c r="AQ263" s="46"/>
      <c r="AR263" s="46"/>
      <c r="AS263" s="46"/>
      <c r="AT263" s="46"/>
      <c r="AU263" s="46"/>
      <c r="AV263" s="230"/>
      <c r="AW263" s="230"/>
      <c r="AX263" s="230"/>
      <c r="AY263" s="230"/>
      <c r="AZ263" s="230"/>
      <c r="BA263" s="230"/>
      <c r="BB263" s="230"/>
      <c r="BC263" s="230"/>
      <c r="BD263" s="230"/>
      <c r="BE263" s="230"/>
      <c r="BF263" s="230"/>
      <c r="BG263" s="230"/>
      <c r="BH263" s="230"/>
      <c r="BI263" s="230"/>
      <c r="BJ263" s="230"/>
      <c r="BK263" s="230"/>
      <c r="BL263" s="230"/>
      <c r="BM263" s="230"/>
      <c r="BN263" s="230"/>
      <c r="BO263" s="230"/>
      <c r="BP263" s="230"/>
      <c r="BQ263" s="230"/>
    </row>
    <row r="264" spans="1:69" ht="15.75" customHeight="1">
      <c r="A264" s="46"/>
      <c r="B264" s="46"/>
      <c r="C264" s="46"/>
      <c r="D264" s="46"/>
      <c r="E264" s="245"/>
      <c r="F264" s="237"/>
      <c r="G264" s="237"/>
      <c r="H264" s="46"/>
      <c r="I264" s="46"/>
      <c r="J264" s="46"/>
      <c r="K264" s="46"/>
      <c r="L264" s="46"/>
      <c r="M264" s="46"/>
      <c r="N264" s="46"/>
      <c r="O264" s="46"/>
      <c r="P264" s="46"/>
      <c r="Q264" s="46"/>
      <c r="R264" s="46"/>
      <c r="S264" s="46"/>
      <c r="T264" s="46"/>
      <c r="U264" s="46"/>
      <c r="V264" s="46"/>
      <c r="W264" s="46"/>
      <c r="X264" s="46"/>
      <c r="Y264" s="46"/>
      <c r="Z264" s="46"/>
      <c r="AA264" s="46"/>
      <c r="AB264" s="46"/>
      <c r="AC264" s="46"/>
      <c r="AD264" s="2"/>
      <c r="AE264" s="46"/>
      <c r="AF264" s="46"/>
      <c r="AG264" s="46"/>
      <c r="AH264" s="46"/>
      <c r="AI264" s="46"/>
      <c r="AJ264" s="46"/>
      <c r="AK264" s="46"/>
      <c r="AL264" s="46"/>
      <c r="AM264" s="46"/>
      <c r="AN264" s="46"/>
      <c r="AO264" s="46"/>
      <c r="AP264" s="46"/>
      <c r="AQ264" s="46"/>
      <c r="AR264" s="46"/>
      <c r="AS264" s="46"/>
      <c r="AT264" s="46"/>
      <c r="AU264" s="46"/>
      <c r="AV264" s="230"/>
      <c r="AW264" s="230"/>
      <c r="AX264" s="230"/>
      <c r="AY264" s="230"/>
      <c r="AZ264" s="230"/>
      <c r="BA264" s="230"/>
      <c r="BB264" s="230"/>
      <c r="BC264" s="230"/>
      <c r="BD264" s="230"/>
      <c r="BE264" s="230"/>
      <c r="BF264" s="230"/>
      <c r="BG264" s="230"/>
      <c r="BH264" s="230"/>
      <c r="BI264" s="230"/>
      <c r="BJ264" s="230"/>
      <c r="BK264" s="230"/>
      <c r="BL264" s="230"/>
      <c r="BM264" s="230"/>
      <c r="BN264" s="230"/>
      <c r="BO264" s="230"/>
      <c r="BP264" s="230"/>
      <c r="BQ264" s="230"/>
    </row>
    <row r="265" spans="1:69" ht="15.75" customHeight="1">
      <c r="A265" s="46"/>
      <c r="B265" s="46"/>
      <c r="C265" s="46"/>
      <c r="D265" s="46"/>
      <c r="E265" s="245"/>
      <c r="F265" s="237"/>
      <c r="G265" s="237"/>
      <c r="H265" s="46"/>
      <c r="I265" s="46"/>
      <c r="J265" s="46"/>
      <c r="K265" s="46"/>
      <c r="L265" s="46"/>
      <c r="M265" s="46"/>
      <c r="N265" s="46"/>
      <c r="O265" s="46"/>
      <c r="P265" s="46"/>
      <c r="Q265" s="46"/>
      <c r="R265" s="46"/>
      <c r="S265" s="46"/>
      <c r="T265" s="46"/>
      <c r="U265" s="46"/>
      <c r="V265" s="46"/>
      <c r="W265" s="46"/>
      <c r="X265" s="46"/>
      <c r="Y265" s="46"/>
      <c r="Z265" s="46"/>
      <c r="AA265" s="46"/>
      <c r="AB265" s="46"/>
      <c r="AC265" s="46"/>
      <c r="AD265" s="2"/>
      <c r="AE265" s="46"/>
      <c r="AF265" s="46"/>
      <c r="AG265" s="46"/>
      <c r="AH265" s="46"/>
      <c r="AI265" s="46"/>
      <c r="AJ265" s="46"/>
      <c r="AK265" s="46"/>
      <c r="AL265" s="46"/>
      <c r="AM265" s="46"/>
      <c r="AN265" s="46"/>
      <c r="AO265" s="46"/>
      <c r="AP265" s="46"/>
      <c r="AQ265" s="46"/>
      <c r="AR265" s="46"/>
      <c r="AS265" s="46"/>
      <c r="AT265" s="46"/>
      <c r="AU265" s="46"/>
      <c r="AV265" s="230"/>
      <c r="AW265" s="230"/>
      <c r="AX265" s="230"/>
      <c r="AY265" s="230"/>
      <c r="AZ265" s="230"/>
      <c r="BA265" s="230"/>
      <c r="BB265" s="230"/>
      <c r="BC265" s="230"/>
      <c r="BD265" s="230"/>
      <c r="BE265" s="230"/>
      <c r="BF265" s="230"/>
      <c r="BG265" s="230"/>
      <c r="BH265" s="230"/>
      <c r="BI265" s="230"/>
      <c r="BJ265" s="230"/>
      <c r="BK265" s="230"/>
      <c r="BL265" s="230"/>
      <c r="BM265" s="230"/>
      <c r="BN265" s="230"/>
      <c r="BO265" s="230"/>
      <c r="BP265" s="230"/>
      <c r="BQ265" s="230"/>
    </row>
    <row r="266" spans="1:69" ht="15.75" customHeight="1">
      <c r="A266" s="46"/>
      <c r="B266" s="46"/>
      <c r="C266" s="46"/>
      <c r="D266" s="46"/>
      <c r="E266" s="245"/>
      <c r="F266" s="237"/>
      <c r="G266" s="237"/>
      <c r="H266" s="46"/>
      <c r="I266" s="46"/>
      <c r="J266" s="46"/>
      <c r="K266" s="46"/>
      <c r="L266" s="46"/>
      <c r="M266" s="46"/>
      <c r="N266" s="46"/>
      <c r="O266" s="46"/>
      <c r="P266" s="46"/>
      <c r="Q266" s="46"/>
      <c r="R266" s="46"/>
      <c r="S266" s="46"/>
      <c r="T266" s="46"/>
      <c r="U266" s="46"/>
      <c r="V266" s="46"/>
      <c r="W266" s="46"/>
      <c r="X266" s="46"/>
      <c r="Y266" s="46"/>
      <c r="Z266" s="46"/>
      <c r="AA266" s="46"/>
      <c r="AB266" s="46"/>
      <c r="AC266" s="46"/>
      <c r="AD266" s="2"/>
      <c r="AE266" s="46"/>
      <c r="AF266" s="46"/>
      <c r="AG266" s="46"/>
      <c r="AH266" s="46"/>
      <c r="AI266" s="46"/>
      <c r="AJ266" s="46"/>
      <c r="AK266" s="46"/>
      <c r="AL266" s="46"/>
      <c r="AM266" s="46"/>
      <c r="AN266" s="46"/>
      <c r="AO266" s="46"/>
      <c r="AP266" s="46"/>
      <c r="AQ266" s="46"/>
      <c r="AR266" s="46"/>
      <c r="AS266" s="46"/>
      <c r="AT266" s="46"/>
      <c r="AU266" s="46"/>
      <c r="AV266" s="230"/>
      <c r="AW266" s="230"/>
      <c r="AX266" s="230"/>
      <c r="AY266" s="230"/>
      <c r="AZ266" s="230"/>
      <c r="BA266" s="230"/>
      <c r="BB266" s="230"/>
      <c r="BC266" s="230"/>
      <c r="BD266" s="230"/>
      <c r="BE266" s="230"/>
      <c r="BF266" s="230"/>
      <c r="BG266" s="230"/>
      <c r="BH266" s="230"/>
      <c r="BI266" s="230"/>
      <c r="BJ266" s="230"/>
      <c r="BK266" s="230"/>
      <c r="BL266" s="230"/>
      <c r="BM266" s="230"/>
      <c r="BN266" s="230"/>
      <c r="BO266" s="230"/>
      <c r="BP266" s="230"/>
      <c r="BQ266" s="230"/>
    </row>
    <row r="267" spans="1:69" ht="15.75" customHeight="1">
      <c r="A267" s="46"/>
      <c r="B267" s="46"/>
      <c r="C267" s="46"/>
      <c r="D267" s="46"/>
      <c r="E267" s="245"/>
      <c r="F267" s="237"/>
      <c r="G267" s="237"/>
      <c r="H267" s="46"/>
      <c r="I267" s="46"/>
      <c r="J267" s="46"/>
      <c r="K267" s="46"/>
      <c r="L267" s="46"/>
      <c r="M267" s="46"/>
      <c r="N267" s="46"/>
      <c r="O267" s="46"/>
      <c r="P267" s="46"/>
      <c r="Q267" s="46"/>
      <c r="R267" s="46"/>
      <c r="S267" s="46"/>
      <c r="T267" s="46"/>
      <c r="U267" s="46"/>
      <c r="V267" s="46"/>
      <c r="W267" s="46"/>
      <c r="X267" s="46"/>
      <c r="Y267" s="46"/>
      <c r="Z267" s="46"/>
      <c r="AA267" s="46"/>
      <c r="AB267" s="46"/>
      <c r="AC267" s="46"/>
      <c r="AD267" s="2"/>
      <c r="AE267" s="46"/>
      <c r="AF267" s="46"/>
      <c r="AG267" s="46"/>
      <c r="AH267" s="46"/>
      <c r="AI267" s="46"/>
      <c r="AJ267" s="46"/>
      <c r="AK267" s="46"/>
      <c r="AL267" s="46"/>
      <c r="AM267" s="46"/>
      <c r="AN267" s="46"/>
      <c r="AO267" s="46"/>
      <c r="AP267" s="46"/>
      <c r="AQ267" s="46"/>
      <c r="AR267" s="46"/>
      <c r="AS267" s="46"/>
      <c r="AT267" s="46"/>
      <c r="AU267" s="46"/>
      <c r="AV267" s="230"/>
      <c r="AW267" s="230"/>
      <c r="AX267" s="230"/>
      <c r="AY267" s="230"/>
      <c r="AZ267" s="230"/>
      <c r="BA267" s="230"/>
      <c r="BB267" s="230"/>
      <c r="BC267" s="230"/>
      <c r="BD267" s="230"/>
      <c r="BE267" s="230"/>
      <c r="BF267" s="230"/>
      <c r="BG267" s="230"/>
      <c r="BH267" s="230"/>
      <c r="BI267" s="230"/>
      <c r="BJ267" s="230"/>
      <c r="BK267" s="230"/>
      <c r="BL267" s="230"/>
      <c r="BM267" s="230"/>
      <c r="BN267" s="230"/>
      <c r="BO267" s="230"/>
      <c r="BP267" s="230"/>
      <c r="BQ267" s="230"/>
    </row>
    <row r="268" spans="1:69" ht="15.75" customHeight="1">
      <c r="A268" s="46"/>
      <c r="B268" s="46"/>
      <c r="C268" s="46"/>
      <c r="D268" s="46"/>
      <c r="E268" s="245"/>
      <c r="F268" s="237"/>
      <c r="G268" s="237"/>
      <c r="H268" s="46"/>
      <c r="I268" s="46"/>
      <c r="J268" s="46"/>
      <c r="K268" s="46"/>
      <c r="L268" s="46"/>
      <c r="M268" s="46"/>
      <c r="N268" s="46"/>
      <c r="O268" s="46"/>
      <c r="P268" s="46"/>
      <c r="Q268" s="46"/>
      <c r="R268" s="46"/>
      <c r="S268" s="46"/>
      <c r="T268" s="46"/>
      <c r="U268" s="46"/>
      <c r="V268" s="46"/>
      <c r="W268" s="46"/>
      <c r="X268" s="46"/>
      <c r="Y268" s="46"/>
      <c r="Z268" s="46"/>
      <c r="AA268" s="46"/>
      <c r="AB268" s="46"/>
      <c r="AC268" s="46"/>
      <c r="AD268" s="2"/>
      <c r="AE268" s="46"/>
      <c r="AF268" s="46"/>
      <c r="AG268" s="46"/>
      <c r="AH268" s="46"/>
      <c r="AI268" s="46"/>
      <c r="AJ268" s="46"/>
      <c r="AK268" s="46"/>
      <c r="AL268" s="46"/>
      <c r="AM268" s="46"/>
      <c r="AN268" s="46"/>
      <c r="AO268" s="46"/>
      <c r="AP268" s="46"/>
      <c r="AQ268" s="46"/>
      <c r="AR268" s="46"/>
      <c r="AS268" s="46"/>
      <c r="AT268" s="46"/>
      <c r="AU268" s="46"/>
      <c r="AV268" s="230"/>
      <c r="AW268" s="230"/>
      <c r="AX268" s="230"/>
      <c r="AY268" s="230"/>
      <c r="AZ268" s="230"/>
      <c r="BA268" s="230"/>
      <c r="BB268" s="230"/>
      <c r="BC268" s="230"/>
      <c r="BD268" s="230"/>
      <c r="BE268" s="230"/>
      <c r="BF268" s="230"/>
      <c r="BG268" s="230"/>
      <c r="BH268" s="230"/>
      <c r="BI268" s="230"/>
      <c r="BJ268" s="230"/>
      <c r="BK268" s="230"/>
      <c r="BL268" s="230"/>
      <c r="BM268" s="230"/>
      <c r="BN268" s="230"/>
      <c r="BO268" s="230"/>
      <c r="BP268" s="230"/>
      <c r="BQ268" s="230"/>
    </row>
    <row r="269" spans="1:69" ht="15.75" customHeight="1">
      <c r="A269" s="46"/>
      <c r="B269" s="46"/>
      <c r="C269" s="46"/>
      <c r="D269" s="46"/>
      <c r="E269" s="245"/>
      <c r="F269" s="237"/>
      <c r="G269" s="237"/>
      <c r="H269" s="46"/>
      <c r="I269" s="46"/>
      <c r="J269" s="46"/>
      <c r="K269" s="46"/>
      <c r="L269" s="46"/>
      <c r="M269" s="46"/>
      <c r="N269" s="46"/>
      <c r="O269" s="46"/>
      <c r="P269" s="46"/>
      <c r="Q269" s="46"/>
      <c r="R269" s="46"/>
      <c r="S269" s="46"/>
      <c r="T269" s="46"/>
      <c r="U269" s="46"/>
      <c r="V269" s="46"/>
      <c r="W269" s="46"/>
      <c r="X269" s="46"/>
      <c r="Y269" s="46"/>
      <c r="Z269" s="46"/>
      <c r="AA269" s="46"/>
      <c r="AB269" s="46"/>
      <c r="AC269" s="46"/>
      <c r="AD269" s="2"/>
      <c r="AE269" s="46"/>
      <c r="AF269" s="46"/>
      <c r="AG269" s="46"/>
      <c r="AH269" s="46"/>
      <c r="AI269" s="46"/>
      <c r="AJ269" s="46"/>
      <c r="AK269" s="46"/>
      <c r="AL269" s="46"/>
      <c r="AM269" s="46"/>
      <c r="AN269" s="46"/>
      <c r="AO269" s="46"/>
      <c r="AP269" s="46"/>
      <c r="AQ269" s="46"/>
      <c r="AR269" s="46"/>
      <c r="AS269" s="46"/>
      <c r="AT269" s="46"/>
      <c r="AU269" s="46"/>
      <c r="AV269" s="230"/>
      <c r="AW269" s="230"/>
      <c r="AX269" s="230"/>
      <c r="AY269" s="230"/>
      <c r="AZ269" s="230"/>
      <c r="BA269" s="230"/>
      <c r="BB269" s="230"/>
      <c r="BC269" s="230"/>
      <c r="BD269" s="230"/>
      <c r="BE269" s="230"/>
      <c r="BF269" s="230"/>
      <c r="BG269" s="230"/>
      <c r="BH269" s="230"/>
      <c r="BI269" s="230"/>
      <c r="BJ269" s="230"/>
      <c r="BK269" s="230"/>
      <c r="BL269" s="230"/>
      <c r="BM269" s="230"/>
      <c r="BN269" s="230"/>
      <c r="BO269" s="230"/>
      <c r="BP269" s="230"/>
      <c r="BQ269" s="230"/>
    </row>
    <row r="270" spans="1:69" ht="15.75" customHeight="1">
      <c r="A270" s="46"/>
      <c r="B270" s="46"/>
      <c r="C270" s="46"/>
      <c r="D270" s="46"/>
      <c r="E270" s="245"/>
      <c r="F270" s="237"/>
      <c r="G270" s="237"/>
      <c r="H270" s="46"/>
      <c r="I270" s="46"/>
      <c r="J270" s="46"/>
      <c r="K270" s="46"/>
      <c r="L270" s="46"/>
      <c r="M270" s="46"/>
      <c r="N270" s="46"/>
      <c r="O270" s="46"/>
      <c r="P270" s="46"/>
      <c r="Q270" s="46"/>
      <c r="R270" s="46"/>
      <c r="S270" s="46"/>
      <c r="T270" s="46"/>
      <c r="U270" s="46"/>
      <c r="V270" s="46"/>
      <c r="W270" s="46"/>
      <c r="X270" s="46"/>
      <c r="Y270" s="46"/>
      <c r="Z270" s="46"/>
      <c r="AA270" s="46"/>
      <c r="AB270" s="46"/>
      <c r="AC270" s="46"/>
      <c r="AD270" s="2"/>
      <c r="AE270" s="46"/>
      <c r="AF270" s="46"/>
      <c r="AG270" s="46"/>
      <c r="AH270" s="46"/>
      <c r="AI270" s="46"/>
      <c r="AJ270" s="46"/>
      <c r="AK270" s="46"/>
      <c r="AL270" s="46"/>
      <c r="AM270" s="46"/>
      <c r="AN270" s="46"/>
      <c r="AO270" s="46"/>
      <c r="AP270" s="46"/>
      <c r="AQ270" s="46"/>
      <c r="AR270" s="46"/>
      <c r="AS270" s="46"/>
      <c r="AT270" s="46"/>
      <c r="AU270" s="46"/>
      <c r="AV270" s="230"/>
      <c r="AW270" s="230"/>
      <c r="AX270" s="230"/>
      <c r="AY270" s="230"/>
      <c r="AZ270" s="230"/>
      <c r="BA270" s="230"/>
      <c r="BB270" s="230"/>
      <c r="BC270" s="230"/>
      <c r="BD270" s="230"/>
      <c r="BE270" s="230"/>
      <c r="BF270" s="230"/>
      <c r="BG270" s="230"/>
      <c r="BH270" s="230"/>
      <c r="BI270" s="230"/>
      <c r="BJ270" s="230"/>
      <c r="BK270" s="230"/>
      <c r="BL270" s="230"/>
      <c r="BM270" s="230"/>
      <c r="BN270" s="230"/>
      <c r="BO270" s="230"/>
      <c r="BP270" s="230"/>
      <c r="BQ270" s="230"/>
    </row>
    <row r="271" spans="1:69" ht="15.75" customHeight="1">
      <c r="A271" s="46"/>
      <c r="B271" s="46"/>
      <c r="C271" s="46"/>
      <c r="D271" s="46"/>
      <c r="E271" s="245"/>
      <c r="F271" s="237"/>
      <c r="G271" s="237"/>
      <c r="H271" s="46"/>
      <c r="I271" s="46"/>
      <c r="J271" s="46"/>
      <c r="K271" s="46"/>
      <c r="L271" s="46"/>
      <c r="M271" s="46"/>
      <c r="N271" s="46"/>
      <c r="O271" s="46"/>
      <c r="P271" s="46"/>
      <c r="Q271" s="46"/>
      <c r="R271" s="46"/>
      <c r="S271" s="46"/>
      <c r="T271" s="46"/>
      <c r="U271" s="46"/>
      <c r="V271" s="46"/>
      <c r="W271" s="46"/>
      <c r="X271" s="46"/>
      <c r="Y271" s="46"/>
      <c r="Z271" s="46"/>
      <c r="AA271" s="46"/>
      <c r="AB271" s="46"/>
      <c r="AC271" s="46"/>
      <c r="AD271" s="2"/>
      <c r="AE271" s="46"/>
      <c r="AF271" s="46"/>
      <c r="AG271" s="46"/>
      <c r="AH271" s="46"/>
      <c r="AI271" s="46"/>
      <c r="AJ271" s="46"/>
      <c r="AK271" s="46"/>
      <c r="AL271" s="46"/>
      <c r="AM271" s="46"/>
      <c r="AN271" s="46"/>
      <c r="AO271" s="46"/>
      <c r="AP271" s="46"/>
      <c r="AQ271" s="46"/>
      <c r="AR271" s="46"/>
      <c r="AS271" s="46"/>
      <c r="AT271" s="46"/>
      <c r="AU271" s="46"/>
      <c r="AV271" s="230"/>
      <c r="AW271" s="230"/>
      <c r="AX271" s="230"/>
      <c r="AY271" s="230"/>
      <c r="AZ271" s="230"/>
      <c r="BA271" s="230"/>
      <c r="BB271" s="230"/>
      <c r="BC271" s="230"/>
      <c r="BD271" s="230"/>
      <c r="BE271" s="230"/>
      <c r="BF271" s="230"/>
      <c r="BG271" s="230"/>
      <c r="BH271" s="230"/>
      <c r="BI271" s="230"/>
      <c r="BJ271" s="230"/>
      <c r="BK271" s="230"/>
      <c r="BL271" s="230"/>
      <c r="BM271" s="230"/>
      <c r="BN271" s="230"/>
      <c r="BO271" s="230"/>
      <c r="BP271" s="230"/>
      <c r="BQ271" s="230"/>
    </row>
    <row r="272" spans="1:69" ht="15.75" customHeight="1">
      <c r="A272" s="46"/>
      <c r="B272" s="46"/>
      <c r="C272" s="46"/>
      <c r="D272" s="46"/>
      <c r="E272" s="245"/>
      <c r="F272" s="237"/>
      <c r="G272" s="237"/>
      <c r="H272" s="46"/>
      <c r="I272" s="46"/>
      <c r="J272" s="46"/>
      <c r="K272" s="46"/>
      <c r="L272" s="46"/>
      <c r="M272" s="46"/>
      <c r="N272" s="46"/>
      <c r="O272" s="46"/>
      <c r="P272" s="46"/>
      <c r="Q272" s="46"/>
      <c r="R272" s="46"/>
      <c r="S272" s="46"/>
      <c r="T272" s="46"/>
      <c r="U272" s="46"/>
      <c r="V272" s="46"/>
      <c r="W272" s="46"/>
      <c r="X272" s="46"/>
      <c r="Y272" s="46"/>
      <c r="Z272" s="46"/>
      <c r="AA272" s="46"/>
      <c r="AB272" s="46"/>
      <c r="AC272" s="46"/>
      <c r="AD272" s="2"/>
      <c r="AE272" s="46"/>
      <c r="AF272" s="46"/>
      <c r="AG272" s="46"/>
      <c r="AH272" s="46"/>
      <c r="AI272" s="46"/>
      <c r="AJ272" s="46"/>
      <c r="AK272" s="46"/>
      <c r="AL272" s="46"/>
      <c r="AM272" s="46"/>
      <c r="AN272" s="46"/>
      <c r="AO272" s="46"/>
      <c r="AP272" s="46"/>
      <c r="AQ272" s="46"/>
      <c r="AR272" s="46"/>
      <c r="AS272" s="46"/>
      <c r="AT272" s="46"/>
      <c r="AU272" s="46"/>
      <c r="AV272" s="230"/>
      <c r="AW272" s="230"/>
      <c r="AX272" s="230"/>
      <c r="AY272" s="230"/>
      <c r="AZ272" s="230"/>
      <c r="BA272" s="230"/>
      <c r="BB272" s="230"/>
      <c r="BC272" s="230"/>
      <c r="BD272" s="230"/>
      <c r="BE272" s="230"/>
      <c r="BF272" s="230"/>
      <c r="BG272" s="230"/>
      <c r="BH272" s="230"/>
      <c r="BI272" s="230"/>
      <c r="BJ272" s="230"/>
      <c r="BK272" s="230"/>
      <c r="BL272" s="230"/>
      <c r="BM272" s="230"/>
      <c r="BN272" s="230"/>
      <c r="BO272" s="230"/>
      <c r="BP272" s="230"/>
      <c r="BQ272" s="230"/>
    </row>
    <row r="273" spans="1:69" ht="15.75" customHeight="1">
      <c r="A273" s="46"/>
      <c r="B273" s="46"/>
      <c r="C273" s="46"/>
      <c r="D273" s="46"/>
      <c r="E273" s="245"/>
      <c r="F273" s="237"/>
      <c r="G273" s="237"/>
      <c r="H273" s="46"/>
      <c r="I273" s="46"/>
      <c r="J273" s="46"/>
      <c r="K273" s="46"/>
      <c r="L273" s="46"/>
      <c r="M273" s="46"/>
      <c r="N273" s="46"/>
      <c r="O273" s="46"/>
      <c r="P273" s="46"/>
      <c r="Q273" s="46"/>
      <c r="R273" s="46"/>
      <c r="S273" s="46"/>
      <c r="T273" s="46"/>
      <c r="U273" s="46"/>
      <c r="V273" s="46"/>
      <c r="W273" s="46"/>
      <c r="X273" s="46"/>
      <c r="Y273" s="46"/>
      <c r="Z273" s="46"/>
      <c r="AA273" s="46"/>
      <c r="AB273" s="46"/>
      <c r="AC273" s="46"/>
      <c r="AD273" s="2"/>
      <c r="AE273" s="46"/>
      <c r="AF273" s="46"/>
      <c r="AG273" s="46"/>
      <c r="AH273" s="46"/>
      <c r="AI273" s="46"/>
      <c r="AJ273" s="46"/>
      <c r="AK273" s="46"/>
      <c r="AL273" s="46"/>
      <c r="AM273" s="46"/>
      <c r="AN273" s="46"/>
      <c r="AO273" s="46"/>
      <c r="AP273" s="46"/>
      <c r="AQ273" s="46"/>
      <c r="AR273" s="46"/>
      <c r="AS273" s="46"/>
      <c r="AT273" s="46"/>
      <c r="AU273" s="46"/>
      <c r="AV273" s="230"/>
      <c r="AW273" s="230"/>
      <c r="AX273" s="230"/>
      <c r="AY273" s="230"/>
      <c r="AZ273" s="230"/>
      <c r="BA273" s="230"/>
      <c r="BB273" s="230"/>
      <c r="BC273" s="230"/>
      <c r="BD273" s="230"/>
      <c r="BE273" s="230"/>
      <c r="BF273" s="230"/>
      <c r="BG273" s="230"/>
      <c r="BH273" s="230"/>
      <c r="BI273" s="230"/>
      <c r="BJ273" s="230"/>
      <c r="BK273" s="230"/>
      <c r="BL273" s="230"/>
      <c r="BM273" s="230"/>
      <c r="BN273" s="230"/>
      <c r="BO273" s="230"/>
      <c r="BP273" s="230"/>
      <c r="BQ273" s="230"/>
    </row>
    <row r="274" spans="1:69" ht="15.75" customHeight="1">
      <c r="A274" s="46"/>
      <c r="B274" s="46"/>
      <c r="C274" s="46"/>
      <c r="D274" s="46"/>
      <c r="E274" s="245"/>
      <c r="F274" s="237"/>
      <c r="G274" s="237"/>
      <c r="H274" s="46"/>
      <c r="I274" s="46"/>
      <c r="J274" s="46"/>
      <c r="K274" s="46"/>
      <c r="L274" s="46"/>
      <c r="M274" s="46"/>
      <c r="N274" s="46"/>
      <c r="O274" s="46"/>
      <c r="P274" s="46"/>
      <c r="Q274" s="46"/>
      <c r="R274" s="46"/>
      <c r="S274" s="46"/>
      <c r="T274" s="46"/>
      <c r="U274" s="46"/>
      <c r="V274" s="46"/>
      <c r="W274" s="46"/>
      <c r="X274" s="46"/>
      <c r="Y274" s="46"/>
      <c r="Z274" s="46"/>
      <c r="AA274" s="46"/>
      <c r="AB274" s="46"/>
      <c r="AC274" s="46"/>
      <c r="AD274" s="2"/>
      <c r="AE274" s="46"/>
      <c r="AF274" s="46"/>
      <c r="AG274" s="46"/>
      <c r="AH274" s="46"/>
      <c r="AI274" s="46"/>
      <c r="AJ274" s="46"/>
      <c r="AK274" s="46"/>
      <c r="AL274" s="46"/>
      <c r="AM274" s="46"/>
      <c r="AN274" s="46"/>
      <c r="AO274" s="46"/>
      <c r="AP274" s="46"/>
      <c r="AQ274" s="46"/>
      <c r="AR274" s="46"/>
      <c r="AS274" s="46"/>
      <c r="AT274" s="46"/>
      <c r="AU274" s="46"/>
      <c r="AV274" s="230"/>
      <c r="AW274" s="230"/>
      <c r="AX274" s="230"/>
      <c r="AY274" s="230"/>
      <c r="AZ274" s="230"/>
      <c r="BA274" s="230"/>
      <c r="BB274" s="230"/>
      <c r="BC274" s="230"/>
      <c r="BD274" s="230"/>
      <c r="BE274" s="230"/>
      <c r="BF274" s="230"/>
      <c r="BG274" s="230"/>
      <c r="BH274" s="230"/>
      <c r="BI274" s="230"/>
      <c r="BJ274" s="230"/>
      <c r="BK274" s="230"/>
      <c r="BL274" s="230"/>
      <c r="BM274" s="230"/>
      <c r="BN274" s="230"/>
      <c r="BO274" s="230"/>
      <c r="BP274" s="230"/>
      <c r="BQ274" s="230"/>
    </row>
    <row r="275" spans="1:69" ht="15.75" customHeight="1">
      <c r="A275" s="46"/>
      <c r="B275" s="46"/>
      <c r="C275" s="46"/>
      <c r="D275" s="46"/>
      <c r="E275" s="245"/>
      <c r="F275" s="237"/>
      <c r="G275" s="237"/>
      <c r="H275" s="46"/>
      <c r="I275" s="46"/>
      <c r="J275" s="46"/>
      <c r="K275" s="46"/>
      <c r="L275" s="46"/>
      <c r="M275" s="46"/>
      <c r="N275" s="46"/>
      <c r="O275" s="46"/>
      <c r="P275" s="46"/>
      <c r="Q275" s="46"/>
      <c r="R275" s="46"/>
      <c r="S275" s="46"/>
      <c r="T275" s="46"/>
      <c r="U275" s="46"/>
      <c r="V275" s="46"/>
      <c r="W275" s="46"/>
      <c r="X275" s="46"/>
      <c r="Y275" s="46"/>
      <c r="Z275" s="46"/>
      <c r="AA275" s="46"/>
      <c r="AB275" s="46"/>
      <c r="AC275" s="46"/>
      <c r="AD275" s="2"/>
      <c r="AE275" s="46"/>
      <c r="AF275" s="46"/>
      <c r="AG275" s="46"/>
      <c r="AH275" s="46"/>
      <c r="AI275" s="46"/>
      <c r="AJ275" s="46"/>
      <c r="AK275" s="46"/>
      <c r="AL275" s="46"/>
      <c r="AM275" s="46"/>
      <c r="AN275" s="46"/>
      <c r="AO275" s="46"/>
      <c r="AP275" s="46"/>
      <c r="AQ275" s="46"/>
      <c r="AR275" s="46"/>
      <c r="AS275" s="46"/>
      <c r="AT275" s="46"/>
      <c r="AU275" s="46"/>
      <c r="AV275" s="230"/>
      <c r="AW275" s="230"/>
      <c r="AX275" s="230"/>
      <c r="AY275" s="230"/>
      <c r="AZ275" s="230"/>
      <c r="BA275" s="230"/>
      <c r="BB275" s="230"/>
      <c r="BC275" s="230"/>
      <c r="BD275" s="230"/>
      <c r="BE275" s="230"/>
      <c r="BF275" s="230"/>
      <c r="BG275" s="230"/>
      <c r="BH275" s="230"/>
      <c r="BI275" s="230"/>
      <c r="BJ275" s="230"/>
      <c r="BK275" s="230"/>
      <c r="BL275" s="230"/>
      <c r="BM275" s="230"/>
      <c r="BN275" s="230"/>
      <c r="BO275" s="230"/>
      <c r="BP275" s="230"/>
      <c r="BQ275" s="230"/>
    </row>
    <row r="276" spans="1:69" ht="15.75" customHeight="1">
      <c r="A276" s="46"/>
      <c r="B276" s="46"/>
      <c r="C276" s="46"/>
      <c r="D276" s="46"/>
      <c r="E276" s="245"/>
      <c r="F276" s="237"/>
      <c r="G276" s="237"/>
      <c r="H276" s="46"/>
      <c r="I276" s="46"/>
      <c r="J276" s="46"/>
      <c r="K276" s="46"/>
      <c r="L276" s="46"/>
      <c r="M276" s="46"/>
      <c r="N276" s="46"/>
      <c r="O276" s="46"/>
      <c r="P276" s="46"/>
      <c r="Q276" s="46"/>
      <c r="R276" s="46"/>
      <c r="S276" s="46"/>
      <c r="T276" s="46"/>
      <c r="U276" s="46"/>
      <c r="V276" s="46"/>
      <c r="W276" s="46"/>
      <c r="X276" s="46"/>
      <c r="Y276" s="46"/>
      <c r="Z276" s="46"/>
      <c r="AA276" s="46"/>
      <c r="AB276" s="46"/>
      <c r="AC276" s="46"/>
      <c r="AD276" s="2"/>
      <c r="AE276" s="46"/>
      <c r="AF276" s="46"/>
      <c r="AG276" s="46"/>
      <c r="AH276" s="46"/>
      <c r="AI276" s="46"/>
      <c r="AJ276" s="46"/>
      <c r="AK276" s="46"/>
      <c r="AL276" s="46"/>
      <c r="AM276" s="46"/>
      <c r="AN276" s="46"/>
      <c r="AO276" s="46"/>
      <c r="AP276" s="46"/>
      <c r="AQ276" s="46"/>
      <c r="AR276" s="46"/>
      <c r="AS276" s="46"/>
      <c r="AT276" s="46"/>
      <c r="AU276" s="46"/>
      <c r="AV276" s="230"/>
      <c r="AW276" s="230"/>
      <c r="AX276" s="230"/>
      <c r="AY276" s="230"/>
      <c r="AZ276" s="230"/>
      <c r="BA276" s="230"/>
      <c r="BB276" s="230"/>
      <c r="BC276" s="230"/>
      <c r="BD276" s="230"/>
      <c r="BE276" s="230"/>
      <c r="BF276" s="230"/>
      <c r="BG276" s="230"/>
      <c r="BH276" s="230"/>
      <c r="BI276" s="230"/>
      <c r="BJ276" s="230"/>
      <c r="BK276" s="230"/>
      <c r="BL276" s="230"/>
      <c r="BM276" s="230"/>
      <c r="BN276" s="230"/>
      <c r="BO276" s="230"/>
      <c r="BP276" s="230"/>
      <c r="BQ276" s="230"/>
    </row>
    <row r="277" spans="1:69" ht="15.75" customHeight="1">
      <c r="A277" s="46"/>
      <c r="B277" s="46"/>
      <c r="C277" s="46"/>
      <c r="D277" s="46"/>
      <c r="E277" s="245"/>
      <c r="F277" s="237"/>
      <c r="G277" s="237"/>
      <c r="H277" s="46"/>
      <c r="I277" s="46"/>
      <c r="J277" s="46"/>
      <c r="K277" s="46"/>
      <c r="L277" s="46"/>
      <c r="M277" s="46"/>
      <c r="N277" s="46"/>
      <c r="O277" s="46"/>
      <c r="P277" s="46"/>
      <c r="Q277" s="46"/>
      <c r="R277" s="46"/>
      <c r="S277" s="46"/>
      <c r="T277" s="46"/>
      <c r="U277" s="46"/>
      <c r="V277" s="46"/>
      <c r="W277" s="46"/>
      <c r="X277" s="46"/>
      <c r="Y277" s="46"/>
      <c r="Z277" s="46"/>
      <c r="AA277" s="46"/>
      <c r="AB277" s="46"/>
      <c r="AC277" s="46"/>
      <c r="AD277" s="2"/>
      <c r="AE277" s="46"/>
      <c r="AF277" s="46"/>
      <c r="AG277" s="46"/>
      <c r="AH277" s="46"/>
      <c r="AI277" s="46"/>
      <c r="AJ277" s="46"/>
      <c r="AK277" s="46"/>
      <c r="AL277" s="46"/>
      <c r="AM277" s="46"/>
      <c r="AN277" s="46"/>
      <c r="AO277" s="46"/>
      <c r="AP277" s="46"/>
      <c r="AQ277" s="46"/>
      <c r="AR277" s="46"/>
      <c r="AS277" s="46"/>
      <c r="AT277" s="46"/>
      <c r="AU277" s="46"/>
      <c r="AV277" s="230"/>
      <c r="AW277" s="230"/>
      <c r="AX277" s="230"/>
      <c r="AY277" s="230"/>
      <c r="AZ277" s="230"/>
      <c r="BA277" s="230"/>
      <c r="BB277" s="230"/>
      <c r="BC277" s="230"/>
      <c r="BD277" s="230"/>
      <c r="BE277" s="230"/>
      <c r="BF277" s="230"/>
      <c r="BG277" s="230"/>
      <c r="BH277" s="230"/>
      <c r="BI277" s="230"/>
      <c r="BJ277" s="230"/>
      <c r="BK277" s="230"/>
      <c r="BL277" s="230"/>
      <c r="BM277" s="230"/>
      <c r="BN277" s="230"/>
      <c r="BO277" s="230"/>
      <c r="BP277" s="230"/>
      <c r="BQ277" s="230"/>
    </row>
    <row r="278" spans="1:69" ht="15.75" customHeight="1">
      <c r="A278" s="46"/>
      <c r="B278" s="46"/>
      <c r="C278" s="46"/>
      <c r="D278" s="46"/>
      <c r="E278" s="245"/>
      <c r="F278" s="237"/>
      <c r="G278" s="237"/>
      <c r="H278" s="46"/>
      <c r="I278" s="46"/>
      <c r="J278" s="46"/>
      <c r="K278" s="46"/>
      <c r="L278" s="46"/>
      <c r="M278" s="46"/>
      <c r="N278" s="46"/>
      <c r="O278" s="46"/>
      <c r="P278" s="46"/>
      <c r="Q278" s="46"/>
      <c r="R278" s="46"/>
      <c r="S278" s="46"/>
      <c r="T278" s="46"/>
      <c r="U278" s="46"/>
      <c r="V278" s="46"/>
      <c r="W278" s="46"/>
      <c r="X278" s="46"/>
      <c r="Y278" s="46"/>
      <c r="Z278" s="46"/>
      <c r="AA278" s="46"/>
      <c r="AB278" s="46"/>
      <c r="AC278" s="46"/>
      <c r="AD278" s="2"/>
      <c r="AE278" s="46"/>
      <c r="AF278" s="46"/>
      <c r="AG278" s="46"/>
      <c r="AH278" s="46"/>
      <c r="AI278" s="46"/>
      <c r="AJ278" s="46"/>
      <c r="AK278" s="46"/>
      <c r="AL278" s="46"/>
      <c r="AM278" s="46"/>
      <c r="AN278" s="46"/>
      <c r="AO278" s="46"/>
      <c r="AP278" s="46"/>
      <c r="AQ278" s="46"/>
      <c r="AR278" s="46"/>
      <c r="AS278" s="46"/>
      <c r="AT278" s="46"/>
      <c r="AU278" s="46"/>
      <c r="AV278" s="230"/>
      <c r="AW278" s="230"/>
      <c r="AX278" s="230"/>
      <c r="AY278" s="230"/>
      <c r="AZ278" s="230"/>
      <c r="BA278" s="230"/>
      <c r="BB278" s="230"/>
      <c r="BC278" s="230"/>
      <c r="BD278" s="230"/>
      <c r="BE278" s="230"/>
      <c r="BF278" s="230"/>
      <c r="BG278" s="230"/>
      <c r="BH278" s="230"/>
      <c r="BI278" s="230"/>
      <c r="BJ278" s="230"/>
      <c r="BK278" s="230"/>
      <c r="BL278" s="230"/>
      <c r="BM278" s="230"/>
      <c r="BN278" s="230"/>
      <c r="BO278" s="230"/>
      <c r="BP278" s="230"/>
      <c r="BQ278" s="230"/>
    </row>
    <row r="279" spans="1:69" ht="15.75" customHeight="1">
      <c r="A279" s="46"/>
      <c r="B279" s="46"/>
      <c r="C279" s="46"/>
      <c r="D279" s="46"/>
      <c r="E279" s="245"/>
      <c r="F279" s="237"/>
      <c r="G279" s="237"/>
      <c r="H279" s="46"/>
      <c r="I279" s="46"/>
      <c r="J279" s="46"/>
      <c r="K279" s="46"/>
      <c r="L279" s="46"/>
      <c r="M279" s="46"/>
      <c r="N279" s="46"/>
      <c r="O279" s="46"/>
      <c r="P279" s="46"/>
      <c r="Q279" s="46"/>
      <c r="R279" s="46"/>
      <c r="S279" s="46"/>
      <c r="T279" s="46"/>
      <c r="U279" s="46"/>
      <c r="V279" s="46"/>
      <c r="W279" s="46"/>
      <c r="X279" s="46"/>
      <c r="Y279" s="46"/>
      <c r="Z279" s="46"/>
      <c r="AA279" s="46"/>
      <c r="AB279" s="46"/>
      <c r="AC279" s="46"/>
      <c r="AD279" s="2"/>
      <c r="AE279" s="46"/>
      <c r="AF279" s="46"/>
      <c r="AG279" s="46"/>
      <c r="AH279" s="46"/>
      <c r="AI279" s="46"/>
      <c r="AJ279" s="46"/>
      <c r="AK279" s="46"/>
      <c r="AL279" s="46"/>
      <c r="AM279" s="46"/>
      <c r="AN279" s="46"/>
      <c r="AO279" s="46"/>
      <c r="AP279" s="46"/>
      <c r="AQ279" s="46"/>
      <c r="AR279" s="46"/>
      <c r="AS279" s="46"/>
      <c r="AT279" s="46"/>
      <c r="AU279" s="46"/>
      <c r="AV279" s="230"/>
      <c r="AW279" s="230"/>
      <c r="AX279" s="230"/>
      <c r="AY279" s="230"/>
      <c r="AZ279" s="230"/>
      <c r="BA279" s="230"/>
      <c r="BB279" s="230"/>
      <c r="BC279" s="230"/>
      <c r="BD279" s="230"/>
      <c r="BE279" s="230"/>
      <c r="BF279" s="230"/>
      <c r="BG279" s="230"/>
      <c r="BH279" s="230"/>
      <c r="BI279" s="230"/>
      <c r="BJ279" s="230"/>
      <c r="BK279" s="230"/>
      <c r="BL279" s="230"/>
      <c r="BM279" s="230"/>
      <c r="BN279" s="230"/>
      <c r="BO279" s="230"/>
      <c r="BP279" s="230"/>
      <c r="BQ279" s="230"/>
    </row>
    <row r="280" spans="1:69" ht="15.75" customHeight="1">
      <c r="A280" s="46"/>
      <c r="B280" s="46"/>
      <c r="C280" s="46"/>
      <c r="D280" s="46"/>
      <c r="E280" s="245"/>
      <c r="F280" s="237"/>
      <c r="G280" s="237"/>
      <c r="H280" s="46"/>
      <c r="I280" s="46"/>
      <c r="J280" s="46"/>
      <c r="K280" s="46"/>
      <c r="L280" s="46"/>
      <c r="M280" s="46"/>
      <c r="N280" s="46"/>
      <c r="O280" s="46"/>
      <c r="P280" s="46"/>
      <c r="Q280" s="46"/>
      <c r="R280" s="46"/>
      <c r="S280" s="46"/>
      <c r="T280" s="46"/>
      <c r="U280" s="46"/>
      <c r="V280" s="46"/>
      <c r="W280" s="46"/>
      <c r="X280" s="46"/>
      <c r="Y280" s="46"/>
      <c r="Z280" s="46"/>
      <c r="AA280" s="46"/>
      <c r="AB280" s="46"/>
      <c r="AC280" s="46"/>
      <c r="AD280" s="2"/>
      <c r="AE280" s="46"/>
      <c r="AF280" s="46"/>
      <c r="AG280" s="46"/>
      <c r="AH280" s="46"/>
      <c r="AI280" s="46"/>
      <c r="AJ280" s="46"/>
      <c r="AK280" s="46"/>
      <c r="AL280" s="46"/>
      <c r="AM280" s="46"/>
      <c r="AN280" s="46"/>
      <c r="AO280" s="46"/>
      <c r="AP280" s="46"/>
      <c r="AQ280" s="46"/>
      <c r="AR280" s="46"/>
      <c r="AS280" s="46"/>
      <c r="AT280" s="46"/>
      <c r="AU280" s="46"/>
      <c r="AV280" s="230"/>
      <c r="AW280" s="230"/>
      <c r="AX280" s="230"/>
      <c r="AY280" s="230"/>
      <c r="AZ280" s="230"/>
      <c r="BA280" s="230"/>
      <c r="BB280" s="230"/>
      <c r="BC280" s="230"/>
      <c r="BD280" s="230"/>
      <c r="BE280" s="230"/>
      <c r="BF280" s="230"/>
      <c r="BG280" s="230"/>
      <c r="BH280" s="230"/>
      <c r="BI280" s="230"/>
      <c r="BJ280" s="230"/>
      <c r="BK280" s="230"/>
      <c r="BL280" s="230"/>
      <c r="BM280" s="230"/>
      <c r="BN280" s="230"/>
      <c r="BO280" s="230"/>
      <c r="BP280" s="230"/>
      <c r="BQ280" s="230"/>
    </row>
    <row r="281" spans="1:69" ht="15.75" customHeight="1">
      <c r="A281" s="46"/>
      <c r="B281" s="46"/>
      <c r="C281" s="46"/>
      <c r="D281" s="46"/>
      <c r="E281" s="245"/>
      <c r="F281" s="237"/>
      <c r="G281" s="237"/>
      <c r="H281" s="46"/>
      <c r="I281" s="46"/>
      <c r="J281" s="46"/>
      <c r="K281" s="46"/>
      <c r="L281" s="46"/>
      <c r="M281" s="46"/>
      <c r="N281" s="46"/>
      <c r="O281" s="46"/>
      <c r="P281" s="46"/>
      <c r="Q281" s="46"/>
      <c r="R281" s="46"/>
      <c r="S281" s="46"/>
      <c r="T281" s="46"/>
      <c r="U281" s="46"/>
      <c r="V281" s="46"/>
      <c r="W281" s="46"/>
      <c r="X281" s="46"/>
      <c r="Y281" s="46"/>
      <c r="Z281" s="46"/>
      <c r="AA281" s="46"/>
      <c r="AB281" s="46"/>
      <c r="AC281" s="46"/>
      <c r="AD281" s="2"/>
      <c r="AE281" s="46"/>
      <c r="AF281" s="46"/>
      <c r="AG281" s="46"/>
      <c r="AH281" s="46"/>
      <c r="AI281" s="46"/>
      <c r="AJ281" s="46"/>
      <c r="AK281" s="46"/>
      <c r="AL281" s="46"/>
      <c r="AM281" s="46"/>
      <c r="AN281" s="46"/>
      <c r="AO281" s="46"/>
      <c r="AP281" s="46"/>
      <c r="AQ281" s="46"/>
      <c r="AR281" s="46"/>
      <c r="AS281" s="46"/>
      <c r="AT281" s="46"/>
      <c r="AU281" s="46"/>
      <c r="AV281" s="230"/>
      <c r="AW281" s="230"/>
      <c r="AX281" s="230"/>
      <c r="AY281" s="230"/>
      <c r="AZ281" s="230"/>
      <c r="BA281" s="230"/>
      <c r="BB281" s="230"/>
      <c r="BC281" s="230"/>
      <c r="BD281" s="230"/>
      <c r="BE281" s="230"/>
      <c r="BF281" s="230"/>
      <c r="BG281" s="230"/>
      <c r="BH281" s="230"/>
      <c r="BI281" s="230"/>
      <c r="BJ281" s="230"/>
      <c r="BK281" s="230"/>
      <c r="BL281" s="230"/>
      <c r="BM281" s="230"/>
      <c r="BN281" s="230"/>
      <c r="BO281" s="230"/>
      <c r="BP281" s="230"/>
      <c r="BQ281" s="230"/>
    </row>
    <row r="282" spans="1:69" ht="15.75" customHeight="1">
      <c r="A282" s="46"/>
      <c r="B282" s="46"/>
      <c r="C282" s="46"/>
      <c r="D282" s="46"/>
      <c r="E282" s="245"/>
      <c r="F282" s="237"/>
      <c r="G282" s="237"/>
      <c r="H282" s="46"/>
      <c r="I282" s="46"/>
      <c r="J282" s="46"/>
      <c r="K282" s="46"/>
      <c r="L282" s="46"/>
      <c r="M282" s="46"/>
      <c r="N282" s="46"/>
      <c r="O282" s="46"/>
      <c r="P282" s="46"/>
      <c r="Q282" s="46"/>
      <c r="R282" s="46"/>
      <c r="S282" s="46"/>
      <c r="T282" s="46"/>
      <c r="U282" s="46"/>
      <c r="V282" s="46"/>
      <c r="W282" s="46"/>
      <c r="X282" s="46"/>
      <c r="Y282" s="46"/>
      <c r="Z282" s="46"/>
      <c r="AA282" s="46"/>
      <c r="AB282" s="46"/>
      <c r="AC282" s="46"/>
      <c r="AD282" s="2"/>
      <c r="AE282" s="46"/>
      <c r="AF282" s="46"/>
      <c r="AG282" s="46"/>
      <c r="AH282" s="46"/>
      <c r="AI282" s="46"/>
      <c r="AJ282" s="46"/>
      <c r="AK282" s="46"/>
      <c r="AL282" s="46"/>
      <c r="AM282" s="46"/>
      <c r="AN282" s="46"/>
      <c r="AO282" s="46"/>
      <c r="AP282" s="46"/>
      <c r="AQ282" s="46"/>
      <c r="AR282" s="46"/>
      <c r="AS282" s="46"/>
      <c r="AT282" s="46"/>
      <c r="AU282" s="46"/>
      <c r="AV282" s="230"/>
      <c r="AW282" s="230"/>
      <c r="AX282" s="230"/>
      <c r="AY282" s="230"/>
      <c r="AZ282" s="230"/>
      <c r="BA282" s="230"/>
      <c r="BB282" s="230"/>
      <c r="BC282" s="230"/>
      <c r="BD282" s="230"/>
      <c r="BE282" s="230"/>
      <c r="BF282" s="230"/>
      <c r="BG282" s="230"/>
      <c r="BH282" s="230"/>
      <c r="BI282" s="230"/>
      <c r="BJ282" s="230"/>
      <c r="BK282" s="230"/>
      <c r="BL282" s="230"/>
      <c r="BM282" s="230"/>
      <c r="BN282" s="230"/>
      <c r="BO282" s="230"/>
      <c r="BP282" s="230"/>
      <c r="BQ282" s="230"/>
    </row>
    <row r="283" spans="1:69" ht="15.75" customHeight="1">
      <c r="A283" s="46"/>
      <c r="B283" s="46"/>
      <c r="C283" s="46"/>
      <c r="D283" s="46"/>
      <c r="E283" s="245"/>
      <c r="F283" s="237"/>
      <c r="G283" s="237"/>
      <c r="H283" s="46"/>
      <c r="I283" s="46"/>
      <c r="J283" s="46"/>
      <c r="K283" s="46"/>
      <c r="L283" s="46"/>
      <c r="M283" s="46"/>
      <c r="N283" s="46"/>
      <c r="O283" s="46"/>
      <c r="P283" s="46"/>
      <c r="Q283" s="46"/>
      <c r="R283" s="46"/>
      <c r="S283" s="46"/>
      <c r="T283" s="46"/>
      <c r="U283" s="46"/>
      <c r="V283" s="46"/>
      <c r="W283" s="46"/>
      <c r="X283" s="46"/>
      <c r="Y283" s="46"/>
      <c r="Z283" s="46"/>
      <c r="AA283" s="46"/>
      <c r="AB283" s="46"/>
      <c r="AC283" s="46"/>
      <c r="AD283" s="2"/>
      <c r="AE283" s="46"/>
      <c r="AF283" s="46"/>
      <c r="AG283" s="46"/>
      <c r="AH283" s="46"/>
      <c r="AI283" s="46"/>
      <c r="AJ283" s="46"/>
      <c r="AK283" s="46"/>
      <c r="AL283" s="46"/>
      <c r="AM283" s="46"/>
      <c r="AN283" s="46"/>
      <c r="AO283" s="46"/>
      <c r="AP283" s="46"/>
      <c r="AQ283" s="46"/>
      <c r="AR283" s="46"/>
      <c r="AS283" s="46"/>
      <c r="AT283" s="46"/>
      <c r="AU283" s="46"/>
      <c r="AV283" s="230"/>
      <c r="AW283" s="230"/>
      <c r="AX283" s="230"/>
      <c r="AY283" s="230"/>
      <c r="AZ283" s="230"/>
      <c r="BA283" s="230"/>
      <c r="BB283" s="230"/>
      <c r="BC283" s="230"/>
      <c r="BD283" s="230"/>
      <c r="BE283" s="230"/>
      <c r="BF283" s="230"/>
      <c r="BG283" s="230"/>
      <c r="BH283" s="230"/>
      <c r="BI283" s="230"/>
      <c r="BJ283" s="230"/>
      <c r="BK283" s="230"/>
      <c r="BL283" s="230"/>
      <c r="BM283" s="230"/>
      <c r="BN283" s="230"/>
      <c r="BO283" s="230"/>
      <c r="BP283" s="230"/>
      <c r="BQ283" s="230"/>
    </row>
    <row r="284" spans="1:69" ht="15.75" customHeight="1">
      <c r="A284" s="46"/>
      <c r="B284" s="46"/>
      <c r="C284" s="46"/>
      <c r="D284" s="46"/>
      <c r="E284" s="245"/>
      <c r="F284" s="237"/>
      <c r="G284" s="237"/>
      <c r="H284" s="46"/>
      <c r="I284" s="46"/>
      <c r="J284" s="46"/>
      <c r="K284" s="46"/>
      <c r="L284" s="46"/>
      <c r="M284" s="46"/>
      <c r="N284" s="46"/>
      <c r="O284" s="46"/>
      <c r="P284" s="46"/>
      <c r="Q284" s="46"/>
      <c r="R284" s="46"/>
      <c r="S284" s="46"/>
      <c r="T284" s="46"/>
      <c r="U284" s="46"/>
      <c r="V284" s="46"/>
      <c r="W284" s="46"/>
      <c r="X284" s="46"/>
      <c r="Y284" s="46"/>
      <c r="Z284" s="46"/>
      <c r="AA284" s="46"/>
      <c r="AB284" s="46"/>
      <c r="AC284" s="46"/>
      <c r="AD284" s="2"/>
      <c r="AE284" s="46"/>
      <c r="AF284" s="46"/>
      <c r="AG284" s="46"/>
      <c r="AH284" s="46"/>
      <c r="AI284" s="46"/>
      <c r="AJ284" s="46"/>
      <c r="AK284" s="46"/>
      <c r="AL284" s="46"/>
      <c r="AM284" s="46"/>
      <c r="AN284" s="46"/>
      <c r="AO284" s="46"/>
      <c r="AP284" s="46"/>
      <c r="AQ284" s="46"/>
      <c r="AR284" s="46"/>
      <c r="AS284" s="46"/>
      <c r="AT284" s="46"/>
      <c r="AU284" s="46"/>
      <c r="AV284" s="230"/>
      <c r="AW284" s="230"/>
      <c r="AX284" s="230"/>
      <c r="AY284" s="230"/>
      <c r="AZ284" s="230"/>
      <c r="BA284" s="230"/>
      <c r="BB284" s="230"/>
      <c r="BC284" s="230"/>
      <c r="BD284" s="230"/>
      <c r="BE284" s="230"/>
      <c r="BF284" s="230"/>
      <c r="BG284" s="230"/>
      <c r="BH284" s="230"/>
      <c r="BI284" s="230"/>
      <c r="BJ284" s="230"/>
      <c r="BK284" s="230"/>
      <c r="BL284" s="230"/>
      <c r="BM284" s="230"/>
      <c r="BN284" s="230"/>
      <c r="BO284" s="230"/>
      <c r="BP284" s="230"/>
      <c r="BQ284" s="230"/>
    </row>
    <row r="285" spans="1:69" ht="15.75" customHeight="1">
      <c r="A285" s="46"/>
      <c r="B285" s="46"/>
      <c r="C285" s="46"/>
      <c r="D285" s="46"/>
      <c r="E285" s="245"/>
      <c r="F285" s="237"/>
      <c r="G285" s="237"/>
      <c r="H285" s="46"/>
      <c r="I285" s="46"/>
      <c r="J285" s="46"/>
      <c r="K285" s="46"/>
      <c r="L285" s="46"/>
      <c r="M285" s="46"/>
      <c r="N285" s="46"/>
      <c r="O285" s="46"/>
      <c r="P285" s="46"/>
      <c r="Q285" s="46"/>
      <c r="R285" s="46"/>
      <c r="S285" s="46"/>
      <c r="T285" s="46"/>
      <c r="U285" s="46"/>
      <c r="V285" s="46"/>
      <c r="W285" s="46"/>
      <c r="X285" s="46"/>
      <c r="Y285" s="46"/>
      <c r="Z285" s="46"/>
      <c r="AA285" s="46"/>
      <c r="AB285" s="46"/>
      <c r="AC285" s="46"/>
      <c r="AD285" s="2"/>
      <c r="AE285" s="46"/>
      <c r="AF285" s="46"/>
      <c r="AG285" s="46"/>
      <c r="AH285" s="46"/>
      <c r="AI285" s="46"/>
      <c r="AJ285" s="46"/>
      <c r="AK285" s="46"/>
      <c r="AL285" s="46"/>
      <c r="AM285" s="46"/>
      <c r="AN285" s="46"/>
      <c r="AO285" s="46"/>
      <c r="AP285" s="46"/>
      <c r="AQ285" s="46"/>
      <c r="AR285" s="46"/>
      <c r="AS285" s="46"/>
      <c r="AT285" s="46"/>
      <c r="AU285" s="46"/>
      <c r="AV285" s="230"/>
      <c r="AW285" s="230"/>
      <c r="AX285" s="230"/>
      <c r="AY285" s="230"/>
      <c r="AZ285" s="230"/>
      <c r="BA285" s="230"/>
      <c r="BB285" s="230"/>
      <c r="BC285" s="230"/>
      <c r="BD285" s="230"/>
      <c r="BE285" s="230"/>
      <c r="BF285" s="230"/>
      <c r="BG285" s="230"/>
      <c r="BH285" s="230"/>
      <c r="BI285" s="230"/>
      <c r="BJ285" s="230"/>
      <c r="BK285" s="230"/>
      <c r="BL285" s="230"/>
      <c r="BM285" s="230"/>
      <c r="BN285" s="230"/>
      <c r="BO285" s="230"/>
      <c r="BP285" s="230"/>
      <c r="BQ285" s="230"/>
    </row>
    <row r="286" spans="1:69" ht="15.75" customHeight="1">
      <c r="A286" s="46"/>
      <c r="B286" s="46"/>
      <c r="C286" s="46"/>
      <c r="D286" s="46"/>
      <c r="E286" s="245"/>
      <c r="F286" s="237"/>
      <c r="G286" s="237"/>
      <c r="H286" s="46"/>
      <c r="I286" s="46"/>
      <c r="J286" s="46"/>
      <c r="K286" s="46"/>
      <c r="L286" s="46"/>
      <c r="M286" s="46"/>
      <c r="N286" s="46"/>
      <c r="O286" s="46"/>
      <c r="P286" s="46"/>
      <c r="Q286" s="46"/>
      <c r="R286" s="46"/>
      <c r="S286" s="46"/>
      <c r="T286" s="46"/>
      <c r="U286" s="46"/>
      <c r="V286" s="46"/>
      <c r="W286" s="46"/>
      <c r="X286" s="46"/>
      <c r="Y286" s="46"/>
      <c r="Z286" s="46"/>
      <c r="AA286" s="46"/>
      <c r="AB286" s="46"/>
      <c r="AC286" s="46"/>
      <c r="AD286" s="2"/>
      <c r="AE286" s="46"/>
      <c r="AF286" s="46"/>
      <c r="AG286" s="46"/>
      <c r="AH286" s="46"/>
      <c r="AI286" s="46"/>
      <c r="AJ286" s="46"/>
      <c r="AK286" s="46"/>
      <c r="AL286" s="46"/>
      <c r="AM286" s="46"/>
      <c r="AN286" s="46"/>
      <c r="AO286" s="46"/>
      <c r="AP286" s="46"/>
      <c r="AQ286" s="46"/>
      <c r="AR286" s="46"/>
      <c r="AS286" s="46"/>
      <c r="AT286" s="46"/>
      <c r="AU286" s="46"/>
      <c r="AV286" s="230"/>
      <c r="AW286" s="230"/>
      <c r="AX286" s="230"/>
      <c r="AY286" s="230"/>
      <c r="AZ286" s="230"/>
      <c r="BA286" s="230"/>
      <c r="BB286" s="230"/>
      <c r="BC286" s="230"/>
      <c r="BD286" s="230"/>
      <c r="BE286" s="230"/>
      <c r="BF286" s="230"/>
      <c r="BG286" s="230"/>
      <c r="BH286" s="230"/>
      <c r="BI286" s="230"/>
      <c r="BJ286" s="230"/>
      <c r="BK286" s="230"/>
      <c r="BL286" s="230"/>
      <c r="BM286" s="230"/>
      <c r="BN286" s="230"/>
      <c r="BO286" s="230"/>
      <c r="BP286" s="230"/>
      <c r="BQ286" s="230"/>
    </row>
    <row r="287" spans="1:69" ht="15.75" customHeight="1">
      <c r="A287" s="46"/>
      <c r="B287" s="46"/>
      <c r="C287" s="46"/>
      <c r="D287" s="46"/>
      <c r="E287" s="245"/>
      <c r="F287" s="237"/>
      <c r="G287" s="237"/>
      <c r="H287" s="46"/>
      <c r="I287" s="46"/>
      <c r="J287" s="46"/>
      <c r="K287" s="46"/>
      <c r="L287" s="46"/>
      <c r="M287" s="46"/>
      <c r="N287" s="46"/>
      <c r="O287" s="46"/>
      <c r="P287" s="46"/>
      <c r="Q287" s="46"/>
      <c r="R287" s="46"/>
      <c r="S287" s="46"/>
      <c r="T287" s="46"/>
      <c r="U287" s="46"/>
      <c r="V287" s="46"/>
      <c r="W287" s="46"/>
      <c r="X287" s="46"/>
      <c r="Y287" s="46"/>
      <c r="Z287" s="46"/>
      <c r="AA287" s="46"/>
      <c r="AB287" s="46"/>
      <c r="AC287" s="46"/>
      <c r="AD287" s="2"/>
      <c r="AE287" s="46"/>
      <c r="AF287" s="46"/>
      <c r="AG287" s="46"/>
      <c r="AH287" s="46"/>
      <c r="AI287" s="46"/>
      <c r="AJ287" s="46"/>
      <c r="AK287" s="46"/>
      <c r="AL287" s="46"/>
      <c r="AM287" s="46"/>
      <c r="AN287" s="46"/>
      <c r="AO287" s="46"/>
      <c r="AP287" s="46"/>
      <c r="AQ287" s="46"/>
      <c r="AR287" s="46"/>
      <c r="AS287" s="46"/>
      <c r="AT287" s="46"/>
      <c r="AU287" s="46"/>
      <c r="AV287" s="230"/>
      <c r="AW287" s="230"/>
      <c r="AX287" s="230"/>
      <c r="AY287" s="230"/>
      <c r="AZ287" s="230"/>
      <c r="BA287" s="230"/>
      <c r="BB287" s="230"/>
      <c r="BC287" s="230"/>
      <c r="BD287" s="230"/>
      <c r="BE287" s="230"/>
      <c r="BF287" s="230"/>
      <c r="BG287" s="230"/>
      <c r="BH287" s="230"/>
      <c r="BI287" s="230"/>
      <c r="BJ287" s="230"/>
      <c r="BK287" s="230"/>
      <c r="BL287" s="230"/>
      <c r="BM287" s="230"/>
      <c r="BN287" s="230"/>
      <c r="BO287" s="230"/>
      <c r="BP287" s="230"/>
      <c r="BQ287" s="230"/>
    </row>
    <row r="288" spans="1:69" ht="15.75" customHeight="1">
      <c r="A288" s="46"/>
      <c r="B288" s="46"/>
      <c r="C288" s="46"/>
      <c r="D288" s="46"/>
      <c r="E288" s="245"/>
      <c r="F288" s="237"/>
      <c r="G288" s="237"/>
      <c r="H288" s="46"/>
      <c r="I288" s="46"/>
      <c r="J288" s="46"/>
      <c r="K288" s="46"/>
      <c r="L288" s="46"/>
      <c r="M288" s="46"/>
      <c r="N288" s="46"/>
      <c r="O288" s="46"/>
      <c r="P288" s="46"/>
      <c r="Q288" s="46"/>
      <c r="R288" s="46"/>
      <c r="S288" s="46"/>
      <c r="T288" s="46"/>
      <c r="U288" s="46"/>
      <c r="V288" s="46"/>
      <c r="W288" s="46"/>
      <c r="X288" s="46"/>
      <c r="Y288" s="46"/>
      <c r="Z288" s="46"/>
      <c r="AA288" s="46"/>
      <c r="AB288" s="46"/>
      <c r="AC288" s="46"/>
      <c r="AD288" s="2"/>
      <c r="AE288" s="46"/>
      <c r="AF288" s="46"/>
      <c r="AG288" s="46"/>
      <c r="AH288" s="46"/>
      <c r="AI288" s="46"/>
      <c r="AJ288" s="46"/>
      <c r="AK288" s="46"/>
      <c r="AL288" s="46"/>
      <c r="AM288" s="46"/>
      <c r="AN288" s="46"/>
      <c r="AO288" s="46"/>
      <c r="AP288" s="46"/>
      <c r="AQ288" s="46"/>
      <c r="AR288" s="46"/>
      <c r="AS288" s="46"/>
      <c r="AT288" s="46"/>
      <c r="AU288" s="46"/>
      <c r="AV288" s="230"/>
      <c r="AW288" s="230"/>
      <c r="AX288" s="230"/>
      <c r="AY288" s="230"/>
      <c r="AZ288" s="230"/>
      <c r="BA288" s="230"/>
      <c r="BB288" s="230"/>
      <c r="BC288" s="230"/>
      <c r="BD288" s="230"/>
      <c r="BE288" s="230"/>
      <c r="BF288" s="230"/>
      <c r="BG288" s="230"/>
      <c r="BH288" s="230"/>
      <c r="BI288" s="230"/>
      <c r="BJ288" s="230"/>
      <c r="BK288" s="230"/>
      <c r="BL288" s="230"/>
      <c r="BM288" s="230"/>
      <c r="BN288" s="230"/>
      <c r="BO288" s="230"/>
      <c r="BP288" s="230"/>
      <c r="BQ288" s="230"/>
    </row>
    <row r="289" spans="1:69" ht="15.75" customHeight="1">
      <c r="A289" s="46"/>
      <c r="B289" s="46"/>
      <c r="C289" s="46"/>
      <c r="D289" s="46"/>
      <c r="E289" s="245"/>
      <c r="F289" s="237"/>
      <c r="G289" s="237"/>
      <c r="H289" s="46"/>
      <c r="I289" s="46"/>
      <c r="J289" s="46"/>
      <c r="K289" s="46"/>
      <c r="L289" s="46"/>
      <c r="M289" s="46"/>
      <c r="N289" s="46"/>
      <c r="O289" s="46"/>
      <c r="P289" s="46"/>
      <c r="Q289" s="46"/>
      <c r="R289" s="46"/>
      <c r="S289" s="46"/>
      <c r="T289" s="46"/>
      <c r="U289" s="46"/>
      <c r="V289" s="46"/>
      <c r="W289" s="46"/>
      <c r="X289" s="46"/>
      <c r="Y289" s="46"/>
      <c r="Z289" s="46"/>
      <c r="AA289" s="46"/>
      <c r="AB289" s="46"/>
      <c r="AC289" s="46"/>
      <c r="AD289" s="2"/>
      <c r="AE289" s="46"/>
      <c r="AF289" s="46"/>
      <c r="AG289" s="46"/>
      <c r="AH289" s="46"/>
      <c r="AI289" s="46"/>
      <c r="AJ289" s="46"/>
      <c r="AK289" s="46"/>
      <c r="AL289" s="46"/>
      <c r="AM289" s="46"/>
      <c r="AN289" s="46"/>
      <c r="AO289" s="46"/>
      <c r="AP289" s="46"/>
      <c r="AQ289" s="46"/>
      <c r="AR289" s="46"/>
      <c r="AS289" s="46"/>
      <c r="AT289" s="46"/>
      <c r="AU289" s="46"/>
      <c r="AV289" s="230"/>
      <c r="AW289" s="230"/>
      <c r="AX289" s="230"/>
      <c r="AY289" s="230"/>
      <c r="AZ289" s="230"/>
      <c r="BA289" s="230"/>
      <c r="BB289" s="230"/>
      <c r="BC289" s="230"/>
      <c r="BD289" s="230"/>
      <c r="BE289" s="230"/>
      <c r="BF289" s="230"/>
      <c r="BG289" s="230"/>
      <c r="BH289" s="230"/>
      <c r="BI289" s="230"/>
      <c r="BJ289" s="230"/>
      <c r="BK289" s="230"/>
      <c r="BL289" s="230"/>
      <c r="BM289" s="230"/>
      <c r="BN289" s="230"/>
      <c r="BO289" s="230"/>
      <c r="BP289" s="230"/>
      <c r="BQ289" s="230"/>
    </row>
    <row r="290" spans="1:69" ht="15.75" customHeight="1">
      <c r="A290" s="46"/>
      <c r="B290" s="46"/>
      <c r="C290" s="46"/>
      <c r="D290" s="46"/>
      <c r="E290" s="245"/>
      <c r="F290" s="237"/>
      <c r="G290" s="237"/>
      <c r="H290" s="46"/>
      <c r="I290" s="46"/>
      <c r="J290" s="46"/>
      <c r="K290" s="46"/>
      <c r="L290" s="46"/>
      <c r="M290" s="46"/>
      <c r="N290" s="46"/>
      <c r="O290" s="46"/>
      <c r="P290" s="46"/>
      <c r="Q290" s="46"/>
      <c r="R290" s="46"/>
      <c r="S290" s="46"/>
      <c r="T290" s="46"/>
      <c r="U290" s="46"/>
      <c r="V290" s="46"/>
      <c r="W290" s="46"/>
      <c r="X290" s="46"/>
      <c r="Y290" s="46"/>
      <c r="Z290" s="46"/>
      <c r="AA290" s="46"/>
      <c r="AB290" s="46"/>
      <c r="AC290" s="46"/>
      <c r="AD290" s="2"/>
      <c r="AE290" s="46"/>
      <c r="AF290" s="46"/>
      <c r="AG290" s="46"/>
      <c r="AH290" s="46"/>
      <c r="AI290" s="46"/>
      <c r="AJ290" s="46"/>
      <c r="AK290" s="46"/>
      <c r="AL290" s="46"/>
      <c r="AM290" s="46"/>
      <c r="AN290" s="46"/>
      <c r="AO290" s="46"/>
      <c r="AP290" s="46"/>
      <c r="AQ290" s="46"/>
      <c r="AR290" s="46"/>
      <c r="AS290" s="46"/>
      <c r="AT290" s="46"/>
      <c r="AU290" s="46"/>
      <c r="AV290" s="230"/>
      <c r="AW290" s="230"/>
      <c r="AX290" s="230"/>
      <c r="AY290" s="230"/>
      <c r="AZ290" s="230"/>
      <c r="BA290" s="230"/>
      <c r="BB290" s="230"/>
      <c r="BC290" s="230"/>
      <c r="BD290" s="230"/>
      <c r="BE290" s="230"/>
      <c r="BF290" s="230"/>
      <c r="BG290" s="230"/>
      <c r="BH290" s="230"/>
      <c r="BI290" s="230"/>
      <c r="BJ290" s="230"/>
      <c r="BK290" s="230"/>
      <c r="BL290" s="230"/>
      <c r="BM290" s="230"/>
      <c r="BN290" s="230"/>
      <c r="BO290" s="230"/>
      <c r="BP290" s="230"/>
      <c r="BQ290" s="230"/>
    </row>
    <row r="291" spans="1:69" ht="15.75" customHeight="1">
      <c r="A291" s="46"/>
      <c r="B291" s="46"/>
      <c r="C291" s="46"/>
      <c r="D291" s="46"/>
      <c r="E291" s="245"/>
      <c r="F291" s="237"/>
      <c r="G291" s="237"/>
      <c r="H291" s="46"/>
      <c r="I291" s="46"/>
      <c r="J291" s="46"/>
      <c r="K291" s="46"/>
      <c r="L291" s="46"/>
      <c r="M291" s="46"/>
      <c r="N291" s="46"/>
      <c r="O291" s="46"/>
      <c r="P291" s="46"/>
      <c r="Q291" s="46"/>
      <c r="R291" s="46"/>
      <c r="S291" s="46"/>
      <c r="T291" s="46"/>
      <c r="U291" s="46"/>
      <c r="V291" s="46"/>
      <c r="W291" s="46"/>
      <c r="X291" s="46"/>
      <c r="Y291" s="46"/>
      <c r="Z291" s="46"/>
      <c r="AA291" s="46"/>
      <c r="AB291" s="46"/>
      <c r="AC291" s="46"/>
      <c r="AD291" s="2"/>
      <c r="AE291" s="46"/>
      <c r="AF291" s="46"/>
      <c r="AG291" s="46"/>
      <c r="AH291" s="46"/>
      <c r="AI291" s="46"/>
      <c r="AJ291" s="46"/>
      <c r="AK291" s="46"/>
      <c r="AL291" s="46"/>
      <c r="AM291" s="46"/>
      <c r="AN291" s="46"/>
      <c r="AO291" s="46"/>
      <c r="AP291" s="46"/>
      <c r="AQ291" s="46"/>
      <c r="AR291" s="46"/>
      <c r="AS291" s="46"/>
      <c r="AT291" s="46"/>
      <c r="AU291" s="46"/>
      <c r="AV291" s="230"/>
      <c r="AW291" s="230"/>
      <c r="AX291" s="230"/>
      <c r="AY291" s="230"/>
      <c r="AZ291" s="230"/>
      <c r="BA291" s="230"/>
      <c r="BB291" s="230"/>
      <c r="BC291" s="230"/>
      <c r="BD291" s="230"/>
      <c r="BE291" s="230"/>
      <c r="BF291" s="230"/>
      <c r="BG291" s="230"/>
      <c r="BH291" s="230"/>
      <c r="BI291" s="230"/>
      <c r="BJ291" s="230"/>
      <c r="BK291" s="230"/>
      <c r="BL291" s="230"/>
      <c r="BM291" s="230"/>
      <c r="BN291" s="230"/>
      <c r="BO291" s="230"/>
      <c r="BP291" s="230"/>
      <c r="BQ291" s="230"/>
    </row>
    <row r="292" spans="1:69" ht="15.75" customHeight="1">
      <c r="A292" s="46"/>
      <c r="B292" s="46"/>
      <c r="C292" s="46"/>
      <c r="D292" s="46"/>
      <c r="E292" s="245"/>
      <c r="F292" s="237"/>
      <c r="G292" s="237"/>
      <c r="H292" s="46"/>
      <c r="I292" s="46"/>
      <c r="J292" s="46"/>
      <c r="K292" s="46"/>
      <c r="L292" s="46"/>
      <c r="M292" s="46"/>
      <c r="N292" s="46"/>
      <c r="O292" s="46"/>
      <c r="P292" s="46"/>
      <c r="Q292" s="46"/>
      <c r="R292" s="46"/>
      <c r="S292" s="46"/>
      <c r="T292" s="46"/>
      <c r="U292" s="46"/>
      <c r="V292" s="46"/>
      <c r="W292" s="46"/>
      <c r="X292" s="46"/>
      <c r="Y292" s="46"/>
      <c r="Z292" s="46"/>
      <c r="AA292" s="46"/>
      <c r="AB292" s="46"/>
      <c r="AC292" s="46"/>
      <c r="AD292" s="2"/>
      <c r="AE292" s="46"/>
      <c r="AF292" s="46"/>
      <c r="AG292" s="46"/>
      <c r="AH292" s="46"/>
      <c r="AI292" s="46"/>
      <c r="AJ292" s="46"/>
      <c r="AK292" s="46"/>
      <c r="AL292" s="46"/>
      <c r="AM292" s="46"/>
      <c r="AN292" s="46"/>
      <c r="AO292" s="46"/>
      <c r="AP292" s="46"/>
      <c r="AQ292" s="46"/>
      <c r="AR292" s="46"/>
      <c r="AS292" s="46"/>
      <c r="AT292" s="46"/>
      <c r="AU292" s="46"/>
      <c r="AV292" s="230"/>
      <c r="AW292" s="230"/>
      <c r="AX292" s="230"/>
      <c r="AY292" s="230"/>
      <c r="AZ292" s="230"/>
      <c r="BA292" s="230"/>
      <c r="BB292" s="230"/>
      <c r="BC292" s="230"/>
      <c r="BD292" s="230"/>
      <c r="BE292" s="230"/>
      <c r="BF292" s="230"/>
      <c r="BG292" s="230"/>
      <c r="BH292" s="230"/>
      <c r="BI292" s="230"/>
      <c r="BJ292" s="230"/>
      <c r="BK292" s="230"/>
      <c r="BL292" s="230"/>
      <c r="BM292" s="230"/>
      <c r="BN292" s="230"/>
      <c r="BO292" s="230"/>
      <c r="BP292" s="230"/>
      <c r="BQ292" s="230"/>
    </row>
    <row r="293" spans="1:69" ht="15.75" customHeight="1">
      <c r="A293" s="46"/>
      <c r="B293" s="46"/>
      <c r="C293" s="46"/>
      <c r="D293" s="46"/>
      <c r="E293" s="245"/>
      <c r="F293" s="237"/>
      <c r="G293" s="237"/>
      <c r="H293" s="46"/>
      <c r="I293" s="46"/>
      <c r="J293" s="46"/>
      <c r="K293" s="46"/>
      <c r="L293" s="46"/>
      <c r="M293" s="46"/>
      <c r="N293" s="46"/>
      <c r="O293" s="46"/>
      <c r="P293" s="46"/>
      <c r="Q293" s="46"/>
      <c r="R293" s="46"/>
      <c r="S293" s="46"/>
      <c r="T293" s="46"/>
      <c r="U293" s="46"/>
      <c r="V293" s="46"/>
      <c r="W293" s="46"/>
      <c r="X293" s="46"/>
      <c r="Y293" s="46"/>
      <c r="Z293" s="46"/>
      <c r="AA293" s="46"/>
      <c r="AB293" s="46"/>
      <c r="AC293" s="46"/>
      <c r="AD293" s="2"/>
      <c r="AE293" s="46"/>
      <c r="AF293" s="46"/>
      <c r="AG293" s="46"/>
      <c r="AH293" s="46"/>
      <c r="AI293" s="46"/>
      <c r="AJ293" s="46"/>
      <c r="AK293" s="46"/>
      <c r="AL293" s="46"/>
      <c r="AM293" s="46"/>
      <c r="AN293" s="46"/>
      <c r="AO293" s="46"/>
      <c r="AP293" s="46"/>
      <c r="AQ293" s="46"/>
      <c r="AR293" s="46"/>
      <c r="AS293" s="46"/>
      <c r="AT293" s="46"/>
      <c r="AU293" s="46"/>
      <c r="AV293" s="230"/>
      <c r="AW293" s="230"/>
      <c r="AX293" s="230"/>
      <c r="AY293" s="230"/>
      <c r="AZ293" s="230"/>
      <c r="BA293" s="230"/>
      <c r="BB293" s="230"/>
      <c r="BC293" s="230"/>
      <c r="BD293" s="230"/>
      <c r="BE293" s="230"/>
      <c r="BF293" s="230"/>
      <c r="BG293" s="230"/>
      <c r="BH293" s="230"/>
      <c r="BI293" s="230"/>
      <c r="BJ293" s="230"/>
      <c r="BK293" s="230"/>
      <c r="BL293" s="230"/>
      <c r="BM293" s="230"/>
      <c r="BN293" s="230"/>
      <c r="BO293" s="230"/>
      <c r="BP293" s="230"/>
      <c r="BQ293" s="230"/>
    </row>
    <row r="294" spans="1:69" ht="15.75" customHeight="1">
      <c r="A294" s="46"/>
      <c r="B294" s="46"/>
      <c r="C294" s="46"/>
      <c r="D294" s="46"/>
      <c r="E294" s="245"/>
      <c r="F294" s="237"/>
      <c r="G294" s="237"/>
      <c r="H294" s="46"/>
      <c r="I294" s="46"/>
      <c r="J294" s="46"/>
      <c r="K294" s="46"/>
      <c r="L294" s="46"/>
      <c r="M294" s="46"/>
      <c r="N294" s="46"/>
      <c r="O294" s="46"/>
      <c r="P294" s="46"/>
      <c r="Q294" s="46"/>
      <c r="R294" s="46"/>
      <c r="S294" s="46"/>
      <c r="T294" s="46"/>
      <c r="U294" s="46"/>
      <c r="V294" s="46"/>
      <c r="W294" s="46"/>
      <c r="X294" s="46"/>
      <c r="Y294" s="46"/>
      <c r="Z294" s="46"/>
      <c r="AA294" s="46"/>
      <c r="AB294" s="46"/>
      <c r="AC294" s="46"/>
      <c r="AD294" s="2"/>
      <c r="AE294" s="46"/>
      <c r="AF294" s="46"/>
      <c r="AG294" s="46"/>
      <c r="AH294" s="46"/>
      <c r="AI294" s="46"/>
      <c r="AJ294" s="46"/>
      <c r="AK294" s="46"/>
      <c r="AL294" s="46"/>
      <c r="AM294" s="46"/>
      <c r="AN294" s="46"/>
      <c r="AO294" s="46"/>
      <c r="AP294" s="46"/>
      <c r="AQ294" s="46"/>
      <c r="AR294" s="46"/>
      <c r="AS294" s="46"/>
      <c r="AT294" s="46"/>
      <c r="AU294" s="46"/>
      <c r="AV294" s="230"/>
      <c r="AW294" s="230"/>
      <c r="AX294" s="230"/>
      <c r="AY294" s="230"/>
      <c r="AZ294" s="230"/>
      <c r="BA294" s="230"/>
      <c r="BB294" s="230"/>
      <c r="BC294" s="230"/>
      <c r="BD294" s="230"/>
      <c r="BE294" s="230"/>
      <c r="BF294" s="230"/>
      <c r="BG294" s="230"/>
      <c r="BH294" s="230"/>
      <c r="BI294" s="230"/>
      <c r="BJ294" s="230"/>
      <c r="BK294" s="230"/>
      <c r="BL294" s="230"/>
      <c r="BM294" s="230"/>
      <c r="BN294" s="230"/>
      <c r="BO294" s="230"/>
      <c r="BP294" s="230"/>
      <c r="BQ294" s="230"/>
    </row>
    <row r="295" spans="1:69" ht="15.75" customHeight="1">
      <c r="A295" s="46"/>
      <c r="B295" s="46"/>
      <c r="C295" s="46"/>
      <c r="D295" s="46"/>
      <c r="E295" s="245"/>
      <c r="F295" s="237"/>
      <c r="G295" s="237"/>
      <c r="H295" s="46"/>
      <c r="I295" s="46"/>
      <c r="J295" s="46"/>
      <c r="K295" s="46"/>
      <c r="L295" s="46"/>
      <c r="M295" s="46"/>
      <c r="N295" s="46"/>
      <c r="O295" s="46"/>
      <c r="P295" s="46"/>
      <c r="Q295" s="46"/>
      <c r="R295" s="46"/>
      <c r="S295" s="46"/>
      <c r="T295" s="46"/>
      <c r="U295" s="46"/>
      <c r="V295" s="46"/>
      <c r="W295" s="46"/>
      <c r="X295" s="46"/>
      <c r="Y295" s="46"/>
      <c r="Z295" s="46"/>
      <c r="AA295" s="46"/>
      <c r="AB295" s="46"/>
      <c r="AC295" s="46"/>
      <c r="AD295" s="2"/>
      <c r="AE295" s="46"/>
      <c r="AF295" s="46"/>
      <c r="AG295" s="46"/>
      <c r="AH295" s="46"/>
      <c r="AI295" s="46"/>
      <c r="AJ295" s="46"/>
      <c r="AK295" s="46"/>
      <c r="AL295" s="46"/>
      <c r="AM295" s="46"/>
      <c r="AN295" s="46"/>
      <c r="AO295" s="46"/>
      <c r="AP295" s="46"/>
      <c r="AQ295" s="46"/>
      <c r="AR295" s="46"/>
      <c r="AS295" s="46"/>
      <c r="AT295" s="46"/>
      <c r="AU295" s="46"/>
      <c r="AV295" s="230"/>
      <c r="AW295" s="230"/>
      <c r="AX295" s="230"/>
      <c r="AY295" s="230"/>
      <c r="AZ295" s="230"/>
      <c r="BA295" s="230"/>
      <c r="BB295" s="230"/>
      <c r="BC295" s="230"/>
      <c r="BD295" s="230"/>
      <c r="BE295" s="230"/>
      <c r="BF295" s="230"/>
      <c r="BG295" s="230"/>
      <c r="BH295" s="230"/>
      <c r="BI295" s="230"/>
      <c r="BJ295" s="230"/>
      <c r="BK295" s="230"/>
      <c r="BL295" s="230"/>
      <c r="BM295" s="230"/>
      <c r="BN295" s="230"/>
      <c r="BO295" s="230"/>
      <c r="BP295" s="230"/>
      <c r="BQ295" s="230"/>
    </row>
    <row r="296" spans="1:69" ht="15.75" customHeight="1">
      <c r="A296" s="46"/>
      <c r="B296" s="46"/>
      <c r="C296" s="46"/>
      <c r="D296" s="46"/>
      <c r="E296" s="245"/>
      <c r="F296" s="237"/>
      <c r="G296" s="237"/>
      <c r="H296" s="46"/>
      <c r="I296" s="46"/>
      <c r="J296" s="46"/>
      <c r="K296" s="46"/>
      <c r="L296" s="46"/>
      <c r="M296" s="46"/>
      <c r="N296" s="46"/>
      <c r="O296" s="46"/>
      <c r="P296" s="46"/>
      <c r="Q296" s="46"/>
      <c r="R296" s="46"/>
      <c r="S296" s="46"/>
      <c r="T296" s="46"/>
      <c r="U296" s="46"/>
      <c r="V296" s="46"/>
      <c r="W296" s="46"/>
      <c r="X296" s="46"/>
      <c r="Y296" s="46"/>
      <c r="Z296" s="46"/>
      <c r="AA296" s="46"/>
      <c r="AB296" s="46"/>
      <c r="AC296" s="46"/>
      <c r="AD296" s="2"/>
      <c r="AE296" s="46"/>
      <c r="AF296" s="46"/>
      <c r="AG296" s="46"/>
      <c r="AH296" s="46"/>
      <c r="AI296" s="46"/>
      <c r="AJ296" s="46"/>
      <c r="AK296" s="46"/>
      <c r="AL296" s="46"/>
      <c r="AM296" s="46"/>
      <c r="AN296" s="46"/>
      <c r="AO296" s="46"/>
      <c r="AP296" s="46"/>
      <c r="AQ296" s="46"/>
      <c r="AR296" s="46"/>
      <c r="AS296" s="46"/>
      <c r="AT296" s="46"/>
      <c r="AU296" s="46"/>
      <c r="AV296" s="230"/>
      <c r="AW296" s="230"/>
      <c r="AX296" s="230"/>
      <c r="AY296" s="230"/>
      <c r="AZ296" s="230"/>
      <c r="BA296" s="230"/>
      <c r="BB296" s="230"/>
      <c r="BC296" s="230"/>
      <c r="BD296" s="230"/>
      <c r="BE296" s="230"/>
      <c r="BF296" s="230"/>
      <c r="BG296" s="230"/>
      <c r="BH296" s="230"/>
      <c r="BI296" s="230"/>
      <c r="BJ296" s="230"/>
      <c r="BK296" s="230"/>
      <c r="BL296" s="230"/>
      <c r="BM296" s="230"/>
      <c r="BN296" s="230"/>
      <c r="BO296" s="230"/>
      <c r="BP296" s="230"/>
      <c r="BQ296" s="230"/>
    </row>
    <row r="297" spans="1:69" ht="15.75" customHeight="1">
      <c r="A297" s="46"/>
      <c r="B297" s="46"/>
      <c r="C297" s="46"/>
      <c r="D297" s="46"/>
      <c r="E297" s="245"/>
      <c r="F297" s="237"/>
      <c r="G297" s="237"/>
      <c r="H297" s="46"/>
      <c r="I297" s="46"/>
      <c r="J297" s="46"/>
      <c r="K297" s="46"/>
      <c r="L297" s="46"/>
      <c r="M297" s="46"/>
      <c r="N297" s="46"/>
      <c r="O297" s="46"/>
      <c r="P297" s="46"/>
      <c r="Q297" s="46"/>
      <c r="R297" s="46"/>
      <c r="S297" s="46"/>
      <c r="T297" s="46"/>
      <c r="U297" s="46"/>
      <c r="V297" s="46"/>
      <c r="W297" s="46"/>
      <c r="X297" s="46"/>
      <c r="Y297" s="46"/>
      <c r="Z297" s="46"/>
      <c r="AA297" s="46"/>
      <c r="AB297" s="46"/>
      <c r="AC297" s="46"/>
      <c r="AD297" s="2"/>
      <c r="AE297" s="46"/>
      <c r="AF297" s="46"/>
      <c r="AG297" s="46"/>
      <c r="AH297" s="46"/>
      <c r="AI297" s="46"/>
      <c r="AJ297" s="46"/>
      <c r="AK297" s="46"/>
      <c r="AL297" s="46"/>
      <c r="AM297" s="46"/>
      <c r="AN297" s="46"/>
      <c r="AO297" s="46"/>
      <c r="AP297" s="46"/>
      <c r="AQ297" s="46"/>
      <c r="AR297" s="46"/>
      <c r="AS297" s="46"/>
      <c r="AT297" s="46"/>
      <c r="AU297" s="46"/>
      <c r="AV297" s="230"/>
      <c r="AW297" s="230"/>
      <c r="AX297" s="230"/>
      <c r="AY297" s="230"/>
      <c r="AZ297" s="230"/>
      <c r="BA297" s="230"/>
      <c r="BB297" s="230"/>
      <c r="BC297" s="230"/>
      <c r="BD297" s="230"/>
      <c r="BE297" s="230"/>
      <c r="BF297" s="230"/>
      <c r="BG297" s="230"/>
      <c r="BH297" s="230"/>
      <c r="BI297" s="230"/>
      <c r="BJ297" s="230"/>
      <c r="BK297" s="230"/>
      <c r="BL297" s="230"/>
      <c r="BM297" s="230"/>
      <c r="BN297" s="230"/>
      <c r="BO297" s="230"/>
      <c r="BP297" s="230"/>
      <c r="BQ297" s="230"/>
    </row>
    <row r="298" spans="1:69" ht="15.75" customHeight="1">
      <c r="A298" s="46"/>
      <c r="B298" s="46"/>
      <c r="C298" s="46"/>
      <c r="D298" s="46"/>
      <c r="E298" s="245"/>
      <c r="F298" s="237"/>
      <c r="G298" s="237"/>
      <c r="H298" s="46"/>
      <c r="I298" s="46"/>
      <c r="J298" s="46"/>
      <c r="K298" s="46"/>
      <c r="L298" s="46"/>
      <c r="M298" s="46"/>
      <c r="N298" s="46"/>
      <c r="O298" s="46"/>
      <c r="P298" s="46"/>
      <c r="Q298" s="46"/>
      <c r="R298" s="46"/>
      <c r="S298" s="46"/>
      <c r="T298" s="46"/>
      <c r="U298" s="46"/>
      <c r="V298" s="46"/>
      <c r="W298" s="46"/>
      <c r="X298" s="46"/>
      <c r="Y298" s="46"/>
      <c r="Z298" s="46"/>
      <c r="AA298" s="46"/>
      <c r="AB298" s="46"/>
      <c r="AC298" s="46"/>
      <c r="AD298" s="2"/>
      <c r="AE298" s="46"/>
      <c r="AF298" s="46"/>
      <c r="AG298" s="46"/>
      <c r="AH298" s="46"/>
      <c r="AI298" s="46"/>
      <c r="AJ298" s="46"/>
      <c r="AK298" s="46"/>
      <c r="AL298" s="46"/>
      <c r="AM298" s="46"/>
      <c r="AN298" s="46"/>
      <c r="AO298" s="46"/>
      <c r="AP298" s="46"/>
      <c r="AQ298" s="46"/>
      <c r="AR298" s="46"/>
      <c r="AS298" s="46"/>
      <c r="AT298" s="46"/>
      <c r="AU298" s="46"/>
      <c r="AV298" s="230"/>
      <c r="AW298" s="230"/>
      <c r="AX298" s="230"/>
      <c r="AY298" s="230"/>
      <c r="AZ298" s="230"/>
      <c r="BA298" s="230"/>
      <c r="BB298" s="230"/>
      <c r="BC298" s="230"/>
      <c r="BD298" s="230"/>
      <c r="BE298" s="230"/>
      <c r="BF298" s="230"/>
      <c r="BG298" s="230"/>
      <c r="BH298" s="230"/>
      <c r="BI298" s="230"/>
      <c r="BJ298" s="230"/>
      <c r="BK298" s="230"/>
      <c r="BL298" s="230"/>
      <c r="BM298" s="230"/>
      <c r="BN298" s="230"/>
      <c r="BO298" s="230"/>
      <c r="BP298" s="230"/>
      <c r="BQ298" s="230"/>
    </row>
    <row r="299" spans="1:69" ht="15.75" customHeight="1">
      <c r="A299" s="46"/>
      <c r="B299" s="46"/>
      <c r="C299" s="46"/>
      <c r="D299" s="46"/>
      <c r="E299" s="245"/>
      <c r="F299" s="237"/>
      <c r="G299" s="237"/>
      <c r="H299" s="46"/>
      <c r="I299" s="46"/>
      <c r="J299" s="46"/>
      <c r="K299" s="46"/>
      <c r="L299" s="46"/>
      <c r="M299" s="46"/>
      <c r="N299" s="46"/>
      <c r="O299" s="46"/>
      <c r="P299" s="46"/>
      <c r="Q299" s="46"/>
      <c r="R299" s="46"/>
      <c r="S299" s="46"/>
      <c r="T299" s="46"/>
      <c r="U299" s="46"/>
      <c r="V299" s="46"/>
      <c r="W299" s="46"/>
      <c r="X299" s="46"/>
      <c r="Y299" s="46"/>
      <c r="Z299" s="46"/>
      <c r="AA299" s="46"/>
      <c r="AB299" s="46"/>
      <c r="AC299" s="46"/>
      <c r="AD299" s="2"/>
      <c r="AE299" s="46"/>
      <c r="AF299" s="46"/>
      <c r="AG299" s="46"/>
      <c r="AH299" s="46"/>
      <c r="AI299" s="46"/>
      <c r="AJ299" s="46"/>
      <c r="AK299" s="46"/>
      <c r="AL299" s="46"/>
      <c r="AM299" s="46"/>
      <c r="AN299" s="46"/>
      <c r="AO299" s="46"/>
      <c r="AP299" s="46"/>
      <c r="AQ299" s="46"/>
      <c r="AR299" s="46"/>
      <c r="AS299" s="46"/>
      <c r="AT299" s="46"/>
      <c r="AU299" s="46"/>
      <c r="AV299" s="230"/>
      <c r="AW299" s="230"/>
      <c r="AX299" s="230"/>
      <c r="AY299" s="230"/>
      <c r="AZ299" s="230"/>
      <c r="BA299" s="230"/>
      <c r="BB299" s="230"/>
      <c r="BC299" s="230"/>
      <c r="BD299" s="230"/>
      <c r="BE299" s="230"/>
      <c r="BF299" s="230"/>
      <c r="BG299" s="230"/>
      <c r="BH299" s="230"/>
      <c r="BI299" s="230"/>
      <c r="BJ299" s="230"/>
      <c r="BK299" s="230"/>
      <c r="BL299" s="230"/>
      <c r="BM299" s="230"/>
      <c r="BN299" s="230"/>
      <c r="BO299" s="230"/>
      <c r="BP299" s="230"/>
      <c r="BQ299" s="230"/>
    </row>
    <row r="300" spans="1:69" ht="15.75" customHeight="1">
      <c r="A300" s="46"/>
      <c r="B300" s="46"/>
      <c r="C300" s="46"/>
      <c r="D300" s="46"/>
      <c r="E300" s="245"/>
      <c r="F300" s="237"/>
      <c r="G300" s="237"/>
      <c r="H300" s="46"/>
      <c r="I300" s="46"/>
      <c r="J300" s="46"/>
      <c r="K300" s="46"/>
      <c r="L300" s="46"/>
      <c r="M300" s="46"/>
      <c r="N300" s="46"/>
      <c r="O300" s="46"/>
      <c r="P300" s="46"/>
      <c r="Q300" s="46"/>
      <c r="R300" s="46"/>
      <c r="S300" s="46"/>
      <c r="T300" s="46"/>
      <c r="U300" s="46"/>
      <c r="V300" s="46"/>
      <c r="W300" s="46"/>
      <c r="X300" s="46"/>
      <c r="Y300" s="46"/>
      <c r="Z300" s="46"/>
      <c r="AA300" s="46"/>
      <c r="AB300" s="46"/>
      <c r="AC300" s="46"/>
      <c r="AD300" s="2"/>
      <c r="AE300" s="46"/>
      <c r="AF300" s="46"/>
      <c r="AG300" s="46"/>
      <c r="AH300" s="46"/>
      <c r="AI300" s="46"/>
      <c r="AJ300" s="46"/>
      <c r="AK300" s="46"/>
      <c r="AL300" s="46"/>
      <c r="AM300" s="46"/>
      <c r="AN300" s="46"/>
      <c r="AO300" s="46"/>
      <c r="AP300" s="46"/>
      <c r="AQ300" s="46"/>
      <c r="AR300" s="46"/>
      <c r="AS300" s="46"/>
      <c r="AT300" s="46"/>
      <c r="AU300" s="46"/>
      <c r="AV300" s="230"/>
      <c r="AW300" s="230"/>
      <c r="AX300" s="230"/>
      <c r="AY300" s="230"/>
      <c r="AZ300" s="230"/>
      <c r="BA300" s="230"/>
      <c r="BB300" s="230"/>
      <c r="BC300" s="230"/>
      <c r="BD300" s="230"/>
      <c r="BE300" s="230"/>
      <c r="BF300" s="230"/>
      <c r="BG300" s="230"/>
      <c r="BH300" s="230"/>
      <c r="BI300" s="230"/>
      <c r="BJ300" s="230"/>
      <c r="BK300" s="230"/>
      <c r="BL300" s="230"/>
      <c r="BM300" s="230"/>
      <c r="BN300" s="230"/>
      <c r="BO300" s="230"/>
      <c r="BP300" s="230"/>
      <c r="BQ300" s="230"/>
    </row>
    <row r="301" spans="1:69" ht="15.75" customHeight="1">
      <c r="A301" s="46"/>
      <c r="B301" s="46"/>
      <c r="C301" s="46"/>
      <c r="D301" s="46"/>
      <c r="E301" s="245"/>
      <c r="F301" s="237"/>
      <c r="G301" s="237"/>
      <c r="H301" s="46"/>
      <c r="I301" s="46"/>
      <c r="J301" s="46"/>
      <c r="K301" s="46"/>
      <c r="L301" s="46"/>
      <c r="M301" s="46"/>
      <c r="N301" s="46"/>
      <c r="O301" s="46"/>
      <c r="P301" s="46"/>
      <c r="Q301" s="46"/>
      <c r="R301" s="46"/>
      <c r="S301" s="46"/>
      <c r="T301" s="46"/>
      <c r="U301" s="46"/>
      <c r="V301" s="46"/>
      <c r="W301" s="46"/>
      <c r="X301" s="46"/>
      <c r="Y301" s="46"/>
      <c r="Z301" s="46"/>
      <c r="AA301" s="46"/>
      <c r="AB301" s="46"/>
      <c r="AC301" s="46"/>
      <c r="AD301" s="2"/>
      <c r="AE301" s="46"/>
      <c r="AF301" s="46"/>
      <c r="AG301" s="46"/>
      <c r="AH301" s="46"/>
      <c r="AI301" s="46"/>
      <c r="AJ301" s="46"/>
      <c r="AK301" s="46"/>
      <c r="AL301" s="46"/>
      <c r="AM301" s="46"/>
      <c r="AN301" s="46"/>
      <c r="AO301" s="46"/>
      <c r="AP301" s="46"/>
      <c r="AQ301" s="46"/>
      <c r="AR301" s="46"/>
      <c r="AS301" s="46"/>
      <c r="AT301" s="46"/>
      <c r="AU301" s="46"/>
      <c r="AV301" s="230"/>
      <c r="AW301" s="230"/>
      <c r="AX301" s="230"/>
      <c r="AY301" s="230"/>
      <c r="AZ301" s="230"/>
      <c r="BA301" s="230"/>
      <c r="BB301" s="230"/>
      <c r="BC301" s="230"/>
      <c r="BD301" s="230"/>
      <c r="BE301" s="230"/>
      <c r="BF301" s="230"/>
      <c r="BG301" s="230"/>
      <c r="BH301" s="230"/>
      <c r="BI301" s="230"/>
      <c r="BJ301" s="230"/>
      <c r="BK301" s="230"/>
      <c r="BL301" s="230"/>
      <c r="BM301" s="230"/>
      <c r="BN301" s="230"/>
      <c r="BO301" s="230"/>
      <c r="BP301" s="230"/>
      <c r="BQ301" s="230"/>
    </row>
    <row r="302" spans="1:69" ht="15.75" customHeight="1">
      <c r="A302" s="46"/>
      <c r="B302" s="46"/>
      <c r="C302" s="46"/>
      <c r="D302" s="46"/>
      <c r="E302" s="245"/>
      <c r="F302" s="237"/>
      <c r="G302" s="237"/>
      <c r="H302" s="46"/>
      <c r="I302" s="46"/>
      <c r="J302" s="46"/>
      <c r="K302" s="46"/>
      <c r="L302" s="46"/>
      <c r="M302" s="46"/>
      <c r="N302" s="46"/>
      <c r="O302" s="46"/>
      <c r="P302" s="46"/>
      <c r="Q302" s="46"/>
      <c r="R302" s="46"/>
      <c r="S302" s="46"/>
      <c r="T302" s="46"/>
      <c r="U302" s="46"/>
      <c r="V302" s="46"/>
      <c r="W302" s="46"/>
      <c r="X302" s="46"/>
      <c r="Y302" s="46"/>
      <c r="Z302" s="46"/>
      <c r="AA302" s="46"/>
      <c r="AB302" s="46"/>
      <c r="AC302" s="46"/>
      <c r="AD302" s="2"/>
      <c r="AE302" s="46"/>
      <c r="AF302" s="46"/>
      <c r="AG302" s="46"/>
      <c r="AH302" s="46"/>
      <c r="AI302" s="46"/>
      <c r="AJ302" s="46"/>
      <c r="AK302" s="46"/>
      <c r="AL302" s="46"/>
      <c r="AM302" s="46"/>
      <c r="AN302" s="46"/>
      <c r="AO302" s="46"/>
      <c r="AP302" s="46"/>
      <c r="AQ302" s="46"/>
      <c r="AR302" s="46"/>
      <c r="AS302" s="46"/>
      <c r="AT302" s="46"/>
      <c r="AU302" s="46"/>
      <c r="AV302" s="230"/>
      <c r="AW302" s="230"/>
      <c r="AX302" s="230"/>
      <c r="AY302" s="230"/>
      <c r="AZ302" s="230"/>
      <c r="BA302" s="230"/>
      <c r="BB302" s="230"/>
      <c r="BC302" s="230"/>
      <c r="BD302" s="230"/>
      <c r="BE302" s="230"/>
      <c r="BF302" s="230"/>
      <c r="BG302" s="230"/>
      <c r="BH302" s="230"/>
      <c r="BI302" s="230"/>
      <c r="BJ302" s="230"/>
      <c r="BK302" s="230"/>
      <c r="BL302" s="230"/>
      <c r="BM302" s="230"/>
      <c r="BN302" s="230"/>
      <c r="BO302" s="230"/>
      <c r="BP302" s="230"/>
      <c r="BQ302" s="230"/>
    </row>
    <row r="303" spans="1:69" ht="15.75" customHeight="1">
      <c r="A303" s="46"/>
      <c r="B303" s="46"/>
      <c r="C303" s="46"/>
      <c r="D303" s="46"/>
      <c r="E303" s="245"/>
      <c r="F303" s="237"/>
      <c r="G303" s="237"/>
      <c r="H303" s="46"/>
      <c r="I303" s="46"/>
      <c r="J303" s="46"/>
      <c r="K303" s="46"/>
      <c r="L303" s="46"/>
      <c r="M303" s="46"/>
      <c r="N303" s="46"/>
      <c r="O303" s="46"/>
      <c r="P303" s="46"/>
      <c r="Q303" s="46"/>
      <c r="R303" s="46"/>
      <c r="S303" s="46"/>
      <c r="T303" s="46"/>
      <c r="U303" s="46"/>
      <c r="V303" s="46"/>
      <c r="W303" s="46"/>
      <c r="X303" s="46"/>
      <c r="Y303" s="46"/>
      <c r="Z303" s="46"/>
      <c r="AA303" s="46"/>
      <c r="AB303" s="46"/>
      <c r="AC303" s="46"/>
      <c r="AD303" s="2"/>
      <c r="AE303" s="46"/>
      <c r="AF303" s="46"/>
      <c r="AG303" s="46"/>
      <c r="AH303" s="46"/>
      <c r="AI303" s="46"/>
      <c r="AJ303" s="46"/>
      <c r="AK303" s="46"/>
      <c r="AL303" s="46"/>
      <c r="AM303" s="46"/>
      <c r="AN303" s="46"/>
      <c r="AO303" s="46"/>
      <c r="AP303" s="46"/>
      <c r="AQ303" s="46"/>
      <c r="AR303" s="46"/>
      <c r="AS303" s="46"/>
      <c r="AT303" s="46"/>
      <c r="AU303" s="46"/>
      <c r="AV303" s="230"/>
      <c r="AW303" s="230"/>
      <c r="AX303" s="230"/>
      <c r="AY303" s="230"/>
      <c r="AZ303" s="230"/>
      <c r="BA303" s="230"/>
      <c r="BB303" s="230"/>
      <c r="BC303" s="230"/>
      <c r="BD303" s="230"/>
      <c r="BE303" s="230"/>
      <c r="BF303" s="230"/>
      <c r="BG303" s="230"/>
      <c r="BH303" s="230"/>
      <c r="BI303" s="230"/>
      <c r="BJ303" s="230"/>
      <c r="BK303" s="230"/>
      <c r="BL303" s="230"/>
      <c r="BM303" s="230"/>
      <c r="BN303" s="230"/>
      <c r="BO303" s="230"/>
      <c r="BP303" s="230"/>
      <c r="BQ303" s="230"/>
    </row>
    <row r="304" spans="1:69" ht="15.75" customHeight="1">
      <c r="A304" s="46"/>
      <c r="B304" s="46"/>
      <c r="C304" s="46"/>
      <c r="D304" s="46"/>
      <c r="E304" s="245"/>
      <c r="F304" s="237"/>
      <c r="G304" s="237"/>
      <c r="H304" s="46"/>
      <c r="I304" s="46"/>
      <c r="J304" s="46"/>
      <c r="K304" s="46"/>
      <c r="L304" s="46"/>
      <c r="M304" s="46"/>
      <c r="N304" s="46"/>
      <c r="O304" s="46"/>
      <c r="P304" s="46"/>
      <c r="Q304" s="46"/>
      <c r="R304" s="46"/>
      <c r="S304" s="46"/>
      <c r="T304" s="46"/>
      <c r="U304" s="46"/>
      <c r="V304" s="46"/>
      <c r="W304" s="46"/>
      <c r="X304" s="46"/>
      <c r="Y304" s="46"/>
      <c r="Z304" s="46"/>
      <c r="AA304" s="46"/>
      <c r="AB304" s="46"/>
      <c r="AC304" s="46"/>
      <c r="AD304" s="2"/>
      <c r="AE304" s="46"/>
      <c r="AF304" s="46"/>
      <c r="AG304" s="46"/>
      <c r="AH304" s="46"/>
      <c r="AI304" s="46"/>
      <c r="AJ304" s="46"/>
      <c r="AK304" s="46"/>
      <c r="AL304" s="46"/>
      <c r="AM304" s="46"/>
      <c r="AN304" s="46"/>
      <c r="AO304" s="46"/>
      <c r="AP304" s="46"/>
      <c r="AQ304" s="46"/>
      <c r="AR304" s="46"/>
      <c r="AS304" s="46"/>
      <c r="AT304" s="46"/>
      <c r="AU304" s="46"/>
      <c r="AV304" s="230"/>
      <c r="AW304" s="230"/>
      <c r="AX304" s="230"/>
      <c r="AY304" s="230"/>
      <c r="AZ304" s="230"/>
      <c r="BA304" s="230"/>
      <c r="BB304" s="230"/>
      <c r="BC304" s="230"/>
      <c r="BD304" s="230"/>
      <c r="BE304" s="230"/>
      <c r="BF304" s="230"/>
      <c r="BG304" s="230"/>
      <c r="BH304" s="230"/>
      <c r="BI304" s="230"/>
      <c r="BJ304" s="230"/>
      <c r="BK304" s="230"/>
      <c r="BL304" s="230"/>
      <c r="BM304" s="230"/>
      <c r="BN304" s="230"/>
      <c r="BO304" s="230"/>
      <c r="BP304" s="230"/>
      <c r="BQ304" s="230"/>
    </row>
    <row r="305" spans="1:69" ht="15.75" customHeight="1">
      <c r="A305" s="46"/>
      <c r="B305" s="46"/>
      <c r="C305" s="46"/>
      <c r="D305" s="46"/>
      <c r="E305" s="245"/>
      <c r="F305" s="237"/>
      <c r="G305" s="237"/>
      <c r="H305" s="46"/>
      <c r="I305" s="46"/>
      <c r="J305" s="46"/>
      <c r="K305" s="46"/>
      <c r="L305" s="46"/>
      <c r="M305" s="46"/>
      <c r="N305" s="46"/>
      <c r="O305" s="46"/>
      <c r="P305" s="46"/>
      <c r="Q305" s="46"/>
      <c r="R305" s="46"/>
      <c r="S305" s="46"/>
      <c r="T305" s="46"/>
      <c r="U305" s="46"/>
      <c r="V305" s="46"/>
      <c r="W305" s="46"/>
      <c r="X305" s="46"/>
      <c r="Y305" s="46"/>
      <c r="Z305" s="46"/>
      <c r="AA305" s="46"/>
      <c r="AB305" s="46"/>
      <c r="AC305" s="46"/>
      <c r="AD305" s="2"/>
      <c r="AE305" s="46"/>
      <c r="AF305" s="46"/>
      <c r="AG305" s="46"/>
      <c r="AH305" s="46"/>
      <c r="AI305" s="46"/>
      <c r="AJ305" s="46"/>
      <c r="AK305" s="46"/>
      <c r="AL305" s="46"/>
      <c r="AM305" s="46"/>
      <c r="AN305" s="46"/>
      <c r="AO305" s="46"/>
      <c r="AP305" s="46"/>
      <c r="AQ305" s="46"/>
      <c r="AR305" s="46"/>
      <c r="AS305" s="46"/>
      <c r="AT305" s="46"/>
      <c r="AU305" s="46"/>
      <c r="AV305" s="230"/>
      <c r="AW305" s="230"/>
      <c r="AX305" s="230"/>
      <c r="AY305" s="230"/>
      <c r="AZ305" s="230"/>
      <c r="BA305" s="230"/>
      <c r="BB305" s="230"/>
      <c r="BC305" s="230"/>
      <c r="BD305" s="230"/>
      <c r="BE305" s="230"/>
      <c r="BF305" s="230"/>
      <c r="BG305" s="230"/>
      <c r="BH305" s="230"/>
      <c r="BI305" s="230"/>
      <c r="BJ305" s="230"/>
      <c r="BK305" s="230"/>
      <c r="BL305" s="230"/>
      <c r="BM305" s="230"/>
      <c r="BN305" s="230"/>
      <c r="BO305" s="230"/>
      <c r="BP305" s="230"/>
      <c r="BQ305" s="230"/>
    </row>
    <row r="306" spans="1:69" ht="15.75" customHeight="1">
      <c r="A306" s="46"/>
      <c r="B306" s="46"/>
      <c r="C306" s="46"/>
      <c r="D306" s="46"/>
      <c r="E306" s="245"/>
      <c r="F306" s="237"/>
      <c r="G306" s="237"/>
      <c r="H306" s="46"/>
      <c r="I306" s="46"/>
      <c r="J306" s="46"/>
      <c r="K306" s="46"/>
      <c r="L306" s="46"/>
      <c r="M306" s="46"/>
      <c r="N306" s="46"/>
      <c r="O306" s="46"/>
      <c r="P306" s="46"/>
      <c r="Q306" s="46"/>
      <c r="R306" s="46"/>
      <c r="S306" s="46"/>
      <c r="T306" s="46"/>
      <c r="U306" s="46"/>
      <c r="V306" s="46"/>
      <c r="W306" s="46"/>
      <c r="X306" s="46"/>
      <c r="Y306" s="46"/>
      <c r="Z306" s="46"/>
      <c r="AA306" s="46"/>
      <c r="AB306" s="46"/>
      <c r="AC306" s="46"/>
      <c r="AD306" s="2"/>
      <c r="AE306" s="46"/>
      <c r="AF306" s="46"/>
      <c r="AG306" s="46"/>
      <c r="AH306" s="46"/>
      <c r="AI306" s="46"/>
      <c r="AJ306" s="46"/>
      <c r="AK306" s="46"/>
      <c r="AL306" s="46"/>
      <c r="AM306" s="46"/>
      <c r="AN306" s="46"/>
      <c r="AO306" s="46"/>
      <c r="AP306" s="46"/>
      <c r="AQ306" s="46"/>
      <c r="AR306" s="46"/>
      <c r="AS306" s="46"/>
      <c r="AT306" s="46"/>
      <c r="AU306" s="46"/>
      <c r="AV306" s="230"/>
      <c r="AW306" s="230"/>
      <c r="AX306" s="230"/>
      <c r="AY306" s="230"/>
      <c r="AZ306" s="230"/>
      <c r="BA306" s="230"/>
      <c r="BB306" s="230"/>
      <c r="BC306" s="230"/>
      <c r="BD306" s="230"/>
      <c r="BE306" s="230"/>
      <c r="BF306" s="230"/>
      <c r="BG306" s="230"/>
      <c r="BH306" s="230"/>
      <c r="BI306" s="230"/>
      <c r="BJ306" s="230"/>
      <c r="BK306" s="230"/>
      <c r="BL306" s="230"/>
      <c r="BM306" s="230"/>
      <c r="BN306" s="230"/>
      <c r="BO306" s="230"/>
      <c r="BP306" s="230"/>
      <c r="BQ306" s="230"/>
    </row>
    <row r="307" spans="1:69" ht="15.75" customHeight="1">
      <c r="A307" s="46"/>
      <c r="B307" s="46"/>
      <c r="C307" s="46"/>
      <c r="D307" s="46"/>
      <c r="E307" s="245"/>
      <c r="F307" s="237"/>
      <c r="G307" s="237"/>
      <c r="H307" s="46"/>
      <c r="I307" s="46"/>
      <c r="J307" s="46"/>
      <c r="K307" s="46"/>
      <c r="L307" s="46"/>
      <c r="M307" s="46"/>
      <c r="N307" s="46"/>
      <c r="O307" s="46"/>
      <c r="P307" s="46"/>
      <c r="Q307" s="46"/>
      <c r="R307" s="46"/>
      <c r="S307" s="46"/>
      <c r="T307" s="46"/>
      <c r="U307" s="46"/>
      <c r="V307" s="46"/>
      <c r="W307" s="46"/>
      <c r="X307" s="46"/>
      <c r="Y307" s="46"/>
      <c r="Z307" s="46"/>
      <c r="AA307" s="46"/>
      <c r="AB307" s="46"/>
      <c r="AC307" s="46"/>
      <c r="AD307" s="2"/>
      <c r="AE307" s="46"/>
      <c r="AF307" s="46"/>
      <c r="AG307" s="46"/>
      <c r="AH307" s="46"/>
      <c r="AI307" s="46"/>
      <c r="AJ307" s="46"/>
      <c r="AK307" s="46"/>
      <c r="AL307" s="46"/>
      <c r="AM307" s="46"/>
      <c r="AN307" s="46"/>
      <c r="AO307" s="46"/>
      <c r="AP307" s="46"/>
      <c r="AQ307" s="46"/>
      <c r="AR307" s="46"/>
      <c r="AS307" s="46"/>
      <c r="AT307" s="46"/>
      <c r="AU307" s="46"/>
      <c r="AV307" s="230"/>
      <c r="AW307" s="230"/>
      <c r="AX307" s="230"/>
      <c r="AY307" s="230"/>
      <c r="AZ307" s="230"/>
      <c r="BA307" s="230"/>
      <c r="BB307" s="230"/>
      <c r="BC307" s="230"/>
      <c r="BD307" s="230"/>
      <c r="BE307" s="230"/>
      <c r="BF307" s="230"/>
      <c r="BG307" s="230"/>
      <c r="BH307" s="230"/>
      <c r="BI307" s="230"/>
      <c r="BJ307" s="230"/>
      <c r="BK307" s="230"/>
      <c r="BL307" s="230"/>
      <c r="BM307" s="230"/>
      <c r="BN307" s="230"/>
      <c r="BO307" s="230"/>
      <c r="BP307" s="230"/>
      <c r="BQ307" s="230"/>
    </row>
    <row r="308" spans="1:69" ht="15.75" customHeight="1">
      <c r="A308" s="46"/>
      <c r="B308" s="46"/>
      <c r="C308" s="46"/>
      <c r="D308" s="46"/>
      <c r="E308" s="245"/>
      <c r="F308" s="237"/>
      <c r="G308" s="237"/>
      <c r="H308" s="46"/>
      <c r="I308" s="46"/>
      <c r="J308" s="46"/>
      <c r="K308" s="46"/>
      <c r="L308" s="46"/>
      <c r="M308" s="46"/>
      <c r="N308" s="46"/>
      <c r="O308" s="46"/>
      <c r="P308" s="46"/>
      <c r="Q308" s="46"/>
      <c r="R308" s="46"/>
      <c r="S308" s="46"/>
      <c r="T308" s="46"/>
      <c r="U308" s="46"/>
      <c r="V308" s="46"/>
      <c r="W308" s="46"/>
      <c r="X308" s="46"/>
      <c r="Y308" s="46"/>
      <c r="Z308" s="46"/>
      <c r="AA308" s="46"/>
      <c r="AB308" s="46"/>
      <c r="AC308" s="46"/>
      <c r="AD308" s="2"/>
      <c r="AE308" s="46"/>
      <c r="AF308" s="46"/>
      <c r="AG308" s="46"/>
      <c r="AH308" s="46"/>
      <c r="AI308" s="46"/>
      <c r="AJ308" s="46"/>
      <c r="AK308" s="46"/>
      <c r="AL308" s="46"/>
      <c r="AM308" s="46"/>
      <c r="AN308" s="46"/>
      <c r="AO308" s="46"/>
      <c r="AP308" s="46"/>
      <c r="AQ308" s="46"/>
      <c r="AR308" s="46"/>
      <c r="AS308" s="46"/>
      <c r="AT308" s="46"/>
      <c r="AU308" s="46"/>
      <c r="AV308" s="230"/>
      <c r="AW308" s="230"/>
      <c r="AX308" s="230"/>
      <c r="AY308" s="230"/>
      <c r="AZ308" s="230"/>
      <c r="BA308" s="230"/>
      <c r="BB308" s="230"/>
      <c r="BC308" s="230"/>
      <c r="BD308" s="230"/>
      <c r="BE308" s="230"/>
      <c r="BF308" s="230"/>
      <c r="BG308" s="230"/>
      <c r="BH308" s="230"/>
      <c r="BI308" s="230"/>
      <c r="BJ308" s="230"/>
      <c r="BK308" s="230"/>
      <c r="BL308" s="230"/>
      <c r="BM308" s="230"/>
      <c r="BN308" s="230"/>
      <c r="BO308" s="230"/>
      <c r="BP308" s="230"/>
      <c r="BQ308" s="230"/>
    </row>
    <row r="309" spans="1:69" ht="15.75" customHeight="1">
      <c r="A309" s="46"/>
      <c r="B309" s="46"/>
      <c r="C309" s="46"/>
      <c r="D309" s="46"/>
      <c r="E309" s="245"/>
      <c r="F309" s="237"/>
      <c r="G309" s="237"/>
      <c r="H309" s="46"/>
      <c r="I309" s="46"/>
      <c r="J309" s="46"/>
      <c r="K309" s="46"/>
      <c r="L309" s="46"/>
      <c r="M309" s="46"/>
      <c r="N309" s="46"/>
      <c r="O309" s="46"/>
      <c r="P309" s="46"/>
      <c r="Q309" s="46"/>
      <c r="R309" s="46"/>
      <c r="S309" s="46"/>
      <c r="T309" s="46"/>
      <c r="U309" s="46"/>
      <c r="V309" s="46"/>
      <c r="W309" s="46"/>
      <c r="X309" s="46"/>
      <c r="Y309" s="46"/>
      <c r="Z309" s="46"/>
      <c r="AA309" s="46"/>
      <c r="AB309" s="46"/>
      <c r="AC309" s="46"/>
      <c r="AD309" s="2"/>
      <c r="AE309" s="46"/>
      <c r="AF309" s="46"/>
      <c r="AG309" s="46"/>
      <c r="AH309" s="46"/>
      <c r="AI309" s="46"/>
      <c r="AJ309" s="46"/>
      <c r="AK309" s="46"/>
      <c r="AL309" s="46"/>
      <c r="AM309" s="46"/>
      <c r="AN309" s="46"/>
      <c r="AO309" s="46"/>
      <c r="AP309" s="46"/>
      <c r="AQ309" s="46"/>
      <c r="AR309" s="46"/>
      <c r="AS309" s="46"/>
      <c r="AT309" s="46"/>
      <c r="AU309" s="46"/>
      <c r="AV309" s="230"/>
      <c r="AW309" s="230"/>
      <c r="AX309" s="230"/>
      <c r="AY309" s="230"/>
      <c r="AZ309" s="230"/>
      <c r="BA309" s="230"/>
      <c r="BB309" s="230"/>
      <c r="BC309" s="230"/>
      <c r="BD309" s="230"/>
      <c r="BE309" s="230"/>
      <c r="BF309" s="230"/>
      <c r="BG309" s="230"/>
      <c r="BH309" s="230"/>
      <c r="BI309" s="230"/>
      <c r="BJ309" s="230"/>
      <c r="BK309" s="230"/>
      <c r="BL309" s="230"/>
      <c r="BM309" s="230"/>
      <c r="BN309" s="230"/>
      <c r="BO309" s="230"/>
      <c r="BP309" s="230"/>
      <c r="BQ309" s="230"/>
    </row>
    <row r="310" spans="1:69" ht="15.75" customHeight="1">
      <c r="A310" s="46"/>
      <c r="B310" s="46"/>
      <c r="C310" s="46"/>
      <c r="D310" s="46"/>
      <c r="E310" s="245"/>
      <c r="F310" s="237"/>
      <c r="G310" s="237"/>
      <c r="H310" s="46"/>
      <c r="I310" s="46"/>
      <c r="J310" s="46"/>
      <c r="K310" s="46"/>
      <c r="L310" s="46"/>
      <c r="M310" s="46"/>
      <c r="N310" s="46"/>
      <c r="O310" s="46"/>
      <c r="P310" s="46"/>
      <c r="Q310" s="46"/>
      <c r="R310" s="46"/>
      <c r="S310" s="46"/>
      <c r="T310" s="46"/>
      <c r="U310" s="46"/>
      <c r="V310" s="46"/>
      <c r="W310" s="46"/>
      <c r="X310" s="46"/>
      <c r="Y310" s="46"/>
      <c r="Z310" s="46"/>
      <c r="AA310" s="46"/>
      <c r="AB310" s="46"/>
      <c r="AC310" s="46"/>
      <c r="AD310" s="2"/>
      <c r="AE310" s="46"/>
      <c r="AF310" s="46"/>
      <c r="AG310" s="46"/>
      <c r="AH310" s="46"/>
      <c r="AI310" s="46"/>
      <c r="AJ310" s="46"/>
      <c r="AK310" s="46"/>
      <c r="AL310" s="46"/>
      <c r="AM310" s="46"/>
      <c r="AN310" s="46"/>
      <c r="AO310" s="46"/>
      <c r="AP310" s="46"/>
      <c r="AQ310" s="46"/>
      <c r="AR310" s="46"/>
      <c r="AS310" s="46"/>
      <c r="AT310" s="46"/>
      <c r="AU310" s="46"/>
      <c r="AV310" s="230"/>
      <c r="AW310" s="230"/>
      <c r="AX310" s="230"/>
      <c r="AY310" s="230"/>
      <c r="AZ310" s="230"/>
      <c r="BA310" s="230"/>
      <c r="BB310" s="230"/>
      <c r="BC310" s="230"/>
      <c r="BD310" s="230"/>
      <c r="BE310" s="230"/>
      <c r="BF310" s="230"/>
      <c r="BG310" s="230"/>
      <c r="BH310" s="230"/>
      <c r="BI310" s="230"/>
      <c r="BJ310" s="230"/>
      <c r="BK310" s="230"/>
      <c r="BL310" s="230"/>
      <c r="BM310" s="230"/>
      <c r="BN310" s="230"/>
      <c r="BO310" s="230"/>
      <c r="BP310" s="230"/>
      <c r="BQ310" s="230"/>
    </row>
    <row r="311" spans="1:69" ht="15.75" customHeight="1">
      <c r="A311" s="46"/>
      <c r="B311" s="46"/>
      <c r="C311" s="46"/>
      <c r="D311" s="46"/>
      <c r="E311" s="245"/>
      <c r="F311" s="237"/>
      <c r="G311" s="237"/>
      <c r="H311" s="46"/>
      <c r="I311" s="46"/>
      <c r="J311" s="46"/>
      <c r="K311" s="46"/>
      <c r="L311" s="46"/>
      <c r="M311" s="46"/>
      <c r="N311" s="46"/>
      <c r="O311" s="46"/>
      <c r="P311" s="46"/>
      <c r="Q311" s="46"/>
      <c r="R311" s="46"/>
      <c r="S311" s="46"/>
      <c r="T311" s="46"/>
      <c r="U311" s="46"/>
      <c r="V311" s="46"/>
      <c r="W311" s="46"/>
      <c r="X311" s="46"/>
      <c r="Y311" s="46"/>
      <c r="Z311" s="46"/>
      <c r="AA311" s="46"/>
      <c r="AB311" s="46"/>
      <c r="AC311" s="46"/>
      <c r="AD311" s="2"/>
      <c r="AE311" s="46"/>
      <c r="AF311" s="46"/>
      <c r="AG311" s="46"/>
      <c r="AH311" s="46"/>
      <c r="AI311" s="46"/>
      <c r="AJ311" s="46"/>
      <c r="AK311" s="46"/>
      <c r="AL311" s="46"/>
      <c r="AM311" s="46"/>
      <c r="AN311" s="46"/>
      <c r="AO311" s="46"/>
      <c r="AP311" s="46"/>
      <c r="AQ311" s="46"/>
      <c r="AR311" s="46"/>
      <c r="AS311" s="46"/>
      <c r="AT311" s="46"/>
      <c r="AU311" s="46"/>
      <c r="AV311" s="230"/>
      <c r="AW311" s="230"/>
      <c r="AX311" s="230"/>
      <c r="AY311" s="230"/>
      <c r="AZ311" s="230"/>
      <c r="BA311" s="230"/>
      <c r="BB311" s="230"/>
      <c r="BC311" s="230"/>
      <c r="BD311" s="230"/>
      <c r="BE311" s="230"/>
      <c r="BF311" s="230"/>
      <c r="BG311" s="230"/>
      <c r="BH311" s="230"/>
      <c r="BI311" s="230"/>
      <c r="BJ311" s="230"/>
      <c r="BK311" s="230"/>
      <c r="BL311" s="230"/>
      <c r="BM311" s="230"/>
      <c r="BN311" s="230"/>
      <c r="BO311" s="230"/>
      <c r="BP311" s="230"/>
      <c r="BQ311" s="230"/>
    </row>
    <row r="312" spans="1:69" ht="15.75" customHeight="1">
      <c r="A312" s="46"/>
      <c r="B312" s="46"/>
      <c r="C312" s="46"/>
      <c r="D312" s="46"/>
      <c r="E312" s="245"/>
      <c r="F312" s="237"/>
      <c r="G312" s="237"/>
      <c r="H312" s="46"/>
      <c r="I312" s="46"/>
      <c r="J312" s="46"/>
      <c r="K312" s="46"/>
      <c r="L312" s="46"/>
      <c r="M312" s="46"/>
      <c r="N312" s="46"/>
      <c r="O312" s="46"/>
      <c r="P312" s="46"/>
      <c r="Q312" s="46"/>
      <c r="R312" s="46"/>
      <c r="S312" s="46"/>
      <c r="T312" s="46"/>
      <c r="U312" s="46"/>
      <c r="V312" s="46"/>
      <c r="W312" s="46"/>
      <c r="X312" s="46"/>
      <c r="Y312" s="46"/>
      <c r="Z312" s="46"/>
      <c r="AA312" s="46"/>
      <c r="AB312" s="46"/>
      <c r="AC312" s="46"/>
      <c r="AD312" s="2"/>
      <c r="AE312" s="46"/>
      <c r="AF312" s="46"/>
      <c r="AG312" s="46"/>
      <c r="AH312" s="46"/>
      <c r="AI312" s="46"/>
      <c r="AJ312" s="46"/>
      <c r="AK312" s="46"/>
      <c r="AL312" s="46"/>
      <c r="AM312" s="46"/>
      <c r="AN312" s="46"/>
      <c r="AO312" s="46"/>
      <c r="AP312" s="46"/>
      <c r="AQ312" s="46"/>
      <c r="AR312" s="46"/>
      <c r="AS312" s="46"/>
      <c r="AT312" s="46"/>
      <c r="AU312" s="46"/>
      <c r="AV312" s="230"/>
      <c r="AW312" s="230"/>
      <c r="AX312" s="230"/>
      <c r="AY312" s="230"/>
      <c r="AZ312" s="230"/>
      <c r="BA312" s="230"/>
      <c r="BB312" s="230"/>
      <c r="BC312" s="230"/>
      <c r="BD312" s="230"/>
      <c r="BE312" s="230"/>
      <c r="BF312" s="230"/>
      <c r="BG312" s="230"/>
      <c r="BH312" s="230"/>
      <c r="BI312" s="230"/>
      <c r="BJ312" s="230"/>
      <c r="BK312" s="230"/>
      <c r="BL312" s="230"/>
      <c r="BM312" s="230"/>
      <c r="BN312" s="230"/>
      <c r="BO312" s="230"/>
      <c r="BP312" s="230"/>
      <c r="BQ312" s="230"/>
    </row>
    <row r="313" spans="1:69" ht="15.75" customHeight="1">
      <c r="A313" s="46"/>
      <c r="B313" s="46"/>
      <c r="C313" s="46"/>
      <c r="D313" s="46"/>
      <c r="E313" s="245"/>
      <c r="F313" s="237"/>
      <c r="G313" s="237"/>
      <c r="H313" s="46"/>
      <c r="I313" s="46"/>
      <c r="J313" s="46"/>
      <c r="K313" s="46"/>
      <c r="L313" s="46"/>
      <c r="M313" s="46"/>
      <c r="N313" s="46"/>
      <c r="O313" s="46"/>
      <c r="P313" s="46"/>
      <c r="Q313" s="46"/>
      <c r="R313" s="46"/>
      <c r="S313" s="46"/>
      <c r="T313" s="46"/>
      <c r="U313" s="46"/>
      <c r="V313" s="46"/>
      <c r="W313" s="46"/>
      <c r="X313" s="46"/>
      <c r="Y313" s="46"/>
      <c r="Z313" s="46"/>
      <c r="AA313" s="46"/>
      <c r="AB313" s="46"/>
      <c r="AC313" s="46"/>
      <c r="AD313" s="2"/>
      <c r="AE313" s="46"/>
      <c r="AF313" s="46"/>
      <c r="AG313" s="46"/>
      <c r="AH313" s="46"/>
      <c r="AI313" s="46"/>
      <c r="AJ313" s="46"/>
      <c r="AK313" s="46"/>
      <c r="AL313" s="46"/>
      <c r="AM313" s="46"/>
      <c r="AN313" s="46"/>
      <c r="AO313" s="46"/>
      <c r="AP313" s="46"/>
      <c r="AQ313" s="46"/>
      <c r="AR313" s="46"/>
      <c r="AS313" s="46"/>
      <c r="AT313" s="46"/>
      <c r="AU313" s="46"/>
      <c r="AV313" s="230"/>
      <c r="AW313" s="230"/>
      <c r="AX313" s="230"/>
      <c r="AY313" s="230"/>
      <c r="AZ313" s="230"/>
      <c r="BA313" s="230"/>
      <c r="BB313" s="230"/>
      <c r="BC313" s="230"/>
      <c r="BD313" s="230"/>
      <c r="BE313" s="230"/>
      <c r="BF313" s="230"/>
      <c r="BG313" s="230"/>
      <c r="BH313" s="230"/>
      <c r="BI313" s="230"/>
      <c r="BJ313" s="230"/>
      <c r="BK313" s="230"/>
      <c r="BL313" s="230"/>
      <c r="BM313" s="230"/>
      <c r="BN313" s="230"/>
      <c r="BO313" s="230"/>
      <c r="BP313" s="230"/>
      <c r="BQ313" s="230"/>
    </row>
    <row r="314" spans="1:69" ht="15.75" customHeight="1">
      <c r="A314" s="46"/>
      <c r="B314" s="46"/>
      <c r="C314" s="46"/>
      <c r="D314" s="46"/>
      <c r="E314" s="245"/>
      <c r="F314" s="237"/>
      <c r="G314" s="237"/>
      <c r="H314" s="46"/>
      <c r="I314" s="46"/>
      <c r="J314" s="46"/>
      <c r="K314" s="46"/>
      <c r="L314" s="46"/>
      <c r="M314" s="46"/>
      <c r="N314" s="46"/>
      <c r="O314" s="46"/>
      <c r="P314" s="46"/>
      <c r="Q314" s="46"/>
      <c r="R314" s="46"/>
      <c r="S314" s="46"/>
      <c r="T314" s="46"/>
      <c r="U314" s="46"/>
      <c r="V314" s="46"/>
      <c r="W314" s="46"/>
      <c r="X314" s="46"/>
      <c r="Y314" s="46"/>
      <c r="Z314" s="46"/>
      <c r="AA314" s="46"/>
      <c r="AB314" s="46"/>
      <c r="AC314" s="46"/>
      <c r="AD314" s="2"/>
      <c r="AE314" s="46"/>
      <c r="AF314" s="46"/>
      <c r="AG314" s="46"/>
      <c r="AH314" s="46"/>
      <c r="AI314" s="46"/>
      <c r="AJ314" s="46"/>
      <c r="AK314" s="46"/>
      <c r="AL314" s="46"/>
      <c r="AM314" s="46"/>
      <c r="AN314" s="46"/>
      <c r="AO314" s="46"/>
      <c r="AP314" s="46"/>
      <c r="AQ314" s="46"/>
      <c r="AR314" s="46"/>
      <c r="AS314" s="46"/>
      <c r="AT314" s="46"/>
      <c r="AU314" s="46"/>
      <c r="AV314" s="230"/>
      <c r="AW314" s="230"/>
      <c r="AX314" s="230"/>
      <c r="AY314" s="230"/>
      <c r="AZ314" s="230"/>
      <c r="BA314" s="230"/>
      <c r="BB314" s="230"/>
      <c r="BC314" s="230"/>
      <c r="BD314" s="230"/>
      <c r="BE314" s="230"/>
      <c r="BF314" s="230"/>
      <c r="BG314" s="230"/>
      <c r="BH314" s="230"/>
      <c r="BI314" s="230"/>
      <c r="BJ314" s="230"/>
      <c r="BK314" s="230"/>
      <c r="BL314" s="230"/>
      <c r="BM314" s="230"/>
      <c r="BN314" s="230"/>
      <c r="BO314" s="230"/>
      <c r="BP314" s="230"/>
      <c r="BQ314" s="230"/>
    </row>
    <row r="315" spans="1:69" ht="15.75" customHeight="1">
      <c r="A315" s="46"/>
      <c r="B315" s="46"/>
      <c r="C315" s="46"/>
      <c r="D315" s="46"/>
      <c r="E315" s="245"/>
      <c r="F315" s="237"/>
      <c r="G315" s="237"/>
      <c r="H315" s="46"/>
      <c r="I315" s="46"/>
      <c r="J315" s="46"/>
      <c r="K315" s="46"/>
      <c r="L315" s="46"/>
      <c r="M315" s="46"/>
      <c r="N315" s="46"/>
      <c r="O315" s="46"/>
      <c r="P315" s="46"/>
      <c r="Q315" s="46"/>
      <c r="R315" s="46"/>
      <c r="S315" s="46"/>
      <c r="T315" s="46"/>
      <c r="U315" s="46"/>
      <c r="V315" s="46"/>
      <c r="W315" s="46"/>
      <c r="X315" s="46"/>
      <c r="Y315" s="46"/>
      <c r="Z315" s="46"/>
      <c r="AA315" s="46"/>
      <c r="AB315" s="46"/>
      <c r="AC315" s="46"/>
      <c r="AD315" s="2"/>
      <c r="AE315" s="46"/>
      <c r="AF315" s="46"/>
      <c r="AG315" s="46"/>
      <c r="AH315" s="46"/>
      <c r="AI315" s="46"/>
      <c r="AJ315" s="46"/>
      <c r="AK315" s="46"/>
      <c r="AL315" s="46"/>
      <c r="AM315" s="46"/>
      <c r="AN315" s="46"/>
      <c r="AO315" s="46"/>
      <c r="AP315" s="46"/>
      <c r="AQ315" s="46"/>
      <c r="AR315" s="46"/>
      <c r="AS315" s="46"/>
      <c r="AT315" s="46"/>
      <c r="AU315" s="46"/>
      <c r="AV315" s="230"/>
      <c r="AW315" s="230"/>
      <c r="AX315" s="230"/>
      <c r="AY315" s="230"/>
      <c r="AZ315" s="230"/>
      <c r="BA315" s="230"/>
      <c r="BB315" s="230"/>
      <c r="BC315" s="230"/>
      <c r="BD315" s="230"/>
      <c r="BE315" s="230"/>
      <c r="BF315" s="230"/>
      <c r="BG315" s="230"/>
      <c r="BH315" s="230"/>
      <c r="BI315" s="230"/>
      <c r="BJ315" s="230"/>
      <c r="BK315" s="230"/>
      <c r="BL315" s="230"/>
      <c r="BM315" s="230"/>
      <c r="BN315" s="230"/>
      <c r="BO315" s="230"/>
      <c r="BP315" s="230"/>
      <c r="BQ315" s="230"/>
    </row>
    <row r="316" spans="1:69" ht="15.75" customHeight="1">
      <c r="A316" s="46"/>
      <c r="B316" s="46"/>
      <c r="C316" s="46"/>
      <c r="D316" s="46"/>
      <c r="E316" s="245"/>
      <c r="F316" s="237"/>
      <c r="G316" s="237"/>
      <c r="H316" s="46"/>
      <c r="I316" s="46"/>
      <c r="J316" s="46"/>
      <c r="K316" s="46"/>
      <c r="L316" s="46"/>
      <c r="M316" s="46"/>
      <c r="N316" s="46"/>
      <c r="O316" s="46"/>
      <c r="P316" s="46"/>
      <c r="Q316" s="46"/>
      <c r="R316" s="46"/>
      <c r="S316" s="46"/>
      <c r="T316" s="46"/>
      <c r="U316" s="46"/>
      <c r="V316" s="46"/>
      <c r="W316" s="46"/>
      <c r="X316" s="46"/>
      <c r="Y316" s="46"/>
      <c r="Z316" s="46"/>
      <c r="AA316" s="46"/>
      <c r="AB316" s="46"/>
      <c r="AC316" s="46"/>
      <c r="AD316" s="2"/>
      <c r="AE316" s="46"/>
      <c r="AF316" s="46"/>
      <c r="AG316" s="46"/>
      <c r="AH316" s="46"/>
      <c r="AI316" s="46"/>
      <c r="AJ316" s="46"/>
      <c r="AK316" s="46"/>
      <c r="AL316" s="46"/>
      <c r="AM316" s="46"/>
      <c r="AN316" s="46"/>
      <c r="AO316" s="46"/>
      <c r="AP316" s="46"/>
      <c r="AQ316" s="46"/>
      <c r="AR316" s="46"/>
      <c r="AS316" s="46"/>
      <c r="AT316" s="46"/>
      <c r="AU316" s="46"/>
      <c r="AV316" s="230"/>
      <c r="AW316" s="230"/>
      <c r="AX316" s="230"/>
      <c r="AY316" s="230"/>
      <c r="AZ316" s="230"/>
      <c r="BA316" s="230"/>
      <c r="BB316" s="230"/>
      <c r="BC316" s="230"/>
      <c r="BD316" s="230"/>
      <c r="BE316" s="230"/>
      <c r="BF316" s="230"/>
      <c r="BG316" s="230"/>
      <c r="BH316" s="230"/>
      <c r="BI316" s="230"/>
      <c r="BJ316" s="230"/>
      <c r="BK316" s="230"/>
      <c r="BL316" s="230"/>
      <c r="BM316" s="230"/>
      <c r="BN316" s="230"/>
      <c r="BO316" s="230"/>
      <c r="BP316" s="230"/>
      <c r="BQ316" s="230"/>
    </row>
    <row r="317" spans="1:69" ht="15.75" customHeight="1">
      <c r="A317" s="46"/>
      <c r="B317" s="46"/>
      <c r="C317" s="46"/>
      <c r="D317" s="46"/>
      <c r="E317" s="245"/>
      <c r="F317" s="237"/>
      <c r="G317" s="237"/>
      <c r="H317" s="46"/>
      <c r="I317" s="46"/>
      <c r="J317" s="46"/>
      <c r="K317" s="46"/>
      <c r="L317" s="46"/>
      <c r="M317" s="46"/>
      <c r="N317" s="46"/>
      <c r="O317" s="46"/>
      <c r="P317" s="46"/>
      <c r="Q317" s="46"/>
      <c r="R317" s="46"/>
      <c r="S317" s="46"/>
      <c r="T317" s="46"/>
      <c r="U317" s="46"/>
      <c r="V317" s="46"/>
      <c r="W317" s="46"/>
      <c r="X317" s="46"/>
      <c r="Y317" s="46"/>
      <c r="Z317" s="46"/>
      <c r="AA317" s="46"/>
      <c r="AB317" s="46"/>
      <c r="AC317" s="46"/>
      <c r="AD317" s="2"/>
      <c r="AE317" s="46"/>
      <c r="AF317" s="46"/>
      <c r="AG317" s="46"/>
      <c r="AH317" s="46"/>
      <c r="AI317" s="46"/>
      <c r="AJ317" s="46"/>
      <c r="AK317" s="46"/>
      <c r="AL317" s="46"/>
      <c r="AM317" s="46"/>
      <c r="AN317" s="46"/>
      <c r="AO317" s="46"/>
      <c r="AP317" s="46"/>
      <c r="AQ317" s="46"/>
      <c r="AR317" s="46"/>
      <c r="AS317" s="46"/>
      <c r="AT317" s="46"/>
      <c r="AU317" s="46"/>
      <c r="AV317" s="230"/>
      <c r="AW317" s="230"/>
      <c r="AX317" s="230"/>
      <c r="AY317" s="230"/>
      <c r="AZ317" s="230"/>
      <c r="BA317" s="230"/>
      <c r="BB317" s="230"/>
      <c r="BC317" s="230"/>
      <c r="BD317" s="230"/>
      <c r="BE317" s="230"/>
      <c r="BF317" s="230"/>
      <c r="BG317" s="230"/>
      <c r="BH317" s="230"/>
      <c r="BI317" s="230"/>
      <c r="BJ317" s="230"/>
      <c r="BK317" s="230"/>
      <c r="BL317" s="230"/>
      <c r="BM317" s="230"/>
      <c r="BN317" s="230"/>
      <c r="BO317" s="230"/>
      <c r="BP317" s="230"/>
      <c r="BQ317" s="230"/>
    </row>
    <row r="318" spans="1:69" ht="15.75" customHeight="1">
      <c r="A318" s="46"/>
      <c r="B318" s="46"/>
      <c r="C318" s="46"/>
      <c r="D318" s="46"/>
      <c r="E318" s="245"/>
      <c r="F318" s="237"/>
      <c r="G318" s="237"/>
      <c r="H318" s="46"/>
      <c r="I318" s="46"/>
      <c r="J318" s="46"/>
      <c r="K318" s="46"/>
      <c r="L318" s="46"/>
      <c r="M318" s="46"/>
      <c r="N318" s="46"/>
      <c r="O318" s="46"/>
      <c r="P318" s="46"/>
      <c r="Q318" s="46"/>
      <c r="R318" s="46"/>
      <c r="S318" s="46"/>
      <c r="T318" s="46"/>
      <c r="U318" s="46"/>
      <c r="V318" s="46"/>
      <c r="W318" s="46"/>
      <c r="X318" s="46"/>
      <c r="Y318" s="46"/>
      <c r="Z318" s="46"/>
      <c r="AA318" s="46"/>
      <c r="AB318" s="46"/>
      <c r="AC318" s="46"/>
      <c r="AD318" s="2"/>
      <c r="AE318" s="46"/>
      <c r="AF318" s="46"/>
      <c r="AG318" s="46"/>
      <c r="AH318" s="46"/>
      <c r="AI318" s="46"/>
      <c r="AJ318" s="46"/>
      <c r="AK318" s="46"/>
      <c r="AL318" s="46"/>
      <c r="AM318" s="46"/>
      <c r="AN318" s="46"/>
      <c r="AO318" s="46"/>
      <c r="AP318" s="46"/>
      <c r="AQ318" s="46"/>
      <c r="AR318" s="46"/>
      <c r="AS318" s="46"/>
      <c r="AT318" s="46"/>
      <c r="AU318" s="46"/>
      <c r="AV318" s="230"/>
      <c r="AW318" s="230"/>
      <c r="AX318" s="230"/>
      <c r="AY318" s="230"/>
      <c r="AZ318" s="230"/>
      <c r="BA318" s="230"/>
      <c r="BB318" s="230"/>
      <c r="BC318" s="230"/>
      <c r="BD318" s="230"/>
      <c r="BE318" s="230"/>
      <c r="BF318" s="230"/>
      <c r="BG318" s="230"/>
      <c r="BH318" s="230"/>
      <c r="BI318" s="230"/>
      <c r="BJ318" s="230"/>
      <c r="BK318" s="230"/>
      <c r="BL318" s="230"/>
      <c r="BM318" s="230"/>
      <c r="BN318" s="230"/>
      <c r="BO318" s="230"/>
      <c r="BP318" s="230"/>
      <c r="BQ318" s="230"/>
    </row>
    <row r="319" spans="1:69" ht="15.75" customHeight="1">
      <c r="A319" s="46"/>
      <c r="B319" s="46"/>
      <c r="C319" s="46"/>
      <c r="D319" s="46"/>
      <c r="E319" s="245"/>
      <c r="F319" s="237"/>
      <c r="G319" s="237"/>
      <c r="H319" s="46"/>
      <c r="I319" s="46"/>
      <c r="J319" s="46"/>
      <c r="K319" s="46"/>
      <c r="L319" s="46"/>
      <c r="M319" s="46"/>
      <c r="N319" s="46"/>
      <c r="O319" s="46"/>
      <c r="P319" s="46"/>
      <c r="Q319" s="46"/>
      <c r="R319" s="46"/>
      <c r="S319" s="46"/>
      <c r="T319" s="46"/>
      <c r="U319" s="46"/>
      <c r="V319" s="46"/>
      <c r="W319" s="46"/>
      <c r="X319" s="46"/>
      <c r="Y319" s="46"/>
      <c r="Z319" s="46"/>
      <c r="AA319" s="46"/>
      <c r="AB319" s="46"/>
      <c r="AC319" s="46"/>
      <c r="AD319" s="2"/>
      <c r="AE319" s="46"/>
      <c r="AF319" s="46"/>
      <c r="AG319" s="46"/>
      <c r="AH319" s="46"/>
      <c r="AI319" s="46"/>
      <c r="AJ319" s="46"/>
      <c r="AK319" s="46"/>
      <c r="AL319" s="46"/>
      <c r="AM319" s="46"/>
      <c r="AN319" s="46"/>
      <c r="AO319" s="46"/>
      <c r="AP319" s="46"/>
      <c r="AQ319" s="46"/>
      <c r="AR319" s="46"/>
      <c r="AS319" s="46"/>
      <c r="AT319" s="46"/>
      <c r="AU319" s="46"/>
      <c r="AV319" s="230"/>
      <c r="AW319" s="230"/>
      <c r="AX319" s="230"/>
      <c r="AY319" s="230"/>
      <c r="AZ319" s="230"/>
      <c r="BA319" s="230"/>
      <c r="BB319" s="230"/>
      <c r="BC319" s="230"/>
      <c r="BD319" s="230"/>
      <c r="BE319" s="230"/>
      <c r="BF319" s="230"/>
      <c r="BG319" s="230"/>
      <c r="BH319" s="230"/>
      <c r="BI319" s="230"/>
      <c r="BJ319" s="230"/>
      <c r="BK319" s="230"/>
      <c r="BL319" s="230"/>
      <c r="BM319" s="230"/>
      <c r="BN319" s="230"/>
      <c r="BO319" s="230"/>
      <c r="BP319" s="230"/>
      <c r="BQ319" s="230"/>
    </row>
    <row r="320" spans="1:69" ht="15.75" customHeight="1">
      <c r="A320" s="46"/>
      <c r="B320" s="46"/>
      <c r="C320" s="46"/>
      <c r="D320" s="46"/>
      <c r="E320" s="245"/>
      <c r="F320" s="237"/>
      <c r="G320" s="237"/>
      <c r="H320" s="46"/>
      <c r="I320" s="46"/>
      <c r="J320" s="46"/>
      <c r="K320" s="46"/>
      <c r="L320" s="46"/>
      <c r="M320" s="46"/>
      <c r="N320" s="46"/>
      <c r="O320" s="46"/>
      <c r="P320" s="46"/>
      <c r="Q320" s="46"/>
      <c r="R320" s="46"/>
      <c r="S320" s="46"/>
      <c r="T320" s="46"/>
      <c r="U320" s="46"/>
      <c r="V320" s="46"/>
      <c r="W320" s="46"/>
      <c r="X320" s="46"/>
      <c r="Y320" s="46"/>
      <c r="Z320" s="46"/>
      <c r="AA320" s="46"/>
      <c r="AB320" s="46"/>
      <c r="AC320" s="46"/>
      <c r="AD320" s="2"/>
      <c r="AE320" s="46"/>
      <c r="AF320" s="46"/>
      <c r="AG320" s="46"/>
      <c r="AH320" s="46"/>
      <c r="AI320" s="46"/>
      <c r="AJ320" s="46"/>
      <c r="AK320" s="46"/>
      <c r="AL320" s="46"/>
      <c r="AM320" s="46"/>
      <c r="AN320" s="46"/>
      <c r="AO320" s="46"/>
      <c r="AP320" s="46"/>
      <c r="AQ320" s="46"/>
      <c r="AR320" s="46"/>
      <c r="AS320" s="46"/>
      <c r="AT320" s="46"/>
      <c r="AU320" s="46"/>
      <c r="AV320" s="230"/>
      <c r="AW320" s="230"/>
      <c r="AX320" s="230"/>
      <c r="AY320" s="230"/>
      <c r="AZ320" s="230"/>
      <c r="BA320" s="230"/>
      <c r="BB320" s="230"/>
      <c r="BC320" s="230"/>
      <c r="BD320" s="230"/>
      <c r="BE320" s="230"/>
      <c r="BF320" s="230"/>
      <c r="BG320" s="230"/>
      <c r="BH320" s="230"/>
      <c r="BI320" s="230"/>
      <c r="BJ320" s="230"/>
      <c r="BK320" s="230"/>
      <c r="BL320" s="230"/>
      <c r="BM320" s="230"/>
      <c r="BN320" s="230"/>
      <c r="BO320" s="230"/>
      <c r="BP320" s="230"/>
      <c r="BQ320" s="230"/>
    </row>
    <row r="321" spans="1:69" ht="15.75" customHeight="1">
      <c r="A321" s="46"/>
      <c r="B321" s="46"/>
      <c r="C321" s="46"/>
      <c r="D321" s="46"/>
      <c r="E321" s="245"/>
      <c r="F321" s="237"/>
      <c r="G321" s="237"/>
      <c r="H321" s="46"/>
      <c r="I321" s="46"/>
      <c r="J321" s="46"/>
      <c r="K321" s="46"/>
      <c r="L321" s="46"/>
      <c r="M321" s="46"/>
      <c r="N321" s="46"/>
      <c r="O321" s="46"/>
      <c r="P321" s="46"/>
      <c r="Q321" s="46"/>
      <c r="R321" s="46"/>
      <c r="S321" s="46"/>
      <c r="T321" s="46"/>
      <c r="U321" s="46"/>
      <c r="V321" s="46"/>
      <c r="W321" s="46"/>
      <c r="X321" s="46"/>
      <c r="Y321" s="46"/>
      <c r="Z321" s="46"/>
      <c r="AA321" s="46"/>
      <c r="AB321" s="46"/>
      <c r="AC321" s="46"/>
      <c r="AD321" s="2"/>
      <c r="AE321" s="46"/>
      <c r="AF321" s="46"/>
      <c r="AG321" s="46"/>
      <c r="AH321" s="46"/>
      <c r="AI321" s="46"/>
      <c r="AJ321" s="46"/>
      <c r="AK321" s="46"/>
      <c r="AL321" s="46"/>
      <c r="AM321" s="46"/>
      <c r="AN321" s="46"/>
      <c r="AO321" s="46"/>
      <c r="AP321" s="46"/>
      <c r="AQ321" s="46"/>
      <c r="AR321" s="46"/>
      <c r="AS321" s="46"/>
      <c r="AT321" s="46"/>
      <c r="AU321" s="46"/>
      <c r="AV321" s="230"/>
      <c r="AW321" s="230"/>
      <c r="AX321" s="230"/>
      <c r="AY321" s="230"/>
      <c r="AZ321" s="230"/>
      <c r="BA321" s="230"/>
      <c r="BB321" s="230"/>
      <c r="BC321" s="230"/>
      <c r="BD321" s="230"/>
      <c r="BE321" s="230"/>
      <c r="BF321" s="230"/>
      <c r="BG321" s="230"/>
      <c r="BH321" s="230"/>
      <c r="BI321" s="230"/>
      <c r="BJ321" s="230"/>
      <c r="BK321" s="230"/>
      <c r="BL321" s="230"/>
      <c r="BM321" s="230"/>
      <c r="BN321" s="230"/>
      <c r="BO321" s="230"/>
      <c r="BP321" s="230"/>
      <c r="BQ321" s="230"/>
    </row>
    <row r="322" spans="1:69" ht="15.75" customHeight="1">
      <c r="A322" s="46"/>
      <c r="B322" s="46"/>
      <c r="C322" s="46"/>
      <c r="D322" s="46"/>
      <c r="E322" s="245"/>
      <c r="F322" s="237"/>
      <c r="G322" s="237"/>
      <c r="H322" s="46"/>
      <c r="I322" s="46"/>
      <c r="J322" s="46"/>
      <c r="K322" s="46"/>
      <c r="L322" s="46"/>
      <c r="M322" s="46"/>
      <c r="N322" s="46"/>
      <c r="O322" s="46"/>
      <c r="P322" s="46"/>
      <c r="Q322" s="46"/>
      <c r="R322" s="46"/>
      <c r="S322" s="46"/>
      <c r="T322" s="46"/>
      <c r="U322" s="46"/>
      <c r="V322" s="46"/>
      <c r="W322" s="46"/>
      <c r="X322" s="46"/>
      <c r="Y322" s="46"/>
      <c r="Z322" s="46"/>
      <c r="AA322" s="46"/>
      <c r="AB322" s="46"/>
      <c r="AC322" s="46"/>
      <c r="AD322" s="2"/>
      <c r="AE322" s="46"/>
      <c r="AF322" s="46"/>
      <c r="AG322" s="46"/>
      <c r="AH322" s="46"/>
      <c r="AI322" s="46"/>
      <c r="AJ322" s="46"/>
      <c r="AK322" s="46"/>
      <c r="AL322" s="46"/>
      <c r="AM322" s="46"/>
      <c r="AN322" s="46"/>
      <c r="AO322" s="46"/>
      <c r="AP322" s="46"/>
      <c r="AQ322" s="46"/>
      <c r="AR322" s="46"/>
      <c r="AS322" s="46"/>
      <c r="AT322" s="46"/>
      <c r="AU322" s="46"/>
      <c r="AV322" s="230"/>
      <c r="AW322" s="230"/>
      <c r="AX322" s="230"/>
      <c r="AY322" s="230"/>
      <c r="AZ322" s="230"/>
      <c r="BA322" s="230"/>
      <c r="BB322" s="230"/>
      <c r="BC322" s="230"/>
      <c r="BD322" s="230"/>
      <c r="BE322" s="230"/>
      <c r="BF322" s="230"/>
      <c r="BG322" s="230"/>
      <c r="BH322" s="230"/>
      <c r="BI322" s="230"/>
      <c r="BJ322" s="230"/>
      <c r="BK322" s="230"/>
      <c r="BL322" s="230"/>
      <c r="BM322" s="230"/>
      <c r="BN322" s="230"/>
      <c r="BO322" s="230"/>
      <c r="BP322" s="230"/>
      <c r="BQ322" s="230"/>
    </row>
    <row r="323" spans="1:69" ht="15.75" customHeight="1">
      <c r="A323" s="46"/>
      <c r="B323" s="46"/>
      <c r="C323" s="46"/>
      <c r="D323" s="46"/>
      <c r="E323" s="245"/>
      <c r="F323" s="237"/>
      <c r="G323" s="237"/>
      <c r="H323" s="46"/>
      <c r="I323" s="46"/>
      <c r="J323" s="46"/>
      <c r="K323" s="46"/>
      <c r="L323" s="46"/>
      <c r="M323" s="46"/>
      <c r="N323" s="46"/>
      <c r="O323" s="46"/>
      <c r="P323" s="46"/>
      <c r="Q323" s="46"/>
      <c r="R323" s="46"/>
      <c r="S323" s="46"/>
      <c r="T323" s="46"/>
      <c r="U323" s="46"/>
      <c r="V323" s="46"/>
      <c r="W323" s="46"/>
      <c r="X323" s="46"/>
      <c r="Y323" s="46"/>
      <c r="Z323" s="46"/>
      <c r="AA323" s="46"/>
      <c r="AB323" s="46"/>
      <c r="AC323" s="46"/>
      <c r="AD323" s="2"/>
      <c r="AE323" s="46"/>
      <c r="AF323" s="46"/>
      <c r="AG323" s="46"/>
      <c r="AH323" s="46"/>
      <c r="AI323" s="46"/>
      <c r="AJ323" s="46"/>
      <c r="AK323" s="46"/>
      <c r="AL323" s="46"/>
      <c r="AM323" s="46"/>
      <c r="AN323" s="46"/>
      <c r="AO323" s="46"/>
      <c r="AP323" s="46"/>
      <c r="AQ323" s="46"/>
      <c r="AR323" s="46"/>
      <c r="AS323" s="46"/>
      <c r="AT323" s="46"/>
      <c r="AU323" s="46"/>
      <c r="AV323" s="230"/>
      <c r="AW323" s="230"/>
      <c r="AX323" s="230"/>
      <c r="AY323" s="230"/>
      <c r="AZ323" s="230"/>
      <c r="BA323" s="230"/>
      <c r="BB323" s="230"/>
      <c r="BC323" s="230"/>
      <c r="BD323" s="230"/>
      <c r="BE323" s="230"/>
      <c r="BF323" s="230"/>
      <c r="BG323" s="230"/>
      <c r="BH323" s="230"/>
      <c r="BI323" s="230"/>
      <c r="BJ323" s="230"/>
      <c r="BK323" s="230"/>
      <c r="BL323" s="230"/>
      <c r="BM323" s="230"/>
      <c r="BN323" s="230"/>
      <c r="BO323" s="230"/>
      <c r="BP323" s="230"/>
      <c r="BQ323" s="230"/>
    </row>
    <row r="324" spans="1:69" ht="15.75" customHeight="1">
      <c r="A324" s="46"/>
      <c r="B324" s="46"/>
      <c r="C324" s="46"/>
      <c r="D324" s="46"/>
      <c r="E324" s="245"/>
      <c r="F324" s="237"/>
      <c r="G324" s="237"/>
      <c r="H324" s="46"/>
      <c r="I324" s="46"/>
      <c r="J324" s="46"/>
      <c r="K324" s="46"/>
      <c r="L324" s="46"/>
      <c r="M324" s="46"/>
      <c r="N324" s="46"/>
      <c r="O324" s="46"/>
      <c r="P324" s="46"/>
      <c r="Q324" s="46"/>
      <c r="R324" s="46"/>
      <c r="S324" s="46"/>
      <c r="T324" s="46"/>
      <c r="U324" s="46"/>
      <c r="V324" s="46"/>
      <c r="W324" s="46"/>
      <c r="X324" s="46"/>
      <c r="Y324" s="46"/>
      <c r="Z324" s="46"/>
      <c r="AA324" s="46"/>
      <c r="AB324" s="46"/>
      <c r="AC324" s="46"/>
      <c r="AD324" s="2"/>
      <c r="AE324" s="46"/>
      <c r="AF324" s="46"/>
      <c r="AG324" s="46"/>
      <c r="AH324" s="46"/>
      <c r="AI324" s="46"/>
      <c r="AJ324" s="46"/>
      <c r="AK324" s="46"/>
      <c r="AL324" s="46"/>
      <c r="AM324" s="46"/>
      <c r="AN324" s="46"/>
      <c r="AO324" s="46"/>
      <c r="AP324" s="46"/>
      <c r="AQ324" s="46"/>
      <c r="AR324" s="46"/>
      <c r="AS324" s="46"/>
      <c r="AT324" s="46"/>
      <c r="AU324" s="46"/>
      <c r="AV324" s="230"/>
      <c r="AW324" s="230"/>
      <c r="AX324" s="230"/>
      <c r="AY324" s="230"/>
      <c r="AZ324" s="230"/>
      <c r="BA324" s="230"/>
      <c r="BB324" s="230"/>
      <c r="BC324" s="230"/>
      <c r="BD324" s="230"/>
      <c r="BE324" s="230"/>
      <c r="BF324" s="230"/>
      <c r="BG324" s="230"/>
      <c r="BH324" s="230"/>
      <c r="BI324" s="230"/>
      <c r="BJ324" s="230"/>
      <c r="BK324" s="230"/>
      <c r="BL324" s="230"/>
      <c r="BM324" s="230"/>
      <c r="BN324" s="230"/>
      <c r="BO324" s="230"/>
      <c r="BP324" s="230"/>
      <c r="BQ324" s="230"/>
    </row>
    <row r="325" spans="1:69" ht="15.75" customHeight="1">
      <c r="A325" s="46"/>
      <c r="B325" s="46"/>
      <c r="C325" s="46"/>
      <c r="D325" s="46"/>
      <c r="E325" s="245"/>
      <c r="F325" s="237"/>
      <c r="G325" s="237"/>
      <c r="H325" s="46"/>
      <c r="I325" s="46"/>
      <c r="J325" s="46"/>
      <c r="K325" s="46"/>
      <c r="L325" s="46"/>
      <c r="M325" s="46"/>
      <c r="N325" s="46"/>
      <c r="O325" s="46"/>
      <c r="P325" s="46"/>
      <c r="Q325" s="46"/>
      <c r="R325" s="46"/>
      <c r="S325" s="46"/>
      <c r="T325" s="46"/>
      <c r="U325" s="46"/>
      <c r="V325" s="46"/>
      <c r="W325" s="46"/>
      <c r="X325" s="46"/>
      <c r="Y325" s="46"/>
      <c r="Z325" s="46"/>
      <c r="AA325" s="46"/>
      <c r="AB325" s="46"/>
      <c r="AC325" s="46"/>
      <c r="AD325" s="2"/>
      <c r="AE325" s="46"/>
      <c r="AF325" s="46"/>
      <c r="AG325" s="46"/>
      <c r="AH325" s="46"/>
      <c r="AI325" s="46"/>
      <c r="AJ325" s="46"/>
      <c r="AK325" s="46"/>
      <c r="AL325" s="46"/>
      <c r="AM325" s="46"/>
      <c r="AN325" s="46"/>
      <c r="AO325" s="46"/>
      <c r="AP325" s="46"/>
      <c r="AQ325" s="46"/>
      <c r="AR325" s="46"/>
      <c r="AS325" s="46"/>
      <c r="AT325" s="46"/>
      <c r="AU325" s="46"/>
      <c r="AV325" s="230"/>
      <c r="AW325" s="230"/>
      <c r="AX325" s="230"/>
      <c r="AY325" s="230"/>
      <c r="AZ325" s="230"/>
      <c r="BA325" s="230"/>
      <c r="BB325" s="230"/>
      <c r="BC325" s="230"/>
      <c r="BD325" s="230"/>
      <c r="BE325" s="230"/>
      <c r="BF325" s="230"/>
      <c r="BG325" s="230"/>
      <c r="BH325" s="230"/>
      <c r="BI325" s="230"/>
      <c r="BJ325" s="230"/>
      <c r="BK325" s="230"/>
      <c r="BL325" s="230"/>
      <c r="BM325" s="230"/>
      <c r="BN325" s="230"/>
      <c r="BO325" s="230"/>
      <c r="BP325" s="230"/>
      <c r="BQ325" s="230"/>
    </row>
    <row r="326" spans="1:69" ht="15.75" customHeight="1">
      <c r="A326" s="46"/>
      <c r="B326" s="46"/>
      <c r="C326" s="46"/>
      <c r="D326" s="46"/>
      <c r="E326" s="245"/>
      <c r="F326" s="237"/>
      <c r="G326" s="237"/>
      <c r="H326" s="46"/>
      <c r="I326" s="46"/>
      <c r="J326" s="46"/>
      <c r="K326" s="46"/>
      <c r="L326" s="46"/>
      <c r="M326" s="46"/>
      <c r="N326" s="46"/>
      <c r="O326" s="46"/>
      <c r="P326" s="46"/>
      <c r="Q326" s="46"/>
      <c r="R326" s="46"/>
      <c r="S326" s="46"/>
      <c r="T326" s="46"/>
      <c r="U326" s="46"/>
      <c r="V326" s="46"/>
      <c r="W326" s="46"/>
      <c r="X326" s="46"/>
      <c r="Y326" s="46"/>
      <c r="Z326" s="46"/>
      <c r="AA326" s="46"/>
      <c r="AB326" s="46"/>
      <c r="AC326" s="46"/>
      <c r="AD326" s="2"/>
      <c r="AE326" s="46"/>
      <c r="AF326" s="46"/>
      <c r="AG326" s="46"/>
      <c r="AH326" s="46"/>
      <c r="AI326" s="46"/>
      <c r="AJ326" s="46"/>
      <c r="AK326" s="46"/>
      <c r="AL326" s="46"/>
      <c r="AM326" s="46"/>
      <c r="AN326" s="46"/>
      <c r="AO326" s="46"/>
      <c r="AP326" s="46"/>
      <c r="AQ326" s="46"/>
      <c r="AR326" s="46"/>
      <c r="AS326" s="46"/>
      <c r="AT326" s="46"/>
      <c r="AU326" s="46"/>
      <c r="AV326" s="230"/>
      <c r="AW326" s="230"/>
      <c r="AX326" s="230"/>
      <c r="AY326" s="230"/>
      <c r="AZ326" s="230"/>
      <c r="BA326" s="230"/>
      <c r="BB326" s="230"/>
      <c r="BC326" s="230"/>
      <c r="BD326" s="230"/>
      <c r="BE326" s="230"/>
      <c r="BF326" s="230"/>
      <c r="BG326" s="230"/>
      <c r="BH326" s="230"/>
      <c r="BI326" s="230"/>
      <c r="BJ326" s="230"/>
      <c r="BK326" s="230"/>
      <c r="BL326" s="230"/>
      <c r="BM326" s="230"/>
      <c r="BN326" s="230"/>
      <c r="BO326" s="230"/>
      <c r="BP326" s="230"/>
      <c r="BQ326" s="230"/>
    </row>
    <row r="327" spans="1:69" ht="15.75" customHeight="1">
      <c r="A327" s="46"/>
      <c r="B327" s="46"/>
      <c r="C327" s="46"/>
      <c r="D327" s="46"/>
      <c r="E327" s="245"/>
      <c r="F327" s="237"/>
      <c r="G327" s="237"/>
      <c r="H327" s="46"/>
      <c r="I327" s="46"/>
      <c r="J327" s="46"/>
      <c r="K327" s="46"/>
      <c r="L327" s="46"/>
      <c r="M327" s="46"/>
      <c r="N327" s="46"/>
      <c r="O327" s="46"/>
      <c r="P327" s="46"/>
      <c r="Q327" s="46"/>
      <c r="R327" s="46"/>
      <c r="S327" s="46"/>
      <c r="T327" s="46"/>
      <c r="U327" s="46"/>
      <c r="V327" s="46"/>
      <c r="W327" s="46"/>
      <c r="X327" s="46"/>
      <c r="Y327" s="46"/>
      <c r="Z327" s="46"/>
      <c r="AA327" s="46"/>
      <c r="AB327" s="46"/>
      <c r="AC327" s="46"/>
      <c r="AD327" s="2"/>
      <c r="AE327" s="46"/>
      <c r="AF327" s="46"/>
      <c r="AG327" s="46"/>
      <c r="AH327" s="46"/>
      <c r="AI327" s="46"/>
      <c r="AJ327" s="46"/>
      <c r="AK327" s="46"/>
      <c r="AL327" s="46"/>
      <c r="AM327" s="46"/>
      <c r="AN327" s="46"/>
      <c r="AO327" s="46"/>
      <c r="AP327" s="46"/>
      <c r="AQ327" s="46"/>
      <c r="AR327" s="46"/>
      <c r="AS327" s="46"/>
      <c r="AT327" s="46"/>
      <c r="AU327" s="46"/>
      <c r="AV327" s="230"/>
      <c r="AW327" s="230"/>
      <c r="AX327" s="230"/>
      <c r="AY327" s="230"/>
      <c r="AZ327" s="230"/>
      <c r="BA327" s="230"/>
      <c r="BB327" s="230"/>
      <c r="BC327" s="230"/>
      <c r="BD327" s="230"/>
      <c r="BE327" s="230"/>
      <c r="BF327" s="230"/>
      <c r="BG327" s="230"/>
      <c r="BH327" s="230"/>
      <c r="BI327" s="230"/>
      <c r="BJ327" s="230"/>
      <c r="BK327" s="230"/>
      <c r="BL327" s="230"/>
      <c r="BM327" s="230"/>
      <c r="BN327" s="230"/>
      <c r="BO327" s="230"/>
      <c r="BP327" s="230"/>
      <c r="BQ327" s="230"/>
    </row>
    <row r="328" spans="1:69" ht="15.75" customHeight="1">
      <c r="A328" s="46"/>
      <c r="B328" s="46"/>
      <c r="C328" s="46"/>
      <c r="D328" s="46"/>
      <c r="E328" s="245"/>
      <c r="F328" s="237"/>
      <c r="G328" s="237"/>
      <c r="H328" s="46"/>
      <c r="I328" s="46"/>
      <c r="J328" s="46"/>
      <c r="K328" s="46"/>
      <c r="L328" s="46"/>
      <c r="M328" s="46"/>
      <c r="N328" s="46"/>
      <c r="O328" s="46"/>
      <c r="P328" s="46"/>
      <c r="Q328" s="46"/>
      <c r="R328" s="46"/>
      <c r="S328" s="46"/>
      <c r="T328" s="46"/>
      <c r="U328" s="46"/>
      <c r="V328" s="46"/>
      <c r="W328" s="46"/>
      <c r="X328" s="46"/>
      <c r="Y328" s="46"/>
      <c r="Z328" s="46"/>
      <c r="AA328" s="46"/>
      <c r="AB328" s="46"/>
      <c r="AC328" s="46"/>
      <c r="AD328" s="2"/>
      <c r="AE328" s="46"/>
      <c r="AF328" s="46"/>
      <c r="AG328" s="46"/>
      <c r="AH328" s="46"/>
      <c r="AI328" s="46"/>
      <c r="AJ328" s="46"/>
      <c r="AK328" s="46"/>
      <c r="AL328" s="46"/>
      <c r="AM328" s="46"/>
      <c r="AN328" s="46"/>
      <c r="AO328" s="46"/>
      <c r="AP328" s="46"/>
      <c r="AQ328" s="46"/>
      <c r="AR328" s="46"/>
      <c r="AS328" s="46"/>
      <c r="AT328" s="46"/>
      <c r="AU328" s="46"/>
      <c r="AV328" s="230"/>
      <c r="AW328" s="230"/>
      <c r="AX328" s="230"/>
      <c r="AY328" s="230"/>
      <c r="AZ328" s="230"/>
      <c r="BA328" s="230"/>
      <c r="BB328" s="230"/>
      <c r="BC328" s="230"/>
      <c r="BD328" s="230"/>
      <c r="BE328" s="230"/>
      <c r="BF328" s="230"/>
      <c r="BG328" s="230"/>
      <c r="BH328" s="230"/>
      <c r="BI328" s="230"/>
      <c r="BJ328" s="230"/>
      <c r="BK328" s="230"/>
      <c r="BL328" s="230"/>
      <c r="BM328" s="230"/>
      <c r="BN328" s="230"/>
      <c r="BO328" s="230"/>
      <c r="BP328" s="230"/>
      <c r="BQ328" s="230"/>
    </row>
    <row r="329" spans="1:69" ht="15.75" customHeight="1">
      <c r="A329" s="46"/>
      <c r="B329" s="46"/>
      <c r="C329" s="46"/>
      <c r="D329" s="46"/>
      <c r="E329" s="245"/>
      <c r="F329" s="237"/>
      <c r="G329" s="237"/>
      <c r="H329" s="46"/>
      <c r="I329" s="46"/>
      <c r="J329" s="46"/>
      <c r="K329" s="46"/>
      <c r="L329" s="46"/>
      <c r="M329" s="46"/>
      <c r="N329" s="46"/>
      <c r="O329" s="46"/>
      <c r="P329" s="46"/>
      <c r="Q329" s="46"/>
      <c r="R329" s="46"/>
      <c r="S329" s="46"/>
      <c r="T329" s="46"/>
      <c r="U329" s="46"/>
      <c r="V329" s="46"/>
      <c r="W329" s="46"/>
      <c r="X329" s="46"/>
      <c r="Y329" s="46"/>
      <c r="Z329" s="46"/>
      <c r="AA329" s="46"/>
      <c r="AB329" s="46"/>
      <c r="AC329" s="46"/>
      <c r="AD329" s="2"/>
      <c r="AE329" s="46"/>
      <c r="AF329" s="46"/>
      <c r="AG329" s="46"/>
      <c r="AH329" s="46"/>
      <c r="AI329" s="46"/>
      <c r="AJ329" s="46"/>
      <c r="AK329" s="46"/>
      <c r="AL329" s="46"/>
      <c r="AM329" s="46"/>
      <c r="AN329" s="46"/>
      <c r="AO329" s="46"/>
      <c r="AP329" s="46"/>
      <c r="AQ329" s="46"/>
      <c r="AR329" s="46"/>
      <c r="AS329" s="46"/>
      <c r="AT329" s="46"/>
      <c r="AU329" s="46"/>
      <c r="AV329" s="230"/>
      <c r="AW329" s="230"/>
      <c r="AX329" s="230"/>
      <c r="AY329" s="230"/>
      <c r="AZ329" s="230"/>
      <c r="BA329" s="230"/>
      <c r="BB329" s="230"/>
      <c r="BC329" s="230"/>
      <c r="BD329" s="230"/>
      <c r="BE329" s="230"/>
      <c r="BF329" s="230"/>
      <c r="BG329" s="230"/>
      <c r="BH329" s="230"/>
      <c r="BI329" s="230"/>
      <c r="BJ329" s="230"/>
      <c r="BK329" s="230"/>
      <c r="BL329" s="230"/>
      <c r="BM329" s="230"/>
      <c r="BN329" s="230"/>
      <c r="BO329" s="230"/>
      <c r="BP329" s="230"/>
      <c r="BQ329" s="230"/>
    </row>
    <row r="330" spans="1:69" ht="15.75" customHeight="1">
      <c r="A330" s="46"/>
      <c r="B330" s="46"/>
      <c r="C330" s="46"/>
      <c r="D330" s="46"/>
      <c r="E330" s="245"/>
      <c r="F330" s="237"/>
      <c r="G330" s="237"/>
      <c r="H330" s="46"/>
      <c r="I330" s="46"/>
      <c r="J330" s="46"/>
      <c r="K330" s="46"/>
      <c r="L330" s="46"/>
      <c r="M330" s="46"/>
      <c r="N330" s="46"/>
      <c r="O330" s="46"/>
      <c r="P330" s="46"/>
      <c r="Q330" s="46"/>
      <c r="R330" s="46"/>
      <c r="S330" s="46"/>
      <c r="T330" s="46"/>
      <c r="U330" s="46"/>
      <c r="V330" s="46"/>
      <c r="W330" s="46"/>
      <c r="X330" s="46"/>
      <c r="Y330" s="46"/>
      <c r="Z330" s="46"/>
      <c r="AA330" s="46"/>
      <c r="AB330" s="46"/>
      <c r="AC330" s="46"/>
      <c r="AD330" s="2"/>
      <c r="AE330" s="46"/>
      <c r="AF330" s="46"/>
      <c r="AG330" s="46"/>
      <c r="AH330" s="46"/>
      <c r="AI330" s="46"/>
      <c r="AJ330" s="46"/>
      <c r="AK330" s="46"/>
      <c r="AL330" s="46"/>
      <c r="AM330" s="46"/>
      <c r="AN330" s="46"/>
      <c r="AO330" s="46"/>
      <c r="AP330" s="46"/>
      <c r="AQ330" s="46"/>
      <c r="AR330" s="46"/>
      <c r="AS330" s="46"/>
      <c r="AT330" s="46"/>
      <c r="AU330" s="46"/>
      <c r="AV330" s="230"/>
      <c r="AW330" s="230"/>
      <c r="AX330" s="230"/>
      <c r="AY330" s="230"/>
      <c r="AZ330" s="230"/>
      <c r="BA330" s="230"/>
      <c r="BB330" s="230"/>
      <c r="BC330" s="230"/>
      <c r="BD330" s="230"/>
      <c r="BE330" s="230"/>
      <c r="BF330" s="230"/>
      <c r="BG330" s="230"/>
      <c r="BH330" s="230"/>
      <c r="BI330" s="230"/>
      <c r="BJ330" s="230"/>
      <c r="BK330" s="230"/>
      <c r="BL330" s="230"/>
      <c r="BM330" s="230"/>
      <c r="BN330" s="230"/>
      <c r="BO330" s="230"/>
      <c r="BP330" s="230"/>
      <c r="BQ330" s="230"/>
    </row>
    <row r="331" spans="1:69" ht="15.75" customHeight="1">
      <c r="A331" s="46"/>
      <c r="B331" s="46"/>
      <c r="C331" s="46"/>
      <c r="D331" s="46"/>
      <c r="E331" s="245"/>
      <c r="F331" s="237"/>
      <c r="G331" s="237"/>
      <c r="H331" s="46"/>
      <c r="I331" s="46"/>
      <c r="J331" s="46"/>
      <c r="K331" s="46"/>
      <c r="L331" s="46"/>
      <c r="M331" s="46"/>
      <c r="N331" s="46"/>
      <c r="O331" s="46"/>
      <c r="P331" s="46"/>
      <c r="Q331" s="46"/>
      <c r="R331" s="46"/>
      <c r="S331" s="46"/>
      <c r="T331" s="46"/>
      <c r="U331" s="46"/>
      <c r="V331" s="46"/>
      <c r="W331" s="46"/>
      <c r="X331" s="46"/>
      <c r="Y331" s="46"/>
      <c r="Z331" s="46"/>
      <c r="AA331" s="46"/>
      <c r="AB331" s="46"/>
      <c r="AC331" s="46"/>
      <c r="AD331" s="2"/>
      <c r="AE331" s="46"/>
      <c r="AF331" s="46"/>
      <c r="AG331" s="46"/>
      <c r="AH331" s="46"/>
      <c r="AI331" s="46"/>
      <c r="AJ331" s="46"/>
      <c r="AK331" s="46"/>
      <c r="AL331" s="46"/>
      <c r="AM331" s="46"/>
      <c r="AN331" s="46"/>
      <c r="AO331" s="46"/>
      <c r="AP331" s="46"/>
      <c r="AQ331" s="46"/>
      <c r="AR331" s="46"/>
      <c r="AS331" s="46"/>
      <c r="AT331" s="46"/>
      <c r="AU331" s="46"/>
      <c r="AV331" s="230"/>
      <c r="AW331" s="230"/>
      <c r="AX331" s="230"/>
      <c r="AY331" s="230"/>
      <c r="AZ331" s="230"/>
      <c r="BA331" s="230"/>
      <c r="BB331" s="230"/>
      <c r="BC331" s="230"/>
      <c r="BD331" s="230"/>
      <c r="BE331" s="230"/>
      <c r="BF331" s="230"/>
      <c r="BG331" s="230"/>
      <c r="BH331" s="230"/>
      <c r="BI331" s="230"/>
      <c r="BJ331" s="230"/>
      <c r="BK331" s="230"/>
      <c r="BL331" s="230"/>
      <c r="BM331" s="230"/>
      <c r="BN331" s="230"/>
      <c r="BO331" s="230"/>
      <c r="BP331" s="230"/>
      <c r="BQ331" s="230"/>
    </row>
    <row r="332" spans="1:69" ht="15.75" customHeight="1">
      <c r="A332" s="46"/>
      <c r="B332" s="46"/>
      <c r="C332" s="46"/>
      <c r="D332" s="46"/>
      <c r="E332" s="245"/>
      <c r="F332" s="237"/>
      <c r="G332" s="237"/>
      <c r="H332" s="46"/>
      <c r="I332" s="46"/>
      <c r="J332" s="46"/>
      <c r="K332" s="46"/>
      <c r="L332" s="46"/>
      <c r="M332" s="46"/>
      <c r="N332" s="46"/>
      <c r="O332" s="46"/>
      <c r="P332" s="46"/>
      <c r="Q332" s="46"/>
      <c r="R332" s="46"/>
      <c r="S332" s="46"/>
      <c r="T332" s="46"/>
      <c r="U332" s="46"/>
      <c r="V332" s="46"/>
      <c r="W332" s="46"/>
      <c r="X332" s="46"/>
      <c r="Y332" s="46"/>
      <c r="Z332" s="46"/>
      <c r="AA332" s="46"/>
      <c r="AB332" s="46"/>
      <c r="AC332" s="46"/>
      <c r="AD332" s="2"/>
      <c r="AE332" s="46"/>
      <c r="AF332" s="46"/>
      <c r="AG332" s="46"/>
      <c r="AH332" s="46"/>
      <c r="AI332" s="46"/>
      <c r="AJ332" s="46"/>
      <c r="AK332" s="46"/>
      <c r="AL332" s="46"/>
      <c r="AM332" s="46"/>
      <c r="AN332" s="46"/>
      <c r="AO332" s="46"/>
      <c r="AP332" s="46"/>
      <c r="AQ332" s="46"/>
      <c r="AR332" s="46"/>
      <c r="AS332" s="46"/>
      <c r="AT332" s="46"/>
      <c r="AU332" s="46"/>
      <c r="AV332" s="230"/>
      <c r="AW332" s="230"/>
      <c r="AX332" s="230"/>
      <c r="AY332" s="230"/>
      <c r="AZ332" s="230"/>
      <c r="BA332" s="230"/>
      <c r="BB332" s="230"/>
      <c r="BC332" s="230"/>
      <c r="BD332" s="230"/>
      <c r="BE332" s="230"/>
      <c r="BF332" s="230"/>
      <c r="BG332" s="230"/>
      <c r="BH332" s="230"/>
      <c r="BI332" s="230"/>
      <c r="BJ332" s="230"/>
      <c r="BK332" s="230"/>
      <c r="BL332" s="230"/>
      <c r="BM332" s="230"/>
      <c r="BN332" s="230"/>
      <c r="BO332" s="230"/>
      <c r="BP332" s="230"/>
      <c r="BQ332" s="230"/>
    </row>
    <row r="333" spans="1:69" ht="15.75" customHeight="1">
      <c r="A333" s="46"/>
      <c r="B333" s="46"/>
      <c r="C333" s="46"/>
      <c r="D333" s="46"/>
      <c r="E333" s="245"/>
      <c r="F333" s="237"/>
      <c r="G333" s="237"/>
      <c r="H333" s="46"/>
      <c r="I333" s="46"/>
      <c r="J333" s="46"/>
      <c r="K333" s="46"/>
      <c r="L333" s="46"/>
      <c r="M333" s="46"/>
      <c r="N333" s="46"/>
      <c r="O333" s="46"/>
      <c r="P333" s="46"/>
      <c r="Q333" s="46"/>
      <c r="R333" s="46"/>
      <c r="S333" s="46"/>
      <c r="T333" s="46"/>
      <c r="U333" s="46"/>
      <c r="V333" s="46"/>
      <c r="W333" s="46"/>
      <c r="X333" s="46"/>
      <c r="Y333" s="46"/>
      <c r="Z333" s="46"/>
      <c r="AA333" s="46"/>
      <c r="AB333" s="46"/>
      <c r="AC333" s="46"/>
      <c r="AD333" s="2"/>
      <c r="AE333" s="46"/>
      <c r="AF333" s="46"/>
      <c r="AG333" s="46"/>
      <c r="AH333" s="46"/>
      <c r="AI333" s="46"/>
      <c r="AJ333" s="46"/>
      <c r="AK333" s="46"/>
      <c r="AL333" s="46"/>
      <c r="AM333" s="46"/>
      <c r="AN333" s="46"/>
      <c r="AO333" s="46"/>
      <c r="AP333" s="46"/>
      <c r="AQ333" s="46"/>
      <c r="AR333" s="46"/>
      <c r="AS333" s="46"/>
      <c r="AT333" s="46"/>
      <c r="AU333" s="46"/>
      <c r="AV333" s="230"/>
      <c r="AW333" s="230"/>
      <c r="AX333" s="230"/>
      <c r="AY333" s="230"/>
      <c r="AZ333" s="230"/>
      <c r="BA333" s="230"/>
      <c r="BB333" s="230"/>
      <c r="BC333" s="230"/>
      <c r="BD333" s="230"/>
      <c r="BE333" s="230"/>
      <c r="BF333" s="230"/>
      <c r="BG333" s="230"/>
      <c r="BH333" s="230"/>
      <c r="BI333" s="230"/>
      <c r="BJ333" s="230"/>
      <c r="BK333" s="230"/>
      <c r="BL333" s="230"/>
      <c r="BM333" s="230"/>
      <c r="BN333" s="230"/>
      <c r="BO333" s="230"/>
      <c r="BP333" s="230"/>
      <c r="BQ333" s="230"/>
    </row>
    <row r="334" spans="1:69" ht="15.75" customHeight="1">
      <c r="A334" s="46"/>
      <c r="B334" s="46"/>
      <c r="C334" s="46"/>
      <c r="D334" s="46"/>
      <c r="E334" s="245"/>
      <c r="F334" s="237"/>
      <c r="G334" s="237"/>
      <c r="H334" s="46"/>
      <c r="I334" s="46"/>
      <c r="J334" s="46"/>
      <c r="K334" s="46"/>
      <c r="L334" s="46"/>
      <c r="M334" s="46"/>
      <c r="N334" s="46"/>
      <c r="O334" s="46"/>
      <c r="P334" s="46"/>
      <c r="Q334" s="46"/>
      <c r="R334" s="46"/>
      <c r="S334" s="46"/>
      <c r="T334" s="46"/>
      <c r="U334" s="46"/>
      <c r="V334" s="46"/>
      <c r="W334" s="46"/>
      <c r="X334" s="46"/>
      <c r="Y334" s="46"/>
      <c r="Z334" s="46"/>
      <c r="AA334" s="46"/>
      <c r="AB334" s="46"/>
      <c r="AC334" s="46"/>
      <c r="AD334" s="2"/>
      <c r="AE334" s="46"/>
      <c r="AF334" s="46"/>
      <c r="AG334" s="46"/>
      <c r="AH334" s="46"/>
      <c r="AI334" s="46"/>
      <c r="AJ334" s="46"/>
      <c r="AK334" s="46"/>
      <c r="AL334" s="46"/>
      <c r="AM334" s="46"/>
      <c r="AN334" s="46"/>
      <c r="AO334" s="46"/>
      <c r="AP334" s="46"/>
      <c r="AQ334" s="46"/>
      <c r="AR334" s="46"/>
      <c r="AS334" s="46"/>
      <c r="AT334" s="46"/>
      <c r="AU334" s="46"/>
      <c r="AV334" s="230"/>
      <c r="AW334" s="230"/>
      <c r="AX334" s="230"/>
      <c r="AY334" s="230"/>
      <c r="AZ334" s="230"/>
      <c r="BA334" s="230"/>
      <c r="BB334" s="230"/>
      <c r="BC334" s="230"/>
      <c r="BD334" s="230"/>
      <c r="BE334" s="230"/>
      <c r="BF334" s="230"/>
      <c r="BG334" s="230"/>
      <c r="BH334" s="230"/>
      <c r="BI334" s="230"/>
      <c r="BJ334" s="230"/>
      <c r="BK334" s="230"/>
      <c r="BL334" s="230"/>
      <c r="BM334" s="230"/>
      <c r="BN334" s="230"/>
      <c r="BO334" s="230"/>
      <c r="BP334" s="230"/>
      <c r="BQ334" s="230"/>
    </row>
    <row r="335" spans="1:69" ht="15.75" customHeight="1">
      <c r="A335" s="46"/>
      <c r="B335" s="46"/>
      <c r="C335" s="46"/>
      <c r="D335" s="46"/>
      <c r="E335" s="245"/>
      <c r="F335" s="237"/>
      <c r="G335" s="237"/>
      <c r="H335" s="46"/>
      <c r="I335" s="46"/>
      <c r="J335" s="46"/>
      <c r="K335" s="46"/>
      <c r="L335" s="46"/>
      <c r="M335" s="46"/>
      <c r="N335" s="46"/>
      <c r="O335" s="46"/>
      <c r="P335" s="46"/>
      <c r="Q335" s="46"/>
      <c r="R335" s="46"/>
      <c r="S335" s="46"/>
      <c r="T335" s="46"/>
      <c r="U335" s="46"/>
      <c r="V335" s="46"/>
      <c r="W335" s="46"/>
      <c r="X335" s="46"/>
      <c r="Y335" s="46"/>
      <c r="Z335" s="46"/>
      <c r="AA335" s="46"/>
      <c r="AB335" s="46"/>
      <c r="AC335" s="46"/>
      <c r="AD335" s="2"/>
      <c r="AE335" s="46"/>
      <c r="AF335" s="46"/>
      <c r="AG335" s="46"/>
      <c r="AH335" s="46"/>
      <c r="AI335" s="46"/>
      <c r="AJ335" s="46"/>
      <c r="AK335" s="46"/>
      <c r="AL335" s="46"/>
      <c r="AM335" s="46"/>
      <c r="AN335" s="46"/>
      <c r="AO335" s="46"/>
      <c r="AP335" s="46"/>
      <c r="AQ335" s="46"/>
      <c r="AR335" s="46"/>
      <c r="AS335" s="46"/>
      <c r="AT335" s="46"/>
      <c r="AU335" s="46"/>
      <c r="AV335" s="230"/>
      <c r="AW335" s="230"/>
      <c r="AX335" s="230"/>
      <c r="AY335" s="230"/>
      <c r="AZ335" s="230"/>
      <c r="BA335" s="230"/>
      <c r="BB335" s="230"/>
      <c r="BC335" s="230"/>
      <c r="BD335" s="230"/>
      <c r="BE335" s="230"/>
      <c r="BF335" s="230"/>
      <c r="BG335" s="230"/>
      <c r="BH335" s="230"/>
      <c r="BI335" s="230"/>
      <c r="BJ335" s="230"/>
      <c r="BK335" s="230"/>
      <c r="BL335" s="230"/>
      <c r="BM335" s="230"/>
      <c r="BN335" s="230"/>
      <c r="BO335" s="230"/>
      <c r="BP335" s="230"/>
      <c r="BQ335" s="230"/>
    </row>
    <row r="336" spans="1:69" ht="15.75" customHeight="1">
      <c r="A336" s="46"/>
      <c r="B336" s="46"/>
      <c r="C336" s="46"/>
      <c r="D336" s="46"/>
      <c r="E336" s="245"/>
      <c r="F336" s="237"/>
      <c r="G336" s="237"/>
      <c r="H336" s="46"/>
      <c r="I336" s="46"/>
      <c r="J336" s="46"/>
      <c r="K336" s="46"/>
      <c r="L336" s="46"/>
      <c r="M336" s="46"/>
      <c r="N336" s="46"/>
      <c r="O336" s="46"/>
      <c r="P336" s="46"/>
      <c r="Q336" s="46"/>
      <c r="R336" s="46"/>
      <c r="S336" s="46"/>
      <c r="T336" s="46"/>
      <c r="U336" s="46"/>
      <c r="V336" s="46"/>
      <c r="W336" s="46"/>
      <c r="X336" s="46"/>
      <c r="Y336" s="46"/>
      <c r="Z336" s="46"/>
      <c r="AA336" s="46"/>
      <c r="AB336" s="46"/>
      <c r="AC336" s="46"/>
      <c r="AD336" s="2"/>
      <c r="AE336" s="46"/>
      <c r="AF336" s="46"/>
      <c r="AG336" s="46"/>
      <c r="AH336" s="46"/>
      <c r="AI336" s="46"/>
      <c r="AJ336" s="46"/>
      <c r="AK336" s="46"/>
      <c r="AL336" s="46"/>
      <c r="AM336" s="46"/>
      <c r="AN336" s="46"/>
      <c r="AO336" s="46"/>
      <c r="AP336" s="46"/>
      <c r="AQ336" s="46"/>
      <c r="AR336" s="46"/>
      <c r="AS336" s="46"/>
      <c r="AT336" s="46"/>
      <c r="AU336" s="46"/>
      <c r="AV336" s="230"/>
      <c r="AW336" s="230"/>
      <c r="AX336" s="230"/>
      <c r="AY336" s="230"/>
      <c r="AZ336" s="230"/>
      <c r="BA336" s="230"/>
      <c r="BB336" s="230"/>
      <c r="BC336" s="230"/>
      <c r="BD336" s="230"/>
      <c r="BE336" s="230"/>
      <c r="BF336" s="230"/>
      <c r="BG336" s="230"/>
      <c r="BH336" s="230"/>
      <c r="BI336" s="230"/>
      <c r="BJ336" s="230"/>
      <c r="BK336" s="230"/>
      <c r="BL336" s="230"/>
      <c r="BM336" s="230"/>
      <c r="BN336" s="230"/>
      <c r="BO336" s="230"/>
      <c r="BP336" s="230"/>
      <c r="BQ336" s="230"/>
    </row>
    <row r="337" spans="1:69" ht="15.75" customHeight="1">
      <c r="A337" s="46"/>
      <c r="B337" s="46"/>
      <c r="C337" s="46"/>
      <c r="D337" s="46"/>
      <c r="E337" s="245"/>
      <c r="F337" s="237"/>
      <c r="G337" s="237"/>
      <c r="H337" s="46"/>
      <c r="I337" s="46"/>
      <c r="J337" s="46"/>
      <c r="K337" s="46"/>
      <c r="L337" s="46"/>
      <c r="M337" s="46"/>
      <c r="N337" s="46"/>
      <c r="O337" s="46"/>
      <c r="P337" s="46"/>
      <c r="Q337" s="46"/>
      <c r="R337" s="46"/>
      <c r="S337" s="46"/>
      <c r="T337" s="46"/>
      <c r="U337" s="46"/>
      <c r="V337" s="46"/>
      <c r="W337" s="46"/>
      <c r="X337" s="46"/>
      <c r="Y337" s="46"/>
      <c r="Z337" s="46"/>
      <c r="AA337" s="46"/>
      <c r="AB337" s="46"/>
      <c r="AC337" s="46"/>
      <c r="AD337" s="2"/>
      <c r="AE337" s="46"/>
      <c r="AF337" s="46"/>
      <c r="AG337" s="46"/>
      <c r="AH337" s="46"/>
      <c r="AI337" s="46"/>
      <c r="AJ337" s="46"/>
      <c r="AK337" s="46"/>
      <c r="AL337" s="46"/>
      <c r="AM337" s="46"/>
      <c r="AN337" s="46"/>
      <c r="AO337" s="46"/>
      <c r="AP337" s="46"/>
      <c r="AQ337" s="46"/>
      <c r="AR337" s="46"/>
      <c r="AS337" s="46"/>
      <c r="AT337" s="46"/>
      <c r="AU337" s="46"/>
      <c r="AV337" s="230"/>
      <c r="AW337" s="230"/>
      <c r="AX337" s="230"/>
      <c r="AY337" s="230"/>
      <c r="AZ337" s="230"/>
      <c r="BA337" s="230"/>
      <c r="BB337" s="230"/>
      <c r="BC337" s="230"/>
      <c r="BD337" s="230"/>
      <c r="BE337" s="230"/>
      <c r="BF337" s="230"/>
      <c r="BG337" s="230"/>
      <c r="BH337" s="230"/>
      <c r="BI337" s="230"/>
      <c r="BJ337" s="230"/>
      <c r="BK337" s="230"/>
      <c r="BL337" s="230"/>
      <c r="BM337" s="230"/>
      <c r="BN337" s="230"/>
      <c r="BO337" s="230"/>
      <c r="BP337" s="230"/>
      <c r="BQ337" s="230"/>
    </row>
    <row r="338" spans="1:69" ht="15.75" customHeight="1">
      <c r="A338" s="46"/>
      <c r="B338" s="46"/>
      <c r="C338" s="46"/>
      <c r="D338" s="46"/>
      <c r="E338" s="245"/>
      <c r="F338" s="237"/>
      <c r="G338" s="237"/>
      <c r="H338" s="46"/>
      <c r="I338" s="46"/>
      <c r="J338" s="46"/>
      <c r="K338" s="46"/>
      <c r="L338" s="46"/>
      <c r="M338" s="46"/>
      <c r="N338" s="46"/>
      <c r="O338" s="46"/>
      <c r="P338" s="46"/>
      <c r="Q338" s="46"/>
      <c r="R338" s="46"/>
      <c r="S338" s="46"/>
      <c r="T338" s="46"/>
      <c r="U338" s="46"/>
      <c r="V338" s="46"/>
      <c r="W338" s="46"/>
      <c r="X338" s="46"/>
      <c r="Y338" s="46"/>
      <c r="Z338" s="46"/>
      <c r="AA338" s="46"/>
      <c r="AB338" s="46"/>
      <c r="AC338" s="46"/>
      <c r="AD338" s="2"/>
      <c r="AE338" s="46"/>
      <c r="AF338" s="46"/>
      <c r="AG338" s="46"/>
      <c r="AH338" s="46"/>
      <c r="AI338" s="46"/>
      <c r="AJ338" s="46"/>
      <c r="AK338" s="46"/>
      <c r="AL338" s="46"/>
      <c r="AM338" s="46"/>
      <c r="AN338" s="46"/>
      <c r="AO338" s="46"/>
      <c r="AP338" s="46"/>
      <c r="AQ338" s="46"/>
      <c r="AR338" s="46"/>
      <c r="AS338" s="46"/>
      <c r="AT338" s="46"/>
      <c r="AU338" s="46"/>
      <c r="AV338" s="230"/>
      <c r="AW338" s="230"/>
      <c r="AX338" s="230"/>
      <c r="AY338" s="230"/>
      <c r="AZ338" s="230"/>
      <c r="BA338" s="230"/>
      <c r="BB338" s="230"/>
      <c r="BC338" s="230"/>
      <c r="BD338" s="230"/>
      <c r="BE338" s="230"/>
      <c r="BF338" s="230"/>
      <c r="BG338" s="230"/>
      <c r="BH338" s="230"/>
      <c r="BI338" s="230"/>
      <c r="BJ338" s="230"/>
      <c r="BK338" s="230"/>
      <c r="BL338" s="230"/>
      <c r="BM338" s="230"/>
      <c r="BN338" s="230"/>
      <c r="BO338" s="230"/>
      <c r="BP338" s="230"/>
      <c r="BQ338" s="230"/>
    </row>
    <row r="339" spans="1:69" ht="15.75" customHeight="1">
      <c r="A339" s="46"/>
      <c r="B339" s="46"/>
      <c r="C339" s="46"/>
      <c r="D339" s="46"/>
      <c r="E339" s="245"/>
      <c r="F339" s="237"/>
      <c r="G339" s="237"/>
      <c r="H339" s="46"/>
      <c r="I339" s="46"/>
      <c r="J339" s="46"/>
      <c r="K339" s="46"/>
      <c r="L339" s="46"/>
      <c r="M339" s="46"/>
      <c r="N339" s="46"/>
      <c r="O339" s="46"/>
      <c r="P339" s="46"/>
      <c r="Q339" s="46"/>
      <c r="R339" s="46"/>
      <c r="S339" s="46"/>
      <c r="T339" s="46"/>
      <c r="U339" s="46"/>
      <c r="V339" s="46"/>
      <c r="W339" s="46"/>
      <c r="X339" s="46"/>
      <c r="Y339" s="46"/>
      <c r="Z339" s="46"/>
      <c r="AA339" s="46"/>
      <c r="AB339" s="46"/>
      <c r="AC339" s="46"/>
      <c r="AD339" s="2"/>
      <c r="AE339" s="46"/>
      <c r="AF339" s="46"/>
      <c r="AG339" s="46"/>
      <c r="AH339" s="46"/>
      <c r="AI339" s="46"/>
      <c r="AJ339" s="46"/>
      <c r="AK339" s="46"/>
      <c r="AL339" s="46"/>
      <c r="AM339" s="46"/>
      <c r="AN339" s="46"/>
      <c r="AO339" s="46"/>
      <c r="AP339" s="46"/>
      <c r="AQ339" s="46"/>
      <c r="AR339" s="46"/>
      <c r="AS339" s="46"/>
      <c r="AT339" s="46"/>
      <c r="AU339" s="46"/>
      <c r="AV339" s="230"/>
      <c r="AW339" s="230"/>
      <c r="AX339" s="230"/>
      <c r="AY339" s="230"/>
      <c r="AZ339" s="230"/>
      <c r="BA339" s="230"/>
      <c r="BB339" s="230"/>
      <c r="BC339" s="230"/>
      <c r="BD339" s="230"/>
      <c r="BE339" s="230"/>
      <c r="BF339" s="230"/>
      <c r="BG339" s="230"/>
      <c r="BH339" s="230"/>
      <c r="BI339" s="230"/>
      <c r="BJ339" s="230"/>
      <c r="BK339" s="230"/>
      <c r="BL339" s="230"/>
      <c r="BM339" s="230"/>
      <c r="BN339" s="230"/>
      <c r="BO339" s="230"/>
      <c r="BP339" s="230"/>
      <c r="BQ339" s="230"/>
    </row>
    <row r="340" spans="1:69" ht="15.75" customHeight="1">
      <c r="A340" s="46"/>
      <c r="B340" s="46"/>
      <c r="C340" s="46"/>
      <c r="D340" s="46"/>
      <c r="E340" s="245"/>
      <c r="F340" s="237"/>
      <c r="G340" s="237"/>
      <c r="H340" s="46"/>
      <c r="I340" s="46"/>
      <c r="J340" s="46"/>
      <c r="K340" s="46"/>
      <c r="L340" s="46"/>
      <c r="M340" s="46"/>
      <c r="N340" s="46"/>
      <c r="O340" s="46"/>
      <c r="P340" s="46"/>
      <c r="Q340" s="46"/>
      <c r="R340" s="46"/>
      <c r="S340" s="46"/>
      <c r="T340" s="46"/>
      <c r="U340" s="46"/>
      <c r="V340" s="46"/>
      <c r="W340" s="46"/>
      <c r="X340" s="46"/>
      <c r="Y340" s="46"/>
      <c r="Z340" s="46"/>
      <c r="AA340" s="46"/>
      <c r="AB340" s="46"/>
      <c r="AC340" s="46"/>
      <c r="AD340" s="2"/>
      <c r="AE340" s="46"/>
      <c r="AF340" s="46"/>
      <c r="AG340" s="46"/>
      <c r="AH340" s="46"/>
      <c r="AI340" s="46"/>
      <c r="AJ340" s="46"/>
      <c r="AK340" s="46"/>
      <c r="AL340" s="46"/>
      <c r="AM340" s="46"/>
      <c r="AN340" s="46"/>
      <c r="AO340" s="46"/>
      <c r="AP340" s="46"/>
      <c r="AQ340" s="46"/>
      <c r="AR340" s="46"/>
      <c r="AS340" s="46"/>
      <c r="AT340" s="46"/>
      <c r="AU340" s="46"/>
      <c r="AV340" s="230"/>
      <c r="AW340" s="230"/>
      <c r="AX340" s="230"/>
      <c r="AY340" s="230"/>
      <c r="AZ340" s="230"/>
      <c r="BA340" s="230"/>
      <c r="BB340" s="230"/>
      <c r="BC340" s="230"/>
      <c r="BD340" s="230"/>
      <c r="BE340" s="230"/>
      <c r="BF340" s="230"/>
      <c r="BG340" s="230"/>
      <c r="BH340" s="230"/>
      <c r="BI340" s="230"/>
      <c r="BJ340" s="230"/>
      <c r="BK340" s="230"/>
      <c r="BL340" s="230"/>
      <c r="BM340" s="230"/>
      <c r="BN340" s="230"/>
      <c r="BO340" s="230"/>
      <c r="BP340" s="230"/>
      <c r="BQ340" s="230"/>
    </row>
    <row r="341" spans="1:69" ht="15.75" customHeight="1">
      <c r="A341" s="46"/>
      <c r="B341" s="46"/>
      <c r="C341" s="46"/>
      <c r="D341" s="46"/>
      <c r="E341" s="245"/>
      <c r="F341" s="237"/>
      <c r="G341" s="237"/>
      <c r="H341" s="46"/>
      <c r="I341" s="46"/>
      <c r="J341" s="46"/>
      <c r="K341" s="46"/>
      <c r="L341" s="46"/>
      <c r="M341" s="46"/>
      <c r="N341" s="46"/>
      <c r="O341" s="46"/>
      <c r="P341" s="46"/>
      <c r="Q341" s="46"/>
      <c r="R341" s="46"/>
      <c r="S341" s="46"/>
      <c r="T341" s="46"/>
      <c r="U341" s="46"/>
      <c r="V341" s="46"/>
      <c r="W341" s="46"/>
      <c r="X341" s="46"/>
      <c r="Y341" s="46"/>
      <c r="Z341" s="46"/>
      <c r="AA341" s="46"/>
      <c r="AB341" s="46"/>
      <c r="AC341" s="46"/>
      <c r="AD341" s="2"/>
      <c r="AE341" s="46"/>
      <c r="AF341" s="46"/>
      <c r="AG341" s="46"/>
      <c r="AH341" s="46"/>
      <c r="AI341" s="46"/>
      <c r="AJ341" s="46"/>
      <c r="AK341" s="46"/>
      <c r="AL341" s="46"/>
      <c r="AM341" s="46"/>
      <c r="AN341" s="46"/>
      <c r="AO341" s="46"/>
      <c r="AP341" s="46"/>
      <c r="AQ341" s="46"/>
      <c r="AR341" s="46"/>
      <c r="AS341" s="46"/>
      <c r="AT341" s="46"/>
      <c r="AU341" s="46"/>
      <c r="AV341" s="230"/>
      <c r="AW341" s="230"/>
      <c r="AX341" s="230"/>
      <c r="AY341" s="230"/>
      <c r="AZ341" s="230"/>
      <c r="BA341" s="230"/>
      <c r="BB341" s="230"/>
      <c r="BC341" s="230"/>
      <c r="BD341" s="230"/>
      <c r="BE341" s="230"/>
      <c r="BF341" s="230"/>
      <c r="BG341" s="230"/>
      <c r="BH341" s="230"/>
      <c r="BI341" s="230"/>
      <c r="BJ341" s="230"/>
      <c r="BK341" s="230"/>
      <c r="BL341" s="230"/>
      <c r="BM341" s="230"/>
      <c r="BN341" s="230"/>
      <c r="BO341" s="230"/>
      <c r="BP341" s="230"/>
      <c r="BQ341" s="230"/>
    </row>
    <row r="342" spans="1:69" ht="15.75" customHeight="1">
      <c r="A342" s="46"/>
      <c r="B342" s="46"/>
      <c r="C342" s="46"/>
      <c r="D342" s="46"/>
      <c r="E342" s="245"/>
      <c r="F342" s="237"/>
      <c r="G342" s="237"/>
      <c r="H342" s="46"/>
      <c r="I342" s="46"/>
      <c r="J342" s="46"/>
      <c r="K342" s="46"/>
      <c r="L342" s="46"/>
      <c r="M342" s="46"/>
      <c r="N342" s="46"/>
      <c r="O342" s="46"/>
      <c r="P342" s="46"/>
      <c r="Q342" s="46"/>
      <c r="R342" s="46"/>
      <c r="S342" s="46"/>
      <c r="T342" s="46"/>
      <c r="U342" s="46"/>
      <c r="V342" s="46"/>
      <c r="W342" s="46"/>
      <c r="X342" s="46"/>
      <c r="Y342" s="46"/>
      <c r="Z342" s="46"/>
      <c r="AA342" s="46"/>
      <c r="AB342" s="46"/>
      <c r="AC342" s="46"/>
      <c r="AD342" s="2"/>
      <c r="AE342" s="46"/>
      <c r="AF342" s="46"/>
      <c r="AG342" s="46"/>
      <c r="AH342" s="46"/>
      <c r="AI342" s="46"/>
      <c r="AJ342" s="46"/>
      <c r="AK342" s="46"/>
      <c r="AL342" s="46"/>
      <c r="AM342" s="46"/>
      <c r="AN342" s="46"/>
      <c r="AO342" s="46"/>
      <c r="AP342" s="46"/>
      <c r="AQ342" s="46"/>
      <c r="AR342" s="46"/>
      <c r="AS342" s="46"/>
      <c r="AT342" s="46"/>
      <c r="AU342" s="46"/>
      <c r="AV342" s="230"/>
      <c r="AW342" s="230"/>
      <c r="AX342" s="230"/>
      <c r="AY342" s="230"/>
      <c r="AZ342" s="230"/>
      <c r="BA342" s="230"/>
      <c r="BB342" s="230"/>
      <c r="BC342" s="230"/>
      <c r="BD342" s="230"/>
      <c r="BE342" s="230"/>
      <c r="BF342" s="230"/>
      <c r="BG342" s="230"/>
      <c r="BH342" s="230"/>
      <c r="BI342" s="230"/>
      <c r="BJ342" s="230"/>
      <c r="BK342" s="230"/>
      <c r="BL342" s="230"/>
      <c r="BM342" s="230"/>
      <c r="BN342" s="230"/>
      <c r="BO342" s="230"/>
      <c r="BP342" s="230"/>
      <c r="BQ342" s="230"/>
    </row>
    <row r="343" spans="1:69" ht="15.75" customHeight="1">
      <c r="A343" s="46"/>
      <c r="B343" s="46"/>
      <c r="C343" s="46"/>
      <c r="D343" s="46"/>
      <c r="E343" s="245"/>
      <c r="F343" s="237"/>
      <c r="G343" s="237"/>
      <c r="H343" s="46"/>
      <c r="I343" s="46"/>
      <c r="J343" s="46"/>
      <c r="K343" s="46"/>
      <c r="L343" s="46"/>
      <c r="M343" s="46"/>
      <c r="N343" s="46"/>
      <c r="O343" s="46"/>
      <c r="P343" s="46"/>
      <c r="Q343" s="46"/>
      <c r="R343" s="46"/>
      <c r="S343" s="46"/>
      <c r="T343" s="46"/>
      <c r="U343" s="46"/>
      <c r="V343" s="46"/>
      <c r="W343" s="46"/>
      <c r="X343" s="46"/>
      <c r="Y343" s="46"/>
      <c r="Z343" s="46"/>
      <c r="AA343" s="46"/>
      <c r="AB343" s="46"/>
      <c r="AC343" s="46"/>
      <c r="AD343" s="2"/>
      <c r="AE343" s="46"/>
      <c r="AF343" s="46"/>
      <c r="AG343" s="46"/>
      <c r="AH343" s="46"/>
      <c r="AI343" s="46"/>
      <c r="AJ343" s="46"/>
      <c r="AK343" s="46"/>
      <c r="AL343" s="46"/>
      <c r="AM343" s="46"/>
      <c r="AN343" s="46"/>
      <c r="AO343" s="46"/>
      <c r="AP343" s="46"/>
      <c r="AQ343" s="46"/>
      <c r="AR343" s="46"/>
      <c r="AS343" s="46"/>
      <c r="AT343" s="46"/>
      <c r="AU343" s="46"/>
      <c r="AV343" s="230"/>
      <c r="AW343" s="230"/>
      <c r="AX343" s="230"/>
      <c r="AY343" s="230"/>
      <c r="AZ343" s="230"/>
      <c r="BA343" s="230"/>
      <c r="BB343" s="230"/>
      <c r="BC343" s="230"/>
      <c r="BD343" s="230"/>
      <c r="BE343" s="230"/>
      <c r="BF343" s="230"/>
      <c r="BG343" s="230"/>
      <c r="BH343" s="230"/>
      <c r="BI343" s="230"/>
      <c r="BJ343" s="230"/>
      <c r="BK343" s="230"/>
      <c r="BL343" s="230"/>
      <c r="BM343" s="230"/>
      <c r="BN343" s="230"/>
      <c r="BO343" s="230"/>
      <c r="BP343" s="230"/>
      <c r="BQ343" s="230"/>
    </row>
    <row r="344" spans="1:69" ht="15.75" customHeight="1">
      <c r="A344" s="46"/>
      <c r="B344" s="46"/>
      <c r="C344" s="46"/>
      <c r="D344" s="46"/>
      <c r="E344" s="245"/>
      <c r="F344" s="237"/>
      <c r="G344" s="237"/>
      <c r="H344" s="46"/>
      <c r="I344" s="46"/>
      <c r="J344" s="46"/>
      <c r="K344" s="46"/>
      <c r="L344" s="46"/>
      <c r="M344" s="46"/>
      <c r="N344" s="46"/>
      <c r="O344" s="46"/>
      <c r="P344" s="46"/>
      <c r="Q344" s="46"/>
      <c r="R344" s="46"/>
      <c r="S344" s="46"/>
      <c r="T344" s="46"/>
      <c r="U344" s="46"/>
      <c r="V344" s="46"/>
      <c r="W344" s="46"/>
      <c r="X344" s="46"/>
      <c r="Y344" s="46"/>
      <c r="Z344" s="46"/>
      <c r="AA344" s="46"/>
      <c r="AB344" s="46"/>
      <c r="AC344" s="46"/>
      <c r="AD344" s="2"/>
      <c r="AE344" s="46"/>
      <c r="AF344" s="46"/>
      <c r="AG344" s="46"/>
      <c r="AH344" s="46"/>
      <c r="AI344" s="46"/>
      <c r="AJ344" s="46"/>
      <c r="AK344" s="46"/>
      <c r="AL344" s="46"/>
      <c r="AM344" s="46"/>
      <c r="AN344" s="46"/>
      <c r="AO344" s="46"/>
      <c r="AP344" s="46"/>
      <c r="AQ344" s="46"/>
      <c r="AR344" s="46"/>
      <c r="AS344" s="46"/>
      <c r="AT344" s="46"/>
      <c r="AU344" s="46"/>
      <c r="AV344" s="230"/>
      <c r="AW344" s="230"/>
      <c r="AX344" s="230"/>
      <c r="AY344" s="230"/>
      <c r="AZ344" s="230"/>
      <c r="BA344" s="230"/>
      <c r="BB344" s="230"/>
      <c r="BC344" s="230"/>
      <c r="BD344" s="230"/>
      <c r="BE344" s="230"/>
      <c r="BF344" s="230"/>
      <c r="BG344" s="230"/>
      <c r="BH344" s="230"/>
      <c r="BI344" s="230"/>
      <c r="BJ344" s="230"/>
      <c r="BK344" s="230"/>
      <c r="BL344" s="230"/>
      <c r="BM344" s="230"/>
      <c r="BN344" s="230"/>
      <c r="BO344" s="230"/>
      <c r="BP344" s="230"/>
      <c r="BQ344" s="230"/>
    </row>
    <row r="345" spans="1:69" ht="15.75" customHeight="1">
      <c r="A345" s="46"/>
      <c r="B345" s="46"/>
      <c r="C345" s="46"/>
      <c r="D345" s="46"/>
      <c r="E345" s="245"/>
      <c r="F345" s="237"/>
      <c r="G345" s="237"/>
      <c r="H345" s="46"/>
      <c r="I345" s="46"/>
      <c r="J345" s="46"/>
      <c r="K345" s="46"/>
      <c r="L345" s="46"/>
      <c r="M345" s="46"/>
      <c r="N345" s="46"/>
      <c r="O345" s="46"/>
      <c r="P345" s="46"/>
      <c r="Q345" s="46"/>
      <c r="R345" s="46"/>
      <c r="S345" s="46"/>
      <c r="T345" s="46"/>
      <c r="U345" s="46"/>
      <c r="V345" s="46"/>
      <c r="W345" s="46"/>
      <c r="X345" s="46"/>
      <c r="Y345" s="46"/>
      <c r="Z345" s="46"/>
      <c r="AA345" s="46"/>
      <c r="AB345" s="46"/>
      <c r="AC345" s="46"/>
      <c r="AD345" s="2"/>
      <c r="AE345" s="46"/>
      <c r="AF345" s="46"/>
      <c r="AG345" s="46"/>
      <c r="AH345" s="46"/>
      <c r="AI345" s="46"/>
      <c r="AJ345" s="46"/>
      <c r="AK345" s="46"/>
      <c r="AL345" s="46"/>
      <c r="AM345" s="46"/>
      <c r="AN345" s="46"/>
      <c r="AO345" s="46"/>
      <c r="AP345" s="46"/>
      <c r="AQ345" s="46"/>
      <c r="AR345" s="46"/>
      <c r="AS345" s="46"/>
      <c r="AT345" s="46"/>
      <c r="AU345" s="46"/>
      <c r="AV345" s="230"/>
      <c r="AW345" s="230"/>
      <c r="AX345" s="230"/>
      <c r="AY345" s="230"/>
      <c r="AZ345" s="230"/>
      <c r="BA345" s="230"/>
      <c r="BB345" s="230"/>
      <c r="BC345" s="230"/>
      <c r="BD345" s="230"/>
      <c r="BE345" s="230"/>
      <c r="BF345" s="230"/>
      <c r="BG345" s="230"/>
      <c r="BH345" s="230"/>
      <c r="BI345" s="230"/>
      <c r="BJ345" s="230"/>
      <c r="BK345" s="230"/>
      <c r="BL345" s="230"/>
      <c r="BM345" s="230"/>
      <c r="BN345" s="230"/>
      <c r="BO345" s="230"/>
      <c r="BP345" s="230"/>
      <c r="BQ345" s="230"/>
    </row>
    <row r="346" spans="1:69" ht="15.75" customHeight="1">
      <c r="A346" s="46"/>
      <c r="B346" s="46"/>
      <c r="C346" s="46"/>
      <c r="D346" s="46"/>
      <c r="E346" s="245"/>
      <c r="F346" s="237"/>
      <c r="G346" s="237"/>
      <c r="H346" s="46"/>
      <c r="I346" s="46"/>
      <c r="J346" s="46"/>
      <c r="K346" s="46"/>
      <c r="L346" s="46"/>
      <c r="M346" s="46"/>
      <c r="N346" s="46"/>
      <c r="O346" s="46"/>
      <c r="P346" s="46"/>
      <c r="Q346" s="46"/>
      <c r="R346" s="46"/>
      <c r="S346" s="46"/>
      <c r="T346" s="46"/>
      <c r="U346" s="46"/>
      <c r="V346" s="46"/>
      <c r="W346" s="46"/>
      <c r="X346" s="46"/>
      <c r="Y346" s="46"/>
      <c r="Z346" s="46"/>
      <c r="AA346" s="46"/>
      <c r="AB346" s="46"/>
      <c r="AC346" s="46"/>
      <c r="AD346" s="2"/>
      <c r="AE346" s="46"/>
      <c r="AF346" s="46"/>
      <c r="AG346" s="46"/>
      <c r="AH346" s="46"/>
      <c r="AI346" s="46"/>
      <c r="AJ346" s="46"/>
      <c r="AK346" s="46"/>
      <c r="AL346" s="46"/>
      <c r="AM346" s="46"/>
      <c r="AN346" s="46"/>
      <c r="AO346" s="46"/>
      <c r="AP346" s="46"/>
      <c r="AQ346" s="46"/>
      <c r="AR346" s="46"/>
      <c r="AS346" s="46"/>
      <c r="AT346" s="46"/>
      <c r="AU346" s="46"/>
      <c r="AV346" s="230"/>
      <c r="AW346" s="230"/>
      <c r="AX346" s="230"/>
      <c r="AY346" s="230"/>
      <c r="AZ346" s="230"/>
      <c r="BA346" s="230"/>
      <c r="BB346" s="230"/>
      <c r="BC346" s="230"/>
      <c r="BD346" s="230"/>
      <c r="BE346" s="230"/>
      <c r="BF346" s="230"/>
      <c r="BG346" s="230"/>
      <c r="BH346" s="230"/>
      <c r="BI346" s="230"/>
      <c r="BJ346" s="230"/>
      <c r="BK346" s="230"/>
      <c r="BL346" s="230"/>
      <c r="BM346" s="230"/>
      <c r="BN346" s="230"/>
      <c r="BO346" s="230"/>
      <c r="BP346" s="230"/>
      <c r="BQ346" s="230"/>
    </row>
    <row r="347" spans="1:69" ht="15.75" customHeight="1">
      <c r="A347" s="46"/>
      <c r="B347" s="46"/>
      <c r="C347" s="46"/>
      <c r="D347" s="46"/>
      <c r="E347" s="245"/>
      <c r="F347" s="237"/>
      <c r="G347" s="237"/>
      <c r="H347" s="46"/>
      <c r="I347" s="46"/>
      <c r="J347" s="46"/>
      <c r="K347" s="46"/>
      <c r="L347" s="46"/>
      <c r="M347" s="46"/>
      <c r="N347" s="46"/>
      <c r="O347" s="46"/>
      <c r="P347" s="46"/>
      <c r="Q347" s="46"/>
      <c r="R347" s="46"/>
      <c r="S347" s="46"/>
      <c r="T347" s="46"/>
      <c r="U347" s="46"/>
      <c r="V347" s="46"/>
      <c r="W347" s="46"/>
      <c r="X347" s="46"/>
      <c r="Y347" s="46"/>
      <c r="Z347" s="46"/>
      <c r="AA347" s="46"/>
      <c r="AB347" s="46"/>
      <c r="AC347" s="46"/>
      <c r="AD347" s="2"/>
      <c r="AE347" s="46"/>
      <c r="AF347" s="46"/>
      <c r="AG347" s="46"/>
      <c r="AH347" s="46"/>
      <c r="AI347" s="46"/>
      <c r="AJ347" s="46"/>
      <c r="AK347" s="46"/>
      <c r="AL347" s="46"/>
      <c r="AM347" s="46"/>
      <c r="AN347" s="46"/>
      <c r="AO347" s="46"/>
      <c r="AP347" s="46"/>
      <c r="AQ347" s="46"/>
      <c r="AR347" s="46"/>
      <c r="AS347" s="46"/>
      <c r="AT347" s="46"/>
      <c r="AU347" s="46"/>
      <c r="AV347" s="230"/>
      <c r="AW347" s="230"/>
      <c r="AX347" s="230"/>
      <c r="AY347" s="230"/>
      <c r="AZ347" s="230"/>
      <c r="BA347" s="230"/>
      <c r="BB347" s="230"/>
      <c r="BC347" s="230"/>
      <c r="BD347" s="230"/>
      <c r="BE347" s="230"/>
      <c r="BF347" s="230"/>
      <c r="BG347" s="230"/>
      <c r="BH347" s="230"/>
      <c r="BI347" s="230"/>
      <c r="BJ347" s="230"/>
      <c r="BK347" s="230"/>
      <c r="BL347" s="230"/>
      <c r="BM347" s="230"/>
      <c r="BN347" s="230"/>
      <c r="BO347" s="230"/>
      <c r="BP347" s="230"/>
      <c r="BQ347" s="230"/>
    </row>
    <row r="348" spans="1:69" ht="15.75" customHeight="1">
      <c r="A348" s="46"/>
      <c r="B348" s="46"/>
      <c r="C348" s="46"/>
      <c r="D348" s="46"/>
      <c r="E348" s="245"/>
      <c r="F348" s="237"/>
      <c r="G348" s="237"/>
      <c r="H348" s="46"/>
      <c r="I348" s="46"/>
      <c r="J348" s="46"/>
      <c r="K348" s="46"/>
      <c r="L348" s="46"/>
      <c r="M348" s="46"/>
      <c r="N348" s="46"/>
      <c r="O348" s="46"/>
      <c r="P348" s="46"/>
      <c r="Q348" s="46"/>
      <c r="R348" s="46"/>
      <c r="S348" s="46"/>
      <c r="T348" s="46"/>
      <c r="U348" s="46"/>
      <c r="V348" s="46"/>
      <c r="W348" s="46"/>
      <c r="X348" s="46"/>
      <c r="Y348" s="46"/>
      <c r="Z348" s="46"/>
      <c r="AA348" s="46"/>
      <c r="AB348" s="46"/>
      <c r="AC348" s="46"/>
      <c r="AD348" s="2"/>
      <c r="AE348" s="46"/>
      <c r="AF348" s="46"/>
      <c r="AG348" s="46"/>
      <c r="AH348" s="46"/>
      <c r="AI348" s="46"/>
      <c r="AJ348" s="46"/>
      <c r="AK348" s="46"/>
      <c r="AL348" s="46"/>
      <c r="AM348" s="46"/>
      <c r="AN348" s="46"/>
      <c r="AO348" s="46"/>
      <c r="AP348" s="46"/>
      <c r="AQ348" s="46"/>
      <c r="AR348" s="46"/>
      <c r="AS348" s="46"/>
      <c r="AT348" s="46"/>
      <c r="AU348" s="46"/>
      <c r="AV348" s="230"/>
      <c r="AW348" s="230"/>
      <c r="AX348" s="230"/>
      <c r="AY348" s="230"/>
      <c r="AZ348" s="230"/>
      <c r="BA348" s="230"/>
      <c r="BB348" s="230"/>
      <c r="BC348" s="230"/>
      <c r="BD348" s="230"/>
      <c r="BE348" s="230"/>
      <c r="BF348" s="230"/>
      <c r="BG348" s="230"/>
      <c r="BH348" s="230"/>
      <c r="BI348" s="230"/>
      <c r="BJ348" s="230"/>
      <c r="BK348" s="230"/>
      <c r="BL348" s="230"/>
      <c r="BM348" s="230"/>
      <c r="BN348" s="230"/>
      <c r="BO348" s="230"/>
      <c r="BP348" s="230"/>
      <c r="BQ348" s="230"/>
    </row>
    <row r="349" spans="1:69" ht="15.75" customHeight="1">
      <c r="A349" s="46"/>
      <c r="B349" s="46"/>
      <c r="C349" s="46"/>
      <c r="D349" s="46"/>
      <c r="E349" s="245"/>
      <c r="F349" s="237"/>
      <c r="G349" s="237"/>
      <c r="H349" s="46"/>
      <c r="I349" s="46"/>
      <c r="J349" s="46"/>
      <c r="K349" s="46"/>
      <c r="L349" s="46"/>
      <c r="M349" s="46"/>
      <c r="N349" s="46"/>
      <c r="O349" s="46"/>
      <c r="P349" s="46"/>
      <c r="Q349" s="46"/>
      <c r="R349" s="46"/>
      <c r="S349" s="46"/>
      <c r="T349" s="46"/>
      <c r="U349" s="46"/>
      <c r="V349" s="46"/>
      <c r="W349" s="46"/>
      <c r="X349" s="46"/>
      <c r="Y349" s="46"/>
      <c r="Z349" s="46"/>
      <c r="AA349" s="46"/>
      <c r="AB349" s="46"/>
      <c r="AC349" s="46"/>
      <c r="AD349" s="2"/>
      <c r="AE349" s="46"/>
      <c r="AF349" s="46"/>
      <c r="AG349" s="46"/>
      <c r="AH349" s="46"/>
      <c r="AI349" s="46"/>
      <c r="AJ349" s="46"/>
      <c r="AK349" s="46"/>
      <c r="AL349" s="46"/>
      <c r="AM349" s="46"/>
      <c r="AN349" s="46"/>
      <c r="AO349" s="46"/>
      <c r="AP349" s="46"/>
      <c r="AQ349" s="46"/>
      <c r="AR349" s="46"/>
      <c r="AS349" s="46"/>
      <c r="AT349" s="46"/>
      <c r="AU349" s="46"/>
      <c r="AV349" s="230"/>
      <c r="AW349" s="230"/>
      <c r="AX349" s="230"/>
      <c r="AY349" s="230"/>
      <c r="AZ349" s="230"/>
      <c r="BA349" s="230"/>
      <c r="BB349" s="230"/>
      <c r="BC349" s="230"/>
      <c r="BD349" s="230"/>
      <c r="BE349" s="230"/>
      <c r="BF349" s="230"/>
      <c r="BG349" s="230"/>
      <c r="BH349" s="230"/>
      <c r="BI349" s="230"/>
      <c r="BJ349" s="230"/>
      <c r="BK349" s="230"/>
      <c r="BL349" s="230"/>
      <c r="BM349" s="230"/>
      <c r="BN349" s="230"/>
      <c r="BO349" s="230"/>
      <c r="BP349" s="230"/>
      <c r="BQ349" s="230"/>
    </row>
    <row r="350" spans="1:69" ht="15.75" customHeight="1">
      <c r="A350" s="46"/>
      <c r="B350" s="46"/>
      <c r="C350" s="46"/>
      <c r="D350" s="46"/>
      <c r="E350" s="245"/>
      <c r="F350" s="237"/>
      <c r="G350" s="237"/>
      <c r="H350" s="46"/>
      <c r="I350" s="46"/>
      <c r="J350" s="46"/>
      <c r="K350" s="46"/>
      <c r="L350" s="46"/>
      <c r="M350" s="46"/>
      <c r="N350" s="46"/>
      <c r="O350" s="46"/>
      <c r="P350" s="46"/>
      <c r="Q350" s="46"/>
      <c r="R350" s="46"/>
      <c r="S350" s="46"/>
      <c r="T350" s="46"/>
      <c r="U350" s="46"/>
      <c r="V350" s="46"/>
      <c r="W350" s="46"/>
      <c r="X350" s="46"/>
      <c r="Y350" s="46"/>
      <c r="Z350" s="46"/>
      <c r="AA350" s="46"/>
      <c r="AB350" s="46"/>
      <c r="AC350" s="46"/>
      <c r="AD350" s="2"/>
      <c r="AE350" s="46"/>
      <c r="AF350" s="46"/>
      <c r="AG350" s="46"/>
      <c r="AH350" s="46"/>
      <c r="AI350" s="46"/>
      <c r="AJ350" s="46"/>
      <c r="AK350" s="46"/>
      <c r="AL350" s="46"/>
      <c r="AM350" s="46"/>
      <c r="AN350" s="46"/>
      <c r="AO350" s="46"/>
      <c r="AP350" s="46"/>
      <c r="AQ350" s="46"/>
      <c r="AR350" s="46"/>
      <c r="AS350" s="46"/>
      <c r="AT350" s="46"/>
      <c r="AU350" s="46"/>
      <c r="AV350" s="230"/>
      <c r="AW350" s="230"/>
      <c r="AX350" s="230"/>
      <c r="AY350" s="230"/>
      <c r="AZ350" s="230"/>
      <c r="BA350" s="230"/>
      <c r="BB350" s="230"/>
      <c r="BC350" s="230"/>
      <c r="BD350" s="230"/>
      <c r="BE350" s="230"/>
      <c r="BF350" s="230"/>
      <c r="BG350" s="230"/>
      <c r="BH350" s="230"/>
      <c r="BI350" s="230"/>
      <c r="BJ350" s="230"/>
      <c r="BK350" s="230"/>
      <c r="BL350" s="230"/>
      <c r="BM350" s="230"/>
      <c r="BN350" s="230"/>
      <c r="BO350" s="230"/>
      <c r="BP350" s="230"/>
      <c r="BQ350" s="230"/>
    </row>
    <row r="351" spans="1:69" ht="15.75" customHeight="1">
      <c r="A351" s="46"/>
      <c r="B351" s="46"/>
      <c r="C351" s="46"/>
      <c r="D351" s="46"/>
      <c r="E351" s="245"/>
      <c r="F351" s="237"/>
      <c r="G351" s="237"/>
      <c r="H351" s="46"/>
      <c r="I351" s="46"/>
      <c r="J351" s="46"/>
      <c r="K351" s="46"/>
      <c r="L351" s="46"/>
      <c r="M351" s="46"/>
      <c r="N351" s="46"/>
      <c r="O351" s="46"/>
      <c r="P351" s="46"/>
      <c r="Q351" s="46"/>
      <c r="R351" s="46"/>
      <c r="S351" s="46"/>
      <c r="T351" s="46"/>
      <c r="U351" s="46"/>
      <c r="V351" s="46"/>
      <c r="W351" s="46"/>
      <c r="X351" s="46"/>
      <c r="Y351" s="46"/>
      <c r="Z351" s="46"/>
      <c r="AA351" s="46"/>
      <c r="AB351" s="46"/>
      <c r="AC351" s="46"/>
      <c r="AD351" s="2"/>
      <c r="AE351" s="46"/>
      <c r="AF351" s="46"/>
      <c r="AG351" s="46"/>
      <c r="AH351" s="46"/>
      <c r="AI351" s="46"/>
      <c r="AJ351" s="46"/>
      <c r="AK351" s="46"/>
      <c r="AL351" s="46"/>
      <c r="AM351" s="46"/>
      <c r="AN351" s="46"/>
      <c r="AO351" s="46"/>
      <c r="AP351" s="46"/>
      <c r="AQ351" s="46"/>
      <c r="AR351" s="46"/>
      <c r="AS351" s="46"/>
      <c r="AT351" s="46"/>
      <c r="AU351" s="46"/>
      <c r="AV351" s="230"/>
      <c r="AW351" s="230"/>
      <c r="AX351" s="230"/>
      <c r="AY351" s="230"/>
      <c r="AZ351" s="230"/>
      <c r="BA351" s="230"/>
      <c r="BB351" s="230"/>
      <c r="BC351" s="230"/>
      <c r="BD351" s="230"/>
      <c r="BE351" s="230"/>
      <c r="BF351" s="230"/>
      <c r="BG351" s="230"/>
      <c r="BH351" s="230"/>
      <c r="BI351" s="230"/>
      <c r="BJ351" s="230"/>
      <c r="BK351" s="230"/>
      <c r="BL351" s="230"/>
      <c r="BM351" s="230"/>
      <c r="BN351" s="230"/>
      <c r="BO351" s="230"/>
      <c r="BP351" s="230"/>
      <c r="BQ351" s="230"/>
    </row>
    <row r="352" spans="1:69" ht="15.75" customHeight="1">
      <c r="A352" s="46"/>
      <c r="B352" s="46"/>
      <c r="C352" s="46"/>
      <c r="D352" s="46"/>
      <c r="E352" s="245"/>
      <c r="F352" s="237"/>
      <c r="G352" s="237"/>
      <c r="H352" s="46"/>
      <c r="I352" s="46"/>
      <c r="J352" s="46"/>
      <c r="K352" s="46"/>
      <c r="L352" s="46"/>
      <c r="M352" s="46"/>
      <c r="N352" s="46"/>
      <c r="O352" s="46"/>
      <c r="P352" s="46"/>
      <c r="Q352" s="46"/>
      <c r="R352" s="46"/>
      <c r="S352" s="46"/>
      <c r="T352" s="46"/>
      <c r="U352" s="46"/>
      <c r="V352" s="46"/>
      <c r="W352" s="46"/>
      <c r="X352" s="46"/>
      <c r="Y352" s="46"/>
      <c r="Z352" s="46"/>
      <c r="AA352" s="46"/>
      <c r="AB352" s="46"/>
      <c r="AC352" s="46"/>
      <c r="AD352" s="2"/>
      <c r="AE352" s="46"/>
      <c r="AF352" s="46"/>
      <c r="AG352" s="46"/>
      <c r="AH352" s="46"/>
      <c r="AI352" s="46"/>
      <c r="AJ352" s="46"/>
      <c r="AK352" s="46"/>
      <c r="AL352" s="46"/>
      <c r="AM352" s="46"/>
      <c r="AN352" s="46"/>
      <c r="AO352" s="46"/>
      <c r="AP352" s="46"/>
      <c r="AQ352" s="46"/>
      <c r="AR352" s="46"/>
      <c r="AS352" s="46"/>
      <c r="AT352" s="46"/>
      <c r="AU352" s="46"/>
      <c r="AV352" s="230"/>
      <c r="AW352" s="230"/>
      <c r="AX352" s="230"/>
      <c r="AY352" s="230"/>
      <c r="AZ352" s="230"/>
      <c r="BA352" s="230"/>
      <c r="BB352" s="230"/>
      <c r="BC352" s="230"/>
      <c r="BD352" s="230"/>
      <c r="BE352" s="230"/>
      <c r="BF352" s="230"/>
      <c r="BG352" s="230"/>
      <c r="BH352" s="230"/>
      <c r="BI352" s="230"/>
      <c r="BJ352" s="230"/>
      <c r="BK352" s="230"/>
      <c r="BL352" s="230"/>
      <c r="BM352" s="230"/>
      <c r="BN352" s="230"/>
      <c r="BO352" s="230"/>
      <c r="BP352" s="230"/>
      <c r="BQ352" s="230"/>
    </row>
    <row r="353" spans="1:69" ht="15.75" customHeight="1">
      <c r="A353" s="46"/>
      <c r="B353" s="46"/>
      <c r="C353" s="46"/>
      <c r="D353" s="46"/>
      <c r="E353" s="245"/>
      <c r="F353" s="237"/>
      <c r="G353" s="237"/>
      <c r="H353" s="46"/>
      <c r="I353" s="46"/>
      <c r="J353" s="46"/>
      <c r="K353" s="46"/>
      <c r="L353" s="46"/>
      <c r="M353" s="46"/>
      <c r="N353" s="46"/>
      <c r="O353" s="46"/>
      <c r="P353" s="46"/>
      <c r="Q353" s="46"/>
      <c r="R353" s="46"/>
      <c r="S353" s="46"/>
      <c r="T353" s="46"/>
      <c r="U353" s="46"/>
      <c r="V353" s="46"/>
      <c r="W353" s="46"/>
      <c r="X353" s="46"/>
      <c r="Y353" s="46"/>
      <c r="Z353" s="46"/>
      <c r="AA353" s="46"/>
      <c r="AB353" s="46"/>
      <c r="AC353" s="46"/>
      <c r="AD353" s="2"/>
      <c r="AE353" s="46"/>
      <c r="AF353" s="46"/>
      <c r="AG353" s="46"/>
      <c r="AH353" s="46"/>
      <c r="AI353" s="46"/>
      <c r="AJ353" s="46"/>
      <c r="AK353" s="46"/>
      <c r="AL353" s="46"/>
      <c r="AM353" s="46"/>
      <c r="AN353" s="46"/>
      <c r="AO353" s="46"/>
      <c r="AP353" s="46"/>
      <c r="AQ353" s="46"/>
      <c r="AR353" s="46"/>
      <c r="AS353" s="46"/>
      <c r="AT353" s="46"/>
      <c r="AU353" s="46"/>
      <c r="AV353" s="230"/>
      <c r="AW353" s="230"/>
      <c r="AX353" s="230"/>
      <c r="AY353" s="230"/>
      <c r="AZ353" s="230"/>
      <c r="BA353" s="230"/>
      <c r="BB353" s="230"/>
      <c r="BC353" s="230"/>
      <c r="BD353" s="230"/>
      <c r="BE353" s="230"/>
      <c r="BF353" s="230"/>
      <c r="BG353" s="230"/>
      <c r="BH353" s="230"/>
      <c r="BI353" s="230"/>
      <c r="BJ353" s="230"/>
      <c r="BK353" s="230"/>
      <c r="BL353" s="230"/>
      <c r="BM353" s="230"/>
      <c r="BN353" s="230"/>
      <c r="BO353" s="230"/>
      <c r="BP353" s="230"/>
      <c r="BQ353" s="230"/>
    </row>
    <row r="354" spans="1:69" ht="15.75" customHeight="1">
      <c r="A354" s="46"/>
      <c r="B354" s="46"/>
      <c r="C354" s="46"/>
      <c r="D354" s="46"/>
      <c r="E354" s="245"/>
      <c r="F354" s="237"/>
      <c r="G354" s="237"/>
      <c r="H354" s="46"/>
      <c r="I354" s="46"/>
      <c r="J354" s="46"/>
      <c r="K354" s="46"/>
      <c r="L354" s="46"/>
      <c r="M354" s="46"/>
      <c r="N354" s="46"/>
      <c r="O354" s="46"/>
      <c r="P354" s="46"/>
      <c r="Q354" s="46"/>
      <c r="R354" s="46"/>
      <c r="S354" s="46"/>
      <c r="T354" s="46"/>
      <c r="U354" s="46"/>
      <c r="V354" s="46"/>
      <c r="W354" s="46"/>
      <c r="X354" s="46"/>
      <c r="Y354" s="46"/>
      <c r="Z354" s="46"/>
      <c r="AA354" s="46"/>
      <c r="AB354" s="46"/>
      <c r="AC354" s="46"/>
      <c r="AD354" s="2"/>
      <c r="AE354" s="46"/>
      <c r="AF354" s="46"/>
      <c r="AG354" s="46"/>
      <c r="AH354" s="46"/>
      <c r="AI354" s="46"/>
      <c r="AJ354" s="46"/>
      <c r="AK354" s="46"/>
      <c r="AL354" s="46"/>
      <c r="AM354" s="46"/>
      <c r="AN354" s="46"/>
      <c r="AO354" s="46"/>
      <c r="AP354" s="46"/>
      <c r="AQ354" s="46"/>
      <c r="AR354" s="46"/>
      <c r="AS354" s="46"/>
      <c r="AT354" s="46"/>
      <c r="AU354" s="46"/>
      <c r="AV354" s="230"/>
      <c r="AW354" s="230"/>
      <c r="AX354" s="230"/>
      <c r="AY354" s="230"/>
      <c r="AZ354" s="230"/>
      <c r="BA354" s="230"/>
      <c r="BB354" s="230"/>
      <c r="BC354" s="230"/>
      <c r="BD354" s="230"/>
      <c r="BE354" s="230"/>
      <c r="BF354" s="230"/>
      <c r="BG354" s="230"/>
      <c r="BH354" s="230"/>
      <c r="BI354" s="230"/>
      <c r="BJ354" s="230"/>
      <c r="BK354" s="230"/>
      <c r="BL354" s="230"/>
      <c r="BM354" s="230"/>
      <c r="BN354" s="230"/>
      <c r="BO354" s="230"/>
      <c r="BP354" s="230"/>
      <c r="BQ354" s="230"/>
    </row>
    <row r="355" spans="1:69" ht="15.75" customHeight="1">
      <c r="A355" s="46"/>
      <c r="B355" s="46"/>
      <c r="C355" s="46"/>
      <c r="D355" s="46"/>
      <c r="E355" s="245"/>
      <c r="F355" s="237"/>
      <c r="G355" s="237"/>
      <c r="H355" s="46"/>
      <c r="I355" s="46"/>
      <c r="J355" s="46"/>
      <c r="K355" s="46"/>
      <c r="L355" s="46"/>
      <c r="M355" s="46"/>
      <c r="N355" s="46"/>
      <c r="O355" s="46"/>
      <c r="P355" s="46"/>
      <c r="Q355" s="46"/>
      <c r="R355" s="46"/>
      <c r="S355" s="46"/>
      <c r="T355" s="46"/>
      <c r="U355" s="46"/>
      <c r="V355" s="46"/>
      <c r="W355" s="46"/>
      <c r="X355" s="46"/>
      <c r="Y355" s="46"/>
      <c r="Z355" s="46"/>
      <c r="AA355" s="46"/>
      <c r="AB355" s="46"/>
      <c r="AC355" s="46"/>
      <c r="AD355" s="2"/>
      <c r="AE355" s="46"/>
      <c r="AF355" s="46"/>
      <c r="AG355" s="46"/>
      <c r="AH355" s="46"/>
      <c r="AI355" s="46"/>
      <c r="AJ355" s="46"/>
      <c r="AK355" s="46"/>
      <c r="AL355" s="46"/>
      <c r="AM355" s="46"/>
      <c r="AN355" s="46"/>
      <c r="AO355" s="46"/>
      <c r="AP355" s="46"/>
      <c r="AQ355" s="46"/>
      <c r="AR355" s="46"/>
      <c r="AS355" s="46"/>
      <c r="AT355" s="46"/>
      <c r="AU355" s="46"/>
      <c r="AV355" s="230"/>
      <c r="AW355" s="230"/>
      <c r="AX355" s="230"/>
      <c r="AY355" s="230"/>
      <c r="AZ355" s="230"/>
      <c r="BA355" s="230"/>
      <c r="BB355" s="230"/>
      <c r="BC355" s="230"/>
      <c r="BD355" s="230"/>
      <c r="BE355" s="230"/>
      <c r="BF355" s="230"/>
      <c r="BG355" s="230"/>
      <c r="BH355" s="230"/>
      <c r="BI355" s="230"/>
      <c r="BJ355" s="230"/>
      <c r="BK355" s="230"/>
      <c r="BL355" s="230"/>
      <c r="BM355" s="230"/>
      <c r="BN355" s="230"/>
      <c r="BO355" s="230"/>
      <c r="BP355" s="230"/>
      <c r="BQ355" s="230"/>
    </row>
    <row r="356" spans="1:69" ht="15.75" customHeight="1">
      <c r="A356" s="46"/>
      <c r="B356" s="46"/>
      <c r="C356" s="46"/>
      <c r="D356" s="46"/>
      <c r="E356" s="245"/>
      <c r="F356" s="237"/>
      <c r="G356" s="237"/>
      <c r="H356" s="46"/>
      <c r="I356" s="46"/>
      <c r="J356" s="46"/>
      <c r="K356" s="46"/>
      <c r="L356" s="46"/>
      <c r="M356" s="46"/>
      <c r="N356" s="46"/>
      <c r="O356" s="46"/>
      <c r="P356" s="46"/>
      <c r="Q356" s="46"/>
      <c r="R356" s="46"/>
      <c r="S356" s="46"/>
      <c r="T356" s="46"/>
      <c r="U356" s="46"/>
      <c r="V356" s="46"/>
      <c r="W356" s="46"/>
      <c r="X356" s="46"/>
      <c r="Y356" s="46"/>
      <c r="Z356" s="46"/>
      <c r="AA356" s="46"/>
      <c r="AB356" s="46"/>
      <c r="AC356" s="46"/>
      <c r="AD356" s="2"/>
      <c r="AE356" s="46"/>
      <c r="AF356" s="46"/>
      <c r="AG356" s="46"/>
      <c r="AH356" s="46"/>
      <c r="AI356" s="46"/>
      <c r="AJ356" s="46"/>
      <c r="AK356" s="46"/>
      <c r="AL356" s="46"/>
      <c r="AM356" s="46"/>
      <c r="AN356" s="46"/>
      <c r="AO356" s="46"/>
      <c r="AP356" s="46"/>
      <c r="AQ356" s="46"/>
      <c r="AR356" s="46"/>
      <c r="AS356" s="46"/>
      <c r="AT356" s="46"/>
      <c r="AU356" s="46"/>
      <c r="AV356" s="230"/>
      <c r="AW356" s="230"/>
      <c r="AX356" s="230"/>
      <c r="AY356" s="230"/>
      <c r="AZ356" s="230"/>
      <c r="BA356" s="230"/>
      <c r="BB356" s="230"/>
      <c r="BC356" s="230"/>
      <c r="BD356" s="230"/>
      <c r="BE356" s="230"/>
      <c r="BF356" s="230"/>
      <c r="BG356" s="230"/>
      <c r="BH356" s="230"/>
      <c r="BI356" s="230"/>
      <c r="BJ356" s="230"/>
      <c r="BK356" s="230"/>
      <c r="BL356" s="230"/>
      <c r="BM356" s="230"/>
      <c r="BN356" s="230"/>
      <c r="BO356" s="230"/>
      <c r="BP356" s="230"/>
      <c r="BQ356" s="230"/>
    </row>
    <row r="357" spans="1:69" ht="15.75" customHeight="1">
      <c r="A357" s="46"/>
      <c r="B357" s="46"/>
      <c r="C357" s="46"/>
      <c r="D357" s="46"/>
      <c r="E357" s="245"/>
      <c r="F357" s="237"/>
      <c r="G357" s="237"/>
      <c r="H357" s="46"/>
      <c r="I357" s="46"/>
      <c r="J357" s="46"/>
      <c r="K357" s="46"/>
      <c r="L357" s="46"/>
      <c r="M357" s="46"/>
      <c r="N357" s="46"/>
      <c r="O357" s="46"/>
      <c r="P357" s="46"/>
      <c r="Q357" s="46"/>
      <c r="R357" s="46"/>
      <c r="S357" s="46"/>
      <c r="T357" s="46"/>
      <c r="U357" s="46"/>
      <c r="V357" s="46"/>
      <c r="W357" s="46"/>
      <c r="X357" s="46"/>
      <c r="Y357" s="46"/>
      <c r="Z357" s="46"/>
      <c r="AA357" s="46"/>
      <c r="AB357" s="46"/>
      <c r="AC357" s="46"/>
      <c r="AD357" s="2"/>
      <c r="AE357" s="46"/>
      <c r="AF357" s="46"/>
      <c r="AG357" s="46"/>
      <c r="AH357" s="46"/>
      <c r="AI357" s="46"/>
      <c r="AJ357" s="46"/>
      <c r="AK357" s="46"/>
      <c r="AL357" s="46"/>
      <c r="AM357" s="46"/>
      <c r="AN357" s="46"/>
      <c r="AO357" s="46"/>
      <c r="AP357" s="46"/>
      <c r="AQ357" s="46"/>
      <c r="AR357" s="46"/>
      <c r="AS357" s="46"/>
      <c r="AT357" s="46"/>
      <c r="AU357" s="46"/>
      <c r="AV357" s="230"/>
      <c r="AW357" s="230"/>
      <c r="AX357" s="230"/>
      <c r="AY357" s="230"/>
      <c r="AZ357" s="230"/>
      <c r="BA357" s="230"/>
      <c r="BB357" s="230"/>
      <c r="BC357" s="230"/>
      <c r="BD357" s="230"/>
      <c r="BE357" s="230"/>
      <c r="BF357" s="230"/>
      <c r="BG357" s="230"/>
      <c r="BH357" s="230"/>
      <c r="BI357" s="230"/>
      <c r="BJ357" s="230"/>
      <c r="BK357" s="230"/>
      <c r="BL357" s="230"/>
      <c r="BM357" s="230"/>
      <c r="BN357" s="230"/>
      <c r="BO357" s="230"/>
      <c r="BP357" s="230"/>
      <c r="BQ357" s="230"/>
    </row>
    <row r="358" spans="1:69" ht="15.75" customHeight="1">
      <c r="A358" s="46"/>
      <c r="B358" s="46"/>
      <c r="C358" s="46"/>
      <c r="D358" s="46"/>
      <c r="E358" s="245"/>
      <c r="F358" s="237"/>
      <c r="G358" s="237"/>
      <c r="H358" s="46"/>
      <c r="I358" s="46"/>
      <c r="J358" s="46"/>
      <c r="K358" s="46"/>
      <c r="L358" s="46"/>
      <c r="M358" s="46"/>
      <c r="N358" s="46"/>
      <c r="O358" s="46"/>
      <c r="P358" s="46"/>
      <c r="Q358" s="46"/>
      <c r="R358" s="46"/>
      <c r="S358" s="46"/>
      <c r="T358" s="46"/>
      <c r="U358" s="46"/>
      <c r="V358" s="46"/>
      <c r="W358" s="46"/>
      <c r="X358" s="46"/>
      <c r="Y358" s="46"/>
      <c r="Z358" s="46"/>
      <c r="AA358" s="46"/>
      <c r="AB358" s="46"/>
      <c r="AC358" s="46"/>
      <c r="AD358" s="2"/>
      <c r="AE358" s="46"/>
      <c r="AF358" s="46"/>
      <c r="AG358" s="46"/>
      <c r="AH358" s="46"/>
      <c r="AI358" s="46"/>
      <c r="AJ358" s="46"/>
      <c r="AK358" s="46"/>
      <c r="AL358" s="46"/>
      <c r="AM358" s="46"/>
      <c r="AN358" s="46"/>
      <c r="AO358" s="46"/>
      <c r="AP358" s="46"/>
      <c r="AQ358" s="46"/>
      <c r="AR358" s="46"/>
      <c r="AS358" s="46"/>
      <c r="AT358" s="46"/>
      <c r="AU358" s="46"/>
      <c r="AV358" s="230"/>
      <c r="AW358" s="230"/>
      <c r="AX358" s="230"/>
      <c r="AY358" s="230"/>
      <c r="AZ358" s="230"/>
      <c r="BA358" s="230"/>
      <c r="BB358" s="230"/>
      <c r="BC358" s="230"/>
      <c r="BD358" s="230"/>
      <c r="BE358" s="230"/>
      <c r="BF358" s="230"/>
      <c r="BG358" s="230"/>
      <c r="BH358" s="230"/>
      <c r="BI358" s="230"/>
      <c r="BJ358" s="230"/>
      <c r="BK358" s="230"/>
      <c r="BL358" s="230"/>
      <c r="BM358" s="230"/>
      <c r="BN358" s="230"/>
      <c r="BO358" s="230"/>
      <c r="BP358" s="230"/>
      <c r="BQ358" s="230"/>
    </row>
    <row r="359" spans="1:69" ht="15.75" customHeight="1">
      <c r="A359" s="46"/>
      <c r="B359" s="46"/>
      <c r="C359" s="46"/>
      <c r="D359" s="46"/>
      <c r="E359" s="245"/>
      <c r="F359" s="237"/>
      <c r="G359" s="237"/>
      <c r="H359" s="46"/>
      <c r="I359" s="46"/>
      <c r="J359" s="46"/>
      <c r="K359" s="46"/>
      <c r="L359" s="46"/>
      <c r="M359" s="46"/>
      <c r="N359" s="46"/>
      <c r="O359" s="46"/>
      <c r="P359" s="46"/>
      <c r="Q359" s="46"/>
      <c r="R359" s="46"/>
      <c r="S359" s="46"/>
      <c r="T359" s="46"/>
      <c r="U359" s="46"/>
      <c r="V359" s="46"/>
      <c r="W359" s="46"/>
      <c r="X359" s="46"/>
      <c r="Y359" s="46"/>
      <c r="Z359" s="46"/>
      <c r="AA359" s="46"/>
      <c r="AB359" s="46"/>
      <c r="AC359" s="46"/>
      <c r="AD359" s="2"/>
      <c r="AE359" s="46"/>
      <c r="AF359" s="46"/>
      <c r="AG359" s="46"/>
      <c r="AH359" s="46"/>
      <c r="AI359" s="46"/>
      <c r="AJ359" s="46"/>
      <c r="AK359" s="46"/>
      <c r="AL359" s="46"/>
      <c r="AM359" s="46"/>
      <c r="AN359" s="46"/>
      <c r="AO359" s="46"/>
      <c r="AP359" s="46"/>
      <c r="AQ359" s="46"/>
      <c r="AR359" s="46"/>
      <c r="AS359" s="46"/>
      <c r="AT359" s="46"/>
      <c r="AU359" s="46"/>
      <c r="AV359" s="230"/>
      <c r="AW359" s="230"/>
      <c r="AX359" s="230"/>
      <c r="AY359" s="230"/>
      <c r="AZ359" s="230"/>
      <c r="BA359" s="230"/>
      <c r="BB359" s="230"/>
      <c r="BC359" s="230"/>
      <c r="BD359" s="230"/>
      <c r="BE359" s="230"/>
      <c r="BF359" s="230"/>
      <c r="BG359" s="230"/>
      <c r="BH359" s="230"/>
      <c r="BI359" s="230"/>
      <c r="BJ359" s="230"/>
      <c r="BK359" s="230"/>
      <c r="BL359" s="230"/>
      <c r="BM359" s="230"/>
      <c r="BN359" s="230"/>
      <c r="BO359" s="230"/>
      <c r="BP359" s="230"/>
      <c r="BQ359" s="230"/>
    </row>
    <row r="360" spans="1:69" ht="15.75" customHeight="1">
      <c r="A360" s="46"/>
      <c r="B360" s="46"/>
      <c r="C360" s="46"/>
      <c r="D360" s="46"/>
      <c r="E360" s="245"/>
      <c r="F360" s="237"/>
      <c r="G360" s="237"/>
      <c r="H360" s="46"/>
      <c r="I360" s="46"/>
      <c r="J360" s="46"/>
      <c r="K360" s="46"/>
      <c r="L360" s="46"/>
      <c r="M360" s="46"/>
      <c r="N360" s="46"/>
      <c r="O360" s="46"/>
      <c r="P360" s="46"/>
      <c r="Q360" s="46"/>
      <c r="R360" s="46"/>
      <c r="S360" s="46"/>
      <c r="T360" s="46"/>
      <c r="U360" s="46"/>
      <c r="V360" s="46"/>
      <c r="W360" s="46"/>
      <c r="X360" s="46"/>
      <c r="Y360" s="46"/>
      <c r="Z360" s="46"/>
      <c r="AA360" s="46"/>
      <c r="AB360" s="46"/>
      <c r="AC360" s="46"/>
      <c r="AD360" s="2"/>
      <c r="AE360" s="46"/>
      <c r="AF360" s="46"/>
      <c r="AG360" s="46"/>
      <c r="AH360" s="46"/>
      <c r="AI360" s="46"/>
      <c r="AJ360" s="46"/>
      <c r="AK360" s="46"/>
      <c r="AL360" s="46"/>
      <c r="AM360" s="46"/>
      <c r="AN360" s="46"/>
      <c r="AO360" s="46"/>
      <c r="AP360" s="46"/>
      <c r="AQ360" s="46"/>
      <c r="AR360" s="46"/>
      <c r="AS360" s="46"/>
      <c r="AT360" s="46"/>
      <c r="AU360" s="46"/>
      <c r="AV360" s="230"/>
      <c r="AW360" s="230"/>
      <c r="AX360" s="230"/>
      <c r="AY360" s="230"/>
      <c r="AZ360" s="230"/>
      <c r="BA360" s="230"/>
      <c r="BB360" s="230"/>
      <c r="BC360" s="230"/>
      <c r="BD360" s="230"/>
      <c r="BE360" s="230"/>
      <c r="BF360" s="230"/>
      <c r="BG360" s="230"/>
      <c r="BH360" s="230"/>
      <c r="BI360" s="230"/>
      <c r="BJ360" s="230"/>
      <c r="BK360" s="230"/>
      <c r="BL360" s="230"/>
      <c r="BM360" s="230"/>
      <c r="BN360" s="230"/>
      <c r="BO360" s="230"/>
      <c r="BP360" s="230"/>
      <c r="BQ360" s="230"/>
    </row>
    <row r="361" spans="1:69" ht="15.75" customHeight="1">
      <c r="A361" s="46"/>
      <c r="B361" s="46"/>
      <c r="C361" s="46"/>
      <c r="D361" s="46"/>
      <c r="E361" s="245"/>
      <c r="F361" s="237"/>
      <c r="G361" s="237"/>
      <c r="H361" s="46"/>
      <c r="I361" s="46"/>
      <c r="J361" s="46"/>
      <c r="K361" s="46"/>
      <c r="L361" s="46"/>
      <c r="M361" s="46"/>
      <c r="N361" s="46"/>
      <c r="O361" s="46"/>
      <c r="P361" s="46"/>
      <c r="Q361" s="46"/>
      <c r="R361" s="46"/>
      <c r="S361" s="46"/>
      <c r="T361" s="46"/>
      <c r="U361" s="46"/>
      <c r="V361" s="46"/>
      <c r="W361" s="46"/>
      <c r="X361" s="46"/>
      <c r="Y361" s="46"/>
      <c r="Z361" s="46"/>
      <c r="AA361" s="46"/>
      <c r="AB361" s="46"/>
      <c r="AC361" s="46"/>
      <c r="AD361" s="2"/>
      <c r="AE361" s="46"/>
      <c r="AF361" s="46"/>
      <c r="AG361" s="46"/>
      <c r="AH361" s="46"/>
      <c r="AI361" s="46"/>
      <c r="AJ361" s="46"/>
      <c r="AK361" s="46"/>
      <c r="AL361" s="46"/>
      <c r="AM361" s="46"/>
      <c r="AN361" s="46"/>
      <c r="AO361" s="46"/>
      <c r="AP361" s="46"/>
      <c r="AQ361" s="46"/>
      <c r="AR361" s="46"/>
      <c r="AS361" s="46"/>
      <c r="AT361" s="46"/>
      <c r="AU361" s="46"/>
      <c r="AV361" s="230"/>
      <c r="AW361" s="230"/>
      <c r="AX361" s="230"/>
      <c r="AY361" s="230"/>
      <c r="AZ361" s="230"/>
      <c r="BA361" s="230"/>
      <c r="BB361" s="230"/>
      <c r="BC361" s="230"/>
      <c r="BD361" s="230"/>
      <c r="BE361" s="230"/>
      <c r="BF361" s="230"/>
      <c r="BG361" s="230"/>
      <c r="BH361" s="230"/>
      <c r="BI361" s="230"/>
      <c r="BJ361" s="230"/>
      <c r="BK361" s="230"/>
      <c r="BL361" s="230"/>
      <c r="BM361" s="230"/>
      <c r="BN361" s="230"/>
      <c r="BO361" s="230"/>
      <c r="BP361" s="230"/>
      <c r="BQ361" s="230"/>
    </row>
    <row r="362" spans="1:69" ht="15.75" customHeight="1">
      <c r="A362" s="46"/>
      <c r="B362" s="46"/>
      <c r="C362" s="46"/>
      <c r="D362" s="46"/>
      <c r="E362" s="245"/>
      <c r="F362" s="237"/>
      <c r="G362" s="237"/>
      <c r="H362" s="46"/>
      <c r="I362" s="46"/>
      <c r="J362" s="46"/>
      <c r="K362" s="46"/>
      <c r="L362" s="46"/>
      <c r="M362" s="46"/>
      <c r="N362" s="46"/>
      <c r="O362" s="46"/>
      <c r="P362" s="46"/>
      <c r="Q362" s="46"/>
      <c r="R362" s="46"/>
      <c r="S362" s="46"/>
      <c r="T362" s="46"/>
      <c r="U362" s="46"/>
      <c r="V362" s="46"/>
      <c r="W362" s="46"/>
      <c r="X362" s="46"/>
      <c r="Y362" s="46"/>
      <c r="Z362" s="46"/>
      <c r="AA362" s="46"/>
      <c r="AB362" s="46"/>
      <c r="AC362" s="46"/>
      <c r="AD362" s="2"/>
      <c r="AE362" s="46"/>
      <c r="AF362" s="46"/>
      <c r="AG362" s="46"/>
      <c r="AH362" s="46"/>
      <c r="AI362" s="46"/>
      <c r="AJ362" s="46"/>
      <c r="AK362" s="46"/>
      <c r="AL362" s="46"/>
      <c r="AM362" s="46"/>
      <c r="AN362" s="46"/>
      <c r="AO362" s="46"/>
      <c r="AP362" s="46"/>
      <c r="AQ362" s="46"/>
      <c r="AR362" s="46"/>
      <c r="AS362" s="46"/>
      <c r="AT362" s="46"/>
      <c r="AU362" s="46"/>
      <c r="AV362" s="230"/>
      <c r="AW362" s="230"/>
      <c r="AX362" s="230"/>
      <c r="AY362" s="230"/>
      <c r="AZ362" s="230"/>
      <c r="BA362" s="230"/>
      <c r="BB362" s="230"/>
      <c r="BC362" s="230"/>
      <c r="BD362" s="230"/>
      <c r="BE362" s="230"/>
      <c r="BF362" s="230"/>
      <c r="BG362" s="230"/>
      <c r="BH362" s="230"/>
      <c r="BI362" s="230"/>
      <c r="BJ362" s="230"/>
      <c r="BK362" s="230"/>
      <c r="BL362" s="230"/>
      <c r="BM362" s="230"/>
      <c r="BN362" s="230"/>
      <c r="BO362" s="230"/>
      <c r="BP362" s="230"/>
      <c r="BQ362" s="230"/>
    </row>
    <row r="363" spans="1:69" ht="15.75" customHeight="1">
      <c r="A363" s="46"/>
      <c r="B363" s="46"/>
      <c r="C363" s="46"/>
      <c r="D363" s="46"/>
      <c r="E363" s="245"/>
      <c r="F363" s="237"/>
      <c r="G363" s="237"/>
      <c r="H363" s="46"/>
      <c r="I363" s="46"/>
      <c r="J363" s="46"/>
      <c r="K363" s="46"/>
      <c r="L363" s="46"/>
      <c r="M363" s="46"/>
      <c r="N363" s="46"/>
      <c r="O363" s="46"/>
      <c r="P363" s="46"/>
      <c r="Q363" s="46"/>
      <c r="R363" s="46"/>
      <c r="S363" s="46"/>
      <c r="T363" s="46"/>
      <c r="U363" s="46"/>
      <c r="V363" s="46"/>
      <c r="W363" s="46"/>
      <c r="X363" s="46"/>
      <c r="Y363" s="46"/>
      <c r="Z363" s="46"/>
      <c r="AA363" s="46"/>
      <c r="AB363" s="46"/>
      <c r="AC363" s="46"/>
      <c r="AD363" s="2"/>
      <c r="AE363" s="46"/>
      <c r="AF363" s="46"/>
      <c r="AG363" s="46"/>
      <c r="AH363" s="46"/>
      <c r="AI363" s="46"/>
      <c r="AJ363" s="46"/>
      <c r="AK363" s="46"/>
      <c r="AL363" s="46"/>
      <c r="AM363" s="46"/>
      <c r="AN363" s="46"/>
      <c r="AO363" s="46"/>
      <c r="AP363" s="46"/>
      <c r="AQ363" s="46"/>
      <c r="AR363" s="46"/>
      <c r="AS363" s="46"/>
      <c r="AT363" s="46"/>
      <c r="AU363" s="46"/>
      <c r="AV363" s="230"/>
      <c r="AW363" s="230"/>
      <c r="AX363" s="230"/>
      <c r="AY363" s="230"/>
      <c r="AZ363" s="230"/>
      <c r="BA363" s="230"/>
      <c r="BB363" s="230"/>
      <c r="BC363" s="230"/>
      <c r="BD363" s="230"/>
      <c r="BE363" s="230"/>
      <c r="BF363" s="230"/>
      <c r="BG363" s="230"/>
      <c r="BH363" s="230"/>
      <c r="BI363" s="230"/>
      <c r="BJ363" s="230"/>
      <c r="BK363" s="230"/>
      <c r="BL363" s="230"/>
      <c r="BM363" s="230"/>
      <c r="BN363" s="230"/>
      <c r="BO363" s="230"/>
      <c r="BP363" s="230"/>
      <c r="BQ363" s="230"/>
    </row>
    <row r="364" spans="1:69" ht="15.75" customHeight="1">
      <c r="A364" s="46"/>
      <c r="B364" s="46"/>
      <c r="C364" s="46"/>
      <c r="D364" s="46"/>
      <c r="E364" s="245"/>
      <c r="F364" s="237"/>
      <c r="G364" s="237"/>
      <c r="H364" s="46"/>
      <c r="I364" s="46"/>
      <c r="J364" s="46"/>
      <c r="K364" s="46"/>
      <c r="L364" s="46"/>
      <c r="M364" s="46"/>
      <c r="N364" s="46"/>
      <c r="O364" s="46"/>
      <c r="P364" s="46"/>
      <c r="Q364" s="46"/>
      <c r="R364" s="46"/>
      <c r="S364" s="46"/>
      <c r="T364" s="46"/>
      <c r="U364" s="46"/>
      <c r="V364" s="46"/>
      <c r="W364" s="46"/>
      <c r="X364" s="46"/>
      <c r="Y364" s="46"/>
      <c r="Z364" s="46"/>
      <c r="AA364" s="46"/>
      <c r="AB364" s="46"/>
      <c r="AC364" s="46"/>
      <c r="AD364" s="2"/>
      <c r="AE364" s="46"/>
      <c r="AF364" s="46"/>
      <c r="AG364" s="46"/>
      <c r="AH364" s="46"/>
      <c r="AI364" s="46"/>
      <c r="AJ364" s="46"/>
      <c r="AK364" s="46"/>
      <c r="AL364" s="46"/>
      <c r="AM364" s="46"/>
      <c r="AN364" s="46"/>
      <c r="AO364" s="46"/>
      <c r="AP364" s="46"/>
      <c r="AQ364" s="46"/>
      <c r="AR364" s="46"/>
      <c r="AS364" s="46"/>
      <c r="AT364" s="46"/>
      <c r="AU364" s="46"/>
      <c r="AV364" s="230"/>
      <c r="AW364" s="230"/>
      <c r="AX364" s="230"/>
      <c r="AY364" s="230"/>
      <c r="AZ364" s="230"/>
      <c r="BA364" s="230"/>
      <c r="BB364" s="230"/>
      <c r="BC364" s="230"/>
      <c r="BD364" s="230"/>
      <c r="BE364" s="230"/>
      <c r="BF364" s="230"/>
      <c r="BG364" s="230"/>
      <c r="BH364" s="230"/>
      <c r="BI364" s="230"/>
      <c r="BJ364" s="230"/>
      <c r="BK364" s="230"/>
      <c r="BL364" s="230"/>
      <c r="BM364" s="230"/>
      <c r="BN364" s="230"/>
      <c r="BO364" s="230"/>
      <c r="BP364" s="230"/>
      <c r="BQ364" s="230"/>
    </row>
    <row r="365" spans="1:69" ht="15.75" customHeight="1">
      <c r="A365" s="46"/>
      <c r="B365" s="46"/>
      <c r="C365" s="46"/>
      <c r="D365" s="46"/>
      <c r="E365" s="245"/>
      <c r="F365" s="237"/>
      <c r="G365" s="237"/>
      <c r="H365" s="46"/>
      <c r="I365" s="46"/>
      <c r="J365" s="46"/>
      <c r="K365" s="46"/>
      <c r="L365" s="46"/>
      <c r="M365" s="46"/>
      <c r="N365" s="46"/>
      <c r="O365" s="46"/>
      <c r="P365" s="46"/>
      <c r="Q365" s="46"/>
      <c r="R365" s="46"/>
      <c r="S365" s="46"/>
      <c r="T365" s="46"/>
      <c r="U365" s="46"/>
      <c r="V365" s="46"/>
      <c r="W365" s="46"/>
      <c r="X365" s="46"/>
      <c r="Y365" s="46"/>
      <c r="Z365" s="46"/>
      <c r="AA365" s="46"/>
      <c r="AB365" s="46"/>
      <c r="AC365" s="46"/>
      <c r="AD365" s="2"/>
      <c r="AE365" s="46"/>
      <c r="AF365" s="46"/>
      <c r="AG365" s="46"/>
      <c r="AH365" s="46"/>
      <c r="AI365" s="46"/>
      <c r="AJ365" s="46"/>
      <c r="AK365" s="46"/>
      <c r="AL365" s="46"/>
      <c r="AM365" s="46"/>
      <c r="AN365" s="46"/>
      <c r="AO365" s="46"/>
      <c r="AP365" s="46"/>
      <c r="AQ365" s="46"/>
      <c r="AR365" s="46"/>
      <c r="AS365" s="46"/>
      <c r="AT365" s="46"/>
      <c r="AU365" s="46"/>
      <c r="AV365" s="230"/>
      <c r="AW365" s="230"/>
      <c r="AX365" s="230"/>
      <c r="AY365" s="230"/>
      <c r="AZ365" s="230"/>
      <c r="BA365" s="230"/>
      <c r="BB365" s="230"/>
      <c r="BC365" s="230"/>
      <c r="BD365" s="230"/>
      <c r="BE365" s="230"/>
      <c r="BF365" s="230"/>
      <c r="BG365" s="230"/>
      <c r="BH365" s="230"/>
      <c r="BI365" s="230"/>
      <c r="BJ365" s="230"/>
      <c r="BK365" s="230"/>
      <c r="BL365" s="230"/>
      <c r="BM365" s="230"/>
      <c r="BN365" s="230"/>
      <c r="BO365" s="230"/>
      <c r="BP365" s="230"/>
      <c r="BQ365" s="230"/>
    </row>
    <row r="366" spans="1:69" ht="15.75" customHeight="1">
      <c r="A366" s="46"/>
      <c r="B366" s="46"/>
      <c r="C366" s="46"/>
      <c r="D366" s="46"/>
      <c r="E366" s="245"/>
      <c r="F366" s="237"/>
      <c r="G366" s="237"/>
      <c r="H366" s="46"/>
      <c r="I366" s="46"/>
      <c r="J366" s="46"/>
      <c r="K366" s="46"/>
      <c r="L366" s="46"/>
      <c r="M366" s="46"/>
      <c r="N366" s="46"/>
      <c r="O366" s="46"/>
      <c r="P366" s="46"/>
      <c r="Q366" s="46"/>
      <c r="R366" s="46"/>
      <c r="S366" s="46"/>
      <c r="T366" s="46"/>
      <c r="U366" s="46"/>
      <c r="V366" s="46"/>
      <c r="W366" s="46"/>
      <c r="X366" s="46"/>
      <c r="Y366" s="46"/>
      <c r="Z366" s="46"/>
      <c r="AA366" s="46"/>
      <c r="AB366" s="46"/>
      <c r="AC366" s="46"/>
      <c r="AD366" s="2"/>
      <c r="AE366" s="46"/>
      <c r="AF366" s="46"/>
      <c r="AG366" s="46"/>
      <c r="AH366" s="46"/>
      <c r="AI366" s="46"/>
      <c r="AJ366" s="46"/>
      <c r="AK366" s="46"/>
      <c r="AL366" s="46"/>
      <c r="AM366" s="46"/>
      <c r="AN366" s="46"/>
      <c r="AO366" s="46"/>
      <c r="AP366" s="46"/>
      <c r="AQ366" s="46"/>
      <c r="AR366" s="46"/>
      <c r="AS366" s="46"/>
      <c r="AT366" s="46"/>
      <c r="AU366" s="46"/>
      <c r="AV366" s="230"/>
      <c r="AW366" s="230"/>
      <c r="AX366" s="230"/>
      <c r="AY366" s="230"/>
      <c r="AZ366" s="230"/>
      <c r="BA366" s="230"/>
      <c r="BB366" s="230"/>
      <c r="BC366" s="230"/>
      <c r="BD366" s="230"/>
      <c r="BE366" s="230"/>
      <c r="BF366" s="230"/>
      <c r="BG366" s="230"/>
      <c r="BH366" s="230"/>
      <c r="BI366" s="230"/>
      <c r="BJ366" s="230"/>
      <c r="BK366" s="230"/>
      <c r="BL366" s="230"/>
      <c r="BM366" s="230"/>
      <c r="BN366" s="230"/>
      <c r="BO366" s="230"/>
      <c r="BP366" s="230"/>
      <c r="BQ366" s="230"/>
    </row>
    <row r="367" spans="1:69" ht="15.75" customHeight="1">
      <c r="A367" s="46"/>
      <c r="B367" s="46"/>
      <c r="C367" s="46"/>
      <c r="D367" s="46"/>
      <c r="E367" s="245"/>
      <c r="F367" s="237"/>
      <c r="G367" s="237"/>
      <c r="H367" s="46"/>
      <c r="I367" s="46"/>
      <c r="J367" s="46"/>
      <c r="K367" s="46"/>
      <c r="L367" s="46"/>
      <c r="M367" s="46"/>
      <c r="N367" s="46"/>
      <c r="O367" s="46"/>
      <c r="P367" s="46"/>
      <c r="Q367" s="46"/>
      <c r="R367" s="46"/>
      <c r="S367" s="46"/>
      <c r="T367" s="46"/>
      <c r="U367" s="46"/>
      <c r="V367" s="46"/>
      <c r="W367" s="46"/>
      <c r="X367" s="46"/>
      <c r="Y367" s="46"/>
      <c r="Z367" s="46"/>
      <c r="AA367" s="46"/>
      <c r="AB367" s="46"/>
      <c r="AC367" s="46"/>
      <c r="AD367" s="2"/>
      <c r="AE367" s="46"/>
      <c r="AF367" s="46"/>
      <c r="AG367" s="46"/>
      <c r="AH367" s="46"/>
      <c r="AI367" s="46"/>
      <c r="AJ367" s="46"/>
      <c r="AK367" s="46"/>
      <c r="AL367" s="46"/>
      <c r="AM367" s="46"/>
      <c r="AN367" s="46"/>
      <c r="AO367" s="46"/>
      <c r="AP367" s="46"/>
      <c r="AQ367" s="46"/>
      <c r="AR367" s="46"/>
      <c r="AS367" s="46"/>
      <c r="AT367" s="46"/>
      <c r="AU367" s="46"/>
      <c r="AV367" s="230"/>
      <c r="AW367" s="230"/>
      <c r="AX367" s="230"/>
      <c r="AY367" s="230"/>
      <c r="AZ367" s="230"/>
      <c r="BA367" s="230"/>
      <c r="BB367" s="230"/>
      <c r="BC367" s="230"/>
      <c r="BD367" s="230"/>
      <c r="BE367" s="230"/>
      <c r="BF367" s="230"/>
      <c r="BG367" s="230"/>
      <c r="BH367" s="230"/>
      <c r="BI367" s="230"/>
      <c r="BJ367" s="230"/>
      <c r="BK367" s="230"/>
      <c r="BL367" s="230"/>
      <c r="BM367" s="230"/>
      <c r="BN367" s="230"/>
      <c r="BO367" s="230"/>
      <c r="BP367" s="230"/>
      <c r="BQ367" s="230"/>
    </row>
    <row r="368" spans="1:69" ht="15.75" customHeight="1">
      <c r="A368" s="46"/>
      <c r="B368" s="46"/>
      <c r="C368" s="46"/>
      <c r="D368" s="46"/>
      <c r="E368" s="245"/>
      <c r="F368" s="237"/>
      <c r="G368" s="237"/>
      <c r="H368" s="46"/>
      <c r="I368" s="46"/>
      <c r="J368" s="46"/>
      <c r="K368" s="46"/>
      <c r="L368" s="46"/>
      <c r="M368" s="46"/>
      <c r="N368" s="46"/>
      <c r="O368" s="46"/>
      <c r="P368" s="46"/>
      <c r="Q368" s="46"/>
      <c r="R368" s="46"/>
      <c r="S368" s="46"/>
      <c r="T368" s="46"/>
      <c r="U368" s="46"/>
      <c r="V368" s="46"/>
      <c r="W368" s="46"/>
      <c r="X368" s="46"/>
      <c r="Y368" s="46"/>
      <c r="Z368" s="46"/>
      <c r="AA368" s="46"/>
      <c r="AB368" s="46"/>
      <c r="AC368" s="46"/>
      <c r="AD368" s="2"/>
      <c r="AE368" s="46"/>
      <c r="AF368" s="46"/>
      <c r="AG368" s="46"/>
      <c r="AH368" s="46"/>
      <c r="AI368" s="46"/>
      <c r="AJ368" s="46"/>
      <c r="AK368" s="46"/>
      <c r="AL368" s="46"/>
      <c r="AM368" s="46"/>
      <c r="AN368" s="46"/>
      <c r="AO368" s="46"/>
      <c r="AP368" s="46"/>
      <c r="AQ368" s="46"/>
      <c r="AR368" s="46"/>
      <c r="AS368" s="46"/>
      <c r="AT368" s="46"/>
      <c r="AU368" s="46"/>
      <c r="AV368" s="230"/>
      <c r="AW368" s="230"/>
      <c r="AX368" s="230"/>
      <c r="AY368" s="230"/>
      <c r="AZ368" s="230"/>
      <c r="BA368" s="230"/>
      <c r="BB368" s="230"/>
      <c r="BC368" s="230"/>
      <c r="BD368" s="230"/>
      <c r="BE368" s="230"/>
      <c r="BF368" s="230"/>
      <c r="BG368" s="230"/>
      <c r="BH368" s="230"/>
      <c r="BI368" s="230"/>
      <c r="BJ368" s="230"/>
      <c r="BK368" s="230"/>
      <c r="BL368" s="230"/>
      <c r="BM368" s="230"/>
      <c r="BN368" s="230"/>
      <c r="BO368" s="230"/>
      <c r="BP368" s="230"/>
      <c r="BQ368" s="230"/>
    </row>
    <row r="369" spans="1:69" ht="15.75" customHeight="1">
      <c r="A369" s="46"/>
      <c r="B369" s="46"/>
      <c r="C369" s="46"/>
      <c r="D369" s="46"/>
      <c r="E369" s="245"/>
      <c r="F369" s="237"/>
      <c r="G369" s="237"/>
      <c r="H369" s="46"/>
      <c r="I369" s="46"/>
      <c r="J369" s="46"/>
      <c r="K369" s="46"/>
      <c r="L369" s="46"/>
      <c r="M369" s="46"/>
      <c r="N369" s="46"/>
      <c r="O369" s="46"/>
      <c r="P369" s="46"/>
      <c r="Q369" s="46"/>
      <c r="R369" s="46"/>
      <c r="S369" s="46"/>
      <c r="T369" s="46"/>
      <c r="U369" s="46"/>
      <c r="V369" s="46"/>
      <c r="W369" s="46"/>
      <c r="X369" s="46"/>
      <c r="Y369" s="46"/>
      <c r="Z369" s="46"/>
      <c r="AA369" s="46"/>
      <c r="AB369" s="46"/>
      <c r="AC369" s="46"/>
      <c r="AD369" s="2"/>
      <c r="AE369" s="46"/>
      <c r="AF369" s="46"/>
      <c r="AG369" s="46"/>
      <c r="AH369" s="46"/>
      <c r="AI369" s="46"/>
      <c r="AJ369" s="46"/>
      <c r="AK369" s="46"/>
      <c r="AL369" s="46"/>
      <c r="AM369" s="46"/>
      <c r="AN369" s="46"/>
      <c r="AO369" s="46"/>
      <c r="AP369" s="46"/>
      <c r="AQ369" s="46"/>
      <c r="AR369" s="46"/>
      <c r="AS369" s="46"/>
      <c r="AT369" s="46"/>
      <c r="AU369" s="46"/>
      <c r="AV369" s="230"/>
      <c r="AW369" s="230"/>
      <c r="AX369" s="230"/>
      <c r="AY369" s="230"/>
      <c r="AZ369" s="230"/>
      <c r="BA369" s="230"/>
      <c r="BB369" s="230"/>
      <c r="BC369" s="230"/>
      <c r="BD369" s="230"/>
      <c r="BE369" s="230"/>
      <c r="BF369" s="230"/>
      <c r="BG369" s="230"/>
      <c r="BH369" s="230"/>
      <c r="BI369" s="230"/>
      <c r="BJ369" s="230"/>
      <c r="BK369" s="230"/>
      <c r="BL369" s="230"/>
      <c r="BM369" s="230"/>
      <c r="BN369" s="230"/>
      <c r="BO369" s="230"/>
      <c r="BP369" s="230"/>
      <c r="BQ369" s="230"/>
    </row>
    <row r="370" spans="1:69" ht="15.75" customHeight="1">
      <c r="A370" s="46"/>
      <c r="B370" s="46"/>
      <c r="C370" s="46"/>
      <c r="D370" s="46"/>
      <c r="E370" s="245"/>
      <c r="F370" s="237"/>
      <c r="G370" s="237"/>
      <c r="H370" s="46"/>
      <c r="I370" s="46"/>
      <c r="J370" s="46"/>
      <c r="K370" s="46"/>
      <c r="L370" s="46"/>
      <c r="M370" s="46"/>
      <c r="N370" s="46"/>
      <c r="O370" s="46"/>
      <c r="P370" s="46"/>
      <c r="Q370" s="46"/>
      <c r="R370" s="46"/>
      <c r="S370" s="46"/>
      <c r="T370" s="46"/>
      <c r="U370" s="46"/>
      <c r="V370" s="46"/>
      <c r="W370" s="46"/>
      <c r="X370" s="46"/>
      <c r="Y370" s="46"/>
      <c r="Z370" s="46"/>
      <c r="AA370" s="46"/>
      <c r="AB370" s="46"/>
      <c r="AC370" s="46"/>
      <c r="AD370" s="2"/>
      <c r="AE370" s="46"/>
      <c r="AF370" s="46"/>
      <c r="AG370" s="46"/>
      <c r="AH370" s="46"/>
      <c r="AI370" s="46"/>
      <c r="AJ370" s="46"/>
      <c r="AK370" s="46"/>
      <c r="AL370" s="46"/>
      <c r="AM370" s="46"/>
      <c r="AN370" s="46"/>
      <c r="AO370" s="46"/>
      <c r="AP370" s="46"/>
      <c r="AQ370" s="46"/>
      <c r="AR370" s="46"/>
      <c r="AS370" s="46"/>
      <c r="AT370" s="46"/>
      <c r="AU370" s="46"/>
      <c r="AV370" s="230"/>
      <c r="AW370" s="230"/>
      <c r="AX370" s="230"/>
      <c r="AY370" s="230"/>
      <c r="AZ370" s="230"/>
      <c r="BA370" s="230"/>
      <c r="BB370" s="230"/>
      <c r="BC370" s="230"/>
      <c r="BD370" s="230"/>
      <c r="BE370" s="230"/>
      <c r="BF370" s="230"/>
      <c r="BG370" s="230"/>
      <c r="BH370" s="230"/>
      <c r="BI370" s="230"/>
      <c r="BJ370" s="230"/>
      <c r="BK370" s="230"/>
      <c r="BL370" s="230"/>
      <c r="BM370" s="230"/>
      <c r="BN370" s="230"/>
      <c r="BO370" s="230"/>
      <c r="BP370" s="230"/>
      <c r="BQ370" s="230"/>
    </row>
    <row r="371" spans="1:69" ht="15.75" customHeight="1">
      <c r="A371" s="46"/>
      <c r="B371" s="46"/>
      <c r="C371" s="46"/>
      <c r="D371" s="46"/>
      <c r="E371" s="245"/>
      <c r="F371" s="237"/>
      <c r="G371" s="237"/>
      <c r="H371" s="46"/>
      <c r="I371" s="46"/>
      <c r="J371" s="46"/>
      <c r="K371" s="46"/>
      <c r="L371" s="46"/>
      <c r="M371" s="46"/>
      <c r="N371" s="46"/>
      <c r="O371" s="46"/>
      <c r="P371" s="46"/>
      <c r="Q371" s="46"/>
      <c r="R371" s="46"/>
      <c r="S371" s="46"/>
      <c r="T371" s="46"/>
      <c r="U371" s="46"/>
      <c r="V371" s="46"/>
      <c r="W371" s="46"/>
      <c r="X371" s="46"/>
      <c r="Y371" s="46"/>
      <c r="Z371" s="46"/>
      <c r="AA371" s="46"/>
      <c r="AB371" s="46"/>
      <c r="AC371" s="46"/>
      <c r="AD371" s="2"/>
      <c r="AE371" s="46"/>
      <c r="AF371" s="46"/>
      <c r="AG371" s="46"/>
      <c r="AH371" s="46"/>
      <c r="AI371" s="46"/>
      <c r="AJ371" s="46"/>
      <c r="AK371" s="46"/>
      <c r="AL371" s="46"/>
      <c r="AM371" s="46"/>
      <c r="AN371" s="46"/>
      <c r="AO371" s="46"/>
      <c r="AP371" s="46"/>
      <c r="AQ371" s="46"/>
      <c r="AR371" s="46"/>
      <c r="AS371" s="46"/>
      <c r="AT371" s="46"/>
      <c r="AU371" s="46"/>
      <c r="AV371" s="230"/>
      <c r="AW371" s="230"/>
      <c r="AX371" s="230"/>
      <c r="AY371" s="230"/>
      <c r="AZ371" s="230"/>
      <c r="BA371" s="230"/>
      <c r="BB371" s="230"/>
      <c r="BC371" s="230"/>
      <c r="BD371" s="230"/>
      <c r="BE371" s="230"/>
      <c r="BF371" s="230"/>
      <c r="BG371" s="230"/>
      <c r="BH371" s="230"/>
      <c r="BI371" s="230"/>
      <c r="BJ371" s="230"/>
      <c r="BK371" s="230"/>
      <c r="BL371" s="230"/>
      <c r="BM371" s="230"/>
      <c r="BN371" s="230"/>
      <c r="BO371" s="230"/>
      <c r="BP371" s="230"/>
      <c r="BQ371" s="230"/>
    </row>
    <row r="372" spans="1:69" ht="15.75" customHeight="1">
      <c r="A372" s="2"/>
      <c r="B372" s="2"/>
      <c r="C372" s="2"/>
      <c r="D372" s="46"/>
      <c r="E372" s="233"/>
      <c r="F372" s="234"/>
      <c r="G372" s="234"/>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46"/>
      <c r="AT372" s="46"/>
      <c r="AU372" s="46"/>
      <c r="AV372" s="232"/>
      <c r="AW372" s="232"/>
      <c r="AX372" s="232"/>
      <c r="AY372" s="232"/>
      <c r="AZ372" s="232"/>
      <c r="BA372" s="232"/>
      <c r="BB372" s="232"/>
      <c r="BC372" s="232"/>
      <c r="BD372" s="232"/>
      <c r="BE372" s="232"/>
      <c r="BF372" s="232"/>
      <c r="BG372" s="232"/>
      <c r="BH372" s="232"/>
      <c r="BI372" s="232"/>
      <c r="BJ372" s="232"/>
      <c r="BK372" s="232"/>
      <c r="BL372" s="232"/>
      <c r="BM372" s="232"/>
      <c r="BN372" s="232"/>
      <c r="BO372" s="232"/>
      <c r="BP372" s="232"/>
      <c r="BQ372" s="232"/>
    </row>
    <row r="373" spans="1:69" ht="15.75" customHeight="1">
      <c r="A373" s="2"/>
      <c r="B373" s="2"/>
      <c r="C373" s="2"/>
      <c r="D373" s="46"/>
      <c r="E373" s="233"/>
      <c r="F373" s="234"/>
      <c r="G373" s="234"/>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46"/>
      <c r="AT373" s="46"/>
      <c r="AU373" s="46"/>
      <c r="AV373" s="232"/>
      <c r="AW373" s="232"/>
      <c r="AX373" s="232"/>
      <c r="AY373" s="232"/>
      <c r="AZ373" s="232"/>
      <c r="BA373" s="232"/>
      <c r="BB373" s="232"/>
      <c r="BC373" s="232"/>
      <c r="BD373" s="232"/>
      <c r="BE373" s="232"/>
      <c r="BF373" s="232"/>
      <c r="BG373" s="232"/>
      <c r="BH373" s="232"/>
      <c r="BI373" s="232"/>
      <c r="BJ373" s="232"/>
      <c r="BK373" s="232"/>
      <c r="BL373" s="232"/>
      <c r="BM373" s="232"/>
      <c r="BN373" s="232"/>
      <c r="BO373" s="232"/>
      <c r="BP373" s="232"/>
      <c r="BQ373" s="232"/>
    </row>
    <row r="374" spans="1:69" ht="15.75" customHeight="1">
      <c r="A374" s="2"/>
      <c r="B374" s="2"/>
      <c r="C374" s="2"/>
      <c r="D374" s="46"/>
      <c r="E374" s="233"/>
      <c r="F374" s="234"/>
      <c r="G374" s="234"/>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46"/>
      <c r="AT374" s="46"/>
      <c r="AU374" s="46"/>
      <c r="AV374" s="232"/>
      <c r="AW374" s="232"/>
      <c r="AX374" s="232"/>
      <c r="AY374" s="232"/>
      <c r="AZ374" s="232"/>
      <c r="BA374" s="232"/>
      <c r="BB374" s="232"/>
      <c r="BC374" s="232"/>
      <c r="BD374" s="232"/>
      <c r="BE374" s="232"/>
      <c r="BF374" s="232"/>
      <c r="BG374" s="232"/>
      <c r="BH374" s="232"/>
      <c r="BI374" s="232"/>
      <c r="BJ374" s="232"/>
      <c r="BK374" s="232"/>
      <c r="BL374" s="232"/>
      <c r="BM374" s="232"/>
      <c r="BN374" s="232"/>
      <c r="BO374" s="232"/>
      <c r="BP374" s="232"/>
      <c r="BQ374" s="232"/>
    </row>
    <row r="375" spans="1:69" ht="15.75" customHeight="1">
      <c r="A375" s="2"/>
      <c r="B375" s="2"/>
      <c r="C375" s="2"/>
      <c r="D375" s="46"/>
      <c r="E375" s="233"/>
      <c r="F375" s="234"/>
      <c r="G375" s="234"/>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46"/>
      <c r="AT375" s="46"/>
      <c r="AU375" s="46"/>
      <c r="AV375" s="232"/>
      <c r="AW375" s="232"/>
      <c r="AX375" s="232"/>
      <c r="AY375" s="232"/>
      <c r="AZ375" s="232"/>
      <c r="BA375" s="232"/>
      <c r="BB375" s="232"/>
      <c r="BC375" s="232"/>
      <c r="BD375" s="232"/>
      <c r="BE375" s="232"/>
      <c r="BF375" s="232"/>
      <c r="BG375" s="232"/>
      <c r="BH375" s="232"/>
      <c r="BI375" s="232"/>
      <c r="BJ375" s="232"/>
      <c r="BK375" s="232"/>
      <c r="BL375" s="232"/>
      <c r="BM375" s="232"/>
      <c r="BN375" s="232"/>
      <c r="BO375" s="232"/>
      <c r="BP375" s="232"/>
      <c r="BQ375" s="232"/>
    </row>
    <row r="376" spans="1:69" ht="15.75" customHeight="1">
      <c r="D376" s="46"/>
      <c r="F376" s="234"/>
      <c r="G376" s="234"/>
    </row>
    <row r="377" spans="1:69" ht="15.75" customHeight="1">
      <c r="D377" s="46"/>
      <c r="F377" s="234"/>
      <c r="G377" s="234"/>
    </row>
    <row r="378" spans="1:69" ht="15.75" customHeight="1">
      <c r="D378" s="46"/>
      <c r="F378" s="234"/>
      <c r="G378" s="234"/>
    </row>
    <row r="379" spans="1:69" ht="15.75" customHeight="1">
      <c r="D379" s="46"/>
      <c r="F379" s="234"/>
      <c r="G379" s="234"/>
    </row>
    <row r="380" spans="1:69" ht="15.75" customHeight="1">
      <c r="D380" s="46"/>
      <c r="F380" s="234"/>
      <c r="G380" s="234"/>
    </row>
    <row r="381" spans="1:69" ht="15.75" customHeight="1">
      <c r="D381" s="46"/>
      <c r="F381" s="234"/>
      <c r="G381" s="234"/>
    </row>
    <row r="382" spans="1:69" ht="15.75" customHeight="1">
      <c r="D382" s="46"/>
      <c r="F382" s="234"/>
      <c r="G382" s="234"/>
    </row>
    <row r="383" spans="1:69" ht="15.75" customHeight="1">
      <c r="D383" s="46"/>
      <c r="F383" s="234"/>
      <c r="G383" s="234"/>
    </row>
    <row r="384" spans="1:69" ht="15.75" customHeight="1">
      <c r="D384" s="46"/>
      <c r="F384" s="234"/>
      <c r="G384" s="234"/>
    </row>
    <row r="385" spans="4:7" ht="15.75" customHeight="1">
      <c r="D385" s="46"/>
      <c r="F385" s="234"/>
      <c r="G385" s="234"/>
    </row>
    <row r="386" spans="4:7" ht="15.75" customHeight="1">
      <c r="D386" s="46"/>
      <c r="F386" s="234"/>
      <c r="G386" s="234"/>
    </row>
    <row r="387" spans="4:7" ht="15.75" customHeight="1">
      <c r="D387" s="46"/>
      <c r="F387" s="234"/>
      <c r="G387" s="234"/>
    </row>
    <row r="388" spans="4:7" ht="15.75" customHeight="1">
      <c r="D388" s="46"/>
      <c r="F388" s="234"/>
      <c r="G388" s="234"/>
    </row>
    <row r="389" spans="4:7" ht="15.75" customHeight="1">
      <c r="D389" s="46"/>
      <c r="F389" s="234"/>
      <c r="G389" s="234"/>
    </row>
  </sheetData>
  <mergeCells count="2">
    <mergeCell ref="D3:F3"/>
    <mergeCell ref="N3:U3"/>
  </mergeCells>
  <pageMargins left="0.7" right="0.7" top="0.75" bottom="0.75" header="0" footer="0"/>
  <pageSetup orientation="landscape"/>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D2:E1000"/>
  <sheetViews>
    <sheetView workbookViewId="0"/>
  </sheetViews>
  <sheetFormatPr baseColWidth="10" defaultColWidth="14.42578125" defaultRowHeight="15" customHeight="1"/>
  <cols>
    <col min="1" max="3" width="11.42578125" customWidth="1"/>
    <col min="4" max="4" width="45.7109375" customWidth="1"/>
    <col min="5" max="5" width="14.140625" customWidth="1"/>
    <col min="6" max="6" width="11.42578125" customWidth="1"/>
  </cols>
  <sheetData>
    <row r="2" spans="4:5" ht="31.5" customHeight="1">
      <c r="D2" s="258" t="s">
        <v>210</v>
      </c>
      <c r="E2" s="259"/>
    </row>
    <row r="3" spans="4:5">
      <c r="D3" s="42"/>
      <c r="E3" s="94"/>
    </row>
    <row r="4" spans="4:5">
      <c r="D4" s="42"/>
      <c r="E4" s="94"/>
    </row>
    <row r="5" spans="4:5">
      <c r="D5" s="247" t="s">
        <v>172</v>
      </c>
      <c r="E5" s="248" t="s">
        <v>225</v>
      </c>
    </row>
    <row r="6" spans="4:5">
      <c r="D6" s="249" t="s">
        <v>53</v>
      </c>
      <c r="E6" s="264">
        <v>157</v>
      </c>
    </row>
    <row r="7" spans="4:5">
      <c r="D7" s="250" t="s">
        <v>20</v>
      </c>
      <c r="E7" s="265">
        <v>5</v>
      </c>
    </row>
    <row r="8" spans="4:5">
      <c r="D8" s="250" t="s">
        <v>69</v>
      </c>
      <c r="E8" s="265">
        <v>8</v>
      </c>
    </row>
    <row r="9" spans="4:5" ht="15" customHeight="1">
      <c r="D9" s="251" t="s">
        <v>2070</v>
      </c>
      <c r="E9" s="266">
        <v>170</v>
      </c>
    </row>
    <row r="11" spans="4:5">
      <c r="D11" s="42"/>
      <c r="E11" s="94"/>
    </row>
    <row r="18" spans="4:5">
      <c r="D18" s="247" t="s">
        <v>160</v>
      </c>
      <c r="E18" s="248" t="s">
        <v>225</v>
      </c>
    </row>
    <row r="19" spans="4:5" ht="15.75" customHeight="1">
      <c r="D19" s="249" t="s">
        <v>84</v>
      </c>
      <c r="E19" s="264">
        <v>65</v>
      </c>
    </row>
    <row r="20" spans="4:5" ht="15.75" customHeight="1">
      <c r="D20" s="250" t="s">
        <v>48</v>
      </c>
      <c r="E20" s="265">
        <v>91</v>
      </c>
    </row>
    <row r="21" spans="4:5" ht="15.75" customHeight="1">
      <c r="D21" s="251" t="s">
        <v>2070</v>
      </c>
      <c r="E21" s="266">
        <v>156</v>
      </c>
    </row>
    <row r="22" spans="4:5" ht="15.75" customHeight="1">
      <c r="D22" s="42"/>
      <c r="E22" s="94"/>
    </row>
    <row r="23" spans="4:5" ht="15.75" customHeight="1">
      <c r="D23" s="42"/>
      <c r="E23" s="94"/>
    </row>
    <row r="24" spans="4:5" ht="15.75" customHeight="1">
      <c r="D24" s="247" t="s">
        <v>2</v>
      </c>
      <c r="E24" s="248" t="s">
        <v>225</v>
      </c>
    </row>
    <row r="25" spans="4:5" ht="15.75" customHeight="1">
      <c r="D25" s="249" t="s">
        <v>49</v>
      </c>
      <c r="E25" s="264">
        <v>101</v>
      </c>
    </row>
    <row r="26" spans="4:5" ht="15.75" customHeight="1">
      <c r="D26" s="250" t="s">
        <v>39</v>
      </c>
      <c r="E26" s="265">
        <v>14</v>
      </c>
    </row>
    <row r="27" spans="4:5" ht="15.75" customHeight="1">
      <c r="D27" s="250" t="s">
        <v>247</v>
      </c>
      <c r="E27" s="265">
        <v>18</v>
      </c>
    </row>
    <row r="28" spans="4:5" ht="15.75" customHeight="1">
      <c r="D28" s="250" t="s">
        <v>249</v>
      </c>
      <c r="E28" s="265">
        <v>1</v>
      </c>
    </row>
    <row r="29" spans="4:5" ht="15.75" customHeight="1">
      <c r="D29" s="250" t="s">
        <v>24</v>
      </c>
      <c r="E29" s="265">
        <v>23</v>
      </c>
    </row>
    <row r="30" spans="4:5" ht="15.75" customHeight="1">
      <c r="D30" s="250" t="s">
        <v>2479</v>
      </c>
      <c r="E30" s="265">
        <v>13</v>
      </c>
    </row>
    <row r="31" spans="4:5" ht="15.75" customHeight="1">
      <c r="D31" s="251" t="s">
        <v>2070</v>
      </c>
      <c r="E31" s="266">
        <v>170</v>
      </c>
    </row>
    <row r="32" spans="4: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2:E2"/>
  </mergeCell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95B3D7"/>
    <pageSetUpPr fitToPage="1"/>
  </sheetPr>
  <dimension ref="A1:BS382"/>
  <sheetViews>
    <sheetView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4.42578125" defaultRowHeight="15" customHeight="1"/>
  <cols>
    <col min="1" max="1" width="4.5703125" customWidth="1"/>
    <col min="2" max="3" width="7.140625" customWidth="1"/>
    <col min="4" max="4" width="13.28515625" customWidth="1"/>
    <col min="5" max="5" width="42.28515625" customWidth="1"/>
    <col min="6" max="6" width="28.140625" customWidth="1"/>
    <col min="7" max="7" width="22.140625" customWidth="1"/>
    <col min="8" max="9" width="11.140625" customWidth="1"/>
    <col min="10" max="10" width="11.42578125" customWidth="1"/>
    <col min="11" max="11" width="8.140625" customWidth="1"/>
    <col min="12" max="12" width="5.85546875" customWidth="1"/>
    <col min="13" max="13" width="18" customWidth="1"/>
    <col min="14" max="14" width="25.140625" customWidth="1"/>
    <col min="15" max="15" width="13.85546875" customWidth="1"/>
    <col min="16" max="16" width="39.5703125" customWidth="1"/>
    <col min="17" max="17" width="9.42578125" customWidth="1"/>
    <col min="18" max="18" width="2.85546875" customWidth="1"/>
    <col min="19" max="22" width="3.85546875" customWidth="1"/>
    <col min="23" max="23" width="6.85546875" customWidth="1"/>
    <col min="24" max="24" width="7.5703125" customWidth="1"/>
    <col min="25" max="25" width="20.5703125" customWidth="1"/>
    <col min="26" max="26" width="15.7109375" customWidth="1"/>
    <col min="27" max="27" width="29.7109375" customWidth="1"/>
    <col min="28" max="28" width="8.85546875" customWidth="1"/>
    <col min="29" max="29" width="8.42578125" customWidth="1"/>
    <col min="30" max="30" width="6.5703125" customWidth="1"/>
    <col min="31" max="31" width="44.7109375" customWidth="1"/>
    <col min="32" max="34" width="40.5703125" customWidth="1"/>
    <col min="35" max="35" width="31.7109375" customWidth="1"/>
    <col min="36" max="36" width="28.85546875" customWidth="1"/>
    <col min="37" max="37" width="12" customWidth="1"/>
    <col min="38" max="38" width="15.42578125" customWidth="1"/>
    <col min="39" max="39" width="18.42578125" customWidth="1"/>
    <col min="40" max="43" width="15.42578125" customWidth="1"/>
    <col min="44" max="44" width="15.7109375" customWidth="1"/>
    <col min="45" max="46" width="22.42578125" customWidth="1"/>
    <col min="47" max="52" width="17" customWidth="1"/>
    <col min="53" max="58" width="1.28515625" customWidth="1"/>
  </cols>
  <sheetData>
    <row r="1" spans="1:71">
      <c r="A1" s="42"/>
      <c r="B1" s="42"/>
      <c r="C1" s="42"/>
      <c r="D1" s="42"/>
      <c r="E1" s="44"/>
      <c r="F1" s="45"/>
      <c r="G1" s="45"/>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7" t="s">
        <v>137</v>
      </c>
      <c r="AP1" s="42">
        <f>1750905*2</f>
        <v>3501810</v>
      </c>
      <c r="AQ1" s="43">
        <f>2774076*1.1</f>
        <v>3051483.6</v>
      </c>
      <c r="AR1" s="42">
        <f>AP1/2</f>
        <v>1750905</v>
      </c>
      <c r="AS1" s="42"/>
      <c r="AT1" s="47" t="s">
        <v>137</v>
      </c>
      <c r="AU1" s="42">
        <f>1423500*2</f>
        <v>2847000</v>
      </c>
      <c r="AV1" s="43">
        <f>2774076</f>
        <v>2774076</v>
      </c>
      <c r="AW1" s="43"/>
      <c r="AX1" s="43"/>
      <c r="AY1" s="48"/>
      <c r="AZ1" s="48"/>
      <c r="BA1" s="48"/>
      <c r="BB1" s="48"/>
      <c r="BC1" s="48"/>
      <c r="BD1" s="48"/>
      <c r="BE1" s="48"/>
      <c r="BF1" s="48"/>
      <c r="BG1" s="48"/>
      <c r="BH1" s="48"/>
      <c r="BI1" s="48"/>
      <c r="BJ1" s="48"/>
      <c r="BK1" s="48"/>
      <c r="BL1" s="48"/>
      <c r="BM1" s="48"/>
      <c r="BN1" s="48"/>
      <c r="BO1" s="48"/>
      <c r="BP1" s="48"/>
      <c r="BQ1" s="48"/>
      <c r="BR1" s="48"/>
      <c r="BS1" s="48"/>
    </row>
    <row r="2" spans="1:71">
      <c r="A2" s="49"/>
      <c r="B2" s="43"/>
      <c r="C2" s="49"/>
      <c r="D2" s="105"/>
      <c r="E2" s="51"/>
      <c r="F2" s="52">
        <f ca="1">+TODAY()</f>
        <v>46304</v>
      </c>
      <c r="G2" s="53"/>
      <c r="H2" s="43"/>
      <c r="I2" s="43"/>
      <c r="J2" s="43"/>
      <c r="K2" s="43"/>
      <c r="L2" s="43"/>
      <c r="M2" s="43"/>
      <c r="N2" s="43"/>
      <c r="O2" s="43"/>
      <c r="P2" s="43"/>
      <c r="Q2" s="43"/>
      <c r="R2" s="43"/>
      <c r="S2" s="43"/>
      <c r="T2" s="43"/>
      <c r="U2" s="43"/>
      <c r="V2" s="43"/>
      <c r="W2" s="43"/>
      <c r="X2" s="42"/>
      <c r="Y2" s="49"/>
      <c r="Z2" s="43"/>
      <c r="AA2" s="43"/>
      <c r="AB2" s="54"/>
      <c r="AC2" s="55"/>
      <c r="AD2" s="55"/>
      <c r="AE2" s="43"/>
      <c r="AF2" s="43"/>
      <c r="AG2" s="43"/>
      <c r="AH2" s="43"/>
      <c r="AI2" s="43"/>
      <c r="AJ2" s="43"/>
      <c r="AK2" s="43"/>
      <c r="AL2" s="43"/>
      <c r="AM2" s="43"/>
      <c r="AN2" s="43"/>
      <c r="AO2" s="57" t="s">
        <v>148</v>
      </c>
      <c r="AP2" s="43">
        <v>249095</v>
      </c>
      <c r="AQ2" s="43">
        <v>98931</v>
      </c>
      <c r="AR2" s="43"/>
      <c r="AS2" s="43"/>
      <c r="AT2" s="57" t="s">
        <v>148</v>
      </c>
      <c r="AU2" s="43">
        <v>200000</v>
      </c>
      <c r="AV2" s="43">
        <v>98931</v>
      </c>
      <c r="AW2" s="43"/>
      <c r="AX2" s="43"/>
      <c r="AY2" s="58"/>
      <c r="AZ2" s="58"/>
      <c r="BA2" s="58"/>
      <c r="BB2" s="58"/>
      <c r="BC2" s="48"/>
      <c r="BD2" s="48"/>
      <c r="BE2" s="48"/>
      <c r="BF2" s="48"/>
      <c r="BG2" s="48"/>
      <c r="BH2" s="48"/>
      <c r="BI2" s="48"/>
      <c r="BJ2" s="48"/>
      <c r="BK2" s="48"/>
      <c r="BL2" s="48"/>
      <c r="BM2" s="48"/>
      <c r="BN2" s="48"/>
      <c r="BO2" s="48"/>
      <c r="BP2" s="48"/>
      <c r="BQ2" s="48"/>
      <c r="BR2" s="48"/>
      <c r="BS2" s="48"/>
    </row>
    <row r="3" spans="1:71">
      <c r="A3" s="49"/>
      <c r="B3" s="46"/>
      <c r="C3" s="59"/>
      <c r="D3" s="252"/>
      <c r="E3" s="253"/>
      <c r="F3" s="254"/>
      <c r="G3" s="53"/>
      <c r="H3" s="43"/>
      <c r="I3" s="43"/>
      <c r="J3" s="43"/>
      <c r="K3" s="106">
        <f ca="1">TODAY()</f>
        <v>46304</v>
      </c>
      <c r="L3" s="107"/>
      <c r="M3" s="61"/>
      <c r="N3" s="61"/>
      <c r="O3" s="255" t="s">
        <v>151</v>
      </c>
      <c r="P3" s="256"/>
      <c r="Q3" s="256"/>
      <c r="R3" s="256"/>
      <c r="S3" s="256"/>
      <c r="T3" s="256"/>
      <c r="U3" s="256"/>
      <c r="V3" s="257"/>
      <c r="W3" s="260"/>
      <c r="X3" s="261"/>
      <c r="Y3" s="49"/>
      <c r="Z3" s="43"/>
      <c r="AA3" s="43"/>
      <c r="AB3" s="54"/>
      <c r="AC3" s="55"/>
      <c r="AD3" s="55"/>
      <c r="AE3" s="43"/>
      <c r="AF3" s="43"/>
      <c r="AG3" s="43"/>
      <c r="AH3" s="43"/>
      <c r="AI3" s="43"/>
      <c r="AJ3" s="43"/>
      <c r="AK3" s="43"/>
      <c r="AL3" s="43"/>
      <c r="AM3" s="43"/>
      <c r="AN3" s="43"/>
      <c r="AO3" s="43"/>
      <c r="AP3" s="43"/>
      <c r="AQ3" s="42"/>
      <c r="AR3" s="43"/>
      <c r="AS3" s="43"/>
      <c r="AT3" s="43"/>
      <c r="AU3" s="43"/>
      <c r="AV3" s="43"/>
      <c r="AW3" s="43"/>
      <c r="AX3" s="43"/>
      <c r="AY3" s="58"/>
      <c r="AZ3" s="58"/>
      <c r="BA3" s="58"/>
      <c r="BB3" s="58"/>
      <c r="BC3" s="48"/>
      <c r="BD3" s="48"/>
      <c r="BE3" s="48"/>
      <c r="BF3" s="48"/>
      <c r="BG3" s="48"/>
      <c r="BH3" s="48"/>
      <c r="BI3" s="48"/>
      <c r="BJ3" s="48"/>
      <c r="BK3" s="48"/>
      <c r="BL3" s="48"/>
      <c r="BM3" s="48"/>
      <c r="BN3" s="48"/>
      <c r="BO3" s="48"/>
      <c r="BP3" s="48"/>
      <c r="BQ3" s="48"/>
      <c r="BR3" s="48"/>
      <c r="BS3" s="48"/>
    </row>
    <row r="4" spans="1:71" ht="38.25" customHeight="1">
      <c r="A4" s="1" t="s">
        <v>154</v>
      </c>
      <c r="B4" s="3" t="s">
        <v>156</v>
      </c>
      <c r="C4" s="3" t="s">
        <v>19</v>
      </c>
      <c r="D4" s="108" t="s">
        <v>0</v>
      </c>
      <c r="E4" s="1" t="s">
        <v>1</v>
      </c>
      <c r="F4" s="3" t="s">
        <v>2</v>
      </c>
      <c r="G4" s="3" t="s">
        <v>157</v>
      </c>
      <c r="H4" s="1" t="s">
        <v>158</v>
      </c>
      <c r="I4" s="1" t="s">
        <v>159</v>
      </c>
      <c r="J4" s="1" t="s">
        <v>160</v>
      </c>
      <c r="K4" s="109" t="s">
        <v>161</v>
      </c>
      <c r="L4" s="1"/>
      <c r="M4" s="110" t="s">
        <v>163</v>
      </c>
      <c r="N4" s="111" t="s">
        <v>164</v>
      </c>
      <c r="O4" s="5" t="s">
        <v>0</v>
      </c>
      <c r="P4" s="6" t="s">
        <v>11</v>
      </c>
      <c r="Q4" s="112" t="s">
        <v>165</v>
      </c>
      <c r="R4" s="113" t="s">
        <v>5</v>
      </c>
      <c r="S4" s="113" t="s">
        <v>166</v>
      </c>
      <c r="T4" s="114" t="s">
        <v>167</v>
      </c>
      <c r="U4" s="114" t="s">
        <v>169</v>
      </c>
      <c r="V4" s="115" t="s">
        <v>170</v>
      </c>
      <c r="W4" s="116" t="s">
        <v>288</v>
      </c>
      <c r="X4" s="117" t="s">
        <v>171</v>
      </c>
      <c r="Y4" s="118" t="s">
        <v>172</v>
      </c>
      <c r="Z4" s="1" t="s">
        <v>6</v>
      </c>
      <c r="AA4" s="1" t="s">
        <v>7</v>
      </c>
      <c r="AB4" s="9" t="s">
        <v>8</v>
      </c>
      <c r="AC4" s="11" t="s">
        <v>9</v>
      </c>
      <c r="AD4" s="1" t="s">
        <v>13</v>
      </c>
      <c r="AE4" s="1" t="s">
        <v>14</v>
      </c>
      <c r="AF4" s="1" t="s">
        <v>175</v>
      </c>
      <c r="AG4" s="1" t="s">
        <v>15</v>
      </c>
      <c r="AH4" s="1" t="s">
        <v>16</v>
      </c>
      <c r="AI4" s="1" t="s">
        <v>17</v>
      </c>
      <c r="AJ4" s="1" t="s">
        <v>18</v>
      </c>
      <c r="AK4" s="119" t="s">
        <v>289</v>
      </c>
      <c r="AL4" s="119" t="s">
        <v>178</v>
      </c>
      <c r="AM4" s="119" t="s">
        <v>179</v>
      </c>
      <c r="AN4" s="119" t="s">
        <v>180</v>
      </c>
      <c r="AO4" s="119" t="s">
        <v>181</v>
      </c>
      <c r="AP4" s="119" t="s">
        <v>182</v>
      </c>
      <c r="AQ4" s="119" t="s">
        <v>184</v>
      </c>
      <c r="AR4" s="120" t="s">
        <v>185</v>
      </c>
      <c r="AS4" s="1" t="s">
        <v>186</v>
      </c>
      <c r="AT4" s="121"/>
      <c r="AU4" s="43"/>
      <c r="AV4" s="43"/>
      <c r="AW4" s="43"/>
      <c r="AX4" s="43"/>
      <c r="AY4" s="58" t="s">
        <v>292</v>
      </c>
      <c r="AZ4" s="58" t="s">
        <v>22</v>
      </c>
      <c r="BA4" s="58"/>
      <c r="BB4" s="58"/>
      <c r="BC4" s="48"/>
      <c r="BD4" s="48"/>
      <c r="BE4" s="48"/>
      <c r="BF4" s="48"/>
      <c r="BG4" s="48"/>
      <c r="BH4" s="48"/>
      <c r="BI4" s="48"/>
      <c r="BJ4" s="48"/>
      <c r="BK4" s="48"/>
      <c r="BL4" s="48"/>
      <c r="BM4" s="48"/>
      <c r="BN4" s="48"/>
      <c r="BO4" s="48"/>
      <c r="BP4" s="48"/>
      <c r="BQ4" s="48"/>
      <c r="BR4" s="48"/>
      <c r="BS4" s="48"/>
    </row>
    <row r="5" spans="1:71" ht="12.75" hidden="1" customHeight="1">
      <c r="A5" s="85">
        <v>1</v>
      </c>
      <c r="B5" s="86">
        <v>4998</v>
      </c>
      <c r="C5" s="29">
        <v>11</v>
      </c>
      <c r="D5" s="122">
        <v>36697863</v>
      </c>
      <c r="E5" s="18" t="str">
        <f>IF(D5&gt;0,VLOOKUP(D5,'PLANTA PERNO'!A:D,4,0)&amp;" "&amp;VLOOKUP(D5,'PLANTA PERNO'!A:D,2,0)&amp;" "&amp;VLOOKUP(D5,'PLANTA PERNO'!A:D,3,0),IF(O5="","VACANTE DEFINITIVA","VACANTE TEMPORAL"))</f>
        <v>ANA MARTA MIRANDA CORRALES</v>
      </c>
      <c r="F5" s="20" t="s">
        <v>39</v>
      </c>
      <c r="G5" s="20" t="str">
        <f t="shared" ref="G5:G174" si="0">VLOOKUP(IF(AND($F5&lt;&gt;"",$M5=""),$F5,IF(AND($F5&lt;&gt;"",$M5&lt;&gt;""),$M5,$E5)),$BA$5:$BB$16,2,0)</f>
        <v>NOMBRAMIENTO ORDINARIO</v>
      </c>
      <c r="H5" s="33">
        <f t="shared" ref="H5:H36" si="1">IFERROR(VLOOKUP($D5,PLANTA_PERNO,16,0)," ")</f>
        <v>45968</v>
      </c>
      <c r="I5" s="33">
        <f t="shared" ref="I5:I36" si="2">IFERROR(VLOOKUP($D5,PLANTA_PERNO,17,0),"")</f>
        <v>45968</v>
      </c>
      <c r="J5" s="31" t="str">
        <f t="shared" ref="J5:J36" si="3">IF(IFERROR((VLOOKUP($D5,PLANTA_PERNO,9,0)),"")="F","MUJER",IF(IFERROR((VLOOKUP($D5,PLANTA_PERNO,9,0)),"")="M","HOMBRE",""))</f>
        <v>MUJER</v>
      </c>
      <c r="K5" s="21">
        <f t="shared" ref="K5:K36" ca="1" si="4">IFERROR(DATEDIF((VLOOKUP($D5,PLANTA_PERNO,6,0)),$K$3,"Y"),"")</f>
        <v>45</v>
      </c>
      <c r="L5" s="21">
        <f t="shared" ref="L5:L174" ca="1" si="5">IFERROR(DATEDIF(H5,$K$3,"Y"),"")</f>
        <v>0</v>
      </c>
      <c r="M5" s="21" t="str">
        <f t="shared" ref="M5:M174" si="6">IF(AND(($R5&gt;=1),($E5&lt;&gt;"VACANTE TEMPORAL"),F5&lt;&gt;"PROVISIONALIDAD"),"ENCARGO",IF(F5="PROVISIONALIDAD","PROVISIONALIDAD",IF(F5="PERIODO DE PRUEBA","PERIODO DE PRUEBA","")))</f>
        <v/>
      </c>
      <c r="N5" s="88" t="str">
        <f t="shared" ref="N5:N32" si="7">IF(P5="VACANTE DEFINITIVA","VACANTE DEFINITIVA",IF(AND(P5&lt;&gt;"VACANTE DEFINITVA",S5="CM"),"EN COMISIÓN EN EMPLEO DE L.N.R. O DE PERIODO",IF(AND(P5&lt;&gt;"VACANTE DEFINITVA",T5="PP"),"PERIODO DE PRUEBA EN OTRA ENTIDAD",IF(AND(P5&lt;&gt;"VACANTE DEFINITVA",U5="LM"),"VT LICENCIA MATERNIDAD",IF(AND(P5&lt;&gt;"VACANTE DEFINITIVA",R5&gt;0,V5=""),"EN ENCARGO",IF(AND(E5&lt;&gt;"",V5="LNR"),"LICENCIA NO REMUNERADA","EN PROPIEDAD"))))))</f>
        <v>EN PROPIEDAD</v>
      </c>
      <c r="O5" s="21">
        <v>36697863</v>
      </c>
      <c r="P5" s="18" t="str">
        <f>IF(O5="","VACANTE DEFINITIVA",(VLOOKUP(O5,'PLANTA PERNO'!A:D,4,0)&amp;" "&amp;VLOOKUP(O5,'PLANTA PERNO'!A:D,2,0)&amp;" "&amp;VLOOKUP(O5,'PLANTA PERNO'!A:D,3,0)))</f>
        <v>ANA MARTA MIRANDA CORRALES</v>
      </c>
      <c r="Q5" s="21"/>
      <c r="R5" s="21"/>
      <c r="S5" s="21"/>
      <c r="T5" s="21"/>
      <c r="U5" s="21"/>
      <c r="V5" s="21"/>
      <c r="W5" s="89"/>
      <c r="X5" s="89"/>
      <c r="Y5" s="28" t="str">
        <f t="shared" ref="Y5:Y174" si="8">IF(E5="VACANTE DEFINITIVA","VACANTE DEFINITIVA",IF(E5="VACANTE TEMPORAL","VACANTE TEMPORAL","OCUPADO"))</f>
        <v>OCUPADO</v>
      </c>
      <c r="Z5" s="23" t="s">
        <v>26</v>
      </c>
      <c r="AA5" s="24" t="s">
        <v>203</v>
      </c>
      <c r="AB5" s="34">
        <v>115</v>
      </c>
      <c r="AC5" s="35">
        <v>6</v>
      </c>
      <c r="AD5" s="28" t="str">
        <f t="shared" ref="AD5:AD127" si="9">AB5&amp;"-"&amp;AC5</f>
        <v>115-6</v>
      </c>
      <c r="AE5" s="24" t="s">
        <v>32</v>
      </c>
      <c r="AF5" s="24" t="s">
        <v>32</v>
      </c>
      <c r="AG5" s="24" t="s">
        <v>205</v>
      </c>
      <c r="AH5" s="24" t="s">
        <v>206</v>
      </c>
      <c r="AI5" s="24" t="s">
        <v>207</v>
      </c>
      <c r="AJ5" s="24" t="s">
        <v>208</v>
      </c>
      <c r="AK5" s="93">
        <v>10208469.82</v>
      </c>
      <c r="AL5" s="93">
        <f t="shared" ref="AL5:AL6" si="10">+AK5*0.4</f>
        <v>4083387.9280000003</v>
      </c>
      <c r="AM5" s="93">
        <f t="shared" ref="AM5:AM36" si="11">IFERROR(INT(($AK5*(VLOOKUP($D5,BASE_PORCENTAJES,10,0))/100)),0)</f>
        <v>0</v>
      </c>
      <c r="AN5" s="93">
        <f>IFERROR(INT(($AK5*(VLOOKUP($D5,'PORCENTAJES FACTORES'!B:N,12,0))/100)),0)</f>
        <v>0</v>
      </c>
      <c r="AO5" s="93">
        <f t="shared" ref="AO5:AO36" si="12">IFERROR(INT(($AK5*(VLOOKUP($D5,BASE_PORCENTAJES,13,0))/100)),0)</f>
        <v>0</v>
      </c>
      <c r="AP5" s="93">
        <f t="shared" ref="AP5:AP174" si="13">IF($AK5&lt;=$AP$1,$AP$2,0)</f>
        <v>0</v>
      </c>
      <c r="AQ5" s="93">
        <f t="shared" ref="AQ5:AQ174" si="14">IF($AK5&lt;=$AQ$1,$AQ$2,0)</f>
        <v>0</v>
      </c>
      <c r="AR5" s="95">
        <f t="shared" ref="AR5:AR96" si="15">+AK5+AL5+AM5+AN5+AO5+AP5+AQ5</f>
        <v>14291857.748</v>
      </c>
      <c r="AS5" s="96"/>
      <c r="AT5" s="97"/>
      <c r="AU5" s="43">
        <f t="shared" ref="AU5:AU174" si="16">AK5*1.07</f>
        <v>10923062.707400002</v>
      </c>
      <c r="AV5" s="43">
        <v>50</v>
      </c>
      <c r="AW5" s="43">
        <f t="shared" ref="AW5:AW174" si="17">AU5*AV5/100</f>
        <v>5461531.3537000008</v>
      </c>
      <c r="AX5" s="43">
        <f t="shared" ref="AX5:AX175" si="18">AW5*11</f>
        <v>60076844.890700012</v>
      </c>
      <c r="AY5" s="58"/>
      <c r="AZ5" s="58">
        <v>6357777</v>
      </c>
      <c r="BA5" s="100" t="s">
        <v>49</v>
      </c>
      <c r="BB5" s="100" t="s">
        <v>49</v>
      </c>
      <c r="BC5" s="48"/>
      <c r="BD5" s="48"/>
      <c r="BE5" s="48"/>
      <c r="BF5" s="48"/>
      <c r="BG5" s="48"/>
      <c r="BH5" s="48"/>
      <c r="BI5" s="48"/>
      <c r="BJ5" s="48"/>
      <c r="BK5" s="48"/>
      <c r="BL5" s="48"/>
      <c r="BM5" s="48"/>
      <c r="BN5" s="48"/>
      <c r="BO5" s="48"/>
      <c r="BP5" s="48"/>
      <c r="BQ5" s="48"/>
      <c r="BR5" s="48"/>
      <c r="BS5" s="48"/>
    </row>
    <row r="6" spans="1:71" ht="12.75" hidden="1" customHeight="1">
      <c r="A6" s="85">
        <v>2</v>
      </c>
      <c r="B6" s="86">
        <v>4999</v>
      </c>
      <c r="C6" s="29">
        <v>171</v>
      </c>
      <c r="D6" s="122">
        <v>2968815</v>
      </c>
      <c r="E6" s="18" t="str">
        <f>IF(D6&gt;0,VLOOKUP(D6,'PLANTA PERNO'!A:D,4,0)&amp;" "&amp;VLOOKUP(D6,'PLANTA PERNO'!A:D,2,0)&amp;" "&amp;VLOOKUP(D6,'PLANTA PERNO'!A:D,3,0),IF(O6="","VACANTE DEFINITIVA","VACANTE TEMPORAL"))</f>
        <v>OSCAR JAVIER SUAREZ RAMOS</v>
      </c>
      <c r="F6" s="20" t="s">
        <v>39</v>
      </c>
      <c r="G6" s="20" t="str">
        <f t="shared" si="0"/>
        <v>NOMBRAMIENTO ORDINARIO</v>
      </c>
      <c r="H6" s="33">
        <f t="shared" si="1"/>
        <v>45923</v>
      </c>
      <c r="I6" s="33">
        <f t="shared" si="2"/>
        <v>45923</v>
      </c>
      <c r="J6" s="31" t="str">
        <f t="shared" si="3"/>
        <v>HOMBRE</v>
      </c>
      <c r="K6" s="21">
        <f t="shared" ca="1" si="4"/>
        <v>48</v>
      </c>
      <c r="L6" s="21">
        <f t="shared" ca="1" si="5"/>
        <v>1</v>
      </c>
      <c r="M6" s="21" t="str">
        <f t="shared" si="6"/>
        <v/>
      </c>
      <c r="N6" s="21" t="str">
        <f t="shared" si="7"/>
        <v>EN PROPIEDAD</v>
      </c>
      <c r="O6" s="21">
        <v>2968815</v>
      </c>
      <c r="P6" s="18" t="str">
        <f>IF(O6="","VACANTE DEFINITIVA",(VLOOKUP(O6,'PLANTA PERNO'!A:D,4,0)&amp;" "&amp;VLOOKUP(O6,'PLANTA PERNO'!A:D,2,0)&amp;" "&amp;VLOOKUP(O6,'PLANTA PERNO'!A:D,3,0)))</f>
        <v>OSCAR JAVIER SUAREZ RAMOS</v>
      </c>
      <c r="Q6" s="21"/>
      <c r="R6" s="21"/>
      <c r="S6" s="21"/>
      <c r="T6" s="21"/>
      <c r="U6" s="21"/>
      <c r="V6" s="21"/>
      <c r="W6" s="38"/>
      <c r="X6" s="38"/>
      <c r="Y6" s="28" t="str">
        <f t="shared" si="8"/>
        <v>OCUPADO</v>
      </c>
      <c r="Z6" s="23" t="s">
        <v>22</v>
      </c>
      <c r="AA6" s="24" t="s">
        <v>28</v>
      </c>
      <c r="AB6" s="34">
        <v>6</v>
      </c>
      <c r="AC6" s="35">
        <v>6</v>
      </c>
      <c r="AD6" s="28" t="str">
        <f t="shared" si="9"/>
        <v>6-6</v>
      </c>
      <c r="AE6" s="24" t="s">
        <v>75</v>
      </c>
      <c r="AF6" s="24" t="s">
        <v>75</v>
      </c>
      <c r="AG6" s="24" t="s">
        <v>235</v>
      </c>
      <c r="AH6" s="24" t="s">
        <v>237</v>
      </c>
      <c r="AI6" s="24" t="s">
        <v>238</v>
      </c>
      <c r="AJ6" s="24" t="s">
        <v>239</v>
      </c>
      <c r="AK6" s="93">
        <v>10208469.82</v>
      </c>
      <c r="AL6" s="93">
        <f t="shared" si="10"/>
        <v>4083387.9280000003</v>
      </c>
      <c r="AM6" s="93">
        <f t="shared" si="11"/>
        <v>0</v>
      </c>
      <c r="AN6" s="93">
        <f>IFERROR(INT(($AK6*(VLOOKUP($D6,'PORCENTAJES FACTORES'!B:N,12,0))/100)),0)</f>
        <v>0</v>
      </c>
      <c r="AO6" s="93">
        <f t="shared" si="12"/>
        <v>0</v>
      </c>
      <c r="AP6" s="93">
        <f t="shared" si="13"/>
        <v>0</v>
      </c>
      <c r="AQ6" s="93">
        <f t="shared" si="14"/>
        <v>0</v>
      </c>
      <c r="AR6" s="95">
        <f t="shared" si="15"/>
        <v>14291857.748</v>
      </c>
      <c r="AS6" s="96"/>
      <c r="AT6" s="97"/>
      <c r="AU6" s="43">
        <f t="shared" si="16"/>
        <v>10923062.707400002</v>
      </c>
      <c r="AV6" s="43">
        <v>50</v>
      </c>
      <c r="AW6" s="43">
        <f t="shared" si="17"/>
        <v>5461531.3537000008</v>
      </c>
      <c r="AX6" s="43">
        <f t="shared" si="18"/>
        <v>60076844.890700012</v>
      </c>
      <c r="AY6" s="58" t="s">
        <v>317</v>
      </c>
      <c r="AZ6" s="58">
        <v>6700709</v>
      </c>
      <c r="BA6" s="100" t="s">
        <v>246</v>
      </c>
      <c r="BB6" s="100" t="s">
        <v>246</v>
      </c>
      <c r="BC6" s="48"/>
      <c r="BD6" s="48"/>
      <c r="BE6" s="48"/>
      <c r="BF6" s="48"/>
      <c r="BG6" s="48"/>
      <c r="BH6" s="48"/>
      <c r="BI6" s="48"/>
      <c r="BJ6" s="48"/>
      <c r="BK6" s="48"/>
      <c r="BL6" s="48"/>
      <c r="BM6" s="48"/>
      <c r="BN6" s="48"/>
      <c r="BO6" s="48"/>
      <c r="BP6" s="48"/>
      <c r="BQ6" s="48"/>
      <c r="BR6" s="48"/>
      <c r="BS6" s="48"/>
    </row>
    <row r="7" spans="1:71" ht="12.75" hidden="1" customHeight="1">
      <c r="A7" s="85">
        <v>3</v>
      </c>
      <c r="B7" s="86">
        <v>5000</v>
      </c>
      <c r="C7" s="29">
        <v>12</v>
      </c>
      <c r="D7" s="122">
        <v>79349710</v>
      </c>
      <c r="E7" s="18" t="str">
        <f>IF(D7&gt;0,VLOOKUP(D7,'PLANTA PERNO'!A:D,4,0)&amp;" "&amp;VLOOKUP(D7,'PLANTA PERNO'!A:D,2,0)&amp;" "&amp;VLOOKUP(D7,'PLANTA PERNO'!A:D,3,0),IF(O7="","VACANTE DEFINITIVA","VACANTE TEMPORAL"))</f>
        <v>EDGAR ENRIQUE OVALLE CUERVO</v>
      </c>
      <c r="F7" s="20" t="s">
        <v>49</v>
      </c>
      <c r="G7" s="20" t="str">
        <f t="shared" si="0"/>
        <v>EN ENCARGO</v>
      </c>
      <c r="H7" s="33">
        <f t="shared" si="1"/>
        <v>42585</v>
      </c>
      <c r="I7" s="33">
        <f t="shared" si="2"/>
        <v>35786</v>
      </c>
      <c r="J7" s="31" t="str">
        <f t="shared" si="3"/>
        <v>HOMBRE</v>
      </c>
      <c r="K7" s="21">
        <f t="shared" ca="1" si="4"/>
        <v>62</v>
      </c>
      <c r="L7" s="21">
        <f t="shared" ca="1" si="5"/>
        <v>10</v>
      </c>
      <c r="M7" s="21" t="str">
        <f t="shared" si="6"/>
        <v>ENCARGO</v>
      </c>
      <c r="N7" s="21" t="str">
        <f t="shared" si="7"/>
        <v>VACANTE DEFINITIVA</v>
      </c>
      <c r="O7" s="21"/>
      <c r="P7" s="18" t="str">
        <f>IF(O7="","VACANTE DEFINITIVA",(VLOOKUP(O7,'PLANTA PERNO'!A:D,4,0)&amp;" "&amp;VLOOKUP(O7,'PLANTA PERNO'!A:D,2,0)&amp;" "&amp;VLOOKUP(O7,'PLANTA PERNO'!A:D,3,0)))</f>
        <v>VACANTE DEFINITIVA</v>
      </c>
      <c r="Q7" s="21" t="s">
        <v>322</v>
      </c>
      <c r="R7" s="21">
        <v>1</v>
      </c>
      <c r="S7" s="21"/>
      <c r="T7" s="21"/>
      <c r="U7" s="21"/>
      <c r="V7" s="21"/>
      <c r="W7" s="38"/>
      <c r="X7" s="38"/>
      <c r="Y7" s="28" t="str">
        <f t="shared" si="8"/>
        <v>OCUPADO</v>
      </c>
      <c r="Z7" s="23" t="s">
        <v>26</v>
      </c>
      <c r="AA7" s="24" t="s">
        <v>26</v>
      </c>
      <c r="AB7" s="34">
        <v>105</v>
      </c>
      <c r="AC7" s="35">
        <v>5</v>
      </c>
      <c r="AD7" s="28" t="str">
        <f t="shared" si="9"/>
        <v>105-5</v>
      </c>
      <c r="AE7" s="24" t="s">
        <v>98</v>
      </c>
      <c r="AF7" s="24" t="s">
        <v>98</v>
      </c>
      <c r="AG7" s="24" t="s">
        <v>257</v>
      </c>
      <c r="AH7" s="24" t="s">
        <v>260</v>
      </c>
      <c r="AI7" s="24" t="s">
        <v>261</v>
      </c>
      <c r="AJ7" s="103" t="s">
        <v>262</v>
      </c>
      <c r="AK7" s="93">
        <v>9154872.9199999999</v>
      </c>
      <c r="AL7" s="93">
        <f t="shared" ref="AL7:AL11" si="19">+AK7*0.3</f>
        <v>2746461.8759999997</v>
      </c>
      <c r="AM7" s="93">
        <f t="shared" si="11"/>
        <v>640841</v>
      </c>
      <c r="AN7" s="93">
        <f>IFERROR(INT(($AK7*(VLOOKUP($D7,'PORCENTAJES FACTORES'!B:N,12,0))/100)),0)</f>
        <v>3661949</v>
      </c>
      <c r="AO7" s="93">
        <f t="shared" si="12"/>
        <v>0</v>
      </c>
      <c r="AP7" s="93">
        <f t="shared" si="13"/>
        <v>0</v>
      </c>
      <c r="AQ7" s="93">
        <f t="shared" si="14"/>
        <v>0</v>
      </c>
      <c r="AR7" s="95">
        <f t="shared" si="15"/>
        <v>16204124.796</v>
      </c>
      <c r="AS7" s="96"/>
      <c r="AT7" s="97"/>
      <c r="AU7" s="43">
        <f t="shared" si="16"/>
        <v>9795714.0244000014</v>
      </c>
      <c r="AV7" s="43">
        <v>50</v>
      </c>
      <c r="AW7" s="43">
        <f t="shared" si="17"/>
        <v>4897857.0122000007</v>
      </c>
      <c r="AX7" s="43">
        <f t="shared" si="18"/>
        <v>53876427.134200007</v>
      </c>
      <c r="AY7" s="58" t="s">
        <v>330</v>
      </c>
      <c r="AZ7" s="58">
        <v>6883180</v>
      </c>
      <c r="BA7" s="100" t="s">
        <v>247</v>
      </c>
      <c r="BB7" s="100" t="s">
        <v>271</v>
      </c>
      <c r="BC7" s="48"/>
      <c r="BD7" s="48"/>
      <c r="BE7" s="48"/>
      <c r="BF7" s="48"/>
      <c r="BG7" s="48"/>
      <c r="BH7" s="48"/>
      <c r="BI7" s="48"/>
      <c r="BJ7" s="48"/>
      <c r="BK7" s="48"/>
      <c r="BL7" s="48"/>
      <c r="BM7" s="48"/>
      <c r="BN7" s="48"/>
      <c r="BO7" s="48"/>
      <c r="BP7" s="48"/>
      <c r="BQ7" s="48"/>
      <c r="BR7" s="48"/>
      <c r="BS7" s="48"/>
    </row>
    <row r="8" spans="1:71" ht="12.75" hidden="1" customHeight="1">
      <c r="A8" s="85">
        <v>4</v>
      </c>
      <c r="B8" s="86">
        <v>5001</v>
      </c>
      <c r="C8" s="29">
        <v>13</v>
      </c>
      <c r="D8" s="122">
        <v>1020810401</v>
      </c>
      <c r="E8" s="18" t="str">
        <f>IF(D8&gt;0,VLOOKUP(D8,'PLANTA PERNO'!A:D,4,0)&amp;" "&amp;VLOOKUP(D8,'PLANTA PERNO'!A:D,2,0)&amp;" "&amp;VLOOKUP(D8,'PLANTA PERNO'!A:D,3,0),IF(O8="","VACANTE DEFINITIVA","VACANTE TEMPORAL"))</f>
        <v>MARIA PAULA ALBORNOZ CARDENAS</v>
      </c>
      <c r="F8" s="20" t="s">
        <v>39</v>
      </c>
      <c r="G8" s="20" t="str">
        <f t="shared" si="0"/>
        <v>NOMBRAMIENTO ORDINARIO</v>
      </c>
      <c r="H8" s="33">
        <f t="shared" si="1"/>
        <v>45880</v>
      </c>
      <c r="I8" s="33">
        <f t="shared" si="2"/>
        <v>45880</v>
      </c>
      <c r="J8" s="31" t="str">
        <f t="shared" si="3"/>
        <v>MUJER</v>
      </c>
      <c r="K8" s="21">
        <f t="shared" ca="1" si="4"/>
        <v>30</v>
      </c>
      <c r="L8" s="21">
        <f t="shared" ca="1" si="5"/>
        <v>1</v>
      </c>
      <c r="M8" s="21" t="str">
        <f t="shared" si="6"/>
        <v/>
      </c>
      <c r="N8" s="21" t="str">
        <f t="shared" si="7"/>
        <v>EN PROPIEDAD</v>
      </c>
      <c r="O8" s="21">
        <v>1020810401</v>
      </c>
      <c r="P8" s="18" t="str">
        <f>IF(O8="","VACANTE DEFINITIVA",(VLOOKUP(O8,'PLANTA PERNO'!A:D,4,0)&amp;" "&amp;VLOOKUP(O8,'PLANTA PERNO'!A:D,2,0)&amp;" "&amp;VLOOKUP(O8,'PLANTA PERNO'!A:D,3,0)))</f>
        <v>MARIA PAULA ALBORNOZ CARDENAS</v>
      </c>
      <c r="Q8" s="21"/>
      <c r="R8" s="21"/>
      <c r="S8" s="21"/>
      <c r="T8" s="21"/>
      <c r="U8" s="21"/>
      <c r="V8" s="21"/>
      <c r="W8" s="38"/>
      <c r="X8" s="38"/>
      <c r="Y8" s="28" t="str">
        <f t="shared" si="8"/>
        <v>OCUPADO</v>
      </c>
      <c r="Z8" s="23" t="s">
        <v>26</v>
      </c>
      <c r="AA8" s="24" t="s">
        <v>26</v>
      </c>
      <c r="AB8" s="34">
        <v>105</v>
      </c>
      <c r="AC8" s="35">
        <v>5</v>
      </c>
      <c r="AD8" s="28" t="str">
        <f t="shared" si="9"/>
        <v>105-5</v>
      </c>
      <c r="AE8" s="24" t="s">
        <v>98</v>
      </c>
      <c r="AF8" s="24" t="s">
        <v>98</v>
      </c>
      <c r="AG8" s="24" t="s">
        <v>257</v>
      </c>
      <c r="AH8" s="24" t="s">
        <v>260</v>
      </c>
      <c r="AI8" s="24" t="s">
        <v>261</v>
      </c>
      <c r="AJ8" s="103" t="s">
        <v>262</v>
      </c>
      <c r="AK8" s="93">
        <v>9154872.9199999999</v>
      </c>
      <c r="AL8" s="93">
        <f t="shared" si="19"/>
        <v>2746461.8759999997</v>
      </c>
      <c r="AM8" s="93">
        <f t="shared" si="11"/>
        <v>0</v>
      </c>
      <c r="AN8" s="93">
        <f>IFERROR(INT(($AK8*(VLOOKUP($D8,'PORCENTAJES FACTORES'!B:N,12,0))/100)),0)</f>
        <v>4577436</v>
      </c>
      <c r="AO8" s="93">
        <f t="shared" si="12"/>
        <v>0</v>
      </c>
      <c r="AP8" s="93">
        <f t="shared" si="13"/>
        <v>0</v>
      </c>
      <c r="AQ8" s="93">
        <f t="shared" si="14"/>
        <v>0</v>
      </c>
      <c r="AR8" s="95">
        <f t="shared" si="15"/>
        <v>16478770.796</v>
      </c>
      <c r="AS8" s="96"/>
      <c r="AT8" s="97"/>
      <c r="AU8" s="43">
        <f t="shared" si="16"/>
        <v>9795714.0244000014</v>
      </c>
      <c r="AV8" s="43">
        <v>50</v>
      </c>
      <c r="AW8" s="43">
        <f t="shared" si="17"/>
        <v>4897857.0122000007</v>
      </c>
      <c r="AX8" s="43">
        <f t="shared" si="18"/>
        <v>53876427.134200007</v>
      </c>
      <c r="AY8" s="58" t="s">
        <v>339</v>
      </c>
      <c r="AZ8" s="58">
        <v>7752508</v>
      </c>
      <c r="BA8" s="100" t="s">
        <v>249</v>
      </c>
      <c r="BB8" s="100" t="s">
        <v>249</v>
      </c>
      <c r="BC8" s="48"/>
      <c r="BD8" s="48"/>
      <c r="BE8" s="48"/>
      <c r="BF8" s="48"/>
      <c r="BG8" s="48"/>
      <c r="BH8" s="48"/>
      <c r="BI8" s="48"/>
      <c r="BJ8" s="48"/>
      <c r="BK8" s="48"/>
      <c r="BL8" s="48"/>
      <c r="BM8" s="48"/>
      <c r="BN8" s="48"/>
      <c r="BO8" s="48"/>
      <c r="BP8" s="48"/>
      <c r="BQ8" s="48"/>
      <c r="BR8" s="48"/>
      <c r="BS8" s="48"/>
    </row>
    <row r="9" spans="1:71" ht="12.75" hidden="1" customHeight="1">
      <c r="A9" s="85">
        <v>5</v>
      </c>
      <c r="B9" s="86">
        <v>5002</v>
      </c>
      <c r="C9" s="29">
        <v>14</v>
      </c>
      <c r="D9" s="122">
        <v>1121857540</v>
      </c>
      <c r="E9" s="18" t="str">
        <f>IF(D9&gt;0,VLOOKUP(D9,'PLANTA PERNO'!A:D,4,0)&amp;" "&amp;VLOOKUP(D9,'PLANTA PERNO'!A:D,2,0)&amp;" "&amp;VLOOKUP(D9,'PLANTA PERNO'!A:D,3,0),IF(O9="","VACANTE DEFINITIVA","VACANTE TEMPORAL"))</f>
        <v>MARIA TATIANA MEJIA ROJAS</v>
      </c>
      <c r="F9" s="20" t="s">
        <v>39</v>
      </c>
      <c r="G9" s="20" t="str">
        <f t="shared" si="0"/>
        <v>NOMBRAMIENTO ORDINARIO</v>
      </c>
      <c r="H9" s="33">
        <f t="shared" si="1"/>
        <v>45371</v>
      </c>
      <c r="I9" s="33">
        <f t="shared" si="2"/>
        <v>45371</v>
      </c>
      <c r="J9" s="31" t="str">
        <f t="shared" si="3"/>
        <v>MUJER</v>
      </c>
      <c r="K9" s="21">
        <f t="shared" ca="1" si="4"/>
        <v>37</v>
      </c>
      <c r="L9" s="21">
        <f t="shared" ca="1" si="5"/>
        <v>2</v>
      </c>
      <c r="M9" s="21" t="str">
        <f t="shared" si="6"/>
        <v/>
      </c>
      <c r="N9" s="21" t="str">
        <f t="shared" si="7"/>
        <v>EN PROPIEDAD</v>
      </c>
      <c r="O9" s="21">
        <v>1121857540</v>
      </c>
      <c r="P9" s="18" t="str">
        <f>IF(O9="","VACANTE DEFINITIVA",(VLOOKUP(O9,'PLANTA PERNO'!A:D,4,0)&amp;" "&amp;VLOOKUP(O9,'PLANTA PERNO'!A:D,2,0)&amp;" "&amp;VLOOKUP(O9,'PLANTA PERNO'!A:D,3,0)))</f>
        <v>MARIA TATIANA MEJIA ROJAS</v>
      </c>
      <c r="Q9" s="21"/>
      <c r="R9" s="21"/>
      <c r="S9" s="21"/>
      <c r="T9" s="21"/>
      <c r="U9" s="21"/>
      <c r="V9" s="21"/>
      <c r="W9" s="38"/>
      <c r="X9" s="38"/>
      <c r="Y9" s="28" t="str">
        <f t="shared" si="8"/>
        <v>OCUPADO</v>
      </c>
      <c r="Z9" s="23" t="s">
        <v>26</v>
      </c>
      <c r="AA9" s="24" t="s">
        <v>26</v>
      </c>
      <c r="AB9" s="34">
        <v>105</v>
      </c>
      <c r="AC9" s="35">
        <v>5</v>
      </c>
      <c r="AD9" s="28" t="str">
        <f t="shared" si="9"/>
        <v>105-5</v>
      </c>
      <c r="AE9" s="24" t="s">
        <v>98</v>
      </c>
      <c r="AF9" s="24" t="s">
        <v>98</v>
      </c>
      <c r="AG9" s="24" t="s">
        <v>257</v>
      </c>
      <c r="AH9" s="24" t="s">
        <v>260</v>
      </c>
      <c r="AI9" s="24" t="s">
        <v>261</v>
      </c>
      <c r="AJ9" s="103" t="s">
        <v>262</v>
      </c>
      <c r="AK9" s="93">
        <v>9154872.9199999999</v>
      </c>
      <c r="AL9" s="93">
        <f t="shared" si="19"/>
        <v>2746461.8759999997</v>
      </c>
      <c r="AM9" s="93">
        <f t="shared" si="11"/>
        <v>0</v>
      </c>
      <c r="AN9" s="93">
        <f>IFERROR(INT(($AK9*(VLOOKUP($D9,'PORCENTAJES FACTORES'!B:N,12,0))/100)),0)</f>
        <v>4577436</v>
      </c>
      <c r="AO9" s="93">
        <f t="shared" si="12"/>
        <v>0</v>
      </c>
      <c r="AP9" s="93">
        <f t="shared" si="13"/>
        <v>0</v>
      </c>
      <c r="AQ9" s="93">
        <f t="shared" si="14"/>
        <v>0</v>
      </c>
      <c r="AR9" s="95">
        <f t="shared" si="15"/>
        <v>16478770.796</v>
      </c>
      <c r="AS9" s="96"/>
      <c r="AT9" s="97"/>
      <c r="AU9" s="43">
        <f t="shared" si="16"/>
        <v>9795714.0244000014</v>
      </c>
      <c r="AV9" s="43">
        <v>50</v>
      </c>
      <c r="AW9" s="43">
        <f t="shared" si="17"/>
        <v>4897857.0122000007</v>
      </c>
      <c r="AX9" s="43">
        <f t="shared" si="18"/>
        <v>53876427.134200007</v>
      </c>
      <c r="AY9" s="58" t="s">
        <v>351</v>
      </c>
      <c r="AZ9" s="58">
        <v>8555956</v>
      </c>
      <c r="BA9" s="100" t="s">
        <v>79</v>
      </c>
      <c r="BB9" s="100" t="s">
        <v>76</v>
      </c>
      <c r="BC9" s="48"/>
      <c r="BD9" s="48"/>
      <c r="BE9" s="48"/>
      <c r="BF9" s="48"/>
      <c r="BG9" s="48"/>
      <c r="BH9" s="48"/>
      <c r="BI9" s="48"/>
      <c r="BJ9" s="48"/>
      <c r="BK9" s="48"/>
      <c r="BL9" s="48"/>
      <c r="BM9" s="48"/>
      <c r="BN9" s="48"/>
      <c r="BO9" s="48"/>
      <c r="BP9" s="48"/>
      <c r="BQ9" s="48"/>
      <c r="BR9" s="48"/>
      <c r="BS9" s="48"/>
    </row>
    <row r="10" spans="1:71" ht="12.75" hidden="1" customHeight="1">
      <c r="A10" s="85">
        <v>6</v>
      </c>
      <c r="B10" s="86">
        <v>5003</v>
      </c>
      <c r="C10" s="29">
        <v>15</v>
      </c>
      <c r="D10" s="122">
        <v>80096113</v>
      </c>
      <c r="E10" s="18" t="str">
        <f>IF(D10&gt;0,VLOOKUP(D10,'PLANTA PERNO'!A:D,4,0)&amp;" "&amp;VLOOKUP(D10,'PLANTA PERNO'!A:D,2,0)&amp;" "&amp;VLOOKUP(D10,'PLANTA PERNO'!A:D,3,0),IF(O10="","VACANTE DEFINITIVA","VACANTE TEMPORAL"))</f>
        <v>CARLOS ANDRES BERNAL CASAS</v>
      </c>
      <c r="F10" s="20" t="s">
        <v>39</v>
      </c>
      <c r="G10" s="20" t="str">
        <f t="shared" si="0"/>
        <v>NOMBRAMIENTO ORDINARIO</v>
      </c>
      <c r="H10" s="33">
        <f t="shared" si="1"/>
        <v>45463</v>
      </c>
      <c r="I10" s="33">
        <f t="shared" si="2"/>
        <v>45463</v>
      </c>
      <c r="J10" s="31" t="str">
        <f t="shared" si="3"/>
        <v>MUJER</v>
      </c>
      <c r="K10" s="21">
        <f t="shared" ca="1" si="4"/>
        <v>44</v>
      </c>
      <c r="L10" s="21">
        <f t="shared" ca="1" si="5"/>
        <v>2</v>
      </c>
      <c r="M10" s="21" t="str">
        <f t="shared" si="6"/>
        <v/>
      </c>
      <c r="N10" s="21" t="str">
        <f t="shared" si="7"/>
        <v>EN PROPIEDAD</v>
      </c>
      <c r="O10" s="21">
        <v>80096113</v>
      </c>
      <c r="P10" s="18" t="str">
        <f>IF(O10="","VACANTE DEFINITIVA",(VLOOKUP(O10,'PLANTA PERNO'!A:D,4,0)&amp;" "&amp;VLOOKUP(O10,'PLANTA PERNO'!A:D,2,0)&amp;" "&amp;VLOOKUP(O10,'PLANTA PERNO'!A:D,3,0)))</f>
        <v>CARLOS ANDRES BERNAL CASAS</v>
      </c>
      <c r="Q10" s="21"/>
      <c r="R10" s="21"/>
      <c r="S10" s="21"/>
      <c r="T10" s="21"/>
      <c r="U10" s="21"/>
      <c r="V10" s="21"/>
      <c r="W10" s="38"/>
      <c r="X10" s="38"/>
      <c r="Y10" s="28" t="str">
        <f t="shared" si="8"/>
        <v>OCUPADO</v>
      </c>
      <c r="Z10" s="23" t="s">
        <v>26</v>
      </c>
      <c r="AA10" s="24" t="s">
        <v>26</v>
      </c>
      <c r="AB10" s="34">
        <v>105</v>
      </c>
      <c r="AC10" s="35">
        <v>5</v>
      </c>
      <c r="AD10" s="28" t="str">
        <f t="shared" si="9"/>
        <v>105-5</v>
      </c>
      <c r="AE10" s="24" t="s">
        <v>98</v>
      </c>
      <c r="AF10" s="24" t="s">
        <v>98</v>
      </c>
      <c r="AG10" s="24" t="s">
        <v>257</v>
      </c>
      <c r="AH10" s="24" t="s">
        <v>260</v>
      </c>
      <c r="AI10" s="24" t="s">
        <v>261</v>
      </c>
      <c r="AJ10" s="103" t="s">
        <v>262</v>
      </c>
      <c r="AK10" s="93">
        <v>9154872.9199999999</v>
      </c>
      <c r="AL10" s="93">
        <f t="shared" si="19"/>
        <v>2746461.8759999997</v>
      </c>
      <c r="AM10" s="93">
        <f t="shared" si="11"/>
        <v>0</v>
      </c>
      <c r="AN10" s="93">
        <f>IFERROR(INT(($AK10*(VLOOKUP($D10,'PORCENTAJES FACTORES'!B:N,12,0))/100)),0)</f>
        <v>4577436</v>
      </c>
      <c r="AO10" s="93">
        <f t="shared" si="12"/>
        <v>0</v>
      </c>
      <c r="AP10" s="93">
        <f t="shared" si="13"/>
        <v>0</v>
      </c>
      <c r="AQ10" s="93">
        <f t="shared" si="14"/>
        <v>0</v>
      </c>
      <c r="AR10" s="95">
        <f t="shared" si="15"/>
        <v>16478770.796</v>
      </c>
      <c r="AS10" s="96"/>
      <c r="AT10" s="97"/>
      <c r="AU10" s="43">
        <f t="shared" si="16"/>
        <v>9795714.0244000014</v>
      </c>
      <c r="AV10" s="43">
        <v>50</v>
      </c>
      <c r="AW10" s="43">
        <f t="shared" si="17"/>
        <v>4897857.0122000007</v>
      </c>
      <c r="AX10" s="43">
        <f t="shared" si="18"/>
        <v>53876427.134200007</v>
      </c>
      <c r="AY10" s="58" t="s">
        <v>361</v>
      </c>
      <c r="AZ10" s="58">
        <v>9540626</v>
      </c>
      <c r="BA10" s="100" t="s">
        <v>24</v>
      </c>
      <c r="BB10" s="100" t="s">
        <v>192</v>
      </c>
      <c r="BC10" s="48"/>
      <c r="BD10" s="48"/>
      <c r="BE10" s="48"/>
      <c r="BF10" s="48"/>
      <c r="BG10" s="48"/>
      <c r="BH10" s="48"/>
      <c r="BI10" s="48"/>
      <c r="BJ10" s="48"/>
      <c r="BK10" s="48"/>
      <c r="BL10" s="48"/>
      <c r="BM10" s="48"/>
      <c r="BN10" s="48"/>
      <c r="BO10" s="48"/>
      <c r="BP10" s="48"/>
      <c r="BQ10" s="48"/>
      <c r="BR10" s="48"/>
      <c r="BS10" s="48"/>
    </row>
    <row r="11" spans="1:71" ht="12.75" hidden="1" customHeight="1">
      <c r="A11" s="85">
        <v>7</v>
      </c>
      <c r="B11" s="86">
        <v>5004</v>
      </c>
      <c r="C11" s="29">
        <v>16</v>
      </c>
      <c r="D11" s="122">
        <v>1098774988</v>
      </c>
      <c r="E11" s="18" t="str">
        <f>IF(D11&gt;0,VLOOKUP(D11,'PLANTA PERNO'!A:D,4,0)&amp;" "&amp;VLOOKUP(D11,'PLANTA PERNO'!A:D,2,0)&amp;" "&amp;VLOOKUP(D11,'PLANTA PERNO'!A:D,3,0),IF(O11="","VACANTE DEFINITIVA","VACANTE TEMPORAL"))</f>
        <v>LAURA JULIANA ARIZA HERRERA</v>
      </c>
      <c r="F11" s="20" t="s">
        <v>39</v>
      </c>
      <c r="G11" s="20" t="str">
        <f t="shared" si="0"/>
        <v>NOMBRAMIENTO ORDINARIO</v>
      </c>
      <c r="H11" s="33">
        <f t="shared" si="1"/>
        <v>45757</v>
      </c>
      <c r="I11" s="33">
        <f t="shared" si="2"/>
        <v>45757</v>
      </c>
      <c r="J11" s="31" t="str">
        <f t="shared" si="3"/>
        <v>MUJER</v>
      </c>
      <c r="K11" s="21">
        <f t="shared" ca="1" si="4"/>
        <v>31</v>
      </c>
      <c r="L11" s="21">
        <f t="shared" ca="1" si="5"/>
        <v>1</v>
      </c>
      <c r="M11" s="21" t="str">
        <f t="shared" si="6"/>
        <v/>
      </c>
      <c r="N11" s="21" t="str">
        <f t="shared" si="7"/>
        <v>EN PROPIEDAD</v>
      </c>
      <c r="O11" s="21">
        <v>1098774988</v>
      </c>
      <c r="P11" s="18" t="str">
        <f>IF(O11="","VACANTE DEFINITIVA",(VLOOKUP(O11,'PLANTA PERNO'!A:D,4,0)&amp;" "&amp;VLOOKUP(O11,'PLANTA PERNO'!A:D,2,0)&amp;" "&amp;VLOOKUP(O11,'PLANTA PERNO'!A:D,3,0)))</f>
        <v>LAURA JULIANA ARIZA HERRERA</v>
      </c>
      <c r="Q11" s="21"/>
      <c r="R11" s="21"/>
      <c r="S11" s="21"/>
      <c r="T11" s="21"/>
      <c r="U11" s="21"/>
      <c r="V11" s="21"/>
      <c r="W11" s="38"/>
      <c r="X11" s="38"/>
      <c r="Y11" s="28" t="str">
        <f t="shared" si="8"/>
        <v>OCUPADO</v>
      </c>
      <c r="Z11" s="23" t="s">
        <v>26</v>
      </c>
      <c r="AA11" s="24" t="s">
        <v>26</v>
      </c>
      <c r="AB11" s="34">
        <v>105</v>
      </c>
      <c r="AC11" s="35">
        <v>5</v>
      </c>
      <c r="AD11" s="28" t="str">
        <f t="shared" si="9"/>
        <v>105-5</v>
      </c>
      <c r="AE11" s="24" t="s">
        <v>98</v>
      </c>
      <c r="AF11" s="24" t="s">
        <v>98</v>
      </c>
      <c r="AG11" s="24" t="s">
        <v>257</v>
      </c>
      <c r="AH11" s="24" t="s">
        <v>260</v>
      </c>
      <c r="AI11" s="24" t="s">
        <v>261</v>
      </c>
      <c r="AJ11" s="103" t="s">
        <v>262</v>
      </c>
      <c r="AK11" s="93">
        <v>9154872.9199999999</v>
      </c>
      <c r="AL11" s="93">
        <f t="shared" si="19"/>
        <v>2746461.8759999997</v>
      </c>
      <c r="AM11" s="93">
        <f t="shared" si="11"/>
        <v>0</v>
      </c>
      <c r="AN11" s="93">
        <f>IFERROR(INT(($AK11*(VLOOKUP($D11,'PORCENTAJES FACTORES'!B:N,12,0))/100)),0)</f>
        <v>4577436</v>
      </c>
      <c r="AO11" s="93">
        <f t="shared" si="12"/>
        <v>0</v>
      </c>
      <c r="AP11" s="93">
        <f t="shared" si="13"/>
        <v>0</v>
      </c>
      <c r="AQ11" s="93">
        <f t="shared" si="14"/>
        <v>0</v>
      </c>
      <c r="AR11" s="95">
        <f t="shared" si="15"/>
        <v>16478770.796</v>
      </c>
      <c r="AS11" s="96"/>
      <c r="AT11" s="97"/>
      <c r="AU11" s="43">
        <f t="shared" si="16"/>
        <v>9795714.0244000014</v>
      </c>
      <c r="AV11" s="43">
        <v>50</v>
      </c>
      <c r="AW11" s="43">
        <f t="shared" si="17"/>
        <v>4897857.0122000007</v>
      </c>
      <c r="AX11" s="43">
        <f t="shared" si="18"/>
        <v>53876427.134200007</v>
      </c>
      <c r="AY11" s="58" t="s">
        <v>362</v>
      </c>
      <c r="AZ11" s="58">
        <v>10454966</v>
      </c>
      <c r="BA11" s="100" t="s">
        <v>39</v>
      </c>
      <c r="BB11" s="100" t="s">
        <v>43</v>
      </c>
      <c r="BC11" s="48"/>
      <c r="BD11" s="48"/>
      <c r="BE11" s="48"/>
      <c r="BF11" s="48"/>
      <c r="BG11" s="48"/>
      <c r="BH11" s="48"/>
      <c r="BI11" s="48"/>
      <c r="BJ11" s="48"/>
      <c r="BK11" s="48"/>
      <c r="BL11" s="48"/>
      <c r="BM11" s="48"/>
      <c r="BN11" s="48"/>
      <c r="BO11" s="48"/>
      <c r="BP11" s="48"/>
      <c r="BQ11" s="48"/>
      <c r="BR11" s="48"/>
      <c r="BS11" s="48"/>
    </row>
    <row r="12" spans="1:71" ht="12.75" hidden="1" customHeight="1">
      <c r="A12" s="85">
        <v>8</v>
      </c>
      <c r="B12" s="86">
        <v>5005</v>
      </c>
      <c r="C12" s="29">
        <v>137</v>
      </c>
      <c r="D12" s="122">
        <v>79431243</v>
      </c>
      <c r="E12" s="18" t="str">
        <f>IF(D12&gt;0,VLOOKUP(D12,'PLANTA PERNO'!A:D,4,0)&amp;" "&amp;VLOOKUP(D12,'PLANTA PERNO'!A:D,2,0)&amp;" "&amp;VLOOKUP(D12,'PLANTA PERNO'!A:D,3,0),IF(O12="","VACANTE DEFINITIVA","VACANTE TEMPORAL"))</f>
        <v>WALTER OSPINA ZAPATA</v>
      </c>
      <c r="F12" s="20" t="s">
        <v>49</v>
      </c>
      <c r="G12" s="20" t="str">
        <f t="shared" si="0"/>
        <v>EN ENCARGO</v>
      </c>
      <c r="H12" s="33">
        <f t="shared" si="1"/>
        <v>42585</v>
      </c>
      <c r="I12" s="33">
        <f t="shared" si="2"/>
        <v>38443</v>
      </c>
      <c r="J12" s="31" t="str">
        <f t="shared" si="3"/>
        <v>HOMBRE</v>
      </c>
      <c r="K12" s="21">
        <f t="shared" ca="1" si="4"/>
        <v>59</v>
      </c>
      <c r="L12" s="21">
        <f t="shared" ca="1" si="5"/>
        <v>10</v>
      </c>
      <c r="M12" s="21" t="str">
        <f t="shared" si="6"/>
        <v>ENCARGO</v>
      </c>
      <c r="N12" s="21" t="str">
        <f t="shared" si="7"/>
        <v>VACANTE DEFINITIVA</v>
      </c>
      <c r="O12" s="21" t="s">
        <v>25</v>
      </c>
      <c r="P12" s="18" t="str">
        <f>IF(O12="","VACANTE DEFINITIVA",(VLOOKUP(O12,'PLANTA PERNO'!A:D,4,0)&amp;" "&amp;VLOOKUP(O12,'PLANTA PERNO'!A:D,2,0)&amp;" "&amp;VLOOKUP(O12,'PLANTA PERNO'!A:D,3,0)))</f>
        <v>VACANTE DEFINITIVA</v>
      </c>
      <c r="Q12" s="21" t="s">
        <v>256</v>
      </c>
      <c r="R12" s="21">
        <v>1</v>
      </c>
      <c r="S12" s="21"/>
      <c r="T12" s="21"/>
      <c r="U12" s="21"/>
      <c r="V12" s="21"/>
      <c r="W12" s="38"/>
      <c r="X12" s="129">
        <v>203205</v>
      </c>
      <c r="Y12" s="28" t="str">
        <f t="shared" si="8"/>
        <v>OCUPADO</v>
      </c>
      <c r="Z12" s="23" t="s">
        <v>27</v>
      </c>
      <c r="AA12" s="24" t="s">
        <v>146</v>
      </c>
      <c r="AB12" s="25">
        <v>407</v>
      </c>
      <c r="AC12" s="27">
        <v>27</v>
      </c>
      <c r="AD12" s="28" t="str">
        <f t="shared" si="9"/>
        <v>407-27</v>
      </c>
      <c r="AE12" s="24" t="s">
        <v>147</v>
      </c>
      <c r="AF12" s="24" t="s">
        <v>147</v>
      </c>
      <c r="AG12" s="24" t="s">
        <v>301</v>
      </c>
      <c r="AH12" s="24" t="s">
        <v>302</v>
      </c>
      <c r="AI12" s="24" t="s">
        <v>303</v>
      </c>
      <c r="AJ12" s="24" t="s">
        <v>304</v>
      </c>
      <c r="AK12" s="93">
        <v>4316672.1100000003</v>
      </c>
      <c r="AL12" s="93">
        <v>0</v>
      </c>
      <c r="AM12" s="93">
        <f t="shared" si="11"/>
        <v>302167</v>
      </c>
      <c r="AN12" s="93">
        <f>IFERROR(INT(($AK12*(VLOOKUP($D12,'PORCENTAJES FACTORES'!B:N,12,0))/100)),0)</f>
        <v>0</v>
      </c>
      <c r="AO12" s="93">
        <f t="shared" si="12"/>
        <v>0</v>
      </c>
      <c r="AP12" s="93">
        <f t="shared" si="13"/>
        <v>0</v>
      </c>
      <c r="AQ12" s="93">
        <f t="shared" si="14"/>
        <v>0</v>
      </c>
      <c r="AR12" s="95">
        <f t="shared" si="15"/>
        <v>4618839.1100000003</v>
      </c>
      <c r="AS12" s="96"/>
      <c r="AT12" s="97" t="s">
        <v>366</v>
      </c>
      <c r="AU12" s="43">
        <f t="shared" si="16"/>
        <v>4618839.1577000003</v>
      </c>
      <c r="AV12" s="58"/>
      <c r="AW12" s="43">
        <f t="shared" si="17"/>
        <v>0</v>
      </c>
      <c r="AX12" s="43">
        <f t="shared" si="18"/>
        <v>0</v>
      </c>
      <c r="AY12" s="58" t="s">
        <v>367</v>
      </c>
      <c r="AZ12" s="58">
        <v>11711913</v>
      </c>
      <c r="BA12" s="100" t="s">
        <v>311</v>
      </c>
      <c r="BB12" s="100" t="s">
        <v>312</v>
      </c>
      <c r="BC12" s="48"/>
      <c r="BD12" s="48"/>
      <c r="BE12" s="48"/>
      <c r="BF12" s="48"/>
      <c r="BG12" s="48"/>
      <c r="BH12" s="48"/>
      <c r="BI12" s="48"/>
      <c r="BJ12" s="48"/>
      <c r="BK12" s="48"/>
      <c r="BL12" s="48"/>
      <c r="BM12" s="48"/>
      <c r="BN12" s="48"/>
      <c r="BO12" s="48"/>
      <c r="BP12" s="48"/>
      <c r="BQ12" s="48"/>
      <c r="BR12" s="48"/>
      <c r="BS12" s="48"/>
    </row>
    <row r="13" spans="1:71" ht="12.75" hidden="1" customHeight="1">
      <c r="A13" s="85">
        <v>9</v>
      </c>
      <c r="B13" s="86">
        <v>5006</v>
      </c>
      <c r="C13" s="29">
        <v>165</v>
      </c>
      <c r="D13" s="122">
        <v>52146196</v>
      </c>
      <c r="E13" s="18" t="str">
        <f>IF(D13&gt;0,VLOOKUP(D13,'PLANTA PERNO'!A:D,4,0)&amp;" "&amp;VLOOKUP(D13,'PLANTA PERNO'!A:D,2,0)&amp;" "&amp;VLOOKUP(D13,'PLANTA PERNO'!A:D,3,0),IF(O13="","VACANTE DEFINITIVA","VACANTE TEMPORAL"))</f>
        <v>KATHERYN YOLANDA RODGERS QUIROGA</v>
      </c>
      <c r="F13" s="20" t="s">
        <v>49</v>
      </c>
      <c r="G13" s="20" t="str">
        <f t="shared" si="0"/>
        <v>CARRERA ADMINISTRATIVA</v>
      </c>
      <c r="H13" s="33">
        <f t="shared" si="1"/>
        <v>42585</v>
      </c>
      <c r="I13" s="33">
        <f t="shared" si="2"/>
        <v>38443</v>
      </c>
      <c r="J13" s="31" t="str">
        <f t="shared" si="3"/>
        <v>MUJER</v>
      </c>
      <c r="K13" s="21">
        <f t="shared" ca="1" si="4"/>
        <v>53</v>
      </c>
      <c r="L13" s="21">
        <f t="shared" ca="1" si="5"/>
        <v>10</v>
      </c>
      <c r="M13" s="21" t="str">
        <f t="shared" si="6"/>
        <v/>
      </c>
      <c r="N13" s="21" t="str">
        <f t="shared" si="7"/>
        <v>EN PROPIEDAD</v>
      </c>
      <c r="O13" s="21">
        <v>52146196</v>
      </c>
      <c r="P13" s="18" t="str">
        <f>IF(O13="","VACANTE DEFINITIVA",(VLOOKUP(O13,'PLANTA PERNO'!A:D,4,0)&amp;" "&amp;VLOOKUP(O13,'PLANTA PERNO'!A:D,2,0)&amp;" "&amp;VLOOKUP(O13,'PLANTA PERNO'!A:D,3,0)))</f>
        <v>KATHERYN YOLANDA RODGERS QUIROGA</v>
      </c>
      <c r="Q13" s="21"/>
      <c r="R13" s="21"/>
      <c r="S13" s="21"/>
      <c r="T13" s="21"/>
      <c r="U13" s="21"/>
      <c r="V13" s="21"/>
      <c r="W13" s="38"/>
      <c r="X13" s="38"/>
      <c r="Y13" s="28" t="str">
        <f t="shared" si="8"/>
        <v>OCUPADO</v>
      </c>
      <c r="Z13" s="23" t="s">
        <v>27</v>
      </c>
      <c r="AA13" s="24" t="s">
        <v>255</v>
      </c>
      <c r="AB13" s="25">
        <v>425</v>
      </c>
      <c r="AC13" s="27">
        <v>27</v>
      </c>
      <c r="AD13" s="28" t="str">
        <f t="shared" si="9"/>
        <v>425-27</v>
      </c>
      <c r="AE13" s="24" t="s">
        <v>153</v>
      </c>
      <c r="AF13" s="24" t="s">
        <v>153</v>
      </c>
      <c r="AG13" s="24" t="s">
        <v>314</v>
      </c>
      <c r="AH13" s="24" t="s">
        <v>315</v>
      </c>
      <c r="AI13" s="24" t="s">
        <v>303</v>
      </c>
      <c r="AJ13" s="24" t="s">
        <v>316</v>
      </c>
      <c r="AK13" s="93">
        <v>4316672.1100000003</v>
      </c>
      <c r="AL13" s="93">
        <v>0</v>
      </c>
      <c r="AM13" s="93">
        <f t="shared" si="11"/>
        <v>302167</v>
      </c>
      <c r="AN13" s="93">
        <f>IFERROR(INT(($AK13*(VLOOKUP($D13,'PORCENTAJES FACTORES'!B:N,12,0))/100)),0)</f>
        <v>0</v>
      </c>
      <c r="AO13" s="93">
        <f t="shared" si="12"/>
        <v>86333</v>
      </c>
      <c r="AP13" s="93">
        <f t="shared" si="13"/>
        <v>0</v>
      </c>
      <c r="AQ13" s="93">
        <f t="shared" si="14"/>
        <v>0</v>
      </c>
      <c r="AR13" s="95">
        <f t="shared" si="15"/>
        <v>4705172.1100000003</v>
      </c>
      <c r="AS13" s="96"/>
      <c r="AT13" s="97"/>
      <c r="AU13" s="43">
        <f t="shared" si="16"/>
        <v>4618839.1577000003</v>
      </c>
      <c r="AV13" s="58"/>
      <c r="AW13" s="43">
        <f t="shared" si="17"/>
        <v>0</v>
      </c>
      <c r="AX13" s="43">
        <f t="shared" si="18"/>
        <v>0</v>
      </c>
      <c r="AY13" s="58" t="s">
        <v>373</v>
      </c>
      <c r="AZ13" s="58">
        <v>13133271</v>
      </c>
      <c r="BA13" s="100" t="s">
        <v>228</v>
      </c>
      <c r="BB13" s="100" t="s">
        <v>227</v>
      </c>
      <c r="BC13" s="48"/>
      <c r="BD13" s="48"/>
      <c r="BE13" s="48"/>
      <c r="BF13" s="48"/>
      <c r="BG13" s="48"/>
      <c r="BH13" s="48"/>
      <c r="BI13" s="48"/>
      <c r="BJ13" s="48"/>
      <c r="BK13" s="48"/>
      <c r="BL13" s="48"/>
      <c r="BM13" s="48"/>
      <c r="BN13" s="48"/>
      <c r="BO13" s="48"/>
      <c r="BP13" s="48"/>
      <c r="BQ13" s="48"/>
      <c r="BR13" s="48"/>
      <c r="BS13" s="48"/>
    </row>
    <row r="14" spans="1:71" ht="12.75" hidden="1" customHeight="1">
      <c r="A14" s="85">
        <v>10</v>
      </c>
      <c r="B14" s="86">
        <v>5007</v>
      </c>
      <c r="C14" s="29">
        <v>138</v>
      </c>
      <c r="D14" s="122">
        <v>52235989</v>
      </c>
      <c r="E14" s="18" t="str">
        <f>IF(D14&gt;0,VLOOKUP(D14,'PLANTA PERNO'!A:D,4,0)&amp;" "&amp;VLOOKUP(D14,'PLANTA PERNO'!A:D,2,0)&amp;" "&amp;VLOOKUP(D14,'PLANTA PERNO'!A:D,3,0),IF(O14="","VACANTE DEFINITIVA","VACANTE TEMPORAL"))</f>
        <v>MILDRED PAOLA ARDILA VERGARA</v>
      </c>
      <c r="F14" s="20" t="s">
        <v>49</v>
      </c>
      <c r="G14" s="20" t="str">
        <f t="shared" si="0"/>
        <v>CARRERA ADMINISTRATIVA</v>
      </c>
      <c r="H14" s="33">
        <f t="shared" si="1"/>
        <v>42585</v>
      </c>
      <c r="I14" s="33">
        <f t="shared" si="2"/>
        <v>38446</v>
      </c>
      <c r="J14" s="31" t="str">
        <f t="shared" si="3"/>
        <v>MUJER</v>
      </c>
      <c r="K14" s="21">
        <f t="shared" ca="1" si="4"/>
        <v>47</v>
      </c>
      <c r="L14" s="21">
        <f t="shared" ca="1" si="5"/>
        <v>10</v>
      </c>
      <c r="M14" s="21" t="str">
        <f t="shared" si="6"/>
        <v/>
      </c>
      <c r="N14" s="21" t="str">
        <f t="shared" si="7"/>
        <v>EN PROPIEDAD</v>
      </c>
      <c r="O14" s="21">
        <v>52235989</v>
      </c>
      <c r="P14" s="18" t="str">
        <f>IF(O14="","VACANTE DEFINITIVA",(VLOOKUP(O14,'PLANTA PERNO'!A:D,4,0)&amp;" "&amp;VLOOKUP(O14,'PLANTA PERNO'!A:D,2,0)&amp;" "&amp;VLOOKUP(O14,'PLANTA PERNO'!A:D,3,0)))</f>
        <v>MILDRED PAOLA ARDILA VERGARA</v>
      </c>
      <c r="Q14" s="21"/>
      <c r="R14" s="21"/>
      <c r="S14" s="21"/>
      <c r="T14" s="21"/>
      <c r="U14" s="21"/>
      <c r="V14" s="21"/>
      <c r="W14" s="130">
        <v>66182</v>
      </c>
      <c r="X14" s="38"/>
      <c r="Y14" s="28" t="str">
        <f t="shared" si="8"/>
        <v>OCUPADO</v>
      </c>
      <c r="Z14" s="23" t="s">
        <v>27</v>
      </c>
      <c r="AA14" s="24" t="s">
        <v>146</v>
      </c>
      <c r="AB14" s="25">
        <v>407</v>
      </c>
      <c r="AC14" s="27">
        <v>26</v>
      </c>
      <c r="AD14" s="28" t="str">
        <f t="shared" si="9"/>
        <v>407-26</v>
      </c>
      <c r="AE14" s="63" t="s">
        <v>68</v>
      </c>
      <c r="AF14" s="63" t="s">
        <v>68</v>
      </c>
      <c r="AG14" s="24" t="s">
        <v>324</v>
      </c>
      <c r="AH14" s="24" t="s">
        <v>325</v>
      </c>
      <c r="AI14" s="24" t="s">
        <v>303</v>
      </c>
      <c r="AJ14" s="24" t="s">
        <v>326</v>
      </c>
      <c r="AK14" s="93">
        <v>4316409.96</v>
      </c>
      <c r="AL14" s="93">
        <v>0</v>
      </c>
      <c r="AM14" s="93">
        <f t="shared" si="11"/>
        <v>302148</v>
      </c>
      <c r="AN14" s="93">
        <f>IFERROR(INT(($AK14*(VLOOKUP($D14,'PORCENTAJES FACTORES'!B:N,12,0))/100)),0)</f>
        <v>0</v>
      </c>
      <c r="AO14" s="93">
        <f t="shared" si="12"/>
        <v>0</v>
      </c>
      <c r="AP14" s="93">
        <f t="shared" si="13"/>
        <v>0</v>
      </c>
      <c r="AQ14" s="93">
        <f t="shared" si="14"/>
        <v>0</v>
      </c>
      <c r="AR14" s="95">
        <f t="shared" si="15"/>
        <v>4618557.96</v>
      </c>
      <c r="AS14" s="96"/>
      <c r="AT14" s="97"/>
      <c r="AU14" s="43">
        <f t="shared" si="16"/>
        <v>4618558.6572000002</v>
      </c>
      <c r="AV14" s="58"/>
      <c r="AW14" s="43">
        <f t="shared" si="17"/>
        <v>0</v>
      </c>
      <c r="AX14" s="43">
        <f t="shared" si="18"/>
        <v>0</v>
      </c>
      <c r="AY14" s="58" t="s">
        <v>379</v>
      </c>
      <c r="AZ14" s="58">
        <v>14780107</v>
      </c>
      <c r="BA14" s="100" t="s">
        <v>331</v>
      </c>
      <c r="BB14" s="100" t="s">
        <v>332</v>
      </c>
      <c r="BC14" s="48"/>
      <c r="BD14" s="48"/>
      <c r="BE14" s="48"/>
      <c r="BF14" s="48"/>
      <c r="BG14" s="48"/>
      <c r="BH14" s="48"/>
      <c r="BI14" s="48"/>
      <c r="BJ14" s="48"/>
      <c r="BK14" s="48"/>
      <c r="BL14" s="48"/>
      <c r="BM14" s="48"/>
      <c r="BN14" s="48"/>
      <c r="BO14" s="48"/>
      <c r="BP14" s="48"/>
      <c r="BQ14" s="48"/>
      <c r="BR14" s="48"/>
      <c r="BS14" s="48"/>
    </row>
    <row r="15" spans="1:71" ht="12.75" hidden="1" customHeight="1">
      <c r="A15" s="85">
        <v>11</v>
      </c>
      <c r="B15" s="86">
        <v>5008</v>
      </c>
      <c r="C15" s="29">
        <v>166</v>
      </c>
      <c r="D15" s="122">
        <v>52542976</v>
      </c>
      <c r="E15" s="18" t="str">
        <f>IF(D15&gt;0,VLOOKUP(D15,'PLANTA PERNO'!A:D,4,0)&amp;" "&amp;VLOOKUP(D15,'PLANTA PERNO'!A:D,2,0)&amp;" "&amp;VLOOKUP(D15,'PLANTA PERNO'!A:D,3,0),IF(O15="","VACANTE DEFINITIVA","VACANTE TEMPORAL"))</f>
        <v>ADRIANA PATRICIA RAMIREZ BAUTISTA</v>
      </c>
      <c r="F15" s="20" t="s">
        <v>49</v>
      </c>
      <c r="G15" s="20" t="str">
        <f t="shared" si="0"/>
        <v>EN ENCARGO</v>
      </c>
      <c r="H15" s="33">
        <f t="shared" si="1"/>
        <v>44144</v>
      </c>
      <c r="I15" s="33">
        <f t="shared" si="2"/>
        <v>44144</v>
      </c>
      <c r="J15" s="31" t="str">
        <f t="shared" si="3"/>
        <v>MUJER</v>
      </c>
      <c r="K15" s="21">
        <f t="shared" ca="1" si="4"/>
        <v>46</v>
      </c>
      <c r="L15" s="21">
        <f t="shared" ca="1" si="5"/>
        <v>5</v>
      </c>
      <c r="M15" s="21" t="str">
        <f t="shared" si="6"/>
        <v>ENCARGO</v>
      </c>
      <c r="N15" s="21" t="str">
        <f t="shared" si="7"/>
        <v>EN ENCARGO</v>
      </c>
      <c r="O15" s="21">
        <v>52281297</v>
      </c>
      <c r="P15" s="18" t="str">
        <f>IF(O15="","VACANTE DEFINITIVA",(VLOOKUP(O15,'PLANTA PERNO'!A:D,4,0)&amp;" "&amp;VLOOKUP(O15,'PLANTA PERNO'!A:D,2,0)&amp;" "&amp;VLOOKUP(O15,'PLANTA PERNO'!A:D,3,0)))</f>
        <v>ANA JULIETH GIL HERRERA</v>
      </c>
      <c r="Q15" s="21" t="s">
        <v>333</v>
      </c>
      <c r="R15" s="21">
        <v>4</v>
      </c>
      <c r="S15" s="21"/>
      <c r="T15" s="21"/>
      <c r="U15" s="21"/>
      <c r="V15" s="21"/>
      <c r="W15" s="130">
        <v>66197</v>
      </c>
      <c r="X15" s="38"/>
      <c r="Y15" s="28" t="str">
        <f t="shared" si="8"/>
        <v>OCUPADO</v>
      </c>
      <c r="Z15" s="23" t="s">
        <v>27</v>
      </c>
      <c r="AA15" s="24" t="s">
        <v>255</v>
      </c>
      <c r="AB15" s="34">
        <v>425</v>
      </c>
      <c r="AC15" s="35">
        <v>24</v>
      </c>
      <c r="AD15" s="28" t="str">
        <f t="shared" si="9"/>
        <v>425-24</v>
      </c>
      <c r="AE15" s="24" t="s">
        <v>75</v>
      </c>
      <c r="AF15" s="24" t="s">
        <v>75</v>
      </c>
      <c r="AG15" s="24" t="s">
        <v>334</v>
      </c>
      <c r="AH15" s="24" t="s">
        <v>335</v>
      </c>
      <c r="AI15" s="24" t="s">
        <v>303</v>
      </c>
      <c r="AJ15" s="24" t="s">
        <v>336</v>
      </c>
      <c r="AK15" s="93">
        <v>4110052.97</v>
      </c>
      <c r="AL15" s="93">
        <v>0</v>
      </c>
      <c r="AM15" s="93">
        <f t="shared" si="11"/>
        <v>123301</v>
      </c>
      <c r="AN15" s="93">
        <f>IFERROR(INT(($AK15*(VLOOKUP($D15,'PORCENTAJES FACTORES'!B:N,12,0))/100)),0)</f>
        <v>0</v>
      </c>
      <c r="AO15" s="93">
        <f t="shared" si="12"/>
        <v>82201</v>
      </c>
      <c r="AP15" s="93">
        <f t="shared" si="13"/>
        <v>0</v>
      </c>
      <c r="AQ15" s="93">
        <f t="shared" si="14"/>
        <v>0</v>
      </c>
      <c r="AR15" s="95">
        <f t="shared" si="15"/>
        <v>4315554.9700000007</v>
      </c>
      <c r="AS15" s="96"/>
      <c r="AT15" s="97"/>
      <c r="AU15" s="43">
        <f t="shared" si="16"/>
        <v>4397756.6779000005</v>
      </c>
      <c r="AV15" s="58"/>
      <c r="AW15" s="43">
        <f t="shared" si="17"/>
        <v>0</v>
      </c>
      <c r="AX15" s="43">
        <f t="shared" si="18"/>
        <v>0</v>
      </c>
      <c r="AY15" s="58" t="s">
        <v>385</v>
      </c>
      <c r="AZ15" s="58">
        <v>6357777</v>
      </c>
      <c r="BA15" s="100" t="s">
        <v>20</v>
      </c>
      <c r="BB15" s="100" t="s">
        <v>20</v>
      </c>
      <c r="BC15" s="48"/>
      <c r="BD15" s="48"/>
      <c r="BE15" s="48"/>
      <c r="BF15" s="48"/>
      <c r="BG15" s="48"/>
      <c r="BH15" s="48"/>
      <c r="BI15" s="48"/>
      <c r="BJ15" s="48"/>
      <c r="BK15" s="48"/>
      <c r="BL15" s="48"/>
      <c r="BM15" s="48"/>
      <c r="BN15" s="48"/>
      <c r="BO15" s="48"/>
      <c r="BP15" s="48"/>
      <c r="BQ15" s="48"/>
      <c r="BR15" s="48"/>
      <c r="BS15" s="48"/>
    </row>
    <row r="16" spans="1:71" ht="12.75" hidden="1" customHeight="1">
      <c r="A16" s="85">
        <v>12</v>
      </c>
      <c r="B16" s="86">
        <v>5009</v>
      </c>
      <c r="C16" s="29">
        <v>139</v>
      </c>
      <c r="D16" s="122">
        <v>51882380</v>
      </c>
      <c r="E16" s="18" t="str">
        <f>IF(D16&gt;0,VLOOKUP(D16,'PLANTA PERNO'!A:D,4,0)&amp;" "&amp;VLOOKUP(D16,'PLANTA PERNO'!A:D,2,0)&amp;" "&amp;VLOOKUP(D16,'PLANTA PERNO'!A:D,3,0),IF(O16="","VACANTE DEFINITIVA","VACANTE TEMPORAL"))</f>
        <v>CARMEN ALICIA FORERO FORERO</v>
      </c>
      <c r="F16" s="20" t="s">
        <v>49</v>
      </c>
      <c r="G16" s="20" t="str">
        <f t="shared" si="0"/>
        <v>EN ENCARGO</v>
      </c>
      <c r="H16" s="33">
        <f t="shared" si="1"/>
        <v>42585</v>
      </c>
      <c r="I16" s="33">
        <f t="shared" si="2"/>
        <v>33686</v>
      </c>
      <c r="J16" s="31" t="str">
        <f t="shared" si="3"/>
        <v>MUJER</v>
      </c>
      <c r="K16" s="21">
        <f t="shared" ca="1" si="4"/>
        <v>60</v>
      </c>
      <c r="L16" s="21">
        <f t="shared" ca="1" si="5"/>
        <v>10</v>
      </c>
      <c r="M16" s="21" t="str">
        <f t="shared" si="6"/>
        <v>ENCARGO</v>
      </c>
      <c r="N16" s="21" t="str">
        <f t="shared" si="7"/>
        <v>EN ENCARGO</v>
      </c>
      <c r="O16" s="21">
        <v>51961579</v>
      </c>
      <c r="P16" s="18" t="str">
        <f>IF(O16="","VACANTE DEFINITIVA",(VLOOKUP(O16,'PLANTA PERNO'!A:D,4,0)&amp;" "&amp;VLOOKUP(O16,'PLANTA PERNO'!A:D,2,0)&amp;" "&amp;VLOOKUP(O16,'PLANTA PERNO'!A:D,3,0)))</f>
        <v>AZULA URIBE CABALLERO</v>
      </c>
      <c r="Q16" s="21" t="s">
        <v>340</v>
      </c>
      <c r="R16" s="21">
        <v>2</v>
      </c>
      <c r="S16" s="21"/>
      <c r="T16" s="21"/>
      <c r="U16" s="21"/>
      <c r="V16" s="21"/>
      <c r="W16" s="130">
        <v>66181</v>
      </c>
      <c r="X16" s="38"/>
      <c r="Y16" s="28" t="str">
        <f t="shared" si="8"/>
        <v>OCUPADO</v>
      </c>
      <c r="Z16" s="23" t="s">
        <v>27</v>
      </c>
      <c r="AA16" s="24" t="s">
        <v>146</v>
      </c>
      <c r="AB16" s="25">
        <v>407</v>
      </c>
      <c r="AC16" s="27">
        <v>24</v>
      </c>
      <c r="AD16" s="28" t="str">
        <f t="shared" si="9"/>
        <v>407-24</v>
      </c>
      <c r="AE16" s="24" t="s">
        <v>147</v>
      </c>
      <c r="AF16" s="24" t="s">
        <v>147</v>
      </c>
      <c r="AG16" s="24" t="s">
        <v>324</v>
      </c>
      <c r="AH16" s="24" t="s">
        <v>341</v>
      </c>
      <c r="AI16" s="24" t="s">
        <v>303</v>
      </c>
      <c r="AJ16" s="24" t="s">
        <v>342</v>
      </c>
      <c r="AK16" s="93">
        <v>4110052.97</v>
      </c>
      <c r="AL16" s="93">
        <v>0</v>
      </c>
      <c r="AM16" s="93">
        <f t="shared" si="11"/>
        <v>287703</v>
      </c>
      <c r="AN16" s="93">
        <f>IFERROR(INT(($AK16*(VLOOKUP($D16,'PORCENTAJES FACTORES'!B:N,12,0))/100)),0)</f>
        <v>0</v>
      </c>
      <c r="AO16" s="93">
        <f t="shared" si="12"/>
        <v>0</v>
      </c>
      <c r="AP16" s="93">
        <f t="shared" si="13"/>
        <v>0</v>
      </c>
      <c r="AQ16" s="93">
        <f t="shared" si="14"/>
        <v>0</v>
      </c>
      <c r="AR16" s="95">
        <f t="shared" si="15"/>
        <v>4397755.9700000007</v>
      </c>
      <c r="AS16" s="96"/>
      <c r="AT16" s="97"/>
      <c r="AU16" s="43">
        <f t="shared" si="16"/>
        <v>4397756.6779000005</v>
      </c>
      <c r="AV16" s="58"/>
      <c r="AW16" s="43">
        <f t="shared" si="17"/>
        <v>0</v>
      </c>
      <c r="AX16" s="43">
        <f t="shared" si="18"/>
        <v>0</v>
      </c>
      <c r="AY16" s="58" t="s">
        <v>388</v>
      </c>
      <c r="AZ16" s="58">
        <v>6700709</v>
      </c>
      <c r="BA16" s="100" t="s">
        <v>69</v>
      </c>
      <c r="BB16" s="100" t="s">
        <v>69</v>
      </c>
      <c r="BC16" s="48"/>
      <c r="BD16" s="48"/>
      <c r="BE16" s="48"/>
      <c r="BF16" s="48"/>
      <c r="BG16" s="48"/>
      <c r="BH16" s="48"/>
      <c r="BI16" s="48"/>
      <c r="BJ16" s="48"/>
      <c r="BK16" s="48"/>
      <c r="BL16" s="48"/>
      <c r="BM16" s="48"/>
      <c r="BN16" s="48"/>
      <c r="BO16" s="48"/>
      <c r="BP16" s="48"/>
      <c r="BQ16" s="48"/>
      <c r="BR16" s="48"/>
      <c r="BS16" s="48"/>
    </row>
    <row r="17" spans="1:71" ht="12" hidden="1" customHeight="1">
      <c r="A17" s="85">
        <v>13</v>
      </c>
      <c r="B17" s="86">
        <v>5010</v>
      </c>
      <c r="C17" s="29">
        <v>167</v>
      </c>
      <c r="D17" s="122">
        <v>51732443</v>
      </c>
      <c r="E17" s="18" t="str">
        <f>IF(D17&gt;0,VLOOKUP(D17,'PLANTA PERNO'!A:D,4,0)&amp;" "&amp;VLOOKUP(D17,'PLANTA PERNO'!A:D,2,0)&amp;" "&amp;VLOOKUP(D17,'PLANTA PERNO'!A:D,3,0),IF(O17="","VACANTE DEFINITIVA","VACANTE TEMPORAL"))</f>
        <v>ACENETH TORRES ROJAS</v>
      </c>
      <c r="F17" s="20" t="s">
        <v>49</v>
      </c>
      <c r="G17" s="20" t="str">
        <f t="shared" si="0"/>
        <v>EN ENCARGO</v>
      </c>
      <c r="H17" s="33">
        <f t="shared" si="1"/>
        <v>42585</v>
      </c>
      <c r="I17" s="33">
        <f t="shared" si="2"/>
        <v>40672</v>
      </c>
      <c r="J17" s="31" t="str">
        <f t="shared" si="3"/>
        <v>MUJER</v>
      </c>
      <c r="K17" s="21">
        <f t="shared" ca="1" si="4"/>
        <v>63</v>
      </c>
      <c r="L17" s="21">
        <f t="shared" ca="1" si="5"/>
        <v>10</v>
      </c>
      <c r="M17" s="21" t="str">
        <f t="shared" si="6"/>
        <v>ENCARGO</v>
      </c>
      <c r="N17" s="21" t="str">
        <f t="shared" si="7"/>
        <v>VACANTE DEFINITIVA</v>
      </c>
      <c r="O17" s="21" t="s">
        <v>25</v>
      </c>
      <c r="P17" s="18" t="str">
        <f>IF(O17="","VACANTE DEFINITIVA",(VLOOKUP(O17,'PLANTA PERNO'!A:D,4,0)&amp;" "&amp;VLOOKUP(O17,'PLANTA PERNO'!A:D,2,0)&amp;" "&amp;VLOOKUP(O17,'PLANTA PERNO'!A:D,3,0)))</f>
        <v>VACANTE DEFINITIVA</v>
      </c>
      <c r="Q17" s="21" t="s">
        <v>290</v>
      </c>
      <c r="R17" s="21">
        <v>1</v>
      </c>
      <c r="S17" s="21"/>
      <c r="T17" s="21"/>
      <c r="U17" s="21"/>
      <c r="V17" s="21"/>
      <c r="W17" s="38"/>
      <c r="X17" s="129">
        <v>203203</v>
      </c>
      <c r="Y17" s="28" t="str">
        <f t="shared" si="8"/>
        <v>OCUPADO</v>
      </c>
      <c r="Z17" s="23" t="s">
        <v>27</v>
      </c>
      <c r="AA17" s="24" t="s">
        <v>255</v>
      </c>
      <c r="AB17" s="34">
        <v>425</v>
      </c>
      <c r="AC17" s="35">
        <v>21</v>
      </c>
      <c r="AD17" s="28" t="str">
        <f t="shared" si="9"/>
        <v>425-21</v>
      </c>
      <c r="AE17" s="24" t="s">
        <v>150</v>
      </c>
      <c r="AF17" s="24" t="s">
        <v>150</v>
      </c>
      <c r="AG17" s="24" t="s">
        <v>344</v>
      </c>
      <c r="AH17" s="24" t="s">
        <v>345</v>
      </c>
      <c r="AI17" s="24" t="s">
        <v>303</v>
      </c>
      <c r="AJ17" s="24" t="s">
        <v>346</v>
      </c>
      <c r="AK17" s="93">
        <v>3925267.18</v>
      </c>
      <c r="AL17" s="93">
        <v>0</v>
      </c>
      <c r="AM17" s="93">
        <f t="shared" si="11"/>
        <v>274768</v>
      </c>
      <c r="AN17" s="93">
        <f>IFERROR(INT(($AK17*(VLOOKUP($D17,'PORCENTAJES FACTORES'!B:N,12,0))/100)),0)</f>
        <v>0</v>
      </c>
      <c r="AO17" s="93">
        <f t="shared" si="12"/>
        <v>78505</v>
      </c>
      <c r="AP17" s="93">
        <f t="shared" si="13"/>
        <v>0</v>
      </c>
      <c r="AQ17" s="93">
        <f t="shared" si="14"/>
        <v>0</v>
      </c>
      <c r="AR17" s="95">
        <f t="shared" si="15"/>
        <v>4278540.18</v>
      </c>
      <c r="AS17" s="126" t="s">
        <v>348</v>
      </c>
      <c r="AT17" s="131" t="s">
        <v>390</v>
      </c>
      <c r="AU17" s="43">
        <f t="shared" si="16"/>
        <v>4200035.8826000001</v>
      </c>
      <c r="AV17" s="58"/>
      <c r="AW17" s="43">
        <f t="shared" si="17"/>
        <v>0</v>
      </c>
      <c r="AX17" s="43">
        <f t="shared" si="18"/>
        <v>0</v>
      </c>
      <c r="AY17" s="58" t="s">
        <v>391</v>
      </c>
      <c r="AZ17" s="58">
        <v>6883180</v>
      </c>
      <c r="BA17" s="58"/>
      <c r="BB17" s="58"/>
      <c r="BC17" s="48"/>
      <c r="BD17" s="48"/>
      <c r="BE17" s="48"/>
      <c r="BF17" s="48"/>
      <c r="BG17" s="48"/>
      <c r="BH17" s="48"/>
      <c r="BI17" s="48"/>
      <c r="BJ17" s="48"/>
      <c r="BK17" s="48"/>
      <c r="BL17" s="48"/>
      <c r="BM17" s="48"/>
      <c r="BN17" s="48"/>
      <c r="BO17" s="48"/>
      <c r="BP17" s="48"/>
      <c r="BQ17" s="48"/>
      <c r="BR17" s="48"/>
      <c r="BS17" s="48"/>
    </row>
    <row r="18" spans="1:71" ht="12.75" hidden="1" customHeight="1">
      <c r="A18" s="85">
        <v>14</v>
      </c>
      <c r="B18" s="86">
        <v>5011</v>
      </c>
      <c r="C18" s="29">
        <v>140</v>
      </c>
      <c r="D18" s="122">
        <v>79468462</v>
      </c>
      <c r="E18" s="18" t="str">
        <f>IF(D18&gt;0,VLOOKUP(D18,'PLANTA PERNO'!A:D,4,0)&amp;" "&amp;VLOOKUP(D18,'PLANTA PERNO'!A:D,2,0)&amp;" "&amp;VLOOKUP(D18,'PLANTA PERNO'!A:D,3,0),IF(O18="","VACANTE DEFINITIVA","VACANTE TEMPORAL"))</f>
        <v>EDGAR ANDRES GARCIA GARAVITO</v>
      </c>
      <c r="F18" s="20" t="s">
        <v>49</v>
      </c>
      <c r="G18" s="20" t="str">
        <f t="shared" si="0"/>
        <v>EN ENCARGO</v>
      </c>
      <c r="H18" s="33">
        <f t="shared" si="1"/>
        <v>42585</v>
      </c>
      <c r="I18" s="33">
        <f t="shared" si="2"/>
        <v>35528</v>
      </c>
      <c r="J18" s="31" t="str">
        <f t="shared" si="3"/>
        <v>HOMBRE</v>
      </c>
      <c r="K18" s="21">
        <f t="shared" ca="1" si="4"/>
        <v>57</v>
      </c>
      <c r="L18" s="21">
        <f t="shared" ca="1" si="5"/>
        <v>10</v>
      </c>
      <c r="M18" s="21" t="str">
        <f t="shared" si="6"/>
        <v>ENCARGO</v>
      </c>
      <c r="N18" s="21" t="str">
        <f t="shared" si="7"/>
        <v>EN ENCARGO</v>
      </c>
      <c r="O18" s="21">
        <v>79431243</v>
      </c>
      <c r="P18" s="18" t="str">
        <f>IF(O18="","VACANTE DEFINITIVA",(VLOOKUP(O18,'PLANTA PERNO'!A:D,4,0)&amp;" "&amp;VLOOKUP(O18,'PLANTA PERNO'!A:D,2,0)&amp;" "&amp;VLOOKUP(O18,'PLANTA PERNO'!A:D,3,0)))</f>
        <v>WALTER OSPINA ZAPATA</v>
      </c>
      <c r="Q18" s="21" t="s">
        <v>256</v>
      </c>
      <c r="R18" s="21">
        <v>2</v>
      </c>
      <c r="S18" s="21"/>
      <c r="T18" s="21"/>
      <c r="U18" s="21"/>
      <c r="V18" s="21"/>
      <c r="W18" s="38"/>
      <c r="X18" s="128"/>
      <c r="Y18" s="28" t="str">
        <f t="shared" si="8"/>
        <v>OCUPADO</v>
      </c>
      <c r="Z18" s="23" t="s">
        <v>27</v>
      </c>
      <c r="AA18" s="24" t="s">
        <v>146</v>
      </c>
      <c r="AB18" s="25">
        <v>407</v>
      </c>
      <c r="AC18" s="27">
        <v>20</v>
      </c>
      <c r="AD18" s="28" t="str">
        <f t="shared" si="9"/>
        <v>407-20</v>
      </c>
      <c r="AE18" s="24" t="s">
        <v>147</v>
      </c>
      <c r="AF18" s="24" t="s">
        <v>147</v>
      </c>
      <c r="AG18" s="24" t="s">
        <v>353</v>
      </c>
      <c r="AH18" s="24" t="s">
        <v>354</v>
      </c>
      <c r="AI18" s="24" t="s">
        <v>303</v>
      </c>
      <c r="AJ18" s="24" t="s">
        <v>355</v>
      </c>
      <c r="AK18" s="93">
        <v>3799537.9000000004</v>
      </c>
      <c r="AL18" s="93">
        <v>0</v>
      </c>
      <c r="AM18" s="93">
        <f t="shared" si="11"/>
        <v>265967</v>
      </c>
      <c r="AN18" s="93">
        <f>IFERROR(INT(($AK18*(VLOOKUP($D18,'PORCENTAJES FACTORES'!B:N,12,0))/100)),0)</f>
        <v>0</v>
      </c>
      <c r="AO18" s="93">
        <f t="shared" si="12"/>
        <v>0</v>
      </c>
      <c r="AP18" s="93">
        <f t="shared" si="13"/>
        <v>0</v>
      </c>
      <c r="AQ18" s="93">
        <f t="shared" si="14"/>
        <v>0</v>
      </c>
      <c r="AR18" s="95">
        <f t="shared" si="15"/>
        <v>4065504.9000000004</v>
      </c>
      <c r="AS18" s="96"/>
      <c r="AT18" s="97"/>
      <c r="AU18" s="43">
        <f t="shared" si="16"/>
        <v>4065505.5530000008</v>
      </c>
      <c r="AV18" s="58"/>
      <c r="AW18" s="43">
        <f t="shared" si="17"/>
        <v>0</v>
      </c>
      <c r="AX18" s="43">
        <f t="shared" si="18"/>
        <v>0</v>
      </c>
      <c r="AY18" s="58" t="s">
        <v>395</v>
      </c>
      <c r="AZ18" s="58">
        <v>7752508</v>
      </c>
      <c r="BA18" s="58"/>
      <c r="BB18" s="58"/>
      <c r="BC18" s="48"/>
      <c r="BD18" s="48"/>
      <c r="BE18" s="48"/>
      <c r="BF18" s="48"/>
      <c r="BG18" s="48"/>
      <c r="BH18" s="48"/>
      <c r="BI18" s="48"/>
      <c r="BJ18" s="48"/>
      <c r="BK18" s="48"/>
      <c r="BL18" s="48"/>
      <c r="BM18" s="48"/>
      <c r="BN18" s="48"/>
      <c r="BO18" s="48"/>
      <c r="BP18" s="48"/>
      <c r="BQ18" s="48"/>
      <c r="BR18" s="48"/>
      <c r="BS18" s="48"/>
    </row>
    <row r="19" spans="1:71" ht="12.75" hidden="1" customHeight="1">
      <c r="A19" s="85">
        <v>15</v>
      </c>
      <c r="B19" s="86">
        <v>5012</v>
      </c>
      <c r="C19" s="29">
        <v>141</v>
      </c>
      <c r="D19" s="122">
        <v>20699098</v>
      </c>
      <c r="E19" s="18" t="str">
        <f>IF(D19&gt;0,VLOOKUP(D19,'PLANTA PERNO'!A:D,4,0)&amp;" "&amp;VLOOKUP(D19,'PLANTA PERNO'!A:D,2,0)&amp;" "&amp;VLOOKUP(D19,'PLANTA PERNO'!A:D,3,0),IF(O19="","VACANTE DEFINITIVA","VACANTE TEMPORAL"))</f>
        <v>CLAUDIA BEATRIZ CASTILLA OLAYA</v>
      </c>
      <c r="F19" s="20" t="s">
        <v>49</v>
      </c>
      <c r="G19" s="20" t="str">
        <f t="shared" si="0"/>
        <v>EN ENCARGO</v>
      </c>
      <c r="H19" s="33">
        <f t="shared" si="1"/>
        <v>45176</v>
      </c>
      <c r="I19" s="33">
        <f t="shared" si="2"/>
        <v>45176</v>
      </c>
      <c r="J19" s="31" t="str">
        <f t="shared" si="3"/>
        <v>MUJER</v>
      </c>
      <c r="K19" s="21">
        <f t="shared" ca="1" si="4"/>
        <v>61</v>
      </c>
      <c r="L19" s="21">
        <f t="shared" ca="1" si="5"/>
        <v>3</v>
      </c>
      <c r="M19" s="21" t="str">
        <f t="shared" si="6"/>
        <v>ENCARGO</v>
      </c>
      <c r="N19" s="21" t="str">
        <f t="shared" si="7"/>
        <v>VACANTE DEFINITIVA</v>
      </c>
      <c r="O19" s="21" t="s">
        <v>25</v>
      </c>
      <c r="P19" s="18" t="str">
        <f>IF(O19="","VACANTE DEFINITIVA",(VLOOKUP(O19,'PLANTA PERNO'!A:D,4,0)&amp;" "&amp;VLOOKUP(O19,'PLANTA PERNO'!A:D,2,0)&amp;" "&amp;VLOOKUP(O19,'PLANTA PERNO'!A:D,3,0)))</f>
        <v>VACANTE DEFINITIVA</v>
      </c>
      <c r="Q19" s="21" t="s">
        <v>398</v>
      </c>
      <c r="R19" s="21">
        <v>1</v>
      </c>
      <c r="S19" s="21"/>
      <c r="T19" s="21"/>
      <c r="U19" s="21"/>
      <c r="V19" s="21"/>
      <c r="W19" s="38"/>
      <c r="X19" s="123">
        <v>203193</v>
      </c>
      <c r="Y19" s="28" t="str">
        <f t="shared" si="8"/>
        <v>OCUPADO</v>
      </c>
      <c r="Z19" s="23" t="s">
        <v>27</v>
      </c>
      <c r="AA19" s="24" t="s">
        <v>146</v>
      </c>
      <c r="AB19" s="34">
        <v>407</v>
      </c>
      <c r="AC19" s="35">
        <v>20</v>
      </c>
      <c r="AD19" s="28" t="str">
        <f t="shared" si="9"/>
        <v>407-20</v>
      </c>
      <c r="AE19" s="24" t="s">
        <v>98</v>
      </c>
      <c r="AF19" s="24" t="s">
        <v>98</v>
      </c>
      <c r="AG19" s="24" t="s">
        <v>358</v>
      </c>
      <c r="AH19" s="24" t="s">
        <v>359</v>
      </c>
      <c r="AI19" s="24" t="s">
        <v>303</v>
      </c>
      <c r="AJ19" s="24" t="s">
        <v>360</v>
      </c>
      <c r="AK19" s="93">
        <v>3799537.9000000004</v>
      </c>
      <c r="AL19" s="93">
        <v>0</v>
      </c>
      <c r="AM19" s="93">
        <f t="shared" si="11"/>
        <v>0</v>
      </c>
      <c r="AN19" s="93">
        <f>IFERROR(INT(($AK19*(VLOOKUP($D19,'PORCENTAJES FACTORES'!B:N,12,0))/100)),0)</f>
        <v>0</v>
      </c>
      <c r="AO19" s="93">
        <f t="shared" si="12"/>
        <v>0</v>
      </c>
      <c r="AP19" s="93">
        <f t="shared" si="13"/>
        <v>0</v>
      </c>
      <c r="AQ19" s="93">
        <f t="shared" si="14"/>
        <v>0</v>
      </c>
      <c r="AR19" s="95">
        <f t="shared" si="15"/>
        <v>3799537.9000000004</v>
      </c>
      <c r="AS19" s="96"/>
      <c r="AT19" s="97"/>
      <c r="AU19" s="43">
        <f t="shared" si="16"/>
        <v>4065505.5530000008</v>
      </c>
      <c r="AV19" s="58"/>
      <c r="AW19" s="43">
        <f t="shared" si="17"/>
        <v>0</v>
      </c>
      <c r="AX19" s="43">
        <f t="shared" si="18"/>
        <v>0</v>
      </c>
      <c r="AY19" s="58" t="s">
        <v>401</v>
      </c>
      <c r="AZ19" s="58">
        <v>8555956</v>
      </c>
      <c r="BA19" s="58"/>
      <c r="BB19" s="58"/>
      <c r="BC19" s="48"/>
      <c r="BD19" s="48"/>
      <c r="BE19" s="48"/>
      <c r="BF19" s="48"/>
      <c r="BG19" s="48"/>
      <c r="BH19" s="48"/>
      <c r="BI19" s="48"/>
      <c r="BJ19" s="48"/>
      <c r="BK19" s="48"/>
      <c r="BL19" s="48"/>
      <c r="BM19" s="48"/>
      <c r="BN19" s="48"/>
      <c r="BO19" s="48"/>
      <c r="BP19" s="48"/>
      <c r="BQ19" s="48"/>
      <c r="BR19" s="48"/>
      <c r="BS19" s="48"/>
    </row>
    <row r="20" spans="1:71" ht="12.75" hidden="1" customHeight="1">
      <c r="A20" s="85">
        <v>16</v>
      </c>
      <c r="B20" s="86">
        <v>5013</v>
      </c>
      <c r="C20" s="29">
        <v>142</v>
      </c>
      <c r="D20" s="122">
        <v>79138328</v>
      </c>
      <c r="E20" s="18" t="str">
        <f>IF(D20&gt;0,VLOOKUP(D20,'PLANTA PERNO'!A:D,4,0)&amp;" "&amp;VLOOKUP(D20,'PLANTA PERNO'!A:D,2,0)&amp;" "&amp;VLOOKUP(D20,'PLANTA PERNO'!A:D,3,0),IF(O20="","VACANTE DEFINITIVA","VACANTE TEMPORAL"))</f>
        <v>ALEX CORTES SALGADO</v>
      </c>
      <c r="F20" s="20" t="s">
        <v>49</v>
      </c>
      <c r="G20" s="20" t="str">
        <f t="shared" si="0"/>
        <v>CARRERA ADMINISTRATIVA</v>
      </c>
      <c r="H20" s="33">
        <f t="shared" si="1"/>
        <v>42585</v>
      </c>
      <c r="I20" s="33">
        <f t="shared" si="2"/>
        <v>34711</v>
      </c>
      <c r="J20" s="31" t="str">
        <f t="shared" si="3"/>
        <v>HOMBRE</v>
      </c>
      <c r="K20" s="21">
        <f t="shared" ca="1" si="4"/>
        <v>55</v>
      </c>
      <c r="L20" s="21">
        <f t="shared" ca="1" si="5"/>
        <v>10</v>
      </c>
      <c r="M20" s="21" t="str">
        <f t="shared" si="6"/>
        <v/>
      </c>
      <c r="N20" s="21" t="str">
        <f t="shared" si="7"/>
        <v>EN PROPIEDAD</v>
      </c>
      <c r="O20" s="21">
        <v>79138328</v>
      </c>
      <c r="P20" s="18" t="str">
        <f>IF(O20="","VACANTE DEFINITIVA",(VLOOKUP(O20,'PLANTA PERNO'!A:D,4,0)&amp;" "&amp;VLOOKUP(O20,'PLANTA PERNO'!A:D,2,0)&amp;" "&amp;VLOOKUP(O20,'PLANTA PERNO'!A:D,3,0)))</f>
        <v>ALEX CORTES SALGADO</v>
      </c>
      <c r="Q20" s="21"/>
      <c r="R20" s="21"/>
      <c r="S20" s="21"/>
      <c r="T20" s="21"/>
      <c r="U20" s="21"/>
      <c r="V20" s="21"/>
      <c r="W20" s="38"/>
      <c r="X20" s="128"/>
      <c r="Y20" s="28" t="str">
        <f t="shared" si="8"/>
        <v>OCUPADO</v>
      </c>
      <c r="Z20" s="23" t="s">
        <v>27</v>
      </c>
      <c r="AA20" s="24" t="s">
        <v>146</v>
      </c>
      <c r="AB20" s="25">
        <v>407</v>
      </c>
      <c r="AC20" s="27">
        <v>20</v>
      </c>
      <c r="AD20" s="28" t="str">
        <f t="shared" si="9"/>
        <v>407-20</v>
      </c>
      <c r="AE20" s="24" t="s">
        <v>153</v>
      </c>
      <c r="AF20" s="24" t="s">
        <v>153</v>
      </c>
      <c r="AG20" s="24" t="s">
        <v>358</v>
      </c>
      <c r="AH20" s="24" t="s">
        <v>359</v>
      </c>
      <c r="AI20" s="24" t="s">
        <v>303</v>
      </c>
      <c r="AJ20" s="24" t="s">
        <v>360</v>
      </c>
      <c r="AK20" s="93">
        <v>3799537.9000000004</v>
      </c>
      <c r="AL20" s="93">
        <v>0</v>
      </c>
      <c r="AM20" s="93">
        <f t="shared" si="11"/>
        <v>265967</v>
      </c>
      <c r="AN20" s="93">
        <f>IFERROR(INT(($AK20*(VLOOKUP($D20,'PORCENTAJES FACTORES'!B:N,12,0))/100)),0)</f>
        <v>0</v>
      </c>
      <c r="AO20" s="93">
        <f t="shared" si="12"/>
        <v>0</v>
      </c>
      <c r="AP20" s="93">
        <f t="shared" si="13"/>
        <v>0</v>
      </c>
      <c r="AQ20" s="93">
        <f t="shared" si="14"/>
        <v>0</v>
      </c>
      <c r="AR20" s="95">
        <f t="shared" si="15"/>
        <v>4065504.9000000004</v>
      </c>
      <c r="AS20" s="96"/>
      <c r="AT20" s="97"/>
      <c r="AU20" s="43">
        <f t="shared" si="16"/>
        <v>4065505.5530000008</v>
      </c>
      <c r="AV20" s="58"/>
      <c r="AW20" s="43">
        <f t="shared" si="17"/>
        <v>0</v>
      </c>
      <c r="AX20" s="43">
        <f t="shared" si="18"/>
        <v>0</v>
      </c>
      <c r="AY20" s="58" t="s">
        <v>403</v>
      </c>
      <c r="AZ20" s="58">
        <v>9540626</v>
      </c>
      <c r="BA20" s="58"/>
      <c r="BB20" s="58"/>
      <c r="BC20" s="48"/>
      <c r="BD20" s="48"/>
      <c r="BE20" s="48"/>
      <c r="BF20" s="48"/>
      <c r="BG20" s="48"/>
      <c r="BH20" s="48"/>
      <c r="BI20" s="48"/>
      <c r="BJ20" s="48"/>
      <c r="BK20" s="48"/>
      <c r="BL20" s="48"/>
      <c r="BM20" s="48"/>
      <c r="BN20" s="48"/>
      <c r="BO20" s="48"/>
      <c r="BP20" s="48"/>
      <c r="BQ20" s="48"/>
      <c r="BR20" s="48"/>
      <c r="BS20" s="48"/>
    </row>
    <row r="21" spans="1:71" ht="12.75" hidden="1" customHeight="1">
      <c r="A21" s="85">
        <v>17</v>
      </c>
      <c r="B21" s="86">
        <v>5014</v>
      </c>
      <c r="C21" s="29">
        <v>168</v>
      </c>
      <c r="D21" s="122">
        <v>79048737</v>
      </c>
      <c r="E21" s="18" t="str">
        <f>IF(D21&gt;0,VLOOKUP(D21,'PLANTA PERNO'!A:D,4,0)&amp;" "&amp;VLOOKUP(D21,'PLANTA PERNO'!A:D,2,0)&amp;" "&amp;VLOOKUP(D21,'PLANTA PERNO'!A:D,3,0),IF(O21="","VACANTE DEFINITIVA","VACANTE TEMPORAL"))</f>
        <v>PABLO  DANIEL PULIDO SALAMANCA</v>
      </c>
      <c r="F21" s="20" t="s">
        <v>49</v>
      </c>
      <c r="G21" s="20" t="str">
        <f t="shared" si="0"/>
        <v>EN ENCARGO</v>
      </c>
      <c r="H21" s="33">
        <f t="shared" si="1"/>
        <v>42585</v>
      </c>
      <c r="I21" s="33">
        <f t="shared" si="2"/>
        <v>35926</v>
      </c>
      <c r="J21" s="31" t="str">
        <f t="shared" si="3"/>
        <v>HOMBRE</v>
      </c>
      <c r="K21" s="21">
        <f t="shared" ca="1" si="4"/>
        <v>61</v>
      </c>
      <c r="L21" s="21">
        <f t="shared" ca="1" si="5"/>
        <v>10</v>
      </c>
      <c r="M21" s="21" t="str">
        <f t="shared" si="6"/>
        <v>ENCARGO</v>
      </c>
      <c r="N21" s="21" t="str">
        <f t="shared" si="7"/>
        <v>VACANTE DEFINITIVA</v>
      </c>
      <c r="O21" s="21" t="s">
        <v>25</v>
      </c>
      <c r="P21" s="18" t="str">
        <f>IF(O21="","VACANTE DEFINITIVA",(VLOOKUP(O21,'PLANTA PERNO'!A:D,4,0)&amp;" "&amp;VLOOKUP(O21,'PLANTA PERNO'!A:D,2,0)&amp;" "&amp;VLOOKUP(O21,'PLANTA PERNO'!A:D,3,0)))</f>
        <v>VACANTE DEFINITIVA</v>
      </c>
      <c r="Q21" s="21" t="s">
        <v>406</v>
      </c>
      <c r="R21" s="21">
        <v>1</v>
      </c>
      <c r="S21" s="21"/>
      <c r="T21" s="21"/>
      <c r="U21" s="21"/>
      <c r="V21" s="21"/>
      <c r="W21" s="38"/>
      <c r="X21" s="123">
        <v>220281</v>
      </c>
      <c r="Y21" s="28" t="str">
        <f t="shared" si="8"/>
        <v>OCUPADO</v>
      </c>
      <c r="Z21" s="23" t="s">
        <v>27</v>
      </c>
      <c r="AA21" s="24" t="s">
        <v>255</v>
      </c>
      <c r="AB21" s="25">
        <v>425</v>
      </c>
      <c r="AC21" s="27">
        <v>20</v>
      </c>
      <c r="AD21" s="28" t="str">
        <f t="shared" si="9"/>
        <v>425-20</v>
      </c>
      <c r="AE21" s="24" t="s">
        <v>147</v>
      </c>
      <c r="AF21" s="24" t="s">
        <v>147</v>
      </c>
      <c r="AG21" s="24" t="s">
        <v>363</v>
      </c>
      <c r="AH21" s="24" t="s">
        <v>364</v>
      </c>
      <c r="AI21" s="24" t="s">
        <v>303</v>
      </c>
      <c r="AJ21" s="24" t="s">
        <v>365</v>
      </c>
      <c r="AK21" s="93">
        <v>3799537.9000000004</v>
      </c>
      <c r="AL21" s="93">
        <v>0</v>
      </c>
      <c r="AM21" s="93">
        <f t="shared" si="11"/>
        <v>265967</v>
      </c>
      <c r="AN21" s="93">
        <f>IFERROR(INT(($AK21*(VLOOKUP($D21,'PORCENTAJES FACTORES'!B:N,12,0))/100)),0)</f>
        <v>0</v>
      </c>
      <c r="AO21" s="93">
        <f t="shared" si="12"/>
        <v>75990</v>
      </c>
      <c r="AP21" s="93">
        <f t="shared" si="13"/>
        <v>0</v>
      </c>
      <c r="AQ21" s="93">
        <f t="shared" si="14"/>
        <v>0</v>
      </c>
      <c r="AR21" s="95">
        <f t="shared" si="15"/>
        <v>4141494.9000000004</v>
      </c>
      <c r="AS21" s="96"/>
      <c r="AT21" s="97"/>
      <c r="AU21" s="43">
        <f t="shared" si="16"/>
        <v>4065505.5530000008</v>
      </c>
      <c r="AV21" s="58"/>
      <c r="AW21" s="43">
        <f t="shared" si="17"/>
        <v>0</v>
      </c>
      <c r="AX21" s="43">
        <f t="shared" si="18"/>
        <v>0</v>
      </c>
      <c r="AY21" s="58" t="s">
        <v>454</v>
      </c>
      <c r="AZ21" s="58">
        <v>10454966</v>
      </c>
      <c r="BA21" s="58"/>
      <c r="BB21" s="58"/>
      <c r="BC21" s="48"/>
      <c r="BD21" s="48"/>
      <c r="BE21" s="48"/>
      <c r="BF21" s="48"/>
      <c r="BG21" s="48"/>
      <c r="BH21" s="48"/>
      <c r="BI21" s="48"/>
      <c r="BJ21" s="48"/>
      <c r="BK21" s="48"/>
      <c r="BL21" s="48"/>
      <c r="BM21" s="48"/>
      <c r="BN21" s="48"/>
      <c r="BO21" s="48"/>
      <c r="BP21" s="48"/>
      <c r="BQ21" s="48"/>
      <c r="BR21" s="48"/>
      <c r="BS21" s="48"/>
    </row>
    <row r="22" spans="1:71" ht="12.75" hidden="1" customHeight="1">
      <c r="A22" s="85">
        <v>18</v>
      </c>
      <c r="B22" s="86">
        <v>5015</v>
      </c>
      <c r="C22" s="29">
        <v>159</v>
      </c>
      <c r="D22" s="122">
        <v>80842817</v>
      </c>
      <c r="E22" s="18" t="str">
        <f>IF(D22&gt;0,VLOOKUP(D22,'PLANTA PERNO'!A:D,4,0)&amp;" "&amp;VLOOKUP(D22,'PLANTA PERNO'!A:D,2,0)&amp;" "&amp;VLOOKUP(D22,'PLANTA PERNO'!A:D,3,0),IF(O22="","VACANTE DEFINITIVA","VACANTE TEMPORAL"))</f>
        <v>JEFFER FRANK VELANDIA LOPEZ</v>
      </c>
      <c r="F22" s="20" t="s">
        <v>49</v>
      </c>
      <c r="G22" s="20" t="str">
        <f t="shared" si="0"/>
        <v>EN ENCARGO</v>
      </c>
      <c r="H22" s="33">
        <f t="shared" si="1"/>
        <v>45048</v>
      </c>
      <c r="I22" s="33">
        <f t="shared" si="2"/>
        <v>45048</v>
      </c>
      <c r="J22" s="31" t="str">
        <f t="shared" si="3"/>
        <v>HOMBRE</v>
      </c>
      <c r="K22" s="21">
        <f t="shared" ca="1" si="4"/>
        <v>42</v>
      </c>
      <c r="L22" s="21">
        <f t="shared" ca="1" si="5"/>
        <v>3</v>
      </c>
      <c r="M22" s="21" t="str">
        <f t="shared" si="6"/>
        <v>ENCARGO</v>
      </c>
      <c r="N22" s="21" t="str">
        <f t="shared" si="7"/>
        <v>EN ENCARGO</v>
      </c>
      <c r="O22" s="21">
        <v>52557124</v>
      </c>
      <c r="P22" s="18" t="str">
        <f>IF(O22="","VACANTE DEFINITIVA",(VLOOKUP(O22,'PLANTA PERNO'!A:D,4,0)&amp;" "&amp;VLOOKUP(O22,'PLANTA PERNO'!A:D,2,0)&amp;" "&amp;VLOOKUP(O22,'PLANTA PERNO'!A:D,3,0)))</f>
        <v>DORIS SILVA GARCIA</v>
      </c>
      <c r="Q22" s="21" t="s">
        <v>369</v>
      </c>
      <c r="R22" s="21">
        <v>2</v>
      </c>
      <c r="S22" s="21"/>
      <c r="T22" s="21"/>
      <c r="U22" s="21"/>
      <c r="V22" s="21"/>
      <c r="W22" s="38"/>
      <c r="X22" s="128"/>
      <c r="Y22" s="28" t="str">
        <f t="shared" si="8"/>
        <v>OCUPADO</v>
      </c>
      <c r="Z22" s="23" t="s">
        <v>27</v>
      </c>
      <c r="AA22" s="24" t="s">
        <v>29</v>
      </c>
      <c r="AB22" s="25">
        <v>440</v>
      </c>
      <c r="AC22" s="27">
        <v>19</v>
      </c>
      <c r="AD22" s="28" t="str">
        <f t="shared" si="9"/>
        <v>440-19</v>
      </c>
      <c r="AE22" s="24" t="s">
        <v>153</v>
      </c>
      <c r="AF22" s="24" t="s">
        <v>153</v>
      </c>
      <c r="AG22" s="24" t="s">
        <v>363</v>
      </c>
      <c r="AH22" s="24" t="s">
        <v>371</v>
      </c>
      <c r="AI22" s="24" t="s">
        <v>303</v>
      </c>
      <c r="AJ22" s="24" t="s">
        <v>372</v>
      </c>
      <c r="AK22" s="93">
        <v>3687784.9600000004</v>
      </c>
      <c r="AL22" s="93">
        <v>0</v>
      </c>
      <c r="AM22" s="93">
        <f t="shared" si="11"/>
        <v>0</v>
      </c>
      <c r="AN22" s="93">
        <f>IFERROR(INT(($AK22*(VLOOKUP($D22,'PORCENTAJES FACTORES'!B:N,12,0))/100)),0)</f>
        <v>0</v>
      </c>
      <c r="AO22" s="93">
        <f t="shared" si="12"/>
        <v>73755</v>
      </c>
      <c r="AP22" s="93">
        <f t="shared" si="13"/>
        <v>0</v>
      </c>
      <c r="AQ22" s="93">
        <f t="shared" si="14"/>
        <v>0</v>
      </c>
      <c r="AR22" s="95">
        <f t="shared" si="15"/>
        <v>3761539.9600000004</v>
      </c>
      <c r="AS22" s="96"/>
      <c r="AT22" s="97"/>
      <c r="AU22" s="43">
        <f t="shared" si="16"/>
        <v>3945929.9072000007</v>
      </c>
      <c r="AV22" s="43"/>
      <c r="AW22" s="43">
        <f t="shared" si="17"/>
        <v>0</v>
      </c>
      <c r="AX22" s="43">
        <f t="shared" si="18"/>
        <v>0</v>
      </c>
      <c r="AY22" s="58" t="s">
        <v>490</v>
      </c>
      <c r="AZ22" s="58">
        <v>11711913</v>
      </c>
      <c r="BA22" s="58"/>
      <c r="BB22" s="58"/>
      <c r="BC22" s="48"/>
      <c r="BD22" s="48"/>
      <c r="BE22" s="48"/>
      <c r="BF22" s="48"/>
      <c r="BG22" s="48"/>
      <c r="BH22" s="48"/>
      <c r="BI22" s="48"/>
      <c r="BJ22" s="48"/>
      <c r="BK22" s="48"/>
      <c r="BL22" s="48"/>
      <c r="BM22" s="48"/>
      <c r="BN22" s="48"/>
      <c r="BO22" s="48"/>
      <c r="BP22" s="48"/>
      <c r="BQ22" s="48"/>
      <c r="BR22" s="48"/>
      <c r="BS22" s="48"/>
    </row>
    <row r="23" spans="1:71" ht="12.75" hidden="1" customHeight="1">
      <c r="A23" s="85">
        <v>19</v>
      </c>
      <c r="B23" s="86">
        <v>5016</v>
      </c>
      <c r="C23" s="29">
        <v>143</v>
      </c>
      <c r="D23" s="122">
        <v>1012339868</v>
      </c>
      <c r="E23" s="18" t="str">
        <f>IF(D23&gt;0,VLOOKUP(D23,'PLANTA PERNO'!A:D,4,0)&amp;" "&amp;VLOOKUP(D23,'PLANTA PERNO'!A:D,2,0)&amp;" "&amp;VLOOKUP(D23,'PLANTA PERNO'!A:D,3,0),IF(O23="","VACANTE DEFINITIVA","VACANTE TEMPORAL"))</f>
        <v>OLGA LILIANA LONDOÃ‘O GARCIA</v>
      </c>
      <c r="F23" s="20" t="s">
        <v>49</v>
      </c>
      <c r="G23" s="20" t="str">
        <f t="shared" si="0"/>
        <v>CARRERA ADMINISTRATIVA</v>
      </c>
      <c r="H23" s="33">
        <f t="shared" si="1"/>
        <v>44147</v>
      </c>
      <c r="I23" s="33">
        <f t="shared" si="2"/>
        <v>44147</v>
      </c>
      <c r="J23" s="31" t="str">
        <f t="shared" si="3"/>
        <v>MUJER</v>
      </c>
      <c r="K23" s="21">
        <f t="shared" ca="1" si="4"/>
        <v>38</v>
      </c>
      <c r="L23" s="21">
        <f t="shared" ca="1" si="5"/>
        <v>5</v>
      </c>
      <c r="M23" s="21" t="str">
        <f t="shared" si="6"/>
        <v/>
      </c>
      <c r="N23" s="21" t="str">
        <f t="shared" si="7"/>
        <v>EN PROPIEDAD</v>
      </c>
      <c r="O23" s="21">
        <v>1012339868</v>
      </c>
      <c r="P23" s="18" t="str">
        <f>IF(O23="","VACANTE DEFINITIVA",(VLOOKUP(O23,'PLANTA PERNO'!A:D,4,0)&amp;" "&amp;VLOOKUP(O23,'PLANTA PERNO'!A:D,2,0)&amp;" "&amp;VLOOKUP(O23,'PLANTA PERNO'!A:D,3,0)))</f>
        <v>OLGA LILIANA LONDOÃ‘O GARCIA</v>
      </c>
      <c r="Q23" s="21"/>
      <c r="R23" s="21"/>
      <c r="S23" s="21"/>
      <c r="T23" s="21"/>
      <c r="U23" s="21"/>
      <c r="V23" s="21"/>
      <c r="W23" s="130">
        <v>66180</v>
      </c>
      <c r="X23" s="128"/>
      <c r="Y23" s="28" t="str">
        <f t="shared" si="8"/>
        <v>OCUPADO</v>
      </c>
      <c r="Z23" s="23" t="s">
        <v>27</v>
      </c>
      <c r="AA23" s="24" t="s">
        <v>146</v>
      </c>
      <c r="AB23" s="25">
        <v>407</v>
      </c>
      <c r="AC23" s="27">
        <v>17</v>
      </c>
      <c r="AD23" s="28" t="str">
        <f t="shared" si="9"/>
        <v>407-17</v>
      </c>
      <c r="AE23" s="24" t="s">
        <v>147</v>
      </c>
      <c r="AF23" s="24" t="s">
        <v>147</v>
      </c>
      <c r="AG23" s="24" t="s">
        <v>376</v>
      </c>
      <c r="AH23" s="24" t="s">
        <v>377</v>
      </c>
      <c r="AI23" s="24" t="s">
        <v>303</v>
      </c>
      <c r="AJ23" s="24" t="s">
        <v>378</v>
      </c>
      <c r="AK23" s="93">
        <v>3436325.33</v>
      </c>
      <c r="AL23" s="93">
        <v>0</v>
      </c>
      <c r="AM23" s="93">
        <f t="shared" si="11"/>
        <v>103089</v>
      </c>
      <c r="AN23" s="93">
        <f>IFERROR(INT(($AK23*(VLOOKUP($D23,'PORCENTAJES FACTORES'!B:N,12,0))/100)),0)</f>
        <v>0</v>
      </c>
      <c r="AO23" s="93">
        <f t="shared" si="12"/>
        <v>0</v>
      </c>
      <c r="AP23" s="93">
        <f t="shared" si="13"/>
        <v>249095</v>
      </c>
      <c r="AQ23" s="93">
        <f t="shared" si="14"/>
        <v>0</v>
      </c>
      <c r="AR23" s="95">
        <f t="shared" si="15"/>
        <v>3788509.33</v>
      </c>
      <c r="AS23" s="96"/>
      <c r="AT23" s="97"/>
      <c r="AU23" s="43">
        <f t="shared" si="16"/>
        <v>3676868.1031000004</v>
      </c>
      <c r="AV23" s="58"/>
      <c r="AW23" s="43">
        <f t="shared" si="17"/>
        <v>0</v>
      </c>
      <c r="AX23" s="43">
        <f t="shared" si="18"/>
        <v>0</v>
      </c>
      <c r="AY23" s="58" t="s">
        <v>522</v>
      </c>
      <c r="AZ23" s="58">
        <v>3728532</v>
      </c>
      <c r="BA23" s="58"/>
      <c r="BB23" s="58"/>
      <c r="BC23" s="48"/>
      <c r="BD23" s="48"/>
      <c r="BE23" s="48"/>
      <c r="BF23" s="48"/>
      <c r="BG23" s="48"/>
      <c r="BH23" s="48"/>
      <c r="BI23" s="48"/>
      <c r="BJ23" s="48"/>
      <c r="BK23" s="48"/>
      <c r="BL23" s="48"/>
      <c r="BM23" s="48"/>
      <c r="BN23" s="48"/>
      <c r="BO23" s="48"/>
      <c r="BP23" s="48"/>
      <c r="BQ23" s="48"/>
      <c r="BR23" s="48"/>
      <c r="BS23" s="48"/>
    </row>
    <row r="24" spans="1:71" ht="12.75" hidden="1" customHeight="1">
      <c r="A24" s="85">
        <v>20</v>
      </c>
      <c r="B24" s="86">
        <v>5017</v>
      </c>
      <c r="C24" s="29">
        <v>144</v>
      </c>
      <c r="D24" s="122">
        <v>80188856</v>
      </c>
      <c r="E24" s="18" t="str">
        <f>IF(D24&gt;0,VLOOKUP(D24,'PLANTA PERNO'!A:D,4,0)&amp;" "&amp;VLOOKUP(D24,'PLANTA PERNO'!A:D,2,0)&amp;" "&amp;VLOOKUP(D24,'PLANTA PERNO'!A:D,3,0),IF(O24="","VACANTE DEFINITIVA","VACANTE TEMPORAL"))</f>
        <v>OMAR ANDRES ORTIZ PAEZ</v>
      </c>
      <c r="F24" s="20" t="s">
        <v>49</v>
      </c>
      <c r="G24" s="20" t="str">
        <f t="shared" si="0"/>
        <v>EN ENCARGO</v>
      </c>
      <c r="H24" s="33">
        <f t="shared" si="1"/>
        <v>44147</v>
      </c>
      <c r="I24" s="33">
        <f t="shared" si="2"/>
        <v>44147</v>
      </c>
      <c r="J24" s="31" t="str">
        <f t="shared" si="3"/>
        <v>HOMBRE</v>
      </c>
      <c r="K24" s="21">
        <f t="shared" ca="1" si="4"/>
        <v>42</v>
      </c>
      <c r="L24" s="21">
        <f t="shared" ca="1" si="5"/>
        <v>5</v>
      </c>
      <c r="M24" s="21" t="str">
        <f t="shared" si="6"/>
        <v>ENCARGO</v>
      </c>
      <c r="N24" s="21" t="str">
        <f t="shared" si="7"/>
        <v>EN ENCARGO</v>
      </c>
      <c r="O24" s="21">
        <v>52542976</v>
      </c>
      <c r="P24" s="18" t="str">
        <f>IF(O24="","VACANTE DEFINITIVA",(VLOOKUP(O24,'PLANTA PERNO'!A:D,4,0)&amp;" "&amp;VLOOKUP(O24,'PLANTA PERNO'!A:D,2,0)&amp;" "&amp;VLOOKUP(O24,'PLANTA PERNO'!A:D,3,0)))</f>
        <v>ADRIANA PATRICIA RAMIREZ BAUTISTA</v>
      </c>
      <c r="Q24" s="21" t="s">
        <v>333</v>
      </c>
      <c r="R24" s="21">
        <v>5</v>
      </c>
      <c r="S24" s="21"/>
      <c r="T24" s="21"/>
      <c r="U24" s="21"/>
      <c r="V24" s="21"/>
      <c r="W24" s="130">
        <v>66179</v>
      </c>
      <c r="X24" s="128"/>
      <c r="Y24" s="28" t="str">
        <f t="shared" si="8"/>
        <v>OCUPADO</v>
      </c>
      <c r="Z24" s="23" t="s">
        <v>27</v>
      </c>
      <c r="AA24" s="24" t="s">
        <v>146</v>
      </c>
      <c r="AB24" s="25">
        <v>407</v>
      </c>
      <c r="AC24" s="27">
        <v>16</v>
      </c>
      <c r="AD24" s="28" t="str">
        <f t="shared" si="9"/>
        <v>407-16</v>
      </c>
      <c r="AE24" s="24" t="s">
        <v>147</v>
      </c>
      <c r="AF24" s="24" t="s">
        <v>147</v>
      </c>
      <c r="AG24" s="24" t="s">
        <v>382</v>
      </c>
      <c r="AH24" s="24" t="s">
        <v>383</v>
      </c>
      <c r="AI24" s="24" t="s">
        <v>36</v>
      </c>
      <c r="AJ24" s="24" t="s">
        <v>384</v>
      </c>
      <c r="AK24" s="93">
        <v>3338525.1900000004</v>
      </c>
      <c r="AL24" s="93">
        <v>0</v>
      </c>
      <c r="AM24" s="93">
        <f t="shared" si="11"/>
        <v>100155</v>
      </c>
      <c r="AN24" s="93">
        <f>IFERROR(INT(($AK24*(VLOOKUP($D24,'PORCENTAJES FACTORES'!B:N,12,0))/100)),0)</f>
        <v>0</v>
      </c>
      <c r="AO24" s="93">
        <f t="shared" si="12"/>
        <v>0</v>
      </c>
      <c r="AP24" s="93">
        <f t="shared" si="13"/>
        <v>249095</v>
      </c>
      <c r="AQ24" s="93">
        <f t="shared" si="14"/>
        <v>0</v>
      </c>
      <c r="AR24" s="95">
        <f t="shared" si="15"/>
        <v>3687775.1900000004</v>
      </c>
      <c r="AS24" s="96"/>
      <c r="AT24" s="97"/>
      <c r="AU24" s="43">
        <f t="shared" si="16"/>
        <v>3572221.9533000006</v>
      </c>
      <c r="AV24" s="58"/>
      <c r="AW24" s="43">
        <f t="shared" si="17"/>
        <v>0</v>
      </c>
      <c r="AX24" s="43">
        <f t="shared" si="18"/>
        <v>0</v>
      </c>
      <c r="AY24" s="58" t="s">
        <v>600</v>
      </c>
      <c r="AZ24" s="58">
        <v>3845053</v>
      </c>
      <c r="BA24" s="58"/>
      <c r="BB24" s="58"/>
      <c r="BC24" s="48"/>
      <c r="BD24" s="48"/>
      <c r="BE24" s="48"/>
      <c r="BF24" s="48"/>
      <c r="BG24" s="48"/>
      <c r="BH24" s="48"/>
      <c r="BI24" s="48"/>
      <c r="BJ24" s="48"/>
      <c r="BK24" s="48"/>
      <c r="BL24" s="48"/>
      <c r="BM24" s="48"/>
      <c r="BN24" s="48"/>
      <c r="BO24" s="48"/>
      <c r="BP24" s="48"/>
      <c r="BQ24" s="48"/>
      <c r="BR24" s="48"/>
      <c r="BS24" s="48"/>
    </row>
    <row r="25" spans="1:71" ht="12.75" hidden="1" customHeight="1">
      <c r="A25" s="85">
        <v>21</v>
      </c>
      <c r="B25" s="86">
        <v>5018</v>
      </c>
      <c r="C25" s="29">
        <v>145</v>
      </c>
      <c r="D25" s="122">
        <v>52176286</v>
      </c>
      <c r="E25" s="18" t="str">
        <f>IF(D25&gt;0,VLOOKUP(D25,'PLANTA PERNO'!A:D,4,0)&amp;" "&amp;VLOOKUP(D25,'PLANTA PERNO'!A:D,2,0)&amp;" "&amp;VLOOKUP(D25,'PLANTA PERNO'!A:D,3,0),IF(O25="","VACANTE DEFINITIVA","VACANTE TEMPORAL"))</f>
        <v>DIANA LICET SANCHEZ CASTIBLANCO</v>
      </c>
      <c r="F25" s="20" t="s">
        <v>24</v>
      </c>
      <c r="G25" s="20" t="str">
        <f t="shared" si="0"/>
        <v>EN PROVISIONALIDAD</v>
      </c>
      <c r="H25" s="33">
        <f t="shared" si="1"/>
        <v>45848</v>
      </c>
      <c r="I25" s="33">
        <f t="shared" si="2"/>
        <v>45848</v>
      </c>
      <c r="J25" s="31" t="str">
        <f t="shared" si="3"/>
        <v>MUJER</v>
      </c>
      <c r="K25" s="21">
        <f t="shared" ca="1" si="4"/>
        <v>52</v>
      </c>
      <c r="L25" s="21">
        <f t="shared" ca="1" si="5"/>
        <v>1</v>
      </c>
      <c r="M25" s="21" t="str">
        <f t="shared" si="6"/>
        <v>PROVISIONALIDAD</v>
      </c>
      <c r="N25" s="21" t="str">
        <f t="shared" si="7"/>
        <v>EN ENCARGO</v>
      </c>
      <c r="O25" s="21">
        <v>52781142</v>
      </c>
      <c r="P25" s="18" t="str">
        <f>IF(O25="","VACANTE DEFINITIVA",(VLOOKUP(O25,'PLANTA PERNO'!A:D,4,0)&amp;" "&amp;VLOOKUP(O25,'PLANTA PERNO'!A:D,2,0)&amp;" "&amp;VLOOKUP(O25,'PLANTA PERNO'!A:D,3,0)))</f>
        <v>JENIFER CELIS ORTEGA</v>
      </c>
      <c r="Q25" s="21" t="s">
        <v>489</v>
      </c>
      <c r="R25" s="21">
        <v>3</v>
      </c>
      <c r="S25" s="21" t="s">
        <v>166</v>
      </c>
      <c r="T25" s="21"/>
      <c r="U25" s="21"/>
      <c r="V25" s="21"/>
      <c r="W25" s="130">
        <v>66179</v>
      </c>
      <c r="X25" s="128"/>
      <c r="Y25" s="28" t="str">
        <f t="shared" si="8"/>
        <v>OCUPADO</v>
      </c>
      <c r="Z25" s="23" t="s">
        <v>27</v>
      </c>
      <c r="AA25" s="24" t="s">
        <v>146</v>
      </c>
      <c r="AB25" s="25">
        <v>407</v>
      </c>
      <c r="AC25" s="27">
        <v>16</v>
      </c>
      <c r="AD25" s="28" t="str">
        <f t="shared" si="9"/>
        <v>407-16</v>
      </c>
      <c r="AE25" s="24" t="s">
        <v>147</v>
      </c>
      <c r="AF25" s="24" t="s">
        <v>147</v>
      </c>
      <c r="AG25" s="24" t="s">
        <v>382</v>
      </c>
      <c r="AH25" s="24" t="s">
        <v>383</v>
      </c>
      <c r="AI25" s="24" t="s">
        <v>36</v>
      </c>
      <c r="AJ25" s="24" t="s">
        <v>384</v>
      </c>
      <c r="AK25" s="93">
        <v>3338525.1900000004</v>
      </c>
      <c r="AL25" s="93">
        <v>0</v>
      </c>
      <c r="AM25" s="93">
        <f t="shared" si="11"/>
        <v>0</v>
      </c>
      <c r="AN25" s="93">
        <f>IFERROR(INT(($AK25*(VLOOKUP($D25,'PORCENTAJES FACTORES'!B:N,12,0))/100)),0)</f>
        <v>0</v>
      </c>
      <c r="AO25" s="93">
        <f t="shared" si="12"/>
        <v>0</v>
      </c>
      <c r="AP25" s="93">
        <f t="shared" si="13"/>
        <v>249095</v>
      </c>
      <c r="AQ25" s="93">
        <f t="shared" si="14"/>
        <v>0</v>
      </c>
      <c r="AR25" s="95">
        <f t="shared" si="15"/>
        <v>3587620.1900000004</v>
      </c>
      <c r="AS25" s="96"/>
      <c r="AT25" s="97"/>
      <c r="AU25" s="43">
        <f t="shared" si="16"/>
        <v>3572221.9533000006</v>
      </c>
      <c r="AV25" s="58"/>
      <c r="AW25" s="43">
        <f t="shared" si="17"/>
        <v>0</v>
      </c>
      <c r="AX25" s="43">
        <f t="shared" si="18"/>
        <v>0</v>
      </c>
      <c r="AY25" s="58" t="s">
        <v>642</v>
      </c>
      <c r="AZ25" s="58">
        <v>3966792</v>
      </c>
      <c r="BA25" s="58"/>
      <c r="BB25" s="58"/>
      <c r="BC25" s="48"/>
      <c r="BD25" s="48"/>
      <c r="BE25" s="48"/>
      <c r="BF25" s="48"/>
      <c r="BG25" s="48"/>
      <c r="BH25" s="48"/>
      <c r="BI25" s="48"/>
      <c r="BJ25" s="48"/>
      <c r="BK25" s="48"/>
      <c r="BL25" s="48"/>
      <c r="BM25" s="48"/>
      <c r="BN25" s="48"/>
      <c r="BO25" s="48"/>
      <c r="BP25" s="48"/>
      <c r="BQ25" s="48"/>
      <c r="BR25" s="48"/>
      <c r="BS25" s="48"/>
    </row>
    <row r="26" spans="1:71" ht="12.75" hidden="1" customHeight="1">
      <c r="A26" s="85">
        <v>22</v>
      </c>
      <c r="B26" s="86">
        <v>5019</v>
      </c>
      <c r="C26" s="29">
        <v>146</v>
      </c>
      <c r="D26" s="122">
        <v>1121816584</v>
      </c>
      <c r="E26" s="18" t="str">
        <f>IF(D26&gt;0,VLOOKUP(D26,'PLANTA PERNO'!A:D,4,0)&amp;" "&amp;VLOOKUP(D26,'PLANTA PERNO'!A:D,2,0)&amp;" "&amp;VLOOKUP(D26,'PLANTA PERNO'!A:D,3,0),IF(O26="","VACANTE DEFINITIVA","VACANTE TEMPORAL"))</f>
        <v>MIGUEL ANGEL VARGAS CORDERO</v>
      </c>
      <c r="F26" s="20" t="s">
        <v>49</v>
      </c>
      <c r="G26" s="20" t="str">
        <f t="shared" si="0"/>
        <v>CARRERA ADMINISTRATIVA</v>
      </c>
      <c r="H26" s="33">
        <f t="shared" si="1"/>
        <v>44720</v>
      </c>
      <c r="I26" s="33">
        <f t="shared" si="2"/>
        <v>44720</v>
      </c>
      <c r="J26" s="31" t="str">
        <f t="shared" si="3"/>
        <v>HOMBRE</v>
      </c>
      <c r="K26" s="21">
        <f t="shared" ca="1" si="4"/>
        <v>40</v>
      </c>
      <c r="L26" s="21">
        <f t="shared" ca="1" si="5"/>
        <v>4</v>
      </c>
      <c r="M26" s="21" t="str">
        <f t="shared" si="6"/>
        <v/>
      </c>
      <c r="N26" s="21" t="str">
        <f t="shared" si="7"/>
        <v>EN PROPIEDAD</v>
      </c>
      <c r="O26" s="21">
        <v>1121816584</v>
      </c>
      <c r="P26" s="18" t="str">
        <f>IF(O26="","VACANTE DEFINITIVA",(VLOOKUP(O26,'PLANTA PERNO'!A:D,4,0)&amp;" "&amp;VLOOKUP(O26,'PLANTA PERNO'!A:D,2,0)&amp;" "&amp;VLOOKUP(O26,'PLANTA PERNO'!A:D,3,0)))</f>
        <v>MIGUEL ANGEL VARGAS CORDERO</v>
      </c>
      <c r="Q26" s="21"/>
      <c r="R26" s="21"/>
      <c r="S26" s="21"/>
      <c r="T26" s="21"/>
      <c r="U26" s="21"/>
      <c r="V26" s="21"/>
      <c r="W26" s="38"/>
      <c r="X26" s="128"/>
      <c r="Y26" s="21" t="str">
        <f t="shared" si="8"/>
        <v>OCUPADO</v>
      </c>
      <c r="Z26" s="23" t="s">
        <v>27</v>
      </c>
      <c r="AA26" s="24" t="s">
        <v>146</v>
      </c>
      <c r="AB26" s="25">
        <v>407</v>
      </c>
      <c r="AC26" s="27">
        <v>15</v>
      </c>
      <c r="AD26" s="28" t="str">
        <f t="shared" si="9"/>
        <v>407-15</v>
      </c>
      <c r="AE26" s="24" t="s">
        <v>153</v>
      </c>
      <c r="AF26" s="24" t="s">
        <v>153</v>
      </c>
      <c r="AG26" s="24" t="s">
        <v>392</v>
      </c>
      <c r="AH26" s="24" t="s">
        <v>393</v>
      </c>
      <c r="AI26" s="24" t="s">
        <v>36</v>
      </c>
      <c r="AJ26" s="24" t="s">
        <v>394</v>
      </c>
      <c r="AK26" s="93">
        <v>3212810.89</v>
      </c>
      <c r="AL26" s="93">
        <v>0</v>
      </c>
      <c r="AM26" s="93">
        <f t="shared" si="11"/>
        <v>0</v>
      </c>
      <c r="AN26" s="93">
        <f>IFERROR(INT(($AK26*(VLOOKUP($D26,'PORCENTAJES FACTORES'!B:N,12,0))/100)),0)</f>
        <v>0</v>
      </c>
      <c r="AO26" s="93">
        <f t="shared" si="12"/>
        <v>0</v>
      </c>
      <c r="AP26" s="93">
        <f t="shared" si="13"/>
        <v>249095</v>
      </c>
      <c r="AQ26" s="93">
        <f t="shared" si="14"/>
        <v>0</v>
      </c>
      <c r="AR26" s="95">
        <f t="shared" si="15"/>
        <v>3461905.89</v>
      </c>
      <c r="AS26" s="96"/>
      <c r="AT26" s="97"/>
      <c r="AU26" s="43">
        <f t="shared" si="16"/>
        <v>3437707.6523000002</v>
      </c>
      <c r="AV26" s="58"/>
      <c r="AW26" s="43">
        <f t="shared" si="17"/>
        <v>0</v>
      </c>
      <c r="AX26" s="43">
        <f t="shared" si="18"/>
        <v>0</v>
      </c>
      <c r="AY26" s="58" t="s">
        <v>667</v>
      </c>
      <c r="AZ26" s="58">
        <v>4000408</v>
      </c>
      <c r="BA26" s="58"/>
      <c r="BB26" s="58"/>
      <c r="BC26" s="48"/>
      <c r="BD26" s="48"/>
      <c r="BE26" s="48"/>
      <c r="BF26" s="48"/>
      <c r="BG26" s="48"/>
      <c r="BH26" s="48"/>
      <c r="BI26" s="48"/>
      <c r="BJ26" s="48"/>
      <c r="BK26" s="48"/>
      <c r="BL26" s="48"/>
      <c r="BM26" s="48"/>
      <c r="BN26" s="48"/>
      <c r="BO26" s="48"/>
      <c r="BP26" s="48"/>
      <c r="BQ26" s="48"/>
      <c r="BR26" s="48"/>
      <c r="BS26" s="48"/>
    </row>
    <row r="27" spans="1:71" ht="12.75" hidden="1" customHeight="1">
      <c r="A27" s="85">
        <v>23</v>
      </c>
      <c r="B27" s="86">
        <v>5020</v>
      </c>
      <c r="C27" s="29">
        <v>147</v>
      </c>
      <c r="D27" s="122">
        <v>39773518</v>
      </c>
      <c r="E27" s="18" t="str">
        <f>IF(D27&gt;0,VLOOKUP(D27,'PLANTA PERNO'!A:D,4,0)&amp;" "&amp;VLOOKUP(D27,'PLANTA PERNO'!A:D,2,0)&amp;" "&amp;VLOOKUP(D27,'PLANTA PERNO'!A:D,3,0),IF(O27="","VACANTE DEFINITIVA","VACANTE TEMPORAL"))</f>
        <v>MARIA CRISTINA VANEGAS LARGO</v>
      </c>
      <c r="F27" s="20" t="s">
        <v>49</v>
      </c>
      <c r="G27" s="20" t="str">
        <f t="shared" si="0"/>
        <v>EN ENCARGO</v>
      </c>
      <c r="H27" s="33">
        <f t="shared" si="1"/>
        <v>42585</v>
      </c>
      <c r="I27" s="33">
        <f t="shared" si="2"/>
        <v>33703</v>
      </c>
      <c r="J27" s="31" t="str">
        <f t="shared" si="3"/>
        <v>MUJER</v>
      </c>
      <c r="K27" s="21">
        <f t="shared" ca="1" si="4"/>
        <v>60</v>
      </c>
      <c r="L27" s="21">
        <f t="shared" ca="1" si="5"/>
        <v>10</v>
      </c>
      <c r="M27" s="21" t="str">
        <f t="shared" si="6"/>
        <v>ENCARGO</v>
      </c>
      <c r="N27" s="21" t="str">
        <f t="shared" si="7"/>
        <v>EN ENCARGO</v>
      </c>
      <c r="O27" s="21">
        <v>80842817</v>
      </c>
      <c r="P27" s="18" t="str">
        <f>IF(O27="","VACANTE DEFINITIVA",(VLOOKUP(O27,'PLANTA PERNO'!A:D,4,0)&amp;" "&amp;VLOOKUP(O27,'PLANTA PERNO'!A:D,2,0)&amp;" "&amp;VLOOKUP(O27,'PLANTA PERNO'!A:D,3,0)))</f>
        <v>JEFFER FRANK VELANDIA LOPEZ</v>
      </c>
      <c r="Q27" s="21" t="s">
        <v>369</v>
      </c>
      <c r="R27" s="21">
        <v>3</v>
      </c>
      <c r="S27" s="21"/>
      <c r="T27" s="21"/>
      <c r="U27" s="21"/>
      <c r="V27" s="21"/>
      <c r="W27" s="130">
        <v>66164</v>
      </c>
      <c r="X27" s="128"/>
      <c r="Y27" s="21" t="str">
        <f t="shared" si="8"/>
        <v>OCUPADO</v>
      </c>
      <c r="Z27" s="23" t="s">
        <v>27</v>
      </c>
      <c r="AA27" s="24" t="s">
        <v>146</v>
      </c>
      <c r="AB27" s="25">
        <v>407</v>
      </c>
      <c r="AC27" s="27">
        <v>15</v>
      </c>
      <c r="AD27" s="28" t="str">
        <f t="shared" si="9"/>
        <v>407-15</v>
      </c>
      <c r="AE27" s="24" t="s">
        <v>213</v>
      </c>
      <c r="AF27" s="24" t="s">
        <v>213</v>
      </c>
      <c r="AG27" s="24" t="s">
        <v>399</v>
      </c>
      <c r="AH27" s="24" t="s">
        <v>400</v>
      </c>
      <c r="AI27" s="24" t="s">
        <v>36</v>
      </c>
      <c r="AJ27" s="24" t="s">
        <v>394</v>
      </c>
      <c r="AK27" s="93">
        <v>3212810.89</v>
      </c>
      <c r="AL27" s="93">
        <v>0</v>
      </c>
      <c r="AM27" s="93">
        <f t="shared" si="11"/>
        <v>224896</v>
      </c>
      <c r="AN27" s="93">
        <f>IFERROR(INT(($AK27*(VLOOKUP($D27,'PORCENTAJES FACTORES'!B:N,12,0))/100)),0)</f>
        <v>0</v>
      </c>
      <c r="AO27" s="93">
        <f t="shared" si="12"/>
        <v>0</v>
      </c>
      <c r="AP27" s="93">
        <f t="shared" si="13"/>
        <v>249095</v>
      </c>
      <c r="AQ27" s="93">
        <f t="shared" si="14"/>
        <v>0</v>
      </c>
      <c r="AR27" s="95">
        <f t="shared" si="15"/>
        <v>3686801.89</v>
      </c>
      <c r="AS27" s="96"/>
      <c r="AT27" s="97"/>
      <c r="AU27" s="43">
        <f t="shared" si="16"/>
        <v>3437707.6523000002</v>
      </c>
      <c r="AV27" s="43"/>
      <c r="AW27" s="43">
        <f t="shared" si="17"/>
        <v>0</v>
      </c>
      <c r="AX27" s="43">
        <f t="shared" si="18"/>
        <v>0</v>
      </c>
      <c r="AY27" s="58" t="s">
        <v>705</v>
      </c>
      <c r="AZ27" s="58">
        <v>4116327</v>
      </c>
      <c r="BA27" s="58"/>
      <c r="BB27" s="58"/>
      <c r="BC27" s="48"/>
      <c r="BD27" s="48"/>
      <c r="BE27" s="48"/>
      <c r="BF27" s="48"/>
      <c r="BG27" s="48"/>
      <c r="BH27" s="48"/>
      <c r="BI27" s="48"/>
      <c r="BJ27" s="48"/>
      <c r="BK27" s="48"/>
      <c r="BL27" s="48"/>
      <c r="BM27" s="48"/>
      <c r="BN27" s="48"/>
      <c r="BO27" s="48"/>
      <c r="BP27" s="48"/>
      <c r="BQ27" s="48"/>
      <c r="BR27" s="48"/>
      <c r="BS27" s="48"/>
    </row>
    <row r="28" spans="1:71" ht="12.75" hidden="1" customHeight="1">
      <c r="A28" s="85">
        <v>24</v>
      </c>
      <c r="B28" s="86">
        <v>5021</v>
      </c>
      <c r="C28" s="29">
        <v>148</v>
      </c>
      <c r="D28" s="122"/>
      <c r="E28" s="18" t="str">
        <f>IF(D28&gt;0,VLOOKUP(D28,'PLANTA PERNO'!A:D,4,0)&amp;" "&amp;VLOOKUP(D28,'PLANTA PERNO'!A:D,2,0)&amp;" "&amp;VLOOKUP(D28,'PLANTA PERNO'!A:D,3,0),IF(O28="","VACANTE DEFINITIVA","VACANTE TEMPORAL"))</f>
        <v>VACANTE TEMPORAL</v>
      </c>
      <c r="F28" s="20"/>
      <c r="G28" s="20" t="str">
        <f t="shared" si="0"/>
        <v>VACANTE TEMPORAL</v>
      </c>
      <c r="H28" s="33" t="str">
        <f t="shared" si="1"/>
        <v xml:space="preserve"> </v>
      </c>
      <c r="I28" s="33" t="str">
        <f t="shared" si="2"/>
        <v/>
      </c>
      <c r="J28" s="31" t="str">
        <f t="shared" si="3"/>
        <v/>
      </c>
      <c r="K28" s="21" t="str">
        <f t="shared" ca="1" si="4"/>
        <v/>
      </c>
      <c r="L28" s="21" t="str">
        <f t="shared" ca="1" si="5"/>
        <v/>
      </c>
      <c r="M28" s="21" t="str">
        <f t="shared" si="6"/>
        <v/>
      </c>
      <c r="N28" s="21" t="str">
        <f t="shared" si="7"/>
        <v>EN ENCARGO</v>
      </c>
      <c r="O28" s="21">
        <v>79048737</v>
      </c>
      <c r="P28" s="18" t="str">
        <f>IF(O28="","VACANTE DEFINITIVA",(VLOOKUP(O28,'PLANTA PERNO'!A:D,4,0)&amp;" "&amp;VLOOKUP(O28,'PLANTA PERNO'!A:D,2,0)&amp;" "&amp;VLOOKUP(O28,'PLANTA PERNO'!A:D,3,0)))</f>
        <v>PABLO  DANIEL PULIDO SALAMANCA</v>
      </c>
      <c r="Q28" s="21" t="s">
        <v>406</v>
      </c>
      <c r="R28" s="21">
        <v>2</v>
      </c>
      <c r="S28" s="21"/>
      <c r="T28" s="21"/>
      <c r="U28" s="21"/>
      <c r="V28" s="21"/>
      <c r="W28" s="38"/>
      <c r="X28" s="123">
        <v>220281</v>
      </c>
      <c r="Y28" s="21" t="str">
        <f t="shared" si="8"/>
        <v>VACANTE TEMPORAL</v>
      </c>
      <c r="Z28" s="23" t="s">
        <v>27</v>
      </c>
      <c r="AA28" s="24" t="s">
        <v>146</v>
      </c>
      <c r="AB28" s="25">
        <v>407</v>
      </c>
      <c r="AC28" s="27">
        <v>15</v>
      </c>
      <c r="AD28" s="28" t="str">
        <f t="shared" si="9"/>
        <v>407-15</v>
      </c>
      <c r="AE28" s="24" t="s">
        <v>147</v>
      </c>
      <c r="AF28" s="24" t="s">
        <v>147</v>
      </c>
      <c r="AG28" s="24" t="s">
        <v>392</v>
      </c>
      <c r="AH28" s="24" t="s">
        <v>393</v>
      </c>
      <c r="AI28" s="24" t="s">
        <v>36</v>
      </c>
      <c r="AJ28" s="24" t="s">
        <v>394</v>
      </c>
      <c r="AK28" s="93">
        <v>3212810.89</v>
      </c>
      <c r="AL28" s="93">
        <v>0</v>
      </c>
      <c r="AM28" s="93">
        <f t="shared" si="11"/>
        <v>0</v>
      </c>
      <c r="AN28" s="93">
        <f>IFERROR(INT(($AK28*(VLOOKUP($D28,'PORCENTAJES FACTORES'!B:N,12,0))/100)),0)</f>
        <v>0</v>
      </c>
      <c r="AO28" s="93">
        <f t="shared" si="12"/>
        <v>0</v>
      </c>
      <c r="AP28" s="93">
        <f t="shared" si="13"/>
        <v>249095</v>
      </c>
      <c r="AQ28" s="93">
        <f t="shared" si="14"/>
        <v>0</v>
      </c>
      <c r="AR28" s="95">
        <f t="shared" si="15"/>
        <v>3461905.89</v>
      </c>
      <c r="AS28" s="96"/>
      <c r="AT28" s="97"/>
      <c r="AU28" s="43">
        <f t="shared" si="16"/>
        <v>3437707.6523000002</v>
      </c>
      <c r="AV28" s="58"/>
      <c r="AW28" s="43">
        <f t="shared" si="17"/>
        <v>0</v>
      </c>
      <c r="AX28" s="43">
        <f t="shared" si="18"/>
        <v>0</v>
      </c>
      <c r="AY28" s="58" t="s">
        <v>753</v>
      </c>
      <c r="AZ28" s="58">
        <v>4195019</v>
      </c>
      <c r="BA28" s="58"/>
      <c r="BB28" s="58"/>
      <c r="BC28" s="48"/>
      <c r="BD28" s="48"/>
      <c r="BE28" s="48"/>
      <c r="BF28" s="48"/>
      <c r="BG28" s="48"/>
      <c r="BH28" s="48"/>
      <c r="BI28" s="48"/>
      <c r="BJ28" s="48"/>
      <c r="BK28" s="48"/>
      <c r="BL28" s="48"/>
      <c r="BM28" s="48"/>
      <c r="BN28" s="48"/>
      <c r="BO28" s="48"/>
      <c r="BP28" s="48"/>
      <c r="BQ28" s="48"/>
      <c r="BR28" s="48"/>
      <c r="BS28" s="48"/>
    </row>
    <row r="29" spans="1:71" ht="12.75" hidden="1" customHeight="1">
      <c r="A29" s="85">
        <v>25</v>
      </c>
      <c r="B29" s="86">
        <v>5022</v>
      </c>
      <c r="C29" s="29">
        <v>149</v>
      </c>
      <c r="D29" s="122">
        <v>1031178594</v>
      </c>
      <c r="E29" s="18" t="str">
        <f>IF(D29&gt;0,VLOOKUP(D29,'PLANTA PERNO'!A:D,4,0)&amp;" "&amp;VLOOKUP(D29,'PLANTA PERNO'!A:D,2,0)&amp;" "&amp;VLOOKUP(D29,'PLANTA PERNO'!A:D,3,0),IF(O29="","VACANTE DEFINITIVA","VACANTE TEMPORAL"))</f>
        <v>ASHLEY JHOANNA RAMIREZ RUEDA</v>
      </c>
      <c r="F29" s="20" t="s">
        <v>24</v>
      </c>
      <c r="G29" s="20" t="str">
        <f t="shared" si="0"/>
        <v>EN PROVISIONALIDAD</v>
      </c>
      <c r="H29" s="33">
        <f t="shared" si="1"/>
        <v>45954</v>
      </c>
      <c r="I29" s="33">
        <f t="shared" si="2"/>
        <v>45954</v>
      </c>
      <c r="J29" s="31" t="str">
        <f t="shared" si="3"/>
        <v>MUJER</v>
      </c>
      <c r="K29" s="21">
        <f t="shared" ca="1" si="4"/>
        <v>28</v>
      </c>
      <c r="L29" s="21">
        <f t="shared" ca="1" si="5"/>
        <v>0</v>
      </c>
      <c r="M29" s="21" t="str">
        <f t="shared" si="6"/>
        <v>PROVISIONALIDAD</v>
      </c>
      <c r="N29" s="21" t="str">
        <f t="shared" si="7"/>
        <v>EN ENCARGO</v>
      </c>
      <c r="O29" s="21">
        <v>20699098</v>
      </c>
      <c r="P29" s="18" t="str">
        <f>IF(O29="","VACANTE DEFINITIVA",(VLOOKUP(O29,'PLANTA PERNO'!A:D,4,0)&amp;" "&amp;VLOOKUP(O29,'PLANTA PERNO'!A:D,2,0)&amp;" "&amp;VLOOKUP(O29,'PLANTA PERNO'!A:D,3,0)))</f>
        <v>CLAUDIA BEATRIZ CASTILLA OLAYA</v>
      </c>
      <c r="Q29" s="21" t="s">
        <v>398</v>
      </c>
      <c r="R29" s="21">
        <v>2</v>
      </c>
      <c r="S29" s="21" t="s">
        <v>166</v>
      </c>
      <c r="T29" s="21"/>
      <c r="U29" s="21"/>
      <c r="V29" s="21"/>
      <c r="W29" s="38"/>
      <c r="X29" s="123">
        <v>203193</v>
      </c>
      <c r="Y29" s="21" t="str">
        <f t="shared" si="8"/>
        <v>OCUPADO</v>
      </c>
      <c r="Z29" s="23" t="s">
        <v>27</v>
      </c>
      <c r="AA29" s="24" t="s">
        <v>146</v>
      </c>
      <c r="AB29" s="25">
        <v>407</v>
      </c>
      <c r="AC29" s="27">
        <v>15</v>
      </c>
      <c r="AD29" s="28" t="str">
        <f t="shared" si="9"/>
        <v>407-15</v>
      </c>
      <c r="AE29" s="24" t="s">
        <v>147</v>
      </c>
      <c r="AF29" s="24" t="s">
        <v>147</v>
      </c>
      <c r="AG29" s="24" t="s">
        <v>392</v>
      </c>
      <c r="AH29" s="24" t="s">
        <v>393</v>
      </c>
      <c r="AI29" s="24" t="s">
        <v>36</v>
      </c>
      <c r="AJ29" s="24" t="s">
        <v>394</v>
      </c>
      <c r="AK29" s="93">
        <v>3212810.89</v>
      </c>
      <c r="AL29" s="93">
        <v>0</v>
      </c>
      <c r="AM29" s="93">
        <f t="shared" si="11"/>
        <v>0</v>
      </c>
      <c r="AN29" s="93">
        <f>IFERROR(INT(($AK29*(VLOOKUP($D29,'PORCENTAJES FACTORES'!B:N,12,0))/100)),0)</f>
        <v>0</v>
      </c>
      <c r="AO29" s="93">
        <f t="shared" si="12"/>
        <v>0</v>
      </c>
      <c r="AP29" s="93">
        <f t="shared" si="13"/>
        <v>249095</v>
      </c>
      <c r="AQ29" s="93">
        <f t="shared" si="14"/>
        <v>0</v>
      </c>
      <c r="AR29" s="95">
        <f t="shared" si="15"/>
        <v>3461905.89</v>
      </c>
      <c r="AS29" s="96"/>
      <c r="AT29" s="97"/>
      <c r="AU29" s="43">
        <f t="shared" si="16"/>
        <v>3437707.6523000002</v>
      </c>
      <c r="AV29" s="58"/>
      <c r="AW29" s="43">
        <f t="shared" si="17"/>
        <v>0</v>
      </c>
      <c r="AX29" s="43">
        <f t="shared" si="18"/>
        <v>0</v>
      </c>
      <c r="AY29" s="58" t="s">
        <v>806</v>
      </c>
      <c r="AZ29" s="58">
        <v>4360806</v>
      </c>
      <c r="BA29" s="58"/>
      <c r="BB29" s="58"/>
      <c r="BC29" s="48"/>
      <c r="BD29" s="48"/>
      <c r="BE29" s="48"/>
      <c r="BF29" s="48"/>
      <c r="BG29" s="48"/>
      <c r="BH29" s="48"/>
      <c r="BI29" s="48"/>
      <c r="BJ29" s="48"/>
      <c r="BK29" s="48"/>
      <c r="BL29" s="48"/>
      <c r="BM29" s="48"/>
      <c r="BN29" s="48"/>
      <c r="BO29" s="48"/>
      <c r="BP29" s="48"/>
      <c r="BQ29" s="48"/>
      <c r="BR29" s="48"/>
      <c r="BS29" s="48"/>
    </row>
    <row r="30" spans="1:71" ht="12.75" hidden="1" customHeight="1">
      <c r="A30" s="85">
        <v>26</v>
      </c>
      <c r="B30" s="86">
        <v>5023</v>
      </c>
      <c r="C30" s="29">
        <v>150</v>
      </c>
      <c r="D30" s="122">
        <v>1012367914</v>
      </c>
      <c r="E30" s="18" t="str">
        <f>IF(D30&gt;0,VLOOKUP(D30,'PLANTA PERNO'!A:D,4,0)&amp;" "&amp;VLOOKUP(D30,'PLANTA PERNO'!A:D,2,0)&amp;" "&amp;VLOOKUP(D30,'PLANTA PERNO'!A:D,3,0),IF(O30="","VACANTE DEFINITIVA","VACANTE TEMPORAL"))</f>
        <v>LEONARDO ARAGON BOHORQUEZ</v>
      </c>
      <c r="F30" s="20" t="s">
        <v>24</v>
      </c>
      <c r="G30" s="20" t="str">
        <f t="shared" si="0"/>
        <v>EN PROVISIONALIDAD</v>
      </c>
      <c r="H30" s="33">
        <f t="shared" si="1"/>
        <v>44998</v>
      </c>
      <c r="I30" s="33">
        <f t="shared" si="2"/>
        <v>44998</v>
      </c>
      <c r="J30" s="31" t="str">
        <f t="shared" si="3"/>
        <v>HOMBRE</v>
      </c>
      <c r="K30" s="21">
        <f t="shared" ca="1" si="4"/>
        <v>36</v>
      </c>
      <c r="L30" s="21">
        <f t="shared" ca="1" si="5"/>
        <v>3</v>
      </c>
      <c r="M30" s="21" t="str">
        <f t="shared" si="6"/>
        <v>PROVISIONALIDAD</v>
      </c>
      <c r="N30" s="21" t="str">
        <f t="shared" si="7"/>
        <v>EN ENCARGO</v>
      </c>
      <c r="O30" s="21">
        <v>51732443</v>
      </c>
      <c r="P30" s="18" t="str">
        <f>IF(O30="","VACANTE DEFINITIVA",(VLOOKUP(O30,'PLANTA PERNO'!A:D,4,0)&amp;" "&amp;VLOOKUP(O30,'PLANTA PERNO'!A:D,2,0)&amp;" "&amp;VLOOKUP(O30,'PLANTA PERNO'!A:D,3,0)))</f>
        <v>ACENETH TORRES ROJAS</v>
      </c>
      <c r="Q30" s="21" t="s">
        <v>290</v>
      </c>
      <c r="R30" s="21">
        <v>2</v>
      </c>
      <c r="S30" s="21" t="s">
        <v>166</v>
      </c>
      <c r="T30" s="21"/>
      <c r="U30" s="21"/>
      <c r="V30" s="21"/>
      <c r="W30" s="38"/>
      <c r="X30" s="128"/>
      <c r="Y30" s="21" t="str">
        <f t="shared" si="8"/>
        <v>OCUPADO</v>
      </c>
      <c r="Z30" s="23" t="s">
        <v>27</v>
      </c>
      <c r="AA30" s="24" t="s">
        <v>146</v>
      </c>
      <c r="AB30" s="25">
        <v>407</v>
      </c>
      <c r="AC30" s="27">
        <v>15</v>
      </c>
      <c r="AD30" s="28" t="str">
        <f t="shared" si="9"/>
        <v>407-15</v>
      </c>
      <c r="AE30" s="24" t="s">
        <v>147</v>
      </c>
      <c r="AF30" s="24" t="s">
        <v>147</v>
      </c>
      <c r="AG30" s="24" t="s">
        <v>392</v>
      </c>
      <c r="AH30" s="24" t="s">
        <v>393</v>
      </c>
      <c r="AI30" s="24" t="s">
        <v>36</v>
      </c>
      <c r="AJ30" s="24" t="s">
        <v>394</v>
      </c>
      <c r="AK30" s="93">
        <v>3212810.89</v>
      </c>
      <c r="AL30" s="93">
        <v>0</v>
      </c>
      <c r="AM30" s="93">
        <f t="shared" si="11"/>
        <v>0</v>
      </c>
      <c r="AN30" s="93">
        <f>IFERROR(INT(($AK30*(VLOOKUP($D30,'PORCENTAJES FACTORES'!B:N,12,0))/100)),0)</f>
        <v>0</v>
      </c>
      <c r="AO30" s="93">
        <f t="shared" si="12"/>
        <v>0</v>
      </c>
      <c r="AP30" s="93">
        <f t="shared" si="13"/>
        <v>249095</v>
      </c>
      <c r="AQ30" s="93">
        <f t="shared" si="14"/>
        <v>0</v>
      </c>
      <c r="AR30" s="95">
        <f t="shared" si="15"/>
        <v>3461905.89</v>
      </c>
      <c r="AS30" s="96"/>
      <c r="AT30" s="97"/>
      <c r="AU30" s="43">
        <f t="shared" si="16"/>
        <v>3437707.6523000002</v>
      </c>
      <c r="AV30" s="58"/>
      <c r="AW30" s="43">
        <f t="shared" si="17"/>
        <v>0</v>
      </c>
      <c r="AX30" s="43">
        <f t="shared" si="18"/>
        <v>0</v>
      </c>
      <c r="AY30" s="58" t="s">
        <v>851</v>
      </c>
      <c r="AZ30" s="58">
        <v>4488307</v>
      </c>
      <c r="BA30" s="58"/>
      <c r="BB30" s="58"/>
      <c r="BC30" s="48"/>
      <c r="BD30" s="48"/>
      <c r="BE30" s="48"/>
      <c r="BF30" s="48"/>
      <c r="BG30" s="48"/>
      <c r="BH30" s="48"/>
      <c r="BI30" s="48"/>
      <c r="BJ30" s="48"/>
      <c r="BK30" s="48"/>
      <c r="BL30" s="48"/>
      <c r="BM30" s="48"/>
      <c r="BN30" s="48"/>
      <c r="BO30" s="48"/>
      <c r="BP30" s="48"/>
      <c r="BQ30" s="48"/>
      <c r="BR30" s="48"/>
      <c r="BS30" s="48"/>
    </row>
    <row r="31" spans="1:71" ht="12.75" hidden="1" customHeight="1">
      <c r="A31" s="85">
        <v>27</v>
      </c>
      <c r="B31" s="86">
        <v>5024</v>
      </c>
      <c r="C31" s="29">
        <v>151</v>
      </c>
      <c r="D31" s="122">
        <v>79262614</v>
      </c>
      <c r="E31" s="18" t="str">
        <f>IF(D31&gt;0,VLOOKUP(D31,'PLANTA PERNO'!A:D,4,0)&amp;" "&amp;VLOOKUP(D31,'PLANTA PERNO'!A:D,2,0)&amp;" "&amp;VLOOKUP(D31,'PLANTA PERNO'!A:D,3,0),IF(O31="","VACANTE DEFINITIVA","VACANTE TEMPORAL"))</f>
        <v>OSCAR  ERNESTO LOPEZ ACUÃ‘A</v>
      </c>
      <c r="F31" s="20" t="s">
        <v>49</v>
      </c>
      <c r="G31" s="20" t="str">
        <f t="shared" si="0"/>
        <v>CARRERA ADMINISTRATIVA</v>
      </c>
      <c r="H31" s="33">
        <f t="shared" si="1"/>
        <v>42585</v>
      </c>
      <c r="I31" s="33">
        <f t="shared" si="2"/>
        <v>35906</v>
      </c>
      <c r="J31" s="31" t="str">
        <f t="shared" si="3"/>
        <v>HOMBRE</v>
      </c>
      <c r="K31" s="21">
        <f t="shared" ca="1" si="4"/>
        <v>63</v>
      </c>
      <c r="L31" s="21">
        <f t="shared" ca="1" si="5"/>
        <v>10</v>
      </c>
      <c r="M31" s="21" t="str">
        <f t="shared" si="6"/>
        <v/>
      </c>
      <c r="N31" s="21" t="str">
        <f t="shared" si="7"/>
        <v>EN PROPIEDAD</v>
      </c>
      <c r="O31" s="21">
        <v>79262614</v>
      </c>
      <c r="P31" s="18" t="str">
        <f>IF(O31="","VACANTE DEFINITIVA",(VLOOKUP(O31,'PLANTA PERNO'!A:D,4,0)&amp;" "&amp;VLOOKUP(O31,'PLANTA PERNO'!A:D,2,0)&amp;" "&amp;VLOOKUP(O31,'PLANTA PERNO'!A:D,3,0)))</f>
        <v>OSCAR  ERNESTO LOPEZ ACUÃ‘A</v>
      </c>
      <c r="Q31" s="21"/>
      <c r="R31" s="21"/>
      <c r="S31" s="21"/>
      <c r="T31" s="21"/>
      <c r="U31" s="21"/>
      <c r="V31" s="21"/>
      <c r="W31" s="38"/>
      <c r="X31" s="128"/>
      <c r="Y31" s="21" t="str">
        <f t="shared" si="8"/>
        <v>OCUPADO</v>
      </c>
      <c r="Z31" s="23" t="s">
        <v>27</v>
      </c>
      <c r="AA31" s="24" t="s">
        <v>146</v>
      </c>
      <c r="AB31" s="25">
        <v>407</v>
      </c>
      <c r="AC31" s="27">
        <v>14</v>
      </c>
      <c r="AD31" s="28" t="str">
        <f t="shared" si="9"/>
        <v>407-14</v>
      </c>
      <c r="AE31" s="24" t="s">
        <v>147</v>
      </c>
      <c r="AF31" s="24" t="s">
        <v>147</v>
      </c>
      <c r="AG31" s="24" t="s">
        <v>530</v>
      </c>
      <c r="AH31" s="24" t="s">
        <v>531</v>
      </c>
      <c r="AI31" s="24" t="s">
        <v>36</v>
      </c>
      <c r="AJ31" s="24" t="s">
        <v>532</v>
      </c>
      <c r="AK31" s="93">
        <v>3115015.0300000003</v>
      </c>
      <c r="AL31" s="93">
        <v>0</v>
      </c>
      <c r="AM31" s="93">
        <f t="shared" si="11"/>
        <v>218051</v>
      </c>
      <c r="AN31" s="93">
        <f>IFERROR(INT(($AK31*(VLOOKUP($D31,'PORCENTAJES FACTORES'!B:N,12,0))/100)),0)</f>
        <v>0</v>
      </c>
      <c r="AO31" s="93">
        <f t="shared" si="12"/>
        <v>0</v>
      </c>
      <c r="AP31" s="93">
        <f t="shared" si="13"/>
        <v>249095</v>
      </c>
      <c r="AQ31" s="93">
        <f t="shared" si="14"/>
        <v>0</v>
      </c>
      <c r="AR31" s="95">
        <f t="shared" si="15"/>
        <v>3582161.0300000003</v>
      </c>
      <c r="AS31" s="96"/>
      <c r="AT31" s="97"/>
      <c r="AU31" s="43">
        <f t="shared" si="16"/>
        <v>3333066.0821000007</v>
      </c>
      <c r="AV31" s="58"/>
      <c r="AW31" s="43">
        <f t="shared" si="17"/>
        <v>0</v>
      </c>
      <c r="AX31" s="43">
        <f t="shared" si="18"/>
        <v>0</v>
      </c>
      <c r="AY31" s="58" t="s">
        <v>895</v>
      </c>
      <c r="AZ31" s="58">
        <v>4577031</v>
      </c>
      <c r="BA31" s="58"/>
      <c r="BB31" s="58"/>
      <c r="BC31" s="48"/>
      <c r="BD31" s="48"/>
      <c r="BE31" s="48"/>
      <c r="BF31" s="48"/>
      <c r="BG31" s="48"/>
      <c r="BH31" s="48"/>
      <c r="BI31" s="48"/>
      <c r="BJ31" s="48"/>
      <c r="BK31" s="48"/>
      <c r="BL31" s="48"/>
      <c r="BM31" s="48"/>
      <c r="BN31" s="48"/>
      <c r="BO31" s="48"/>
      <c r="BP31" s="48"/>
      <c r="BQ31" s="48"/>
      <c r="BR31" s="48"/>
      <c r="BS31" s="48"/>
    </row>
    <row r="32" spans="1:71" ht="12.75" hidden="1" customHeight="1">
      <c r="A32" s="85">
        <v>28</v>
      </c>
      <c r="B32" s="86">
        <v>5025</v>
      </c>
      <c r="C32" s="29">
        <v>152</v>
      </c>
      <c r="D32" s="122">
        <v>52115141</v>
      </c>
      <c r="E32" s="18" t="str">
        <f>IF(D32&gt;0,VLOOKUP(D32,'PLANTA PERNO'!A:D,4,0)&amp;" "&amp;VLOOKUP(D32,'PLANTA PERNO'!A:D,2,0)&amp;" "&amp;VLOOKUP(D32,'PLANTA PERNO'!A:D,3,0),IF(O32="","VACANTE DEFINITIVA","VACANTE TEMPORAL"))</f>
        <v>OMAIRA ALONSO BERNAL</v>
      </c>
      <c r="F32" s="20" t="s">
        <v>24</v>
      </c>
      <c r="G32" s="20" t="str">
        <f t="shared" si="0"/>
        <v>EN PROVISIONALIDAD</v>
      </c>
      <c r="H32" s="33">
        <f t="shared" si="1"/>
        <v>42863</v>
      </c>
      <c r="I32" s="33">
        <f t="shared" si="2"/>
        <v>42730</v>
      </c>
      <c r="J32" s="31" t="str">
        <f t="shared" si="3"/>
        <v>MUJER</v>
      </c>
      <c r="K32" s="21">
        <f t="shared" ca="1" si="4"/>
        <v>53</v>
      </c>
      <c r="L32" s="21">
        <f t="shared" ca="1" si="5"/>
        <v>9</v>
      </c>
      <c r="M32" s="21" t="str">
        <f t="shared" si="6"/>
        <v>PROVISIONALIDAD</v>
      </c>
      <c r="N32" s="21" t="str">
        <f t="shared" si="7"/>
        <v>EN ENCARGO</v>
      </c>
      <c r="O32" s="21">
        <v>51882380</v>
      </c>
      <c r="P32" s="18" t="str">
        <f>IF(O32="","VACANTE DEFINITIVA",(VLOOKUP(O32,'PLANTA PERNO'!A:D,4,0)&amp;" "&amp;VLOOKUP(O32,'PLANTA PERNO'!A:D,2,0)&amp;" "&amp;VLOOKUP(O32,'PLANTA PERNO'!A:D,3,0)))</f>
        <v>CARMEN ALICIA FORERO FORERO</v>
      </c>
      <c r="Q32" s="21" t="s">
        <v>340</v>
      </c>
      <c r="R32" s="21">
        <v>3</v>
      </c>
      <c r="S32" s="21" t="s">
        <v>166</v>
      </c>
      <c r="T32" s="21"/>
      <c r="U32" s="21"/>
      <c r="V32" s="21"/>
      <c r="W32" s="38"/>
      <c r="X32" s="128"/>
      <c r="Y32" s="21" t="str">
        <f t="shared" si="8"/>
        <v>OCUPADO</v>
      </c>
      <c r="Z32" s="23" t="s">
        <v>27</v>
      </c>
      <c r="AA32" s="24" t="s">
        <v>146</v>
      </c>
      <c r="AB32" s="25">
        <v>407</v>
      </c>
      <c r="AC32" s="27">
        <v>13</v>
      </c>
      <c r="AD32" s="28" t="str">
        <f t="shared" si="9"/>
        <v>407-13</v>
      </c>
      <c r="AE32" s="24" t="s">
        <v>174</v>
      </c>
      <c r="AF32" s="24" t="s">
        <v>174</v>
      </c>
      <c r="AG32" s="24" t="s">
        <v>573</v>
      </c>
      <c r="AH32" s="24" t="s">
        <v>576</v>
      </c>
      <c r="AI32" s="24" t="s">
        <v>36</v>
      </c>
      <c r="AJ32" s="24" t="s">
        <v>577</v>
      </c>
      <c r="AK32" s="93">
        <v>3017225.5900000003</v>
      </c>
      <c r="AL32" s="93">
        <v>0</v>
      </c>
      <c r="AM32" s="93">
        <f t="shared" si="11"/>
        <v>90516</v>
      </c>
      <c r="AN32" s="93">
        <f>IFERROR(INT(($AK32*(VLOOKUP($D32,'PORCENTAJES FACTORES'!B:N,12,0))/100)),0)</f>
        <v>0</v>
      </c>
      <c r="AO32" s="93">
        <f t="shared" si="12"/>
        <v>0</v>
      </c>
      <c r="AP32" s="93">
        <f t="shared" si="13"/>
        <v>249095</v>
      </c>
      <c r="AQ32" s="93">
        <f t="shared" si="14"/>
        <v>98931</v>
      </c>
      <c r="AR32" s="95">
        <f t="shared" si="15"/>
        <v>3455767.5900000003</v>
      </c>
      <c r="AS32" s="96"/>
      <c r="AT32" s="97"/>
      <c r="AU32" s="43">
        <f t="shared" si="16"/>
        <v>3228431.3813000005</v>
      </c>
      <c r="AV32" s="58"/>
      <c r="AW32" s="43">
        <f t="shared" si="17"/>
        <v>0</v>
      </c>
      <c r="AX32" s="43">
        <f t="shared" si="18"/>
        <v>0</v>
      </c>
      <c r="AY32" s="58" t="s">
        <v>945</v>
      </c>
      <c r="AZ32" s="58">
        <v>4615827</v>
      </c>
      <c r="BA32" s="58"/>
      <c r="BB32" s="58"/>
      <c r="BC32" s="48"/>
      <c r="BD32" s="48"/>
      <c r="BE32" s="48"/>
      <c r="BF32" s="48"/>
      <c r="BG32" s="48"/>
      <c r="BH32" s="48"/>
      <c r="BI32" s="48"/>
      <c r="BJ32" s="48"/>
      <c r="BK32" s="48"/>
      <c r="BL32" s="48"/>
      <c r="BM32" s="48"/>
      <c r="BN32" s="48"/>
      <c r="BO32" s="48"/>
      <c r="BP32" s="48"/>
      <c r="BQ32" s="48"/>
      <c r="BR32" s="48"/>
      <c r="BS32" s="48"/>
    </row>
    <row r="33" spans="1:71" ht="12.75" hidden="1" customHeight="1">
      <c r="A33" s="85">
        <v>29</v>
      </c>
      <c r="B33" s="86">
        <v>5026</v>
      </c>
      <c r="C33" s="29">
        <v>156</v>
      </c>
      <c r="D33" s="122">
        <v>7690438</v>
      </c>
      <c r="E33" s="18" t="str">
        <f>IF(D33&gt;0,VLOOKUP(D33,'PLANTA PERNO'!A:D,4,0)&amp;" "&amp;VLOOKUP(D33,'PLANTA PERNO'!A:D,2,0)&amp;" "&amp;VLOOKUP(D33,'PLANTA PERNO'!A:D,3,0),IF(O33="","VACANTE DEFINITIVA","VACANTE TEMPORAL"))</f>
        <v>WILSON RAMON HURTADO TORRES</v>
      </c>
      <c r="F33" s="20" t="s">
        <v>24</v>
      </c>
      <c r="G33" s="20" t="str">
        <f t="shared" si="0"/>
        <v>EN PROVISIONALIDAD</v>
      </c>
      <c r="H33" s="33">
        <f t="shared" si="1"/>
        <v>43866</v>
      </c>
      <c r="I33" s="33">
        <f t="shared" si="2"/>
        <v>43866</v>
      </c>
      <c r="J33" s="31" t="str">
        <f t="shared" si="3"/>
        <v>HOMBRE</v>
      </c>
      <c r="K33" s="21">
        <f t="shared" ca="1" si="4"/>
        <v>54</v>
      </c>
      <c r="L33" s="21">
        <f t="shared" ca="1" si="5"/>
        <v>6</v>
      </c>
      <c r="M33" s="21" t="str">
        <f t="shared" si="6"/>
        <v>PROVISIONALIDAD</v>
      </c>
      <c r="N33" s="21" t="str">
        <f>IF(P33="VACANTE DEFINITIVA","VACANTE DEFINITIVA",IF(AND(P33&lt;&gt;"VACANTE DEFINITVA",S33="CM"),"EN COMISIÓN EN EMPLEO DE L.N.R. O DE PERIODO",IF(AND(P33&lt;&gt;"VACANTE DEFINITVA",T33="PP"),"PERIODO DE PRUEBA EN OTRA ENTIDAD",IF(AND(P33&lt;&gt;"VACANTE DEFINITVA",U33="LM"),"VT LICENCIA MATERNIDAD",IF(AND(P33&lt;&gt;"VACANTE DEFINITIVA",R33&gt;0,V33=""),"EN ENCARGO",IF(AND(D33&lt;&gt;"",V33="LNR"),"LICENCIA NO REMUNERADA","EN PROPIEDAD"))))))</f>
        <v>VACANTE DEFINITIVA</v>
      </c>
      <c r="O33" s="21" t="s">
        <v>25</v>
      </c>
      <c r="P33" s="18" t="str">
        <f>IF(O33="","VACANTE DEFINITIVA",(VLOOKUP(O33,'PLANTA PERNO'!A:D,4,0)&amp;" "&amp;VLOOKUP(O33,'PLANTA PERNO'!A:D,2,0)&amp;" "&amp;VLOOKUP(O33,'PLANTA PERNO'!A:D,3,0)))</f>
        <v>VACANTE DEFINITIVA</v>
      </c>
      <c r="Q33" s="21"/>
      <c r="R33" s="21"/>
      <c r="S33" s="21" t="s">
        <v>166</v>
      </c>
      <c r="T33" s="21"/>
      <c r="U33" s="21"/>
      <c r="V33" s="21"/>
      <c r="W33" s="38"/>
      <c r="X33" s="123">
        <v>203191</v>
      </c>
      <c r="Y33" s="21" t="str">
        <f t="shared" si="8"/>
        <v>OCUPADO</v>
      </c>
      <c r="Z33" s="23" t="s">
        <v>27</v>
      </c>
      <c r="AA33" s="24" t="s">
        <v>223</v>
      </c>
      <c r="AB33" s="25">
        <v>480</v>
      </c>
      <c r="AC33" s="27">
        <v>13</v>
      </c>
      <c r="AD33" s="28" t="str">
        <f t="shared" si="9"/>
        <v>480-13</v>
      </c>
      <c r="AE33" s="24" t="s">
        <v>147</v>
      </c>
      <c r="AF33" s="24" t="s">
        <v>147</v>
      </c>
      <c r="AG33" s="24" t="s">
        <v>618</v>
      </c>
      <c r="AH33" s="24" t="s">
        <v>620</v>
      </c>
      <c r="AI33" s="24" t="s">
        <v>621</v>
      </c>
      <c r="AJ33" s="24" t="s">
        <v>622</v>
      </c>
      <c r="AK33" s="93">
        <v>3017225.5900000003</v>
      </c>
      <c r="AL33" s="93">
        <v>0</v>
      </c>
      <c r="AM33" s="93">
        <f t="shared" si="11"/>
        <v>90516</v>
      </c>
      <c r="AN33" s="93">
        <f>IFERROR(INT(($AK33*(VLOOKUP($D33,'PORCENTAJES FACTORES'!B:N,12,0))/100)),0)</f>
        <v>0</v>
      </c>
      <c r="AO33" s="93">
        <f t="shared" si="12"/>
        <v>0</v>
      </c>
      <c r="AP33" s="93">
        <f t="shared" si="13"/>
        <v>249095</v>
      </c>
      <c r="AQ33" s="93">
        <f t="shared" si="14"/>
        <v>98931</v>
      </c>
      <c r="AR33" s="95">
        <f t="shared" si="15"/>
        <v>3455767.5900000003</v>
      </c>
      <c r="AS33" s="96"/>
      <c r="AT33" s="97"/>
      <c r="AU33" s="43">
        <f t="shared" si="16"/>
        <v>3228431.3813000005</v>
      </c>
      <c r="AV33" s="58"/>
      <c r="AW33" s="43">
        <f t="shared" si="17"/>
        <v>0</v>
      </c>
      <c r="AX33" s="43">
        <f t="shared" si="18"/>
        <v>0</v>
      </c>
      <c r="AY33" s="58" t="s">
        <v>984</v>
      </c>
      <c r="AZ33" s="58">
        <v>4845349</v>
      </c>
      <c r="BA33" s="58"/>
      <c r="BB33" s="58"/>
      <c r="BC33" s="48"/>
      <c r="BD33" s="48"/>
      <c r="BE33" s="48"/>
      <c r="BF33" s="48"/>
      <c r="BG33" s="48"/>
      <c r="BH33" s="48"/>
      <c r="BI33" s="48"/>
      <c r="BJ33" s="48"/>
      <c r="BK33" s="48"/>
      <c r="BL33" s="48"/>
      <c r="BM33" s="48"/>
      <c r="BN33" s="48"/>
      <c r="BO33" s="48"/>
      <c r="BP33" s="48"/>
      <c r="BQ33" s="48"/>
      <c r="BR33" s="48"/>
      <c r="BS33" s="48"/>
    </row>
    <row r="34" spans="1:71" ht="12.75" hidden="1" customHeight="1">
      <c r="A34" s="85">
        <v>30</v>
      </c>
      <c r="B34" s="86">
        <v>5028</v>
      </c>
      <c r="C34" s="29">
        <v>158</v>
      </c>
      <c r="D34" s="122">
        <v>79769334</v>
      </c>
      <c r="E34" s="18" t="str">
        <f>IF(D34&gt;0,VLOOKUP(D34,'PLANTA PERNO'!A:D,4,0)&amp;" "&amp;VLOOKUP(D34,'PLANTA PERNO'!A:D,2,0)&amp;" "&amp;VLOOKUP(D34,'PLANTA PERNO'!A:D,3,0),IF(O34="","VACANTE DEFINITIVA","VACANTE TEMPORAL"))</f>
        <v xml:space="preserve">JAUMI MANFRED MARROQUIN </v>
      </c>
      <c r="F34" s="20" t="s">
        <v>49</v>
      </c>
      <c r="G34" s="20" t="str">
        <f t="shared" si="0"/>
        <v>CARRERA ADMINISTRATIVA</v>
      </c>
      <c r="H34" s="33">
        <f t="shared" si="1"/>
        <v>44166</v>
      </c>
      <c r="I34" s="33">
        <f t="shared" si="2"/>
        <v>44166</v>
      </c>
      <c r="J34" s="31" t="str">
        <f t="shared" si="3"/>
        <v>HOMBRE</v>
      </c>
      <c r="K34" s="21">
        <f t="shared" ca="1" si="4"/>
        <v>49</v>
      </c>
      <c r="L34" s="21">
        <f t="shared" ca="1" si="5"/>
        <v>5</v>
      </c>
      <c r="M34" s="21" t="str">
        <f t="shared" si="6"/>
        <v/>
      </c>
      <c r="N34" s="21" t="str">
        <f t="shared" ref="N34:N174" si="20">IF(P34="VACANTE DEFINITIVA","VACANTE DEFINITIVA",IF(AND(P34&lt;&gt;"VACANTE DEFINITVA",S34="CM"),"EN COMISIÓN EN EMPLEO DE L.N.R. O DE PERIODO",IF(AND(P34&lt;&gt;"VACANTE DEFINITVA",T34="PP"),"PERIODO DE PRUEBA EN OTRA ENTIDAD",IF(AND(P34&lt;&gt;"VACANTE DEFINITVA",U34="LM"),"VT LICENCIA MATERNIDAD",IF(AND(P34&lt;&gt;"VACANTE DEFINITIVA",R34&gt;0,V34=""),"EN ENCARGO",IF(AND(E34&lt;&gt;"",V34="LNR"),"LICENCIA NO REMUNERADA","EN PROPIEDAD"))))))</f>
        <v>EN PROPIEDAD</v>
      </c>
      <c r="O34" s="21">
        <v>79769334</v>
      </c>
      <c r="P34" s="18" t="str">
        <f>IF(O34="","VACANTE DEFINITIVA",(VLOOKUP(O34,'PLANTA PERNO'!A:D,4,0)&amp;" "&amp;VLOOKUP(O34,'PLANTA PERNO'!A:D,2,0)&amp;" "&amp;VLOOKUP(O34,'PLANTA PERNO'!A:D,3,0)))</f>
        <v xml:space="preserve">JAUMI MANFRED MARROQUIN </v>
      </c>
      <c r="Q34" s="21"/>
      <c r="R34" s="21"/>
      <c r="S34" s="21"/>
      <c r="T34" s="21"/>
      <c r="U34" s="21"/>
      <c r="V34" s="21"/>
      <c r="W34" s="130">
        <v>66193</v>
      </c>
      <c r="X34" s="128"/>
      <c r="Y34" s="21" t="str">
        <f t="shared" si="8"/>
        <v>OCUPADO</v>
      </c>
      <c r="Z34" s="23" t="s">
        <v>27</v>
      </c>
      <c r="AA34" s="24" t="s">
        <v>223</v>
      </c>
      <c r="AB34" s="25">
        <v>480</v>
      </c>
      <c r="AC34" s="27">
        <v>13</v>
      </c>
      <c r="AD34" s="28" t="str">
        <f t="shared" si="9"/>
        <v>480-13</v>
      </c>
      <c r="AE34" s="24" t="s">
        <v>147</v>
      </c>
      <c r="AF34" s="24" t="s">
        <v>147</v>
      </c>
      <c r="AG34" s="24" t="s">
        <v>649</v>
      </c>
      <c r="AH34" s="24" t="s">
        <v>620</v>
      </c>
      <c r="AI34" s="24" t="s">
        <v>621</v>
      </c>
      <c r="AJ34" s="24" t="s">
        <v>622</v>
      </c>
      <c r="AK34" s="93">
        <v>3017225.5900000003</v>
      </c>
      <c r="AL34" s="93">
        <v>0</v>
      </c>
      <c r="AM34" s="93">
        <f t="shared" si="11"/>
        <v>90516</v>
      </c>
      <c r="AN34" s="93">
        <f>IFERROR(INT(($AK34*(VLOOKUP($D34,'PORCENTAJES FACTORES'!B:N,12,0))/100)),0)</f>
        <v>0</v>
      </c>
      <c r="AO34" s="93">
        <f t="shared" si="12"/>
        <v>0</v>
      </c>
      <c r="AP34" s="93">
        <f t="shared" si="13"/>
        <v>249095</v>
      </c>
      <c r="AQ34" s="93">
        <f t="shared" si="14"/>
        <v>98931</v>
      </c>
      <c r="AR34" s="95">
        <f t="shared" si="15"/>
        <v>3455767.5900000003</v>
      </c>
      <c r="AS34" s="96"/>
      <c r="AT34" s="97"/>
      <c r="AU34" s="43">
        <f t="shared" si="16"/>
        <v>3228431.3813000005</v>
      </c>
      <c r="AV34" s="58"/>
      <c r="AW34" s="43">
        <f t="shared" si="17"/>
        <v>0</v>
      </c>
      <c r="AX34" s="43">
        <f t="shared" si="18"/>
        <v>0</v>
      </c>
      <c r="AY34" s="58" t="s">
        <v>1054</v>
      </c>
      <c r="AZ34" s="58">
        <v>4985625</v>
      </c>
      <c r="BA34" s="58"/>
      <c r="BB34" s="58"/>
      <c r="BC34" s="48"/>
      <c r="BD34" s="48"/>
      <c r="BE34" s="48"/>
      <c r="BF34" s="48"/>
      <c r="BG34" s="48"/>
      <c r="BH34" s="48"/>
      <c r="BI34" s="48"/>
      <c r="BJ34" s="48"/>
      <c r="BK34" s="48"/>
      <c r="BL34" s="48"/>
      <c r="BM34" s="48"/>
      <c r="BN34" s="48"/>
      <c r="BO34" s="48"/>
      <c r="BP34" s="48"/>
      <c r="BQ34" s="48"/>
      <c r="BR34" s="48"/>
      <c r="BS34" s="48"/>
    </row>
    <row r="35" spans="1:71" ht="12.75" hidden="1" customHeight="1">
      <c r="A35" s="85">
        <v>31</v>
      </c>
      <c r="B35" s="86">
        <v>5027</v>
      </c>
      <c r="C35" s="29">
        <v>157</v>
      </c>
      <c r="D35" s="122">
        <v>80100027</v>
      </c>
      <c r="E35" s="18" t="str">
        <f>IF(D35&gt;0,VLOOKUP(D35,'PLANTA PERNO'!A:D,4,0)&amp;" "&amp;VLOOKUP(D35,'PLANTA PERNO'!A:D,2,0)&amp;" "&amp;VLOOKUP(D35,'PLANTA PERNO'!A:D,3,0),IF(O35="","VACANTE DEFINITIVA","VACANTE TEMPORAL"))</f>
        <v>EDUARDO ALEJANDRO URREGO BECERRA</v>
      </c>
      <c r="F35" s="20" t="s">
        <v>49</v>
      </c>
      <c r="G35" s="20" t="str">
        <f t="shared" si="0"/>
        <v>CARRERA ADMINISTRATIVA</v>
      </c>
      <c r="H35" s="33">
        <f t="shared" si="1"/>
        <v>44145</v>
      </c>
      <c r="I35" s="33">
        <f t="shared" si="2"/>
        <v>44145</v>
      </c>
      <c r="J35" s="31" t="str">
        <f t="shared" si="3"/>
        <v>HOMBRE</v>
      </c>
      <c r="K35" s="21">
        <f t="shared" ca="1" si="4"/>
        <v>43</v>
      </c>
      <c r="L35" s="21">
        <f t="shared" ca="1" si="5"/>
        <v>5</v>
      </c>
      <c r="M35" s="21" t="str">
        <f t="shared" si="6"/>
        <v/>
      </c>
      <c r="N35" s="21" t="str">
        <f t="shared" si="20"/>
        <v>EN PROPIEDAD</v>
      </c>
      <c r="O35" s="21">
        <v>80100027</v>
      </c>
      <c r="P35" s="18" t="str">
        <f>IF(O35="","VACANTE DEFINITIVA",(VLOOKUP(O35,'PLANTA PERNO'!A:D,4,0)&amp;" "&amp;VLOOKUP(O35,'PLANTA PERNO'!A:D,2,0)&amp;" "&amp;VLOOKUP(O35,'PLANTA PERNO'!A:D,3,0)))</f>
        <v>EDUARDO ALEJANDRO URREGO BECERRA</v>
      </c>
      <c r="Q35" s="21"/>
      <c r="R35" s="21"/>
      <c r="S35" s="21"/>
      <c r="T35" s="21"/>
      <c r="U35" s="21"/>
      <c r="V35" s="21"/>
      <c r="W35" s="130">
        <v>66193</v>
      </c>
      <c r="X35" s="128"/>
      <c r="Y35" s="21" t="str">
        <f t="shared" si="8"/>
        <v>OCUPADO</v>
      </c>
      <c r="Z35" s="23" t="s">
        <v>27</v>
      </c>
      <c r="AA35" s="24" t="s">
        <v>223</v>
      </c>
      <c r="AB35" s="25">
        <v>480</v>
      </c>
      <c r="AC35" s="27">
        <v>13</v>
      </c>
      <c r="AD35" s="28" t="str">
        <f t="shared" si="9"/>
        <v>480-13</v>
      </c>
      <c r="AE35" s="24" t="s">
        <v>147</v>
      </c>
      <c r="AF35" s="24" t="s">
        <v>147</v>
      </c>
      <c r="AG35" s="24" t="s">
        <v>618</v>
      </c>
      <c r="AH35" s="24" t="s">
        <v>620</v>
      </c>
      <c r="AI35" s="24" t="s">
        <v>621</v>
      </c>
      <c r="AJ35" s="24" t="s">
        <v>622</v>
      </c>
      <c r="AK35" s="93">
        <v>3017225.5900000003</v>
      </c>
      <c r="AL35" s="93">
        <v>0</v>
      </c>
      <c r="AM35" s="93">
        <f t="shared" si="11"/>
        <v>90516</v>
      </c>
      <c r="AN35" s="93">
        <f>IFERROR(INT(($AK35*(VLOOKUP($D35,'PORCENTAJES FACTORES'!B:N,12,0))/100)),0)</f>
        <v>0</v>
      </c>
      <c r="AO35" s="93">
        <f t="shared" si="12"/>
        <v>0</v>
      </c>
      <c r="AP35" s="93">
        <f t="shared" si="13"/>
        <v>249095</v>
      </c>
      <c r="AQ35" s="93">
        <f t="shared" si="14"/>
        <v>98931</v>
      </c>
      <c r="AR35" s="95">
        <f t="shared" si="15"/>
        <v>3455767.5900000003</v>
      </c>
      <c r="AS35" s="96"/>
      <c r="AT35" s="97"/>
      <c r="AU35" s="43">
        <f t="shared" si="16"/>
        <v>3228431.3813000005</v>
      </c>
      <c r="AV35" s="58"/>
      <c r="AW35" s="43">
        <f t="shared" si="17"/>
        <v>0</v>
      </c>
      <c r="AX35" s="43">
        <f t="shared" si="18"/>
        <v>0</v>
      </c>
      <c r="AY35" s="58" t="s">
        <v>1110</v>
      </c>
      <c r="AZ35" s="58">
        <v>5113175</v>
      </c>
      <c r="BA35" s="58"/>
      <c r="BB35" s="58"/>
      <c r="BC35" s="48"/>
      <c r="BD35" s="48"/>
      <c r="BE35" s="48"/>
      <c r="BF35" s="48"/>
      <c r="BG35" s="48"/>
      <c r="BH35" s="48"/>
      <c r="BI35" s="48"/>
      <c r="BJ35" s="48"/>
      <c r="BK35" s="48"/>
      <c r="BL35" s="48"/>
      <c r="BM35" s="48"/>
      <c r="BN35" s="48"/>
      <c r="BO35" s="48"/>
      <c r="BP35" s="48"/>
      <c r="BQ35" s="48"/>
      <c r="BR35" s="48"/>
      <c r="BS35" s="48"/>
    </row>
    <row r="36" spans="1:71" ht="12.75" hidden="1" customHeight="1">
      <c r="A36" s="85">
        <v>32</v>
      </c>
      <c r="B36" s="86">
        <v>5030</v>
      </c>
      <c r="C36" s="29">
        <v>153</v>
      </c>
      <c r="D36" s="122">
        <v>52124597</v>
      </c>
      <c r="E36" s="18" t="str">
        <f>IF(D36&gt;0,VLOOKUP(D36,'PLANTA PERNO'!A:D,4,0)&amp;" "&amp;VLOOKUP(D36,'PLANTA PERNO'!A:D,2,0)&amp;" "&amp;VLOOKUP(D36,'PLANTA PERNO'!A:D,3,0),IF(O36="","VACANTE DEFINITIVA","VACANTE TEMPORAL"))</f>
        <v>BETTY ESPERANZA MONTAÃ‘A MORA</v>
      </c>
      <c r="F36" s="20" t="s">
        <v>49</v>
      </c>
      <c r="G36" s="20" t="str">
        <f t="shared" si="0"/>
        <v>EN ENCARGO</v>
      </c>
      <c r="H36" s="33">
        <f t="shared" si="1"/>
        <v>42585</v>
      </c>
      <c r="I36" s="33">
        <f t="shared" si="2"/>
        <v>35403</v>
      </c>
      <c r="J36" s="31" t="str">
        <f t="shared" si="3"/>
        <v>MUJER</v>
      </c>
      <c r="K36" s="21">
        <f t="shared" ca="1" si="4"/>
        <v>52</v>
      </c>
      <c r="L36" s="21">
        <f t="shared" ca="1" si="5"/>
        <v>10</v>
      </c>
      <c r="M36" s="21" t="str">
        <f t="shared" si="6"/>
        <v>ENCARGO</v>
      </c>
      <c r="N36" s="21" t="str">
        <f t="shared" si="20"/>
        <v>EN ENCARGO</v>
      </c>
      <c r="O36" s="21">
        <v>79468462</v>
      </c>
      <c r="P36" s="18" t="str">
        <f>IF(O36="","VACANTE DEFINITIVA",(VLOOKUP(O36,'PLANTA PERNO'!A:D,4,0)&amp;" "&amp;VLOOKUP(O36,'PLANTA PERNO'!A:D,2,0)&amp;" "&amp;VLOOKUP(O36,'PLANTA PERNO'!A:D,3,0)))</f>
        <v>EDGAR ANDRES GARCIA GARAVITO</v>
      </c>
      <c r="Q36" s="21" t="s">
        <v>256</v>
      </c>
      <c r="R36" s="21">
        <v>3</v>
      </c>
      <c r="S36" s="21"/>
      <c r="T36" s="21"/>
      <c r="U36" s="21"/>
      <c r="V36" s="21"/>
      <c r="W36" s="38"/>
      <c r="X36" s="128"/>
      <c r="Y36" s="21" t="str">
        <f t="shared" si="8"/>
        <v>OCUPADO</v>
      </c>
      <c r="Z36" s="23" t="s">
        <v>27</v>
      </c>
      <c r="AA36" s="24" t="s">
        <v>146</v>
      </c>
      <c r="AB36" s="25">
        <v>407</v>
      </c>
      <c r="AC36" s="27">
        <v>11</v>
      </c>
      <c r="AD36" s="28" t="str">
        <f t="shared" si="9"/>
        <v>407-11</v>
      </c>
      <c r="AE36" s="24" t="s">
        <v>147</v>
      </c>
      <c r="AF36" s="24" t="s">
        <v>147</v>
      </c>
      <c r="AG36" s="24" t="s">
        <v>715</v>
      </c>
      <c r="AH36" s="24" t="s">
        <v>716</v>
      </c>
      <c r="AI36" s="24" t="s">
        <v>36</v>
      </c>
      <c r="AJ36" s="24" t="s">
        <v>718</v>
      </c>
      <c r="AK36" s="93">
        <v>2804648.69</v>
      </c>
      <c r="AL36" s="93">
        <v>0</v>
      </c>
      <c r="AM36" s="93">
        <f t="shared" si="11"/>
        <v>196325</v>
      </c>
      <c r="AN36" s="93">
        <f>IFERROR(INT(($AK36*(VLOOKUP($D36,'PORCENTAJES FACTORES'!B:N,12,0))/100)),0)</f>
        <v>0</v>
      </c>
      <c r="AO36" s="93">
        <f t="shared" si="12"/>
        <v>0</v>
      </c>
      <c r="AP36" s="93">
        <f t="shared" si="13"/>
        <v>249095</v>
      </c>
      <c r="AQ36" s="93">
        <f t="shared" si="14"/>
        <v>98931</v>
      </c>
      <c r="AR36" s="95">
        <f t="shared" si="15"/>
        <v>3348999.69</v>
      </c>
      <c r="AS36" s="96"/>
      <c r="AT36" s="97"/>
      <c r="AU36" s="43">
        <f t="shared" si="16"/>
        <v>3000974.0983000002</v>
      </c>
      <c r="AV36" s="58"/>
      <c r="AW36" s="43">
        <f t="shared" si="17"/>
        <v>0</v>
      </c>
      <c r="AX36" s="43">
        <f t="shared" si="18"/>
        <v>0</v>
      </c>
      <c r="AY36" s="58" t="s">
        <v>1147</v>
      </c>
      <c r="AZ36" s="58">
        <v>5393667</v>
      </c>
      <c r="BA36" s="58"/>
      <c r="BB36" s="58"/>
      <c r="BC36" s="48"/>
      <c r="BD36" s="48"/>
      <c r="BE36" s="48"/>
      <c r="BF36" s="48"/>
      <c r="BG36" s="48"/>
      <c r="BH36" s="48"/>
      <c r="BI36" s="48"/>
      <c r="BJ36" s="48"/>
      <c r="BK36" s="48"/>
      <c r="BL36" s="48"/>
      <c r="BM36" s="48"/>
      <c r="BN36" s="48"/>
      <c r="BO36" s="48"/>
      <c r="BP36" s="48"/>
      <c r="BQ36" s="48"/>
      <c r="BR36" s="48"/>
      <c r="BS36" s="48"/>
    </row>
    <row r="37" spans="1:71" ht="12" hidden="1" customHeight="1">
      <c r="A37" s="85">
        <v>33</v>
      </c>
      <c r="B37" s="86">
        <v>5029</v>
      </c>
      <c r="C37" s="29">
        <v>154</v>
      </c>
      <c r="D37" s="122">
        <v>1023894175</v>
      </c>
      <c r="E37" s="18" t="str">
        <f>IF(D37&gt;0,VLOOKUP(D37,'PLANTA PERNO'!A:D,4,0)&amp;" "&amp;VLOOKUP(D37,'PLANTA PERNO'!A:D,2,0)&amp;" "&amp;VLOOKUP(D37,'PLANTA PERNO'!A:D,3,0),IF(O37="","VACANTE DEFINITIVA","VACANTE TEMPORAL"))</f>
        <v>HEIDY LORENA ROMERO TORRES</v>
      </c>
      <c r="F37" s="20" t="s">
        <v>24</v>
      </c>
      <c r="G37" s="20" t="str">
        <f t="shared" si="0"/>
        <v>EN PROVISIONALIDAD</v>
      </c>
      <c r="H37" s="33">
        <f t="shared" ref="H37:H68" si="21">IFERROR(VLOOKUP($D37,PLANTA_PERNO,16,0)," ")</f>
        <v>44736</v>
      </c>
      <c r="I37" s="33">
        <f t="shared" ref="I37:I68" si="22">IFERROR(VLOOKUP($D37,PLANTA_PERNO,17,0),"")</f>
        <v>44736</v>
      </c>
      <c r="J37" s="31" t="str">
        <f t="shared" ref="J37:J68" si="23">IF(IFERROR((VLOOKUP($D37,PLANTA_PERNO,9,0)),"")="F","MUJER",IF(IFERROR((VLOOKUP($D37,PLANTA_PERNO,9,0)),"")="M","HOMBRE",""))</f>
        <v>MUJER</v>
      </c>
      <c r="K37" s="21">
        <f t="shared" ref="K37:K68" ca="1" si="24">IFERROR(DATEDIF((VLOOKUP($D37,PLANTA_PERNO,6,0)),$K$3,"Y"),"")</f>
        <v>36</v>
      </c>
      <c r="L37" s="21">
        <f t="shared" ca="1" si="5"/>
        <v>4</v>
      </c>
      <c r="M37" s="21" t="str">
        <f t="shared" si="6"/>
        <v>PROVISIONALIDAD</v>
      </c>
      <c r="N37" s="21" t="str">
        <f t="shared" si="20"/>
        <v>VACANTE DEFINITIVA</v>
      </c>
      <c r="O37" s="21" t="s">
        <v>25</v>
      </c>
      <c r="P37" s="18" t="str">
        <f>IF(O37="","VACANTE DEFINITIVA",(VLOOKUP(O37,'PLANTA PERNO'!A:D,4,0)&amp;" "&amp;VLOOKUP(O37,'PLANTA PERNO'!A:D,2,0)&amp;" "&amp;VLOOKUP(O37,'PLANTA PERNO'!A:D,3,0)))</f>
        <v>VACANTE DEFINITIVA</v>
      </c>
      <c r="Q37" s="21"/>
      <c r="R37" s="21"/>
      <c r="S37" s="21" t="s">
        <v>166</v>
      </c>
      <c r="T37" s="21"/>
      <c r="U37" s="21"/>
      <c r="V37" s="21"/>
      <c r="W37" s="38"/>
      <c r="X37" s="123">
        <v>209337</v>
      </c>
      <c r="Y37" s="21" t="str">
        <f t="shared" si="8"/>
        <v>OCUPADO</v>
      </c>
      <c r="Z37" s="23" t="s">
        <v>27</v>
      </c>
      <c r="AA37" s="24" t="s">
        <v>146</v>
      </c>
      <c r="AB37" s="25">
        <v>407</v>
      </c>
      <c r="AC37" s="27">
        <v>11</v>
      </c>
      <c r="AD37" s="28" t="str">
        <f t="shared" si="9"/>
        <v>407-11</v>
      </c>
      <c r="AE37" s="24" t="s">
        <v>147</v>
      </c>
      <c r="AF37" s="24" t="s">
        <v>147</v>
      </c>
      <c r="AG37" s="24" t="s">
        <v>715</v>
      </c>
      <c r="AH37" s="24" t="s">
        <v>716</v>
      </c>
      <c r="AI37" s="24" t="s">
        <v>36</v>
      </c>
      <c r="AJ37" s="24" t="s">
        <v>718</v>
      </c>
      <c r="AK37" s="93">
        <v>2804648.69</v>
      </c>
      <c r="AL37" s="93">
        <v>0</v>
      </c>
      <c r="AM37" s="93">
        <f t="shared" ref="AM37:AM68" si="25">IFERROR(INT(($AK37*(VLOOKUP($D37,BASE_PORCENTAJES,10,0))/100)),0)</f>
        <v>0</v>
      </c>
      <c r="AN37" s="93">
        <f>IFERROR(INT(($AK37*(VLOOKUP($D37,'PORCENTAJES FACTORES'!B:N,12,0))/100)),0)</f>
        <v>0</v>
      </c>
      <c r="AO37" s="93">
        <f t="shared" ref="AO37:AO68" si="26">IFERROR(INT(($AK37*(VLOOKUP($D37,BASE_PORCENTAJES,13,0))/100)),0)</f>
        <v>0</v>
      </c>
      <c r="AP37" s="93">
        <f t="shared" si="13"/>
        <v>249095</v>
      </c>
      <c r="AQ37" s="93">
        <f t="shared" si="14"/>
        <v>98931</v>
      </c>
      <c r="AR37" s="95">
        <f t="shared" si="15"/>
        <v>3152674.69</v>
      </c>
      <c r="AS37" s="96"/>
      <c r="AT37" s="97"/>
      <c r="AU37" s="43">
        <f t="shared" si="16"/>
        <v>3000974.0983000002</v>
      </c>
      <c r="AV37" s="58"/>
      <c r="AW37" s="43">
        <f t="shared" si="17"/>
        <v>0</v>
      </c>
      <c r="AX37" s="43">
        <f t="shared" si="18"/>
        <v>0</v>
      </c>
      <c r="AY37" s="58" t="s">
        <v>1165</v>
      </c>
      <c r="AZ37" s="58">
        <v>5393012</v>
      </c>
      <c r="BA37" s="58"/>
      <c r="BB37" s="58"/>
      <c r="BC37" s="48"/>
      <c r="BD37" s="48"/>
      <c r="BE37" s="48"/>
      <c r="BF37" s="48"/>
      <c r="BG37" s="48"/>
      <c r="BH37" s="48"/>
      <c r="BI37" s="48"/>
      <c r="BJ37" s="48"/>
      <c r="BK37" s="48"/>
      <c r="BL37" s="48"/>
      <c r="BM37" s="48"/>
      <c r="BN37" s="48"/>
      <c r="BO37" s="48"/>
      <c r="BP37" s="48"/>
      <c r="BQ37" s="48"/>
      <c r="BR37" s="48"/>
      <c r="BS37" s="48"/>
    </row>
    <row r="38" spans="1:71" ht="12.75" hidden="1" customHeight="1">
      <c r="A38" s="85">
        <v>34</v>
      </c>
      <c r="B38" s="86">
        <v>5031</v>
      </c>
      <c r="C38" s="29">
        <v>160</v>
      </c>
      <c r="D38" s="122">
        <v>1030548160</v>
      </c>
      <c r="E38" s="18" t="str">
        <f>IF(D38&gt;0,VLOOKUP(D38,'PLANTA PERNO'!A:D,4,0)&amp;" "&amp;VLOOKUP(D38,'PLANTA PERNO'!A:D,2,0)&amp;" "&amp;VLOOKUP(D38,'PLANTA PERNO'!A:D,3,0),IF(O38="","VACANTE DEFINITIVA","VACANTE TEMPORAL"))</f>
        <v>FREDY ESTEBAN JAIMES CASTILLO</v>
      </c>
      <c r="F38" s="20" t="s">
        <v>24</v>
      </c>
      <c r="G38" s="20" t="str">
        <f t="shared" si="0"/>
        <v>EN PROVISIONALIDAD</v>
      </c>
      <c r="H38" s="33">
        <f t="shared" si="21"/>
        <v>45968</v>
      </c>
      <c r="I38" s="33">
        <f t="shared" si="22"/>
        <v>45968</v>
      </c>
      <c r="J38" s="31" t="str">
        <f t="shared" si="23"/>
        <v>HOMBRE</v>
      </c>
      <c r="K38" s="21">
        <f t="shared" ca="1" si="24"/>
        <v>38</v>
      </c>
      <c r="L38" s="21">
        <f t="shared" ca="1" si="5"/>
        <v>0</v>
      </c>
      <c r="M38" s="21" t="str">
        <f t="shared" si="6"/>
        <v>PROVISIONALIDAD</v>
      </c>
      <c r="N38" s="21" t="str">
        <f t="shared" si="20"/>
        <v>VACANTE DEFINITIVA</v>
      </c>
      <c r="O38" s="21"/>
      <c r="P38" s="18" t="str">
        <f>IF(O38="","VACANTE DEFINITIVA",(VLOOKUP(O38,'PLANTA PERNO'!A:D,4,0)&amp;" "&amp;VLOOKUP(O38,'PLANTA PERNO'!A:D,2,0)&amp;" "&amp;VLOOKUP(O38,'PLANTA PERNO'!A:D,3,0)))</f>
        <v>VACANTE DEFINITIVA</v>
      </c>
      <c r="Q38" s="21"/>
      <c r="R38" s="21"/>
      <c r="S38" s="21" t="s">
        <v>166</v>
      </c>
      <c r="T38" s="21"/>
      <c r="U38" s="21"/>
      <c r="V38" s="21"/>
      <c r="W38" s="130">
        <v>66196</v>
      </c>
      <c r="X38" s="128"/>
      <c r="Y38" s="21" t="str">
        <f t="shared" si="8"/>
        <v>OCUPADO</v>
      </c>
      <c r="Z38" s="23" t="s">
        <v>27</v>
      </c>
      <c r="AA38" s="24" t="s">
        <v>29</v>
      </c>
      <c r="AB38" s="34">
        <v>440</v>
      </c>
      <c r="AC38" s="35">
        <v>11</v>
      </c>
      <c r="AD38" s="28" t="str">
        <f t="shared" si="9"/>
        <v>440-11</v>
      </c>
      <c r="AE38" s="24" t="s">
        <v>32</v>
      </c>
      <c r="AF38" s="24" t="s">
        <v>32</v>
      </c>
      <c r="AG38" s="24" t="s">
        <v>854</v>
      </c>
      <c r="AH38" s="24" t="s">
        <v>855</v>
      </c>
      <c r="AI38" s="24" t="s">
        <v>36</v>
      </c>
      <c r="AJ38" s="24" t="s">
        <v>718</v>
      </c>
      <c r="AK38" s="93">
        <v>2804648.69</v>
      </c>
      <c r="AL38" s="93">
        <v>0</v>
      </c>
      <c r="AM38" s="93">
        <f t="shared" si="25"/>
        <v>0</v>
      </c>
      <c r="AN38" s="93">
        <f>IFERROR(INT(($AK38*(VLOOKUP($D38,'PORCENTAJES FACTORES'!B:N,12,0))/100)),0)</f>
        <v>0</v>
      </c>
      <c r="AO38" s="93">
        <f t="shared" si="26"/>
        <v>0</v>
      </c>
      <c r="AP38" s="93">
        <f t="shared" si="13"/>
        <v>249095</v>
      </c>
      <c r="AQ38" s="93">
        <f t="shared" si="14"/>
        <v>98931</v>
      </c>
      <c r="AR38" s="95">
        <f t="shared" si="15"/>
        <v>3152674.69</v>
      </c>
      <c r="AS38" s="96"/>
      <c r="AT38" s="97"/>
      <c r="AU38" s="43">
        <f t="shared" si="16"/>
        <v>3000974.0983000002</v>
      </c>
      <c r="AV38" s="58"/>
      <c r="AW38" s="43">
        <f t="shared" si="17"/>
        <v>0</v>
      </c>
      <c r="AX38" s="43">
        <f t="shared" si="18"/>
        <v>0</v>
      </c>
      <c r="AY38" s="58" t="s">
        <v>1191</v>
      </c>
      <c r="AZ38" s="58">
        <v>5451978</v>
      </c>
      <c r="BA38" s="58"/>
      <c r="BB38" s="58"/>
      <c r="BC38" s="48"/>
      <c r="BD38" s="48"/>
      <c r="BE38" s="48"/>
      <c r="BF38" s="48"/>
      <c r="BG38" s="48"/>
      <c r="BH38" s="48"/>
      <c r="BI38" s="48"/>
      <c r="BJ38" s="48"/>
      <c r="BK38" s="48"/>
      <c r="BL38" s="48"/>
      <c r="BM38" s="48"/>
      <c r="BN38" s="48"/>
      <c r="BO38" s="48"/>
      <c r="BP38" s="48"/>
      <c r="BQ38" s="48"/>
      <c r="BR38" s="48"/>
      <c r="BS38" s="48"/>
    </row>
    <row r="39" spans="1:71" ht="12.75" hidden="1" customHeight="1">
      <c r="A39" s="85">
        <v>35</v>
      </c>
      <c r="B39" s="86">
        <v>5032</v>
      </c>
      <c r="C39" s="29">
        <v>161</v>
      </c>
      <c r="D39" s="122">
        <v>1033718483</v>
      </c>
      <c r="E39" s="18" t="str">
        <f>IF(D39&gt;0,VLOOKUP(D39,'PLANTA PERNO'!A:D,4,0)&amp;" "&amp;VLOOKUP(D39,'PLANTA PERNO'!A:D,2,0)&amp;" "&amp;VLOOKUP(D39,'PLANTA PERNO'!A:D,3,0),IF(O39="","VACANTE DEFINITIVA","VACANTE TEMPORAL"))</f>
        <v>ANYELA PAOLA PULIDO GUTIERREZ</v>
      </c>
      <c r="F39" s="20" t="s">
        <v>24</v>
      </c>
      <c r="G39" s="20" t="str">
        <f t="shared" si="0"/>
        <v>EN PROVISIONALIDAD</v>
      </c>
      <c r="H39" s="33">
        <f t="shared" si="21"/>
        <v>45287</v>
      </c>
      <c r="I39" s="33">
        <f t="shared" si="22"/>
        <v>45287</v>
      </c>
      <c r="J39" s="31" t="str">
        <f t="shared" si="23"/>
        <v>MUJER</v>
      </c>
      <c r="K39" s="21">
        <f t="shared" ca="1" si="24"/>
        <v>36</v>
      </c>
      <c r="L39" s="21">
        <f t="shared" ca="1" si="5"/>
        <v>2</v>
      </c>
      <c r="M39" s="21" t="str">
        <f t="shared" si="6"/>
        <v>PROVISIONALIDAD</v>
      </c>
      <c r="N39" s="21" t="str">
        <f t="shared" si="20"/>
        <v>EN ENCARGO</v>
      </c>
      <c r="O39" s="21">
        <v>39773518</v>
      </c>
      <c r="P39" s="18" t="str">
        <f>IF(O39="","VACANTE DEFINITIVA",(VLOOKUP(O39,'PLANTA PERNO'!A:D,4,0)&amp;" "&amp;VLOOKUP(O39,'PLANTA PERNO'!A:D,2,0)&amp;" "&amp;VLOOKUP(O39,'PLANTA PERNO'!A:D,3,0)))</f>
        <v>MARIA CRISTINA VANEGAS LARGO</v>
      </c>
      <c r="Q39" s="21" t="s">
        <v>369</v>
      </c>
      <c r="R39" s="21">
        <v>4</v>
      </c>
      <c r="S39" s="21" t="s">
        <v>166</v>
      </c>
      <c r="T39" s="21"/>
      <c r="U39" s="21"/>
      <c r="V39" s="21"/>
      <c r="W39" s="38"/>
      <c r="X39" s="128"/>
      <c r="Y39" s="21" t="str">
        <f t="shared" si="8"/>
        <v>OCUPADO</v>
      </c>
      <c r="Z39" s="23" t="s">
        <v>27</v>
      </c>
      <c r="AA39" s="24" t="s">
        <v>29</v>
      </c>
      <c r="AB39" s="25">
        <v>440</v>
      </c>
      <c r="AC39" s="27">
        <v>9</v>
      </c>
      <c r="AD39" s="28" t="str">
        <f t="shared" si="9"/>
        <v>440-9</v>
      </c>
      <c r="AE39" s="24" t="s">
        <v>138</v>
      </c>
      <c r="AF39" s="63" t="s">
        <v>138</v>
      </c>
      <c r="AG39" s="24" t="s">
        <v>34</v>
      </c>
      <c r="AH39" s="24" t="s">
        <v>35</v>
      </c>
      <c r="AI39" s="24" t="s">
        <v>36</v>
      </c>
      <c r="AJ39" s="24" t="s">
        <v>37</v>
      </c>
      <c r="AK39" s="93">
        <v>2675558.54</v>
      </c>
      <c r="AL39" s="93">
        <v>0</v>
      </c>
      <c r="AM39" s="93">
        <f t="shared" si="25"/>
        <v>0</v>
      </c>
      <c r="AN39" s="93">
        <f>IFERROR(INT(($AK39*(VLOOKUP($D39,'PORCENTAJES FACTORES'!B:N,12,0))/100)),0)</f>
        <v>0</v>
      </c>
      <c r="AO39" s="93">
        <f t="shared" si="26"/>
        <v>53511</v>
      </c>
      <c r="AP39" s="93">
        <f t="shared" si="13"/>
        <v>249095</v>
      </c>
      <c r="AQ39" s="93">
        <f t="shared" si="14"/>
        <v>98931</v>
      </c>
      <c r="AR39" s="95">
        <f t="shared" si="15"/>
        <v>3077095.54</v>
      </c>
      <c r="AS39" s="96"/>
      <c r="AT39" s="97"/>
      <c r="AU39" s="43">
        <f t="shared" si="16"/>
        <v>2862847.6378000001</v>
      </c>
      <c r="AV39" s="58"/>
      <c r="AW39" s="43">
        <f t="shared" si="17"/>
        <v>0</v>
      </c>
      <c r="AX39" s="43">
        <f t="shared" si="18"/>
        <v>0</v>
      </c>
      <c r="AY39" s="58" t="s">
        <v>1203</v>
      </c>
      <c r="AZ39" s="58">
        <v>5486008</v>
      </c>
      <c r="BA39" s="58"/>
      <c r="BB39" s="58"/>
      <c r="BC39" s="48"/>
      <c r="BD39" s="48"/>
      <c r="BE39" s="48"/>
      <c r="BF39" s="48"/>
      <c r="BG39" s="48"/>
      <c r="BH39" s="48"/>
      <c r="BI39" s="48"/>
      <c r="BJ39" s="48"/>
      <c r="BK39" s="48"/>
      <c r="BL39" s="48"/>
      <c r="BM39" s="48"/>
      <c r="BN39" s="48"/>
      <c r="BO39" s="48"/>
      <c r="BP39" s="48"/>
      <c r="BQ39" s="48"/>
      <c r="BR39" s="48"/>
      <c r="BS39" s="48"/>
    </row>
    <row r="40" spans="1:71" ht="12.75" hidden="1" customHeight="1">
      <c r="A40" s="85">
        <v>36</v>
      </c>
      <c r="B40" s="86">
        <v>5033</v>
      </c>
      <c r="C40" s="29">
        <v>162</v>
      </c>
      <c r="D40" s="122">
        <v>1030597508</v>
      </c>
      <c r="E40" s="18" t="str">
        <f>IF(D40&gt;0,VLOOKUP(D40,'PLANTA PERNO'!A:D,4,0)&amp;" "&amp;VLOOKUP(D40,'PLANTA PERNO'!A:D,2,0)&amp;" "&amp;VLOOKUP(D40,'PLANTA PERNO'!A:D,3,0),IF(O40="","VACANTE DEFINITIVA","VACANTE TEMPORAL"))</f>
        <v>DORA RAQUEL BARRERA PALACIO</v>
      </c>
      <c r="F40" s="20" t="s">
        <v>24</v>
      </c>
      <c r="G40" s="20" t="str">
        <f t="shared" si="0"/>
        <v>EN PROVISIONALIDAD</v>
      </c>
      <c r="H40" s="33">
        <f t="shared" si="21"/>
        <v>45848</v>
      </c>
      <c r="I40" s="33">
        <f t="shared" si="22"/>
        <v>45848</v>
      </c>
      <c r="J40" s="31" t="str">
        <f t="shared" si="23"/>
        <v>MUJER</v>
      </c>
      <c r="K40" s="21">
        <f t="shared" ca="1" si="24"/>
        <v>35</v>
      </c>
      <c r="L40" s="21">
        <f t="shared" ca="1" si="5"/>
        <v>1</v>
      </c>
      <c r="M40" s="21" t="str">
        <f t="shared" si="6"/>
        <v>PROVISIONALIDAD</v>
      </c>
      <c r="N40" s="21" t="str">
        <f t="shared" si="20"/>
        <v>EN ENCARGO</v>
      </c>
      <c r="O40" s="21">
        <v>80188856</v>
      </c>
      <c r="P40" s="18" t="str">
        <f>IF(O40="","VACANTE DEFINITIVA",(VLOOKUP(O40,'PLANTA PERNO'!A:D,4,0)&amp;" "&amp;VLOOKUP(O40,'PLANTA PERNO'!A:D,2,0)&amp;" "&amp;VLOOKUP(O40,'PLANTA PERNO'!A:D,3,0)))</f>
        <v>OMAR ANDRES ORTIZ PAEZ</v>
      </c>
      <c r="Q40" s="21" t="s">
        <v>333</v>
      </c>
      <c r="R40" s="21">
        <v>6</v>
      </c>
      <c r="S40" s="21" t="s">
        <v>166</v>
      </c>
      <c r="T40" s="21"/>
      <c r="U40" s="21"/>
      <c r="V40" s="21"/>
      <c r="W40" s="130">
        <v>66195</v>
      </c>
      <c r="X40" s="128"/>
      <c r="Y40" s="21" t="str">
        <f t="shared" si="8"/>
        <v>OCUPADO</v>
      </c>
      <c r="Z40" s="23" t="s">
        <v>27</v>
      </c>
      <c r="AA40" s="24" t="s">
        <v>29</v>
      </c>
      <c r="AB40" s="25">
        <v>440</v>
      </c>
      <c r="AC40" s="27">
        <v>9</v>
      </c>
      <c r="AD40" s="28" t="str">
        <f t="shared" si="9"/>
        <v>440-9</v>
      </c>
      <c r="AE40" s="24" t="s">
        <v>147</v>
      </c>
      <c r="AF40" s="24" t="s">
        <v>147</v>
      </c>
      <c r="AG40" s="24" t="s">
        <v>965</v>
      </c>
      <c r="AH40" s="24" t="s">
        <v>966</v>
      </c>
      <c r="AI40" s="24" t="s">
        <v>36</v>
      </c>
      <c r="AJ40" s="24" t="s">
        <v>37</v>
      </c>
      <c r="AK40" s="93">
        <v>2675558.54</v>
      </c>
      <c r="AL40" s="93">
        <v>0</v>
      </c>
      <c r="AM40" s="93">
        <f t="shared" si="25"/>
        <v>0</v>
      </c>
      <c r="AN40" s="93">
        <f>IFERROR(INT(($AK40*(VLOOKUP($D40,'PORCENTAJES FACTORES'!B:N,12,0))/100)),0)</f>
        <v>0</v>
      </c>
      <c r="AO40" s="93">
        <f t="shared" si="26"/>
        <v>53511</v>
      </c>
      <c r="AP40" s="93">
        <f t="shared" si="13"/>
        <v>249095</v>
      </c>
      <c r="AQ40" s="93">
        <f t="shared" si="14"/>
        <v>98931</v>
      </c>
      <c r="AR40" s="95">
        <f t="shared" si="15"/>
        <v>3077095.54</v>
      </c>
      <c r="AS40" s="96"/>
      <c r="AT40" s="97"/>
      <c r="AU40" s="43">
        <f t="shared" si="16"/>
        <v>2862847.6378000001</v>
      </c>
      <c r="AV40" s="58"/>
      <c r="AW40" s="43">
        <f t="shared" si="17"/>
        <v>0</v>
      </c>
      <c r="AX40" s="43">
        <f t="shared" si="18"/>
        <v>0</v>
      </c>
      <c r="AY40" s="58" t="s">
        <v>1223</v>
      </c>
      <c r="AZ40" s="58">
        <v>5561911</v>
      </c>
      <c r="BA40" s="58"/>
      <c r="BB40" s="58"/>
      <c r="BC40" s="48"/>
      <c r="BD40" s="48"/>
      <c r="BE40" s="48"/>
      <c r="BF40" s="48"/>
      <c r="BG40" s="48"/>
      <c r="BH40" s="48"/>
      <c r="BI40" s="48"/>
      <c r="BJ40" s="48"/>
      <c r="BK40" s="48"/>
      <c r="BL40" s="48"/>
      <c r="BM40" s="48"/>
      <c r="BN40" s="48"/>
      <c r="BO40" s="48"/>
      <c r="BP40" s="48"/>
      <c r="BQ40" s="48"/>
      <c r="BR40" s="48"/>
      <c r="BS40" s="48"/>
    </row>
    <row r="41" spans="1:71" ht="12.75" customHeight="1">
      <c r="A41" s="85">
        <v>37</v>
      </c>
      <c r="B41" s="86">
        <v>5034</v>
      </c>
      <c r="C41" s="29">
        <v>163</v>
      </c>
      <c r="D41" s="122"/>
      <c r="E41" s="18" t="str">
        <f>IF(D41&gt;0,VLOOKUP(D41,'PLANTA PERNO'!A:D,4,0)&amp;" "&amp;VLOOKUP(D41,'PLANTA PERNO'!A:D,2,0)&amp;" "&amp;VLOOKUP(D41,'PLANTA PERNO'!A:D,3,0),IF(O41="","VACANTE DEFINITIVA","VACANTE TEMPORAL"))</f>
        <v>VACANTE TEMPORAL</v>
      </c>
      <c r="F41" s="20"/>
      <c r="G41" s="20" t="str">
        <f t="shared" si="0"/>
        <v>VACANTE TEMPORAL</v>
      </c>
      <c r="H41" s="33" t="str">
        <f t="shared" si="21"/>
        <v xml:space="preserve"> </v>
      </c>
      <c r="I41" s="33" t="str">
        <f t="shared" si="22"/>
        <v/>
      </c>
      <c r="J41" s="31" t="str">
        <f t="shared" si="23"/>
        <v/>
      </c>
      <c r="K41" s="21" t="str">
        <f t="shared" ca="1" si="24"/>
        <v/>
      </c>
      <c r="L41" s="21" t="str">
        <f t="shared" ca="1" si="5"/>
        <v/>
      </c>
      <c r="M41" s="21" t="str">
        <f t="shared" si="6"/>
        <v/>
      </c>
      <c r="N41" s="21" t="str">
        <f t="shared" si="20"/>
        <v>EN ENCARGO</v>
      </c>
      <c r="O41" s="21">
        <v>1072493406</v>
      </c>
      <c r="P41" s="18" t="str">
        <f>IF(O41="","VACANTE DEFINITIVA",(VLOOKUP(O41,'PLANTA PERNO'!A:D,4,0)&amp;" "&amp;VLOOKUP(O41,'PLANTA PERNO'!A:D,2,0)&amp;" "&amp;VLOOKUP(O41,'PLANTA PERNO'!A:D,3,0)))</f>
        <v>DANIEL FERNANDO BUITRAGO DIAZ</v>
      </c>
      <c r="Q41" s="21" t="s">
        <v>323</v>
      </c>
      <c r="R41" s="21">
        <v>5</v>
      </c>
      <c r="S41" s="21" t="s">
        <v>166</v>
      </c>
      <c r="T41" s="21"/>
      <c r="U41" s="21"/>
      <c r="V41" s="21"/>
      <c r="W41" s="130">
        <v>66195</v>
      </c>
      <c r="X41" s="128"/>
      <c r="Y41" s="21" t="str">
        <f t="shared" si="8"/>
        <v>VACANTE TEMPORAL</v>
      </c>
      <c r="Z41" s="23" t="s">
        <v>27</v>
      </c>
      <c r="AA41" s="24" t="s">
        <v>29</v>
      </c>
      <c r="AB41" s="25">
        <v>440</v>
      </c>
      <c r="AC41" s="27">
        <v>9</v>
      </c>
      <c r="AD41" s="28" t="str">
        <f t="shared" si="9"/>
        <v>440-9</v>
      </c>
      <c r="AE41" s="24" t="s">
        <v>213</v>
      </c>
      <c r="AF41" s="24" t="s">
        <v>213</v>
      </c>
      <c r="AG41" s="24" t="s">
        <v>965</v>
      </c>
      <c r="AH41" s="24" t="s">
        <v>966</v>
      </c>
      <c r="AI41" s="24" t="s">
        <v>36</v>
      </c>
      <c r="AJ41" s="24" t="s">
        <v>37</v>
      </c>
      <c r="AK41" s="93">
        <v>2675558.54</v>
      </c>
      <c r="AL41" s="93">
        <v>0</v>
      </c>
      <c r="AM41" s="93">
        <f t="shared" si="25"/>
        <v>0</v>
      </c>
      <c r="AN41" s="93">
        <f>IFERROR(INT(($AK41*(VLOOKUP($D41,'PORCENTAJES FACTORES'!B:N,12,0))/100)),0)</f>
        <v>0</v>
      </c>
      <c r="AO41" s="93">
        <f t="shared" si="26"/>
        <v>0</v>
      </c>
      <c r="AP41" s="93">
        <f t="shared" si="13"/>
        <v>249095</v>
      </c>
      <c r="AQ41" s="93">
        <f t="shared" si="14"/>
        <v>98931</v>
      </c>
      <c r="AR41" s="95">
        <f t="shared" si="15"/>
        <v>3023584.54</v>
      </c>
      <c r="AS41" s="96"/>
      <c r="AT41" s="97"/>
      <c r="AU41" s="43">
        <f t="shared" si="16"/>
        <v>2862847.6378000001</v>
      </c>
      <c r="AV41" s="58"/>
      <c r="AW41" s="43">
        <f t="shared" si="17"/>
        <v>0</v>
      </c>
      <c r="AX41" s="43">
        <f t="shared" si="18"/>
        <v>0</v>
      </c>
      <c r="AY41" s="58" t="s">
        <v>1245</v>
      </c>
      <c r="AZ41" s="58">
        <v>5849450</v>
      </c>
      <c r="BA41" s="58"/>
      <c r="BB41" s="58"/>
      <c r="BC41" s="48"/>
      <c r="BD41" s="48"/>
      <c r="BE41" s="48"/>
      <c r="BF41" s="48"/>
      <c r="BG41" s="48"/>
      <c r="BH41" s="48"/>
      <c r="BI41" s="48"/>
      <c r="BJ41" s="48"/>
      <c r="BK41" s="48"/>
      <c r="BL41" s="48"/>
      <c r="BM41" s="48"/>
      <c r="BN41" s="48"/>
      <c r="BO41" s="48"/>
      <c r="BP41" s="48"/>
      <c r="BQ41" s="48"/>
      <c r="BR41" s="48"/>
      <c r="BS41" s="48"/>
    </row>
    <row r="42" spans="1:71" ht="12.75" hidden="1" customHeight="1">
      <c r="A42" s="85">
        <v>38</v>
      </c>
      <c r="B42" s="86">
        <v>5035</v>
      </c>
      <c r="C42" s="29">
        <v>155</v>
      </c>
      <c r="D42" s="122">
        <v>1000774068</v>
      </c>
      <c r="E42" s="18" t="str">
        <f>IF(D42&gt;0,VLOOKUP(D42,'PLANTA PERNO'!A:D,4,0)&amp;" "&amp;VLOOKUP(D42,'PLANTA PERNO'!A:D,2,0)&amp;" "&amp;VLOOKUP(D42,'PLANTA PERNO'!A:D,3,0),IF(O42="","VACANTE DEFINITIVA","VACANTE TEMPORAL"))</f>
        <v>ESTEFANIA ORTEGA CESPEDES</v>
      </c>
      <c r="F42" s="20" t="s">
        <v>24</v>
      </c>
      <c r="G42" s="20" t="str">
        <f t="shared" si="0"/>
        <v>EN PROVISIONALIDAD</v>
      </c>
      <c r="H42" s="33">
        <f t="shared" si="21"/>
        <v>44998</v>
      </c>
      <c r="I42" s="33">
        <f t="shared" si="22"/>
        <v>44998</v>
      </c>
      <c r="J42" s="31" t="str">
        <f t="shared" si="23"/>
        <v>MUJER</v>
      </c>
      <c r="K42" s="21">
        <f t="shared" ca="1" si="24"/>
        <v>25</v>
      </c>
      <c r="L42" s="21">
        <f t="shared" ca="1" si="5"/>
        <v>3</v>
      </c>
      <c r="M42" s="21" t="str">
        <f t="shared" si="6"/>
        <v>PROVISIONALIDAD</v>
      </c>
      <c r="N42" s="21" t="str">
        <f t="shared" si="20"/>
        <v>EN ENCARGO</v>
      </c>
      <c r="O42" s="21">
        <v>1015409873</v>
      </c>
      <c r="P42" s="18" t="str">
        <f>IF(O42="","VACANTE DEFINITIVA",(VLOOKUP(O42,'PLANTA PERNO'!A:D,4,0)&amp;" "&amp;VLOOKUP(O42,'PLANTA PERNO'!A:D,2,0)&amp;" "&amp;VLOOKUP(O42,'PLANTA PERNO'!A:D,3,0)))</f>
        <v>LIZETH MAYERLY VILLARRAGA ROJAS</v>
      </c>
      <c r="Q42" s="21" t="s">
        <v>1260</v>
      </c>
      <c r="R42" s="21">
        <v>6</v>
      </c>
      <c r="S42" s="21" t="s">
        <v>166</v>
      </c>
      <c r="T42" s="21"/>
      <c r="U42" s="21"/>
      <c r="V42" s="21"/>
      <c r="W42" s="38">
        <v>115503</v>
      </c>
      <c r="X42" s="128"/>
      <c r="Y42" s="21" t="str">
        <f t="shared" si="8"/>
        <v>OCUPADO</v>
      </c>
      <c r="Z42" s="23" t="s">
        <v>27</v>
      </c>
      <c r="AA42" s="24" t="s">
        <v>146</v>
      </c>
      <c r="AB42" s="25">
        <v>407</v>
      </c>
      <c r="AC42" s="27">
        <v>9</v>
      </c>
      <c r="AD42" s="28" t="str">
        <f t="shared" si="9"/>
        <v>407-9</v>
      </c>
      <c r="AE42" s="24" t="s">
        <v>150</v>
      </c>
      <c r="AF42" s="24" t="s">
        <v>150</v>
      </c>
      <c r="AG42" s="24" t="s">
        <v>1069</v>
      </c>
      <c r="AH42" s="24" t="s">
        <v>1071</v>
      </c>
      <c r="AI42" s="24" t="s">
        <v>36</v>
      </c>
      <c r="AJ42" s="24" t="s">
        <v>1074</v>
      </c>
      <c r="AK42" s="93">
        <v>2675558.54</v>
      </c>
      <c r="AL42" s="93">
        <v>0</v>
      </c>
      <c r="AM42" s="93">
        <f t="shared" si="25"/>
        <v>0</v>
      </c>
      <c r="AN42" s="93">
        <f>IFERROR(INT(($AK42*(VLOOKUP($D42,'PORCENTAJES FACTORES'!B:N,12,0))/100)),0)</f>
        <v>0</v>
      </c>
      <c r="AO42" s="93">
        <f t="shared" si="26"/>
        <v>0</v>
      </c>
      <c r="AP42" s="93">
        <f t="shared" si="13"/>
        <v>249095</v>
      </c>
      <c r="AQ42" s="93">
        <f t="shared" si="14"/>
        <v>98931</v>
      </c>
      <c r="AR42" s="95">
        <f t="shared" si="15"/>
        <v>3023584.54</v>
      </c>
      <c r="AS42" s="96"/>
      <c r="AT42" s="97"/>
      <c r="AU42" s="43">
        <f t="shared" si="16"/>
        <v>2862847.6378000001</v>
      </c>
      <c r="AV42" s="58"/>
      <c r="AW42" s="43">
        <f t="shared" si="17"/>
        <v>0</v>
      </c>
      <c r="AX42" s="43">
        <f t="shared" si="18"/>
        <v>0</v>
      </c>
      <c r="AY42" s="58" t="s">
        <v>1265</v>
      </c>
      <c r="AZ42" s="58">
        <v>5986854</v>
      </c>
      <c r="BA42" s="58"/>
      <c r="BB42" s="58"/>
      <c r="BC42" s="48"/>
      <c r="BD42" s="48"/>
      <c r="BE42" s="48"/>
      <c r="BF42" s="48"/>
      <c r="BG42" s="48"/>
      <c r="BH42" s="48"/>
      <c r="BI42" s="48"/>
      <c r="BJ42" s="48"/>
      <c r="BK42" s="48"/>
      <c r="BL42" s="48"/>
      <c r="BM42" s="48"/>
      <c r="BN42" s="48"/>
      <c r="BO42" s="48"/>
      <c r="BP42" s="48"/>
      <c r="BQ42" s="48"/>
      <c r="BR42" s="48"/>
      <c r="BS42" s="48"/>
    </row>
    <row r="43" spans="1:71" ht="12.75" hidden="1" customHeight="1">
      <c r="A43" s="85">
        <v>39</v>
      </c>
      <c r="B43" s="86">
        <v>5036</v>
      </c>
      <c r="C43" s="29">
        <v>164</v>
      </c>
      <c r="D43" s="122">
        <v>33368317</v>
      </c>
      <c r="E43" s="18" t="str">
        <f>IF(D43&gt;0,VLOOKUP(D43,'PLANTA PERNO'!A:D,4,0)&amp;" "&amp;VLOOKUP(D43,'PLANTA PERNO'!A:D,2,0)&amp;" "&amp;VLOOKUP(D43,'PLANTA PERNO'!A:D,3,0),IF(O43="","VACANTE DEFINITIVA","VACANTE TEMPORAL"))</f>
        <v>ZULY NATALIA NANDAR CASTAÃ‘EDA</v>
      </c>
      <c r="F43" s="20" t="s">
        <v>24</v>
      </c>
      <c r="G43" s="20" t="str">
        <f t="shared" si="0"/>
        <v>EN PROVISIONALIDAD</v>
      </c>
      <c r="H43" s="33">
        <f t="shared" si="21"/>
        <v>44774</v>
      </c>
      <c r="I43" s="33">
        <f t="shared" si="22"/>
        <v>44774</v>
      </c>
      <c r="J43" s="31" t="str">
        <f t="shared" si="23"/>
        <v>MUJER</v>
      </c>
      <c r="K43" s="21">
        <f t="shared" ca="1" si="24"/>
        <v>43</v>
      </c>
      <c r="L43" s="21">
        <f t="shared" ca="1" si="5"/>
        <v>4</v>
      </c>
      <c r="M43" s="21" t="str">
        <f t="shared" si="6"/>
        <v>PROVISIONALIDAD</v>
      </c>
      <c r="N43" s="21" t="str">
        <f t="shared" si="20"/>
        <v>VACANTE DEFINITIVA</v>
      </c>
      <c r="O43" s="21" t="s">
        <v>25</v>
      </c>
      <c r="P43" s="18" t="str">
        <f>IF(O43="","VACANTE DEFINITIVA",(VLOOKUP(O43,'PLANTA PERNO'!A:D,4,0)&amp;" "&amp;VLOOKUP(O43,'PLANTA PERNO'!A:D,2,0)&amp;" "&amp;VLOOKUP(O43,'PLANTA PERNO'!A:D,3,0)))</f>
        <v>VACANTE DEFINITIVA</v>
      </c>
      <c r="Q43" s="21"/>
      <c r="R43" s="21"/>
      <c r="S43" s="21" t="s">
        <v>166</v>
      </c>
      <c r="T43" s="21"/>
      <c r="U43" s="21"/>
      <c r="V43" s="21"/>
      <c r="W43" s="38"/>
      <c r="X43" s="128"/>
      <c r="Y43" s="21" t="str">
        <f t="shared" si="8"/>
        <v>OCUPADO</v>
      </c>
      <c r="Z43" s="23" t="s">
        <v>27</v>
      </c>
      <c r="AA43" s="24" t="s">
        <v>29</v>
      </c>
      <c r="AB43" s="25">
        <v>440</v>
      </c>
      <c r="AC43" s="27">
        <v>9</v>
      </c>
      <c r="AD43" s="28" t="str">
        <f t="shared" si="9"/>
        <v>440-9</v>
      </c>
      <c r="AE43" s="24" t="s">
        <v>33</v>
      </c>
      <c r="AF43" s="24" t="s">
        <v>33</v>
      </c>
      <c r="AG43" s="24" t="s">
        <v>34</v>
      </c>
      <c r="AH43" s="24" t="s">
        <v>35</v>
      </c>
      <c r="AI43" s="24" t="s">
        <v>36</v>
      </c>
      <c r="AJ43" s="24" t="s">
        <v>37</v>
      </c>
      <c r="AK43" s="93">
        <v>2675558.54</v>
      </c>
      <c r="AL43" s="93">
        <v>0</v>
      </c>
      <c r="AM43" s="93">
        <f t="shared" si="25"/>
        <v>0</v>
      </c>
      <c r="AN43" s="93">
        <f>IFERROR(INT(($AK43*(VLOOKUP($D43,'PORCENTAJES FACTORES'!B:N,12,0))/100)),0)</f>
        <v>0</v>
      </c>
      <c r="AO43" s="93">
        <f t="shared" si="26"/>
        <v>53511</v>
      </c>
      <c r="AP43" s="93">
        <f t="shared" si="13"/>
        <v>249095</v>
      </c>
      <c r="AQ43" s="93">
        <f t="shared" si="14"/>
        <v>98931</v>
      </c>
      <c r="AR43" s="95">
        <f t="shared" si="15"/>
        <v>3077095.54</v>
      </c>
      <c r="AS43" s="96"/>
      <c r="AT43" s="97"/>
      <c r="AU43" s="43">
        <f t="shared" si="16"/>
        <v>2862847.6378000001</v>
      </c>
      <c r="AV43" s="58"/>
      <c r="AW43" s="43">
        <f t="shared" si="17"/>
        <v>0</v>
      </c>
      <c r="AX43" s="43">
        <f t="shared" si="18"/>
        <v>0</v>
      </c>
      <c r="AY43" s="58" t="s">
        <v>1283</v>
      </c>
      <c r="AZ43" s="58">
        <v>6136849</v>
      </c>
      <c r="BA43" s="58"/>
      <c r="BB43" s="58"/>
      <c r="BC43" s="48"/>
      <c r="BD43" s="48"/>
      <c r="BE43" s="48"/>
      <c r="BF43" s="48"/>
      <c r="BG43" s="48"/>
      <c r="BH43" s="48"/>
      <c r="BI43" s="48"/>
      <c r="BJ43" s="48"/>
      <c r="BK43" s="48"/>
      <c r="BL43" s="48"/>
      <c r="BM43" s="48"/>
      <c r="BN43" s="48"/>
      <c r="BO43" s="48"/>
      <c r="BP43" s="48"/>
      <c r="BQ43" s="48"/>
      <c r="BR43" s="48"/>
      <c r="BS43" s="48"/>
    </row>
    <row r="44" spans="1:71" ht="12.75" hidden="1" customHeight="1">
      <c r="A44" s="85">
        <v>40</v>
      </c>
      <c r="B44" s="86">
        <v>5037</v>
      </c>
      <c r="C44" s="29">
        <v>169</v>
      </c>
      <c r="D44" s="122">
        <v>1075256570</v>
      </c>
      <c r="E44" s="18" t="str">
        <f>IF(D44&gt;0,VLOOKUP(D44,'PLANTA PERNO'!A:D,4,0)&amp;" "&amp;VLOOKUP(D44,'PLANTA PERNO'!A:D,2,0)&amp;" "&amp;VLOOKUP(D44,'PLANTA PERNO'!A:D,3,0),IF(O44="","VACANTE DEFINITIVA","VACANTE TEMPORAL"))</f>
        <v>DURLEY SOTELO HOYOS</v>
      </c>
      <c r="F44" s="20" t="s">
        <v>24</v>
      </c>
      <c r="G44" s="20" t="str">
        <f t="shared" si="0"/>
        <v>EN PROVISIONALIDAD</v>
      </c>
      <c r="H44" s="33">
        <f t="shared" si="21"/>
        <v>44503</v>
      </c>
      <c r="I44" s="33">
        <f t="shared" si="22"/>
        <v>44503</v>
      </c>
      <c r="J44" s="31" t="str">
        <f t="shared" si="23"/>
        <v>MUJER</v>
      </c>
      <c r="K44" s="21">
        <f t="shared" ca="1" si="24"/>
        <v>37</v>
      </c>
      <c r="L44" s="21">
        <f t="shared" ca="1" si="5"/>
        <v>4</v>
      </c>
      <c r="M44" s="21" t="str">
        <f t="shared" si="6"/>
        <v>PROVISIONALIDAD</v>
      </c>
      <c r="N44" s="21" t="str">
        <f t="shared" si="20"/>
        <v>VACANTE DEFINITIVA</v>
      </c>
      <c r="O44" s="21" t="s">
        <v>25</v>
      </c>
      <c r="P44" s="18" t="str">
        <f>IF(O44="","VACANTE DEFINITIVA",(VLOOKUP(O44,'PLANTA PERNO'!A:D,4,0)&amp;" "&amp;VLOOKUP(O44,'PLANTA PERNO'!A:D,2,0)&amp;" "&amp;VLOOKUP(O44,'PLANTA PERNO'!A:D,3,0)))</f>
        <v>VACANTE DEFINITIVA</v>
      </c>
      <c r="Q44" s="21"/>
      <c r="R44" s="21"/>
      <c r="S44" s="21"/>
      <c r="T44" s="21"/>
      <c r="U44" s="21"/>
      <c r="V44" s="21"/>
      <c r="W44" s="38"/>
      <c r="X44" s="128"/>
      <c r="Y44" s="21" t="str">
        <f t="shared" si="8"/>
        <v>OCUPADO</v>
      </c>
      <c r="Z44" s="23" t="s">
        <v>27</v>
      </c>
      <c r="AA44" s="24" t="s">
        <v>813</v>
      </c>
      <c r="AB44" s="25">
        <v>470</v>
      </c>
      <c r="AC44" s="27">
        <v>7</v>
      </c>
      <c r="AD44" s="28" t="str">
        <f t="shared" si="9"/>
        <v>470-7</v>
      </c>
      <c r="AE44" s="24" t="s">
        <v>147</v>
      </c>
      <c r="AF44" s="24" t="s">
        <v>147</v>
      </c>
      <c r="AG44" s="24" t="s">
        <v>1150</v>
      </c>
      <c r="AH44" s="24" t="s">
        <v>1151</v>
      </c>
      <c r="AI44" s="24" t="s">
        <v>36</v>
      </c>
      <c r="AJ44" s="24" t="s">
        <v>1152</v>
      </c>
      <c r="AK44" s="93">
        <v>2623188.46</v>
      </c>
      <c r="AL44" s="93">
        <v>0</v>
      </c>
      <c r="AM44" s="93">
        <f t="shared" si="25"/>
        <v>0</v>
      </c>
      <c r="AN44" s="93">
        <f>IFERROR(INT(($AK44*(VLOOKUP($D44,'PORCENTAJES FACTORES'!B:N,12,0))/100)),0)</f>
        <v>0</v>
      </c>
      <c r="AO44" s="93">
        <f t="shared" si="26"/>
        <v>0</v>
      </c>
      <c r="AP44" s="93">
        <f t="shared" si="13"/>
        <v>249095</v>
      </c>
      <c r="AQ44" s="93">
        <f t="shared" si="14"/>
        <v>98931</v>
      </c>
      <c r="AR44" s="95">
        <f t="shared" si="15"/>
        <v>2971214.46</v>
      </c>
      <c r="AS44" s="96"/>
      <c r="AT44" s="97"/>
      <c r="AU44" s="43">
        <f t="shared" si="16"/>
        <v>2806811.6521999999</v>
      </c>
      <c r="AV44" s="58"/>
      <c r="AW44" s="43">
        <f t="shared" si="17"/>
        <v>0</v>
      </c>
      <c r="AX44" s="43">
        <f t="shared" si="18"/>
        <v>0</v>
      </c>
      <c r="AY44" s="58" t="s">
        <v>1302</v>
      </c>
      <c r="AZ44" s="58">
        <v>6310825</v>
      </c>
      <c r="BA44" s="58"/>
      <c r="BB44" s="58"/>
      <c r="BC44" s="48"/>
      <c r="BD44" s="48"/>
      <c r="BE44" s="48"/>
      <c r="BF44" s="48"/>
      <c r="BG44" s="48"/>
      <c r="BH44" s="48"/>
      <c r="BI44" s="48"/>
      <c r="BJ44" s="48"/>
      <c r="BK44" s="48"/>
      <c r="BL44" s="48"/>
      <c r="BM44" s="48"/>
      <c r="BN44" s="48"/>
      <c r="BO44" s="48"/>
      <c r="BP44" s="48"/>
      <c r="BQ44" s="48"/>
      <c r="BR44" s="48"/>
      <c r="BS44" s="48"/>
    </row>
    <row r="45" spans="1:71" ht="12.75" hidden="1" customHeight="1">
      <c r="A45" s="85">
        <v>41</v>
      </c>
      <c r="B45" s="86">
        <v>5038</v>
      </c>
      <c r="C45" s="29">
        <v>27</v>
      </c>
      <c r="D45" s="122">
        <v>41732503</v>
      </c>
      <c r="E45" s="18" t="str">
        <f>IF(D45&gt;0,VLOOKUP(D45,'PLANTA PERNO'!A:D,4,0)&amp;" "&amp;VLOOKUP(D45,'PLANTA PERNO'!A:D,2,0)&amp;" "&amp;VLOOKUP(D45,'PLANTA PERNO'!A:D,3,0),IF(O45="","VACANTE DEFINITIVA","VACANTE TEMPORAL"))</f>
        <v>GABRIELINA VELASQUEZ CABRERA</v>
      </c>
      <c r="F45" s="20" t="s">
        <v>49</v>
      </c>
      <c r="G45" s="20" t="str">
        <f t="shared" si="0"/>
        <v>CARRERA ADMINISTRATIVA</v>
      </c>
      <c r="H45" s="33">
        <f t="shared" si="21"/>
        <v>42585</v>
      </c>
      <c r="I45" s="33">
        <f t="shared" si="22"/>
        <v>34731</v>
      </c>
      <c r="J45" s="31" t="str">
        <f t="shared" si="23"/>
        <v>MUJER</v>
      </c>
      <c r="K45" s="21">
        <f t="shared" ca="1" si="24"/>
        <v>67</v>
      </c>
      <c r="L45" s="21">
        <f t="shared" ca="1" si="5"/>
        <v>10</v>
      </c>
      <c r="M45" s="21" t="str">
        <f t="shared" si="6"/>
        <v/>
      </c>
      <c r="N45" s="21" t="str">
        <f t="shared" si="20"/>
        <v>EN PROPIEDAD</v>
      </c>
      <c r="O45" s="21">
        <v>41732503</v>
      </c>
      <c r="P45" s="18" t="str">
        <f>IF(O45="","VACANTE DEFINITIVA",(VLOOKUP(O45,'PLANTA PERNO'!A:D,4,0)&amp;" "&amp;VLOOKUP(O45,'PLANTA PERNO'!A:D,2,0)&amp;" "&amp;VLOOKUP(O45,'PLANTA PERNO'!A:D,3,0)))</f>
        <v>GABRIELINA VELASQUEZ CABRERA</v>
      </c>
      <c r="Q45" s="21"/>
      <c r="R45" s="21"/>
      <c r="S45" s="21"/>
      <c r="T45" s="21"/>
      <c r="U45" s="21"/>
      <c r="V45" s="21"/>
      <c r="W45" s="38"/>
      <c r="X45" s="128"/>
      <c r="Y45" s="21" t="str">
        <f t="shared" si="8"/>
        <v>OCUPADO</v>
      </c>
      <c r="Z45" s="23" t="s">
        <v>27</v>
      </c>
      <c r="AA45" s="24" t="s">
        <v>813</v>
      </c>
      <c r="AB45" s="25">
        <v>470</v>
      </c>
      <c r="AC45" s="27">
        <v>7</v>
      </c>
      <c r="AD45" s="28" t="str">
        <f t="shared" si="9"/>
        <v>470-7</v>
      </c>
      <c r="AE45" s="24" t="s">
        <v>147</v>
      </c>
      <c r="AF45" s="24" t="s">
        <v>147</v>
      </c>
      <c r="AG45" s="24" t="s">
        <v>1150</v>
      </c>
      <c r="AH45" s="24" t="s">
        <v>1151</v>
      </c>
      <c r="AI45" s="24" t="s">
        <v>36</v>
      </c>
      <c r="AJ45" s="24" t="s">
        <v>1152</v>
      </c>
      <c r="AK45" s="93">
        <v>2623188.46</v>
      </c>
      <c r="AL45" s="93">
        <v>0</v>
      </c>
      <c r="AM45" s="93">
        <f t="shared" si="25"/>
        <v>183623</v>
      </c>
      <c r="AN45" s="93">
        <f>IFERROR(INT(($AK45*(VLOOKUP($D45,'PORCENTAJES FACTORES'!B:N,12,0))/100)),0)</f>
        <v>0</v>
      </c>
      <c r="AO45" s="93">
        <f t="shared" si="26"/>
        <v>0</v>
      </c>
      <c r="AP45" s="93">
        <f t="shared" si="13"/>
        <v>249095</v>
      </c>
      <c r="AQ45" s="93">
        <f t="shared" si="14"/>
        <v>98931</v>
      </c>
      <c r="AR45" s="95">
        <f t="shared" si="15"/>
        <v>3154837.46</v>
      </c>
      <c r="AS45" s="96"/>
      <c r="AT45" s="97"/>
      <c r="AU45" s="43">
        <f t="shared" si="16"/>
        <v>2806811.6521999999</v>
      </c>
      <c r="AV45" s="58"/>
      <c r="AW45" s="43">
        <f t="shared" si="17"/>
        <v>0</v>
      </c>
      <c r="AX45" s="43">
        <f t="shared" si="18"/>
        <v>0</v>
      </c>
      <c r="AY45" s="58" t="s">
        <v>1329</v>
      </c>
      <c r="AZ45" s="58">
        <v>6345729</v>
      </c>
      <c r="BA45" s="58"/>
      <c r="BB45" s="58"/>
      <c r="BC45" s="48"/>
      <c r="BD45" s="48"/>
      <c r="BE45" s="48"/>
      <c r="BF45" s="48"/>
      <c r="BG45" s="48"/>
      <c r="BH45" s="48"/>
      <c r="BI45" s="48"/>
      <c r="BJ45" s="48"/>
      <c r="BK45" s="48"/>
      <c r="BL45" s="48"/>
      <c r="BM45" s="48"/>
      <c r="BN45" s="48"/>
      <c r="BO45" s="48"/>
      <c r="BP45" s="48"/>
      <c r="BQ45" s="48"/>
      <c r="BR45" s="48"/>
      <c r="BS45" s="48"/>
    </row>
    <row r="46" spans="1:71" ht="12.75" hidden="1" customHeight="1">
      <c r="A46" s="85">
        <v>42</v>
      </c>
      <c r="B46" s="86">
        <v>5039</v>
      </c>
      <c r="C46" s="29">
        <v>170</v>
      </c>
      <c r="D46" s="122"/>
      <c r="E46" s="18" t="str">
        <f>IF(D46&gt;0,VLOOKUP(D46,'PLANTA PERNO'!A:D,4,0)&amp;" "&amp;VLOOKUP(D46,'PLANTA PERNO'!A:D,2,0)&amp;" "&amp;VLOOKUP(D46,'PLANTA PERNO'!A:D,3,0),IF(O46="","VACANTE DEFINITIVA","VACANTE TEMPORAL"))</f>
        <v>VACANTE TEMPORAL</v>
      </c>
      <c r="F46" s="20"/>
      <c r="G46" s="20" t="str">
        <f t="shared" si="0"/>
        <v>VACANTE TEMPORAL</v>
      </c>
      <c r="H46" s="33" t="str">
        <f t="shared" si="21"/>
        <v xml:space="preserve"> </v>
      </c>
      <c r="I46" s="33" t="str">
        <f t="shared" si="22"/>
        <v/>
      </c>
      <c r="J46" s="31" t="str">
        <f t="shared" si="23"/>
        <v/>
      </c>
      <c r="K46" s="21" t="str">
        <f t="shared" ca="1" si="24"/>
        <v/>
      </c>
      <c r="L46" s="21" t="str">
        <f t="shared" ca="1" si="5"/>
        <v/>
      </c>
      <c r="M46" s="21" t="str">
        <f t="shared" si="6"/>
        <v/>
      </c>
      <c r="N46" s="21" t="str">
        <f t="shared" si="20"/>
        <v>EN ENCARGO</v>
      </c>
      <c r="O46" s="21">
        <v>52124597</v>
      </c>
      <c r="P46" s="18" t="str">
        <f>IF(O46="","VACANTE DEFINITIVA",(VLOOKUP(O46,'PLANTA PERNO'!A:D,4,0)&amp;" "&amp;VLOOKUP(O46,'PLANTA PERNO'!A:D,2,0)&amp;" "&amp;VLOOKUP(O46,'PLANTA PERNO'!A:D,3,0)))</f>
        <v>BETTY ESPERANZA MONTAÃ‘A MORA</v>
      </c>
      <c r="Q46" s="21" t="s">
        <v>256</v>
      </c>
      <c r="R46" s="21">
        <v>4</v>
      </c>
      <c r="S46" s="21" t="s">
        <v>166</v>
      </c>
      <c r="T46" s="21"/>
      <c r="U46" s="21"/>
      <c r="V46" s="21"/>
      <c r="W46" s="38"/>
      <c r="X46" s="128"/>
      <c r="Y46" s="21" t="str">
        <f t="shared" si="8"/>
        <v>VACANTE TEMPORAL</v>
      </c>
      <c r="Z46" s="23" t="s">
        <v>27</v>
      </c>
      <c r="AA46" s="24" t="s">
        <v>813</v>
      </c>
      <c r="AB46" s="25">
        <v>470</v>
      </c>
      <c r="AC46" s="27">
        <v>3</v>
      </c>
      <c r="AD46" s="28" t="str">
        <f t="shared" si="9"/>
        <v>470-3</v>
      </c>
      <c r="AE46" s="24" t="s">
        <v>147</v>
      </c>
      <c r="AF46" s="24" t="s">
        <v>147</v>
      </c>
      <c r="AG46" s="24" t="s">
        <v>1150</v>
      </c>
      <c r="AH46" s="24" t="s">
        <v>1174</v>
      </c>
      <c r="AI46" s="24" t="s">
        <v>36</v>
      </c>
      <c r="AJ46" s="24" t="s">
        <v>1175</v>
      </c>
      <c r="AK46" s="93">
        <v>2188250.58</v>
      </c>
      <c r="AL46" s="93">
        <v>0</v>
      </c>
      <c r="AM46" s="93">
        <f t="shared" si="25"/>
        <v>0</v>
      </c>
      <c r="AN46" s="93">
        <f>IFERROR(INT(($AK46*(VLOOKUP($D46,'PORCENTAJES FACTORES'!B:N,12,0))/100)),0)</f>
        <v>0</v>
      </c>
      <c r="AO46" s="93">
        <f t="shared" si="26"/>
        <v>0</v>
      </c>
      <c r="AP46" s="93">
        <f t="shared" si="13"/>
        <v>249095</v>
      </c>
      <c r="AQ46" s="93">
        <f t="shared" si="14"/>
        <v>98931</v>
      </c>
      <c r="AR46" s="95">
        <f t="shared" si="15"/>
        <v>2536276.58</v>
      </c>
      <c r="AS46" s="96"/>
      <c r="AT46" s="97"/>
      <c r="AU46" s="43">
        <f t="shared" si="16"/>
        <v>2341428.1206</v>
      </c>
      <c r="AV46" s="58"/>
      <c r="AW46" s="43">
        <f t="shared" si="17"/>
        <v>0</v>
      </c>
      <c r="AX46" s="43">
        <f t="shared" si="18"/>
        <v>0</v>
      </c>
      <c r="AY46" s="58" t="s">
        <v>1357</v>
      </c>
      <c r="AZ46" s="58">
        <v>6364392</v>
      </c>
      <c r="BA46" s="58"/>
      <c r="BB46" s="58"/>
      <c r="BC46" s="48"/>
      <c r="BD46" s="48"/>
      <c r="BE46" s="48"/>
      <c r="BF46" s="48"/>
      <c r="BG46" s="48"/>
      <c r="BH46" s="48"/>
      <c r="BI46" s="48"/>
      <c r="BJ46" s="48"/>
      <c r="BK46" s="48"/>
      <c r="BL46" s="48"/>
      <c r="BM46" s="48"/>
      <c r="BN46" s="48"/>
      <c r="BO46" s="48"/>
      <c r="BP46" s="48"/>
      <c r="BQ46" s="48"/>
      <c r="BR46" s="48"/>
      <c r="BS46" s="48"/>
    </row>
    <row r="47" spans="1:71" ht="12.75" hidden="1" customHeight="1">
      <c r="A47" s="85">
        <v>43</v>
      </c>
      <c r="B47" s="86">
        <v>5040</v>
      </c>
      <c r="C47" s="29">
        <v>1</v>
      </c>
      <c r="D47" s="122">
        <v>80872961</v>
      </c>
      <c r="E47" s="18" t="str">
        <f>IF(D47&gt;0,VLOOKUP(D47,'PLANTA PERNO'!A:D,4,0)&amp;" "&amp;VLOOKUP(D47,'PLANTA PERNO'!A:D,2,0)&amp;" "&amp;VLOOKUP(D47,'PLANTA PERNO'!A:D,3,0),IF(O47="","VACANTE DEFINITIVA","VACANTE TEMPORAL"))</f>
        <v>MAURICIO ALEJANDRO MONCAYO VALENCIA</v>
      </c>
      <c r="F47" s="20" t="s">
        <v>39</v>
      </c>
      <c r="G47" s="20" t="str">
        <f t="shared" si="0"/>
        <v>NOMBRAMIENTO ORDINARIO</v>
      </c>
      <c r="H47" s="33">
        <f t="shared" si="21"/>
        <v>45337</v>
      </c>
      <c r="I47" s="33">
        <f t="shared" si="22"/>
        <v>45337</v>
      </c>
      <c r="J47" s="31" t="str">
        <f t="shared" si="23"/>
        <v>HOMBRE</v>
      </c>
      <c r="K47" s="21">
        <f t="shared" ca="1" si="24"/>
        <v>41</v>
      </c>
      <c r="L47" s="21">
        <f t="shared" ca="1" si="5"/>
        <v>2</v>
      </c>
      <c r="M47" s="21" t="str">
        <f t="shared" si="6"/>
        <v/>
      </c>
      <c r="N47" s="21" t="str">
        <f t="shared" si="20"/>
        <v>EN PROPIEDAD</v>
      </c>
      <c r="O47" s="21">
        <v>80872961</v>
      </c>
      <c r="P47" s="18" t="str">
        <f>IF(O47="","VACANTE DEFINITIVA",(VLOOKUP(O47,'PLANTA PERNO'!A:D,4,0)&amp;" "&amp;VLOOKUP(O47,'PLANTA PERNO'!A:D,2,0)&amp;" "&amp;VLOOKUP(O47,'PLANTA PERNO'!A:D,3,0)))</f>
        <v>MAURICIO ALEJANDRO MONCAYO VALENCIA</v>
      </c>
      <c r="Q47" s="21"/>
      <c r="R47" s="21"/>
      <c r="S47" s="21"/>
      <c r="T47" s="21"/>
      <c r="U47" s="21"/>
      <c r="V47" s="21"/>
      <c r="W47" s="38"/>
      <c r="X47" s="128"/>
      <c r="Y47" s="21" t="str">
        <f t="shared" si="8"/>
        <v>OCUPADO</v>
      </c>
      <c r="Z47" s="23" t="s">
        <v>22</v>
      </c>
      <c r="AA47" s="24" t="s">
        <v>1121</v>
      </c>
      <c r="AB47" s="25">
        <v>20</v>
      </c>
      <c r="AC47" s="27">
        <v>9</v>
      </c>
      <c r="AD47" s="28" t="str">
        <f t="shared" si="9"/>
        <v>20-9</v>
      </c>
      <c r="AE47" s="24" t="s">
        <v>98</v>
      </c>
      <c r="AF47" s="24" t="s">
        <v>98</v>
      </c>
      <c r="AG47" s="24" t="s">
        <v>1194</v>
      </c>
      <c r="AH47" s="24" t="s">
        <v>1195</v>
      </c>
      <c r="AI47" s="24" t="s">
        <v>1196</v>
      </c>
      <c r="AJ47" s="103" t="s">
        <v>1197</v>
      </c>
      <c r="AK47" s="93">
        <v>14052599.970000001</v>
      </c>
      <c r="AL47" s="93">
        <f>+AK47</f>
        <v>14052599.970000001</v>
      </c>
      <c r="AM47" s="93">
        <f t="shared" si="25"/>
        <v>0</v>
      </c>
      <c r="AN47" s="93">
        <f>IFERROR(INT(($AK47*(VLOOKUP($D47,'PORCENTAJES FACTORES'!B:N,12,0))/100)),0)</f>
        <v>7026299</v>
      </c>
      <c r="AO47" s="93">
        <f t="shared" si="26"/>
        <v>0</v>
      </c>
      <c r="AP47" s="93">
        <f t="shared" si="13"/>
        <v>0</v>
      </c>
      <c r="AQ47" s="93">
        <f t="shared" si="14"/>
        <v>0</v>
      </c>
      <c r="AR47" s="95">
        <f t="shared" si="15"/>
        <v>35131498.939999998</v>
      </c>
      <c r="AS47" s="96"/>
      <c r="AT47" s="97"/>
      <c r="AU47" s="43">
        <f t="shared" si="16"/>
        <v>15036281.967900002</v>
      </c>
      <c r="AV47" s="43">
        <v>50</v>
      </c>
      <c r="AW47" s="43">
        <f t="shared" si="17"/>
        <v>7518140.9839500012</v>
      </c>
      <c r="AX47" s="43">
        <f t="shared" si="18"/>
        <v>82699550.823450014</v>
      </c>
      <c r="AY47" s="58" t="s">
        <v>1390</v>
      </c>
      <c r="AZ47" s="58">
        <v>6525259</v>
      </c>
      <c r="BA47" s="58"/>
      <c r="BB47" s="58"/>
      <c r="BC47" s="48"/>
      <c r="BD47" s="48"/>
      <c r="BE47" s="48"/>
      <c r="BF47" s="48"/>
      <c r="BG47" s="48"/>
      <c r="BH47" s="48"/>
      <c r="BI47" s="48"/>
      <c r="BJ47" s="48"/>
      <c r="BK47" s="48"/>
      <c r="BL47" s="48"/>
      <c r="BM47" s="48"/>
      <c r="BN47" s="48"/>
      <c r="BO47" s="48"/>
      <c r="BP47" s="48"/>
      <c r="BQ47" s="48"/>
      <c r="BR47" s="48"/>
      <c r="BS47" s="48"/>
    </row>
    <row r="48" spans="1:71" ht="12.75" hidden="1" customHeight="1">
      <c r="A48" s="85">
        <v>44</v>
      </c>
      <c r="B48" s="86">
        <v>5041</v>
      </c>
      <c r="C48" s="29">
        <v>2</v>
      </c>
      <c r="D48" s="122">
        <v>53014890</v>
      </c>
      <c r="E48" s="18" t="str">
        <f>IF(D48&gt;0,VLOOKUP(D48,'PLANTA PERNO'!A:D,4,0)&amp;" "&amp;VLOOKUP(D48,'PLANTA PERNO'!A:D,2,0)&amp;" "&amp;VLOOKUP(D48,'PLANTA PERNO'!A:D,3,0),IF(O48="","VACANTE DEFINITIVA","VACANTE TEMPORAL"))</f>
        <v>MARIA PAULA RUEDA MANTILLA</v>
      </c>
      <c r="F48" s="20" t="s">
        <v>39</v>
      </c>
      <c r="G48" s="20" t="str">
        <f t="shared" si="0"/>
        <v>NOMBRAMIENTO ORDINARIO</v>
      </c>
      <c r="H48" s="33">
        <f t="shared" si="21"/>
        <v>45369</v>
      </c>
      <c r="I48" s="33">
        <f t="shared" si="22"/>
        <v>45369</v>
      </c>
      <c r="J48" s="31" t="str">
        <f t="shared" si="23"/>
        <v>MUJER</v>
      </c>
      <c r="K48" s="21">
        <f t="shared" ca="1" si="24"/>
        <v>41</v>
      </c>
      <c r="L48" s="21">
        <f t="shared" ca="1" si="5"/>
        <v>2</v>
      </c>
      <c r="M48" s="21" t="str">
        <f t="shared" si="6"/>
        <v/>
      </c>
      <c r="N48" s="21" t="str">
        <f t="shared" si="20"/>
        <v>EN PROPIEDAD</v>
      </c>
      <c r="O48" s="21">
        <v>53014890</v>
      </c>
      <c r="P48" s="18" t="str">
        <f>IF(O48="","VACANTE DEFINITIVA",(VLOOKUP(O48,'PLANTA PERNO'!A:D,4,0)&amp;" "&amp;VLOOKUP(O48,'PLANTA PERNO'!A:D,2,0)&amp;" "&amp;VLOOKUP(O48,'PLANTA PERNO'!A:D,3,0)))</f>
        <v>MARIA PAULA RUEDA MANTILLA</v>
      </c>
      <c r="Q48" s="21"/>
      <c r="R48" s="21"/>
      <c r="S48" s="21"/>
      <c r="T48" s="21"/>
      <c r="U48" s="21"/>
      <c r="V48" s="21"/>
      <c r="W48" s="38"/>
      <c r="X48" s="128"/>
      <c r="Y48" s="21" t="str">
        <f t="shared" si="8"/>
        <v>OCUPADO</v>
      </c>
      <c r="Z48" s="23" t="s">
        <v>22</v>
      </c>
      <c r="AA48" s="24" t="s">
        <v>142</v>
      </c>
      <c r="AB48" s="25">
        <v>45</v>
      </c>
      <c r="AC48" s="27">
        <v>8</v>
      </c>
      <c r="AD48" s="28" t="str">
        <f t="shared" si="9"/>
        <v>45-8</v>
      </c>
      <c r="AE48" s="24" t="s">
        <v>174</v>
      </c>
      <c r="AF48" s="24" t="s">
        <v>174</v>
      </c>
      <c r="AG48" s="24" t="s">
        <v>1206</v>
      </c>
      <c r="AH48" s="24" t="s">
        <v>1208</v>
      </c>
      <c r="AI48" s="24" t="s">
        <v>1209</v>
      </c>
      <c r="AJ48" s="103" t="s">
        <v>1210</v>
      </c>
      <c r="AK48" s="93">
        <v>12531746.91</v>
      </c>
      <c r="AL48" s="93">
        <f t="shared" ref="AL48:AL55" si="27">+AK48*0.4</f>
        <v>5012698.7640000004</v>
      </c>
      <c r="AM48" s="93">
        <f t="shared" si="25"/>
        <v>0</v>
      </c>
      <c r="AN48" s="93">
        <f>IFERROR(INT(($AK48*(VLOOKUP($D48,'PORCENTAJES FACTORES'!B:N,12,0))/100)),0)</f>
        <v>6265873</v>
      </c>
      <c r="AO48" s="93">
        <f t="shared" si="26"/>
        <v>0</v>
      </c>
      <c r="AP48" s="93">
        <f t="shared" si="13"/>
        <v>0</v>
      </c>
      <c r="AQ48" s="93">
        <f t="shared" si="14"/>
        <v>0</v>
      </c>
      <c r="AR48" s="95">
        <f t="shared" si="15"/>
        <v>23810318.674000002</v>
      </c>
      <c r="AS48" s="96"/>
      <c r="AT48" s="97"/>
      <c r="AU48" s="43">
        <f t="shared" si="16"/>
        <v>13408969.193700001</v>
      </c>
      <c r="AV48" s="43">
        <v>50</v>
      </c>
      <c r="AW48" s="43">
        <f t="shared" si="17"/>
        <v>6704484.5968500003</v>
      </c>
      <c r="AX48" s="43">
        <f t="shared" si="18"/>
        <v>73749330.565349996</v>
      </c>
      <c r="AY48" s="58" t="s">
        <v>1409</v>
      </c>
      <c r="AZ48" s="58">
        <v>6819454</v>
      </c>
      <c r="BA48" s="58"/>
      <c r="BB48" s="58"/>
      <c r="BC48" s="48"/>
      <c r="BD48" s="48"/>
      <c r="BE48" s="48"/>
      <c r="BF48" s="48"/>
      <c r="BG48" s="48"/>
      <c r="BH48" s="48"/>
      <c r="BI48" s="48"/>
      <c r="BJ48" s="48"/>
      <c r="BK48" s="48"/>
      <c r="BL48" s="48"/>
      <c r="BM48" s="48"/>
      <c r="BN48" s="48"/>
      <c r="BO48" s="48"/>
      <c r="BP48" s="48"/>
      <c r="BQ48" s="48"/>
      <c r="BR48" s="48"/>
      <c r="BS48" s="48"/>
    </row>
    <row r="49" spans="1:71" ht="12.75" hidden="1" customHeight="1">
      <c r="A49" s="85">
        <v>45</v>
      </c>
      <c r="B49" s="86">
        <v>5042</v>
      </c>
      <c r="C49" s="29">
        <v>8</v>
      </c>
      <c r="D49" s="122">
        <v>1018423025</v>
      </c>
      <c r="E49" s="18" t="str">
        <f>IF(D49&gt;0,VLOOKUP(D49,'PLANTA PERNO'!A:D,4,0)&amp;" "&amp;VLOOKUP(D49,'PLANTA PERNO'!A:D,2,0)&amp;" "&amp;VLOOKUP(D49,'PLANTA PERNO'!A:D,3,0),IF(O49="","VACANTE DEFINITIVA","VACANTE TEMPORAL"))</f>
        <v>MARIA FERNANDA QUIJANO VASQUEZ</v>
      </c>
      <c r="F49" s="20" t="s">
        <v>39</v>
      </c>
      <c r="G49" s="20" t="str">
        <f t="shared" si="0"/>
        <v>NOMBRAMIENTO ORDINARIO</v>
      </c>
      <c r="H49" s="33">
        <f t="shared" si="21"/>
        <v>45421</v>
      </c>
      <c r="I49" s="33">
        <f t="shared" si="22"/>
        <v>45421</v>
      </c>
      <c r="J49" s="31" t="str">
        <f t="shared" si="23"/>
        <v>MUJER</v>
      </c>
      <c r="K49" s="21">
        <f t="shared" ca="1" si="24"/>
        <v>38</v>
      </c>
      <c r="L49" s="21">
        <f t="shared" ca="1" si="5"/>
        <v>2</v>
      </c>
      <c r="M49" s="21" t="str">
        <f t="shared" si="6"/>
        <v/>
      </c>
      <c r="N49" s="21" t="str">
        <f t="shared" si="20"/>
        <v>EN PROPIEDAD</v>
      </c>
      <c r="O49" s="21">
        <v>1018423025</v>
      </c>
      <c r="P49" s="18" t="str">
        <f>IF(O49="","VACANTE DEFINITIVA",(VLOOKUP(O49,'PLANTA PERNO'!A:D,4,0)&amp;" "&amp;VLOOKUP(O49,'PLANTA PERNO'!A:D,2,0)&amp;" "&amp;VLOOKUP(O49,'PLANTA PERNO'!A:D,3,0)))</f>
        <v>MARIA FERNANDA QUIJANO VASQUEZ</v>
      </c>
      <c r="Q49" s="21"/>
      <c r="R49" s="21"/>
      <c r="S49" s="21"/>
      <c r="T49" s="21"/>
      <c r="U49" s="21"/>
      <c r="V49" s="164"/>
      <c r="W49" s="38"/>
      <c r="X49" s="128"/>
      <c r="Y49" s="21" t="str">
        <f t="shared" si="8"/>
        <v>OCUPADO</v>
      </c>
      <c r="Z49" s="23" t="s">
        <v>22</v>
      </c>
      <c r="AA49" s="24" t="s">
        <v>23</v>
      </c>
      <c r="AB49" s="25">
        <v>9</v>
      </c>
      <c r="AC49" s="27">
        <v>7</v>
      </c>
      <c r="AD49" s="28" t="str">
        <f t="shared" si="9"/>
        <v>9-7</v>
      </c>
      <c r="AE49" s="24" t="s">
        <v>147</v>
      </c>
      <c r="AF49" s="24" t="s">
        <v>147</v>
      </c>
      <c r="AG49" s="24" t="s">
        <v>1228</v>
      </c>
      <c r="AH49" s="24" t="s">
        <v>1230</v>
      </c>
      <c r="AI49" s="24" t="s">
        <v>1232</v>
      </c>
      <c r="AJ49" s="24" t="s">
        <v>1233</v>
      </c>
      <c r="AK49" s="93">
        <v>11186813.620000001</v>
      </c>
      <c r="AL49" s="93">
        <f t="shared" si="27"/>
        <v>4474725.4480000008</v>
      </c>
      <c r="AM49" s="93">
        <f t="shared" si="25"/>
        <v>0</v>
      </c>
      <c r="AN49" s="93">
        <f>IFERROR(INT(($AK49*(VLOOKUP($D49,'PORCENTAJES FACTORES'!B:N,12,0))/100)),0)</f>
        <v>5593406</v>
      </c>
      <c r="AO49" s="93">
        <f t="shared" si="26"/>
        <v>0</v>
      </c>
      <c r="AP49" s="93">
        <f t="shared" si="13"/>
        <v>0</v>
      </c>
      <c r="AQ49" s="93">
        <f t="shared" si="14"/>
        <v>0</v>
      </c>
      <c r="AR49" s="95">
        <f t="shared" si="15"/>
        <v>21254945.068000004</v>
      </c>
      <c r="AS49" s="96"/>
      <c r="AT49" s="97"/>
      <c r="AU49" s="43">
        <f t="shared" si="16"/>
        <v>11969890.573400002</v>
      </c>
      <c r="AV49" s="43">
        <v>50</v>
      </c>
      <c r="AW49" s="43">
        <f t="shared" si="17"/>
        <v>5984945.286700001</v>
      </c>
      <c r="AX49" s="43">
        <f t="shared" si="18"/>
        <v>65834398.153700009</v>
      </c>
      <c r="AY49" s="58" t="s">
        <v>1434</v>
      </c>
      <c r="AZ49" s="58">
        <v>6877240</v>
      </c>
      <c r="BA49" s="58"/>
      <c r="BB49" s="58"/>
      <c r="BC49" s="48"/>
      <c r="BD49" s="48"/>
      <c r="BE49" s="48"/>
      <c r="BF49" s="48"/>
      <c r="BG49" s="48"/>
      <c r="BH49" s="48"/>
      <c r="BI49" s="48"/>
      <c r="BJ49" s="48"/>
      <c r="BK49" s="48"/>
      <c r="BL49" s="48"/>
      <c r="BM49" s="48"/>
      <c r="BN49" s="48"/>
      <c r="BO49" s="48"/>
      <c r="BP49" s="48"/>
      <c r="BQ49" s="48"/>
      <c r="BR49" s="48"/>
      <c r="BS49" s="48"/>
    </row>
    <row r="50" spans="1:71" ht="12.75" hidden="1" customHeight="1">
      <c r="A50" s="85">
        <v>46</v>
      </c>
      <c r="B50" s="86">
        <v>5043</v>
      </c>
      <c r="C50" s="29">
        <v>5</v>
      </c>
      <c r="D50" s="122">
        <v>1032360948</v>
      </c>
      <c r="E50" s="18" t="str">
        <f>IF(D50&gt;0,VLOOKUP(D50,'PLANTA PERNO'!A:D,4,0)&amp;" "&amp;VLOOKUP(D50,'PLANTA PERNO'!A:D,2,0)&amp;" "&amp;VLOOKUP(D50,'PLANTA PERNO'!A:D,3,0),IF(O50="","VACANTE DEFINITIVA","VACANTE TEMPORAL"))</f>
        <v>MARINA LUZ ORTEGA MONTERO</v>
      </c>
      <c r="F50" s="20" t="s">
        <v>39</v>
      </c>
      <c r="G50" s="20" t="str">
        <f t="shared" si="0"/>
        <v>NOMBRAMIENTO ORDINARIO</v>
      </c>
      <c r="H50" s="33">
        <f t="shared" si="21"/>
        <v>45714</v>
      </c>
      <c r="I50" s="33">
        <f t="shared" si="22"/>
        <v>45714</v>
      </c>
      <c r="J50" s="31" t="str">
        <f t="shared" si="23"/>
        <v>MUJER</v>
      </c>
      <c r="K50" s="21">
        <f t="shared" ca="1" si="24"/>
        <v>41</v>
      </c>
      <c r="L50" s="21">
        <f t="shared" ca="1" si="5"/>
        <v>1</v>
      </c>
      <c r="M50" s="21" t="str">
        <f t="shared" si="6"/>
        <v/>
      </c>
      <c r="N50" s="21" t="str">
        <f t="shared" si="20"/>
        <v>EN PROPIEDAD</v>
      </c>
      <c r="O50" s="21">
        <v>1032360948</v>
      </c>
      <c r="P50" s="18" t="str">
        <f>IF(O50="","VACANTE DEFINITIVA",(VLOOKUP(O50,'PLANTA PERNO'!A:D,4,0)&amp;" "&amp;VLOOKUP(O50,'PLANTA PERNO'!A:D,2,0)&amp;" "&amp;VLOOKUP(O50,'PLANTA PERNO'!A:D,3,0)))</f>
        <v>MARINA LUZ ORTEGA MONTERO</v>
      </c>
      <c r="Q50" s="21"/>
      <c r="R50" s="21"/>
      <c r="S50" s="21"/>
      <c r="T50" s="21"/>
      <c r="U50" s="21"/>
      <c r="V50" s="21"/>
      <c r="W50" s="38"/>
      <c r="X50" s="128"/>
      <c r="Y50" s="21" t="str">
        <f t="shared" si="8"/>
        <v>OCUPADO</v>
      </c>
      <c r="Z50" s="23" t="s">
        <v>22</v>
      </c>
      <c r="AA50" s="24" t="s">
        <v>23</v>
      </c>
      <c r="AB50" s="25">
        <v>9</v>
      </c>
      <c r="AC50" s="27">
        <v>7</v>
      </c>
      <c r="AD50" s="28" t="str">
        <f t="shared" si="9"/>
        <v>9-7</v>
      </c>
      <c r="AE50" s="24" t="s">
        <v>68</v>
      </c>
      <c r="AF50" s="24" t="s">
        <v>68</v>
      </c>
      <c r="AG50" s="24" t="s">
        <v>1251</v>
      </c>
      <c r="AH50" s="24" t="s">
        <v>1252</v>
      </c>
      <c r="AI50" s="24" t="s">
        <v>1253</v>
      </c>
      <c r="AJ50" s="103" t="s">
        <v>1254</v>
      </c>
      <c r="AK50" s="93">
        <v>11186813.620000001</v>
      </c>
      <c r="AL50" s="93">
        <f t="shared" si="27"/>
        <v>4474725.4480000008</v>
      </c>
      <c r="AM50" s="93">
        <f t="shared" si="25"/>
        <v>0</v>
      </c>
      <c r="AN50" s="93">
        <f>IFERROR(INT(($AK50*(VLOOKUP($D50,'PORCENTAJES FACTORES'!B:N,12,0))/100)),0)</f>
        <v>5593406</v>
      </c>
      <c r="AO50" s="93">
        <f t="shared" si="26"/>
        <v>0</v>
      </c>
      <c r="AP50" s="93">
        <f t="shared" si="13"/>
        <v>0</v>
      </c>
      <c r="AQ50" s="93">
        <f t="shared" si="14"/>
        <v>0</v>
      </c>
      <c r="AR50" s="95">
        <f t="shared" si="15"/>
        <v>21254945.068000004</v>
      </c>
      <c r="AS50" s="96"/>
      <c r="AT50" s="97"/>
      <c r="AU50" s="43">
        <f t="shared" si="16"/>
        <v>11969890.573400002</v>
      </c>
      <c r="AV50" s="43">
        <v>50</v>
      </c>
      <c r="AW50" s="43">
        <f t="shared" si="17"/>
        <v>5984945.286700001</v>
      </c>
      <c r="AX50" s="43">
        <f t="shared" si="18"/>
        <v>65834398.153700009</v>
      </c>
      <c r="AY50" s="58" t="s">
        <v>1459</v>
      </c>
      <c r="AZ50" s="58">
        <v>7005158</v>
      </c>
      <c r="BA50" s="58"/>
      <c r="BB50" s="58"/>
      <c r="BC50" s="48"/>
      <c r="BD50" s="48"/>
      <c r="BE50" s="48"/>
      <c r="BF50" s="48"/>
      <c r="BG50" s="48"/>
      <c r="BH50" s="48"/>
      <c r="BI50" s="48"/>
      <c r="BJ50" s="48"/>
      <c r="BK50" s="48"/>
      <c r="BL50" s="48"/>
      <c r="BM50" s="48"/>
      <c r="BN50" s="48"/>
      <c r="BO50" s="48"/>
      <c r="BP50" s="48"/>
      <c r="BQ50" s="48"/>
      <c r="BR50" s="48"/>
      <c r="BS50" s="48"/>
    </row>
    <row r="51" spans="1:71" ht="12.75" hidden="1" customHeight="1">
      <c r="A51" s="85">
        <v>47</v>
      </c>
      <c r="B51" s="86">
        <v>5044</v>
      </c>
      <c r="C51" s="29">
        <v>7</v>
      </c>
      <c r="D51" s="122">
        <v>1015406682</v>
      </c>
      <c r="E51" s="18" t="str">
        <f>IF(D51&gt;0,VLOOKUP(D51,'PLANTA PERNO'!A:D,4,0)&amp;" "&amp;VLOOKUP(D51,'PLANTA PERNO'!A:D,2,0)&amp;" "&amp;VLOOKUP(D51,'PLANTA PERNO'!A:D,3,0),IF(O51="","VACANTE DEFINITIVA","VACANTE TEMPORAL"))</f>
        <v>ANDRES MAURICIO ORTIZ MAYA</v>
      </c>
      <c r="F51" s="20" t="s">
        <v>39</v>
      </c>
      <c r="G51" s="20" t="str">
        <f t="shared" si="0"/>
        <v>NOMBRAMIENTO ORDINARIO</v>
      </c>
      <c r="H51" s="33">
        <f t="shared" si="21"/>
        <v>45516</v>
      </c>
      <c r="I51" s="33">
        <f t="shared" si="22"/>
        <v>45516</v>
      </c>
      <c r="J51" s="31" t="str">
        <f t="shared" si="23"/>
        <v>HOMBRE</v>
      </c>
      <c r="K51" s="21">
        <f t="shared" ca="1" si="24"/>
        <v>38</v>
      </c>
      <c r="L51" s="21">
        <f t="shared" ca="1" si="5"/>
        <v>2</v>
      </c>
      <c r="M51" s="21" t="str">
        <f t="shared" si="6"/>
        <v/>
      </c>
      <c r="N51" s="21" t="str">
        <f t="shared" si="20"/>
        <v>EN PROPIEDAD</v>
      </c>
      <c r="O51" s="21">
        <v>1015406682</v>
      </c>
      <c r="P51" s="18" t="str">
        <f>IF(O51="","VACANTE DEFINITIVA",(VLOOKUP(O51,'PLANTA PERNO'!A:D,4,0)&amp;" "&amp;VLOOKUP(O51,'PLANTA PERNO'!A:D,2,0)&amp;" "&amp;VLOOKUP(O51,'PLANTA PERNO'!A:D,3,0)))</f>
        <v>ANDRES MAURICIO ORTIZ MAYA</v>
      </c>
      <c r="Q51" s="21"/>
      <c r="R51" s="21"/>
      <c r="S51" s="21"/>
      <c r="T51" s="21"/>
      <c r="U51" s="21"/>
      <c r="V51" s="21"/>
      <c r="W51" s="38"/>
      <c r="X51" s="128"/>
      <c r="Y51" s="21" t="str">
        <f t="shared" si="8"/>
        <v>OCUPADO</v>
      </c>
      <c r="Z51" s="23" t="s">
        <v>22</v>
      </c>
      <c r="AA51" s="24" t="s">
        <v>23</v>
      </c>
      <c r="AB51" s="25">
        <v>9</v>
      </c>
      <c r="AC51" s="27">
        <v>7</v>
      </c>
      <c r="AD51" s="28" t="str">
        <f t="shared" si="9"/>
        <v>9-7</v>
      </c>
      <c r="AE51" s="24" t="s">
        <v>153</v>
      </c>
      <c r="AF51" s="24" t="s">
        <v>153</v>
      </c>
      <c r="AG51" s="24" t="s">
        <v>1269</v>
      </c>
      <c r="AH51" s="24" t="s">
        <v>1270</v>
      </c>
      <c r="AI51" s="24" t="s">
        <v>45</v>
      </c>
      <c r="AJ51" s="24" t="s">
        <v>1271</v>
      </c>
      <c r="AK51" s="93">
        <v>11186813.620000001</v>
      </c>
      <c r="AL51" s="93">
        <f t="shared" si="27"/>
        <v>4474725.4480000008</v>
      </c>
      <c r="AM51" s="93">
        <f t="shared" si="25"/>
        <v>0</v>
      </c>
      <c r="AN51" s="93">
        <f>IFERROR(INT(($AK51*(VLOOKUP($D51,'PORCENTAJES FACTORES'!B:N,12,0))/100)),0)</f>
        <v>5593406</v>
      </c>
      <c r="AO51" s="93">
        <f t="shared" si="26"/>
        <v>0</v>
      </c>
      <c r="AP51" s="93">
        <f t="shared" si="13"/>
        <v>0</v>
      </c>
      <c r="AQ51" s="93">
        <f t="shared" si="14"/>
        <v>0</v>
      </c>
      <c r="AR51" s="95">
        <f t="shared" si="15"/>
        <v>21254945.068000004</v>
      </c>
      <c r="AS51" s="96"/>
      <c r="AT51" s="97"/>
      <c r="AU51" s="43">
        <f t="shared" si="16"/>
        <v>11969890.573400002</v>
      </c>
      <c r="AV51" s="43">
        <v>50</v>
      </c>
      <c r="AW51" s="43">
        <f t="shared" si="17"/>
        <v>5984945.286700001</v>
      </c>
      <c r="AX51" s="43">
        <f t="shared" si="18"/>
        <v>65834398.153700009</v>
      </c>
      <c r="AY51" s="58" t="s">
        <v>1495</v>
      </c>
      <c r="AZ51" s="58">
        <v>7282509</v>
      </c>
      <c r="BA51" s="58"/>
      <c r="BB51" s="58"/>
      <c r="BC51" s="48"/>
      <c r="BD51" s="48"/>
      <c r="BE51" s="48"/>
      <c r="BF51" s="48"/>
      <c r="BG51" s="48"/>
      <c r="BH51" s="48"/>
      <c r="BI51" s="48"/>
      <c r="BJ51" s="48"/>
      <c r="BK51" s="48"/>
      <c r="BL51" s="48"/>
      <c r="BM51" s="48"/>
      <c r="BN51" s="48"/>
      <c r="BO51" s="48"/>
      <c r="BP51" s="48"/>
      <c r="BQ51" s="48"/>
      <c r="BR51" s="48"/>
      <c r="BS51" s="48"/>
    </row>
    <row r="52" spans="1:71" ht="12.75" hidden="1" customHeight="1">
      <c r="A52" s="85">
        <v>48</v>
      </c>
      <c r="B52" s="86">
        <v>5045</v>
      </c>
      <c r="C52" s="29">
        <v>6</v>
      </c>
      <c r="D52" s="122">
        <v>1098810694</v>
      </c>
      <c r="E52" s="18" t="str">
        <f>IF(D52&gt;0,VLOOKUP(D52,'PLANTA PERNO'!A:D,4,0)&amp;" "&amp;VLOOKUP(D52,'PLANTA PERNO'!A:D,2,0)&amp;" "&amp;VLOOKUP(D52,'PLANTA PERNO'!A:D,3,0),IF(O52="","VACANTE DEFINITIVA","VACANTE TEMPORAL"))</f>
        <v>ANDRES FELIPE PUENTES DIAZ</v>
      </c>
      <c r="F52" s="20" t="s">
        <v>39</v>
      </c>
      <c r="G52" s="20" t="str">
        <f t="shared" si="0"/>
        <v>NOMBRAMIENTO ORDINARIO</v>
      </c>
      <c r="H52" s="33">
        <f t="shared" si="21"/>
        <v>45364</v>
      </c>
      <c r="I52" s="33">
        <f t="shared" si="22"/>
        <v>45364</v>
      </c>
      <c r="J52" s="31" t="str">
        <f t="shared" si="23"/>
        <v>HOMBRE</v>
      </c>
      <c r="K52" s="21">
        <f t="shared" ca="1" si="24"/>
        <v>28</v>
      </c>
      <c r="L52" s="21">
        <f t="shared" ca="1" si="5"/>
        <v>2</v>
      </c>
      <c r="M52" s="21" t="str">
        <f t="shared" si="6"/>
        <v/>
      </c>
      <c r="N52" s="21" t="str">
        <f t="shared" si="20"/>
        <v>EN PROPIEDAD</v>
      </c>
      <c r="O52" s="21">
        <v>1098810694</v>
      </c>
      <c r="P52" s="18" t="str">
        <f>IF(O52="","VACANTE DEFINITIVA",(VLOOKUP(O52,'PLANTA PERNO'!A:D,4,0)&amp;" "&amp;VLOOKUP(O52,'PLANTA PERNO'!A:D,2,0)&amp;" "&amp;VLOOKUP(O52,'PLANTA PERNO'!A:D,3,0)))</f>
        <v>ANDRES FELIPE PUENTES DIAZ</v>
      </c>
      <c r="Q52" s="21"/>
      <c r="R52" s="21"/>
      <c r="S52" s="21"/>
      <c r="T52" s="21"/>
      <c r="U52" s="21"/>
      <c r="V52" s="21"/>
      <c r="W52" s="38"/>
      <c r="X52" s="128"/>
      <c r="Y52" s="21" t="str">
        <f t="shared" si="8"/>
        <v>OCUPADO</v>
      </c>
      <c r="Z52" s="23" t="s">
        <v>22</v>
      </c>
      <c r="AA52" s="24" t="s">
        <v>23</v>
      </c>
      <c r="AB52" s="25">
        <v>9</v>
      </c>
      <c r="AC52" s="27">
        <v>7</v>
      </c>
      <c r="AD52" s="28" t="str">
        <f t="shared" si="9"/>
        <v>9-7</v>
      </c>
      <c r="AE52" s="24" t="s">
        <v>213</v>
      </c>
      <c r="AF52" s="24" t="s">
        <v>213</v>
      </c>
      <c r="AG52" s="24" t="s">
        <v>1311</v>
      </c>
      <c r="AH52" s="24" t="s">
        <v>1312</v>
      </c>
      <c r="AI52" s="24" t="s">
        <v>45</v>
      </c>
      <c r="AJ52" s="24" t="s">
        <v>1313</v>
      </c>
      <c r="AK52" s="93">
        <v>11186813.620000001</v>
      </c>
      <c r="AL52" s="93">
        <f t="shared" si="27"/>
        <v>4474725.4480000008</v>
      </c>
      <c r="AM52" s="93">
        <f t="shared" si="25"/>
        <v>0</v>
      </c>
      <c r="AN52" s="93">
        <f>IFERROR(INT(($AK52*(VLOOKUP($D52,'PORCENTAJES FACTORES'!B:N,12,0))/100)),0)</f>
        <v>4250989</v>
      </c>
      <c r="AO52" s="93">
        <f t="shared" si="26"/>
        <v>0</v>
      </c>
      <c r="AP52" s="93">
        <f t="shared" si="13"/>
        <v>0</v>
      </c>
      <c r="AQ52" s="93">
        <f t="shared" si="14"/>
        <v>0</v>
      </c>
      <c r="AR52" s="95">
        <f t="shared" si="15"/>
        <v>19912528.068000004</v>
      </c>
      <c r="AS52" s="96"/>
      <c r="AT52" s="97"/>
      <c r="AU52" s="43">
        <f t="shared" si="16"/>
        <v>11969890.573400002</v>
      </c>
      <c r="AV52" s="43">
        <v>50</v>
      </c>
      <c r="AW52" s="43">
        <f t="shared" si="17"/>
        <v>5984945.286700001</v>
      </c>
      <c r="AX52" s="43">
        <f t="shared" si="18"/>
        <v>65834398.153700009</v>
      </c>
      <c r="AY52" s="58" t="s">
        <v>1526</v>
      </c>
      <c r="AZ52" s="58">
        <v>7889891</v>
      </c>
      <c r="BA52" s="58"/>
      <c r="BB52" s="58"/>
      <c r="BC52" s="48"/>
      <c r="BD52" s="48"/>
      <c r="BE52" s="48"/>
      <c r="BF52" s="48"/>
      <c r="BG52" s="48"/>
      <c r="BH52" s="48"/>
      <c r="BI52" s="48"/>
      <c r="BJ52" s="48"/>
      <c r="BK52" s="48"/>
      <c r="BL52" s="48"/>
      <c r="BM52" s="48"/>
      <c r="BN52" s="48"/>
      <c r="BO52" s="48"/>
      <c r="BP52" s="48"/>
      <c r="BQ52" s="48"/>
      <c r="BR52" s="48"/>
      <c r="BS52" s="48"/>
    </row>
    <row r="53" spans="1:71" ht="12.75" hidden="1" customHeight="1">
      <c r="A53" s="85">
        <v>49</v>
      </c>
      <c r="B53" s="86">
        <v>5046</v>
      </c>
      <c r="C53" s="29">
        <v>3</v>
      </c>
      <c r="D53" s="122">
        <v>52699744</v>
      </c>
      <c r="E53" s="18" t="str">
        <f>IF(D53&gt;0,VLOOKUP(D53,'PLANTA PERNO'!A:D,4,0)&amp;" "&amp;VLOOKUP(D53,'PLANTA PERNO'!A:D,2,0)&amp;" "&amp;VLOOKUP(D53,'PLANTA PERNO'!A:D,3,0),IF(O53="","VACANTE DEFINITIVA","VACANTE TEMPORAL"))</f>
        <v>MARIA CATALINA JARAMILLO GONZALEZ</v>
      </c>
      <c r="F53" s="20" t="s">
        <v>39</v>
      </c>
      <c r="G53" s="20" t="str">
        <f t="shared" si="0"/>
        <v>NOMBRAMIENTO ORDINARIO</v>
      </c>
      <c r="H53" s="33">
        <f t="shared" si="21"/>
        <v>45873</v>
      </c>
      <c r="I53" s="33">
        <f t="shared" si="22"/>
        <v>45873</v>
      </c>
      <c r="J53" s="31" t="str">
        <f t="shared" si="23"/>
        <v>MUJER</v>
      </c>
      <c r="K53" s="21">
        <f t="shared" ca="1" si="24"/>
        <v>46</v>
      </c>
      <c r="L53" s="21">
        <f t="shared" ca="1" si="5"/>
        <v>1</v>
      </c>
      <c r="M53" s="21" t="str">
        <f t="shared" si="6"/>
        <v/>
      </c>
      <c r="N53" s="21" t="str">
        <f t="shared" si="20"/>
        <v>EN PROPIEDAD</v>
      </c>
      <c r="O53" s="21">
        <v>52699744</v>
      </c>
      <c r="P53" s="18" t="str">
        <f>IF(O53="","VACANTE DEFINITIVA",(VLOOKUP(O53,'PLANTA PERNO'!A:D,4,0)&amp;" "&amp;VLOOKUP(O53,'PLANTA PERNO'!A:D,2,0)&amp;" "&amp;VLOOKUP(O53,'PLANTA PERNO'!A:D,3,0)))</f>
        <v>MARIA CATALINA JARAMILLO GONZALEZ</v>
      </c>
      <c r="Q53" s="21"/>
      <c r="R53" s="21"/>
      <c r="S53" s="21"/>
      <c r="T53" s="21"/>
      <c r="U53" s="21"/>
      <c r="V53" s="21"/>
      <c r="W53" s="38"/>
      <c r="X53" s="128"/>
      <c r="Y53" s="21" t="str">
        <f t="shared" si="8"/>
        <v>OCUPADO</v>
      </c>
      <c r="Z53" s="23" t="s">
        <v>22</v>
      </c>
      <c r="AA53" s="24" t="s">
        <v>23</v>
      </c>
      <c r="AB53" s="25">
        <v>9</v>
      </c>
      <c r="AC53" s="27">
        <v>7</v>
      </c>
      <c r="AD53" s="28" t="str">
        <f t="shared" si="9"/>
        <v>9-7</v>
      </c>
      <c r="AE53" s="24" t="s">
        <v>33</v>
      </c>
      <c r="AF53" s="24" t="s">
        <v>33</v>
      </c>
      <c r="AG53" s="24" t="s">
        <v>41</v>
      </c>
      <c r="AH53" s="24" t="s">
        <v>44</v>
      </c>
      <c r="AI53" s="24" t="s">
        <v>45</v>
      </c>
      <c r="AJ53" s="24" t="s">
        <v>46</v>
      </c>
      <c r="AK53" s="93">
        <v>11186813.620000001</v>
      </c>
      <c r="AL53" s="93">
        <f t="shared" si="27"/>
        <v>4474725.4480000008</v>
      </c>
      <c r="AM53" s="93">
        <f t="shared" si="25"/>
        <v>0</v>
      </c>
      <c r="AN53" s="93">
        <f>IFERROR(INT(($AK53*(VLOOKUP($D53,'PORCENTAJES FACTORES'!B:N,12,0))/100)),0)</f>
        <v>5593406</v>
      </c>
      <c r="AO53" s="93">
        <f t="shared" si="26"/>
        <v>0</v>
      </c>
      <c r="AP53" s="93">
        <f t="shared" si="13"/>
        <v>0</v>
      </c>
      <c r="AQ53" s="93">
        <f t="shared" si="14"/>
        <v>0</v>
      </c>
      <c r="AR53" s="95">
        <f t="shared" si="15"/>
        <v>21254945.068000004</v>
      </c>
      <c r="AS53" s="96"/>
      <c r="AT53" s="97"/>
      <c r="AU53" s="43">
        <f t="shared" si="16"/>
        <v>11969890.573400002</v>
      </c>
      <c r="AV53" s="43">
        <v>50</v>
      </c>
      <c r="AW53" s="43">
        <f t="shared" si="17"/>
        <v>5984945.286700001</v>
      </c>
      <c r="AX53" s="43">
        <f t="shared" si="18"/>
        <v>65834398.153700009</v>
      </c>
      <c r="AY53" s="58" t="s">
        <v>1541</v>
      </c>
      <c r="AZ53" s="58">
        <v>7950746</v>
      </c>
      <c r="BA53" s="58"/>
      <c r="BB53" s="58"/>
      <c r="BC53" s="48"/>
      <c r="BD53" s="48"/>
      <c r="BE53" s="48"/>
      <c r="BF53" s="48"/>
      <c r="BG53" s="48"/>
      <c r="BH53" s="48"/>
      <c r="BI53" s="48"/>
      <c r="BJ53" s="48"/>
      <c r="BK53" s="48"/>
      <c r="BL53" s="48"/>
      <c r="BM53" s="48"/>
      <c r="BN53" s="48"/>
      <c r="BO53" s="48"/>
      <c r="BP53" s="48"/>
      <c r="BQ53" s="48"/>
      <c r="BR53" s="48"/>
      <c r="BS53" s="48"/>
    </row>
    <row r="54" spans="1:71" ht="12.75" hidden="1" customHeight="1">
      <c r="A54" s="85">
        <v>50</v>
      </c>
      <c r="B54" s="86">
        <v>5047</v>
      </c>
      <c r="C54" s="29">
        <v>4</v>
      </c>
      <c r="D54" s="122">
        <v>80197320</v>
      </c>
      <c r="E54" s="18" t="str">
        <f>IF(D54&gt;0,VLOOKUP(D54,'PLANTA PERNO'!A:D,4,0)&amp;" "&amp;VLOOKUP(D54,'PLANTA PERNO'!A:D,2,0)&amp;" "&amp;VLOOKUP(D54,'PLANTA PERNO'!A:D,3,0),IF(O54="","VACANTE DEFINITIVA","VACANTE TEMPORAL"))</f>
        <v>CAMILO ALFONSO GUARIN PRIETO</v>
      </c>
      <c r="F54" s="20" t="s">
        <v>39</v>
      </c>
      <c r="G54" s="20" t="str">
        <f t="shared" si="0"/>
        <v>NOMBRAMIENTO ORDINARIO</v>
      </c>
      <c r="H54" s="33">
        <f t="shared" si="21"/>
        <v>45968</v>
      </c>
      <c r="I54" s="33">
        <f t="shared" si="22"/>
        <v>45968</v>
      </c>
      <c r="J54" s="31" t="str">
        <f t="shared" si="23"/>
        <v>HOMBRE</v>
      </c>
      <c r="K54" s="21">
        <f t="shared" ca="1" si="24"/>
        <v>43</v>
      </c>
      <c r="L54" s="21">
        <f t="shared" ca="1" si="5"/>
        <v>0</v>
      </c>
      <c r="M54" s="21" t="str">
        <f t="shared" si="6"/>
        <v/>
      </c>
      <c r="N54" s="21" t="str">
        <f t="shared" si="20"/>
        <v>EN PROPIEDAD</v>
      </c>
      <c r="O54" s="21">
        <v>80197320</v>
      </c>
      <c r="P54" s="18" t="str">
        <f>IF(O54="","VACANTE DEFINITIVA",(VLOOKUP(O54,'PLANTA PERNO'!A:D,4,0)&amp;" "&amp;VLOOKUP(O54,'PLANTA PERNO'!A:D,2,0)&amp;" "&amp;VLOOKUP(O54,'PLANTA PERNO'!A:D,3,0)))</f>
        <v>CAMILO ALFONSO GUARIN PRIETO</v>
      </c>
      <c r="Q54" s="21"/>
      <c r="R54" s="21"/>
      <c r="S54" s="21"/>
      <c r="T54" s="21"/>
      <c r="U54" s="21"/>
      <c r="V54" s="21"/>
      <c r="W54" s="38"/>
      <c r="X54" s="128"/>
      <c r="Y54" s="21" t="str">
        <f t="shared" si="8"/>
        <v>OCUPADO</v>
      </c>
      <c r="Z54" s="23" t="s">
        <v>22</v>
      </c>
      <c r="AA54" s="24" t="s">
        <v>23</v>
      </c>
      <c r="AB54" s="25">
        <v>9</v>
      </c>
      <c r="AC54" s="27">
        <v>7</v>
      </c>
      <c r="AD54" s="28" t="str">
        <f t="shared" si="9"/>
        <v>9-7</v>
      </c>
      <c r="AE54" s="24" t="s">
        <v>150</v>
      </c>
      <c r="AF54" s="24" t="s">
        <v>150</v>
      </c>
      <c r="AG54" s="24" t="s">
        <v>1364</v>
      </c>
      <c r="AH54" s="24" t="s">
        <v>1366</v>
      </c>
      <c r="AI54" s="24" t="s">
        <v>45</v>
      </c>
      <c r="AJ54" s="24" t="s">
        <v>1368</v>
      </c>
      <c r="AK54" s="93">
        <v>11186813.620000001</v>
      </c>
      <c r="AL54" s="93">
        <f t="shared" si="27"/>
        <v>4474725.4480000008</v>
      </c>
      <c r="AM54" s="93">
        <f t="shared" si="25"/>
        <v>0</v>
      </c>
      <c r="AN54" s="93">
        <f>IFERROR(INT(($AK54*(VLOOKUP($D54,'PORCENTAJES FACTORES'!B:N,12,0))/100)),0)</f>
        <v>0</v>
      </c>
      <c r="AO54" s="93">
        <f t="shared" si="26"/>
        <v>0</v>
      </c>
      <c r="AP54" s="93">
        <f t="shared" si="13"/>
        <v>0</v>
      </c>
      <c r="AQ54" s="93">
        <f t="shared" si="14"/>
        <v>0</v>
      </c>
      <c r="AR54" s="95">
        <f t="shared" si="15"/>
        <v>15661539.068000002</v>
      </c>
      <c r="AS54" s="96"/>
      <c r="AT54" s="97"/>
      <c r="AU54" s="43">
        <f t="shared" si="16"/>
        <v>11969890.573400002</v>
      </c>
      <c r="AV54" s="43">
        <v>50</v>
      </c>
      <c r="AW54" s="43">
        <f t="shared" si="17"/>
        <v>5984945.286700001</v>
      </c>
      <c r="AX54" s="43">
        <f t="shared" si="18"/>
        <v>65834398.153700009</v>
      </c>
      <c r="AY54" s="58" t="s">
        <v>1584</v>
      </c>
      <c r="AZ54" s="58">
        <v>9709695</v>
      </c>
      <c r="BA54" s="58"/>
      <c r="BB54" s="58"/>
      <c r="BC54" s="48"/>
      <c r="BD54" s="48"/>
      <c r="BE54" s="48"/>
      <c r="BF54" s="48"/>
      <c r="BG54" s="48"/>
      <c r="BH54" s="48"/>
      <c r="BI54" s="48"/>
      <c r="BJ54" s="48"/>
      <c r="BK54" s="48"/>
      <c r="BL54" s="48"/>
      <c r="BM54" s="48"/>
      <c r="BN54" s="48"/>
      <c r="BO54" s="48"/>
      <c r="BP54" s="48"/>
      <c r="BQ54" s="48"/>
      <c r="BR54" s="48"/>
      <c r="BS54" s="48"/>
    </row>
    <row r="55" spans="1:71" ht="12.75" hidden="1" customHeight="1">
      <c r="A55" s="85">
        <v>51</v>
      </c>
      <c r="B55" s="86">
        <v>5048</v>
      </c>
      <c r="C55" s="29">
        <v>10</v>
      </c>
      <c r="D55" s="122"/>
      <c r="E55" s="18" t="str">
        <f>IF(D55&gt;0,VLOOKUP(D55,'PLANTA PERNO'!A:D,4,0)&amp;" "&amp;VLOOKUP(D55,'PLANTA PERNO'!A:D,2,0)&amp;" "&amp;VLOOKUP(D55,'PLANTA PERNO'!A:D,3,0),IF(O55="","VACANTE DEFINITIVA","VACANTE TEMPORAL"))</f>
        <v>VACANTE DEFINITIVA</v>
      </c>
      <c r="F55" s="20"/>
      <c r="G55" s="20" t="str">
        <f t="shared" si="0"/>
        <v>VACANTE DEFINITIVA</v>
      </c>
      <c r="H55" s="33" t="str">
        <f t="shared" si="21"/>
        <v xml:space="preserve"> </v>
      </c>
      <c r="I55" s="33" t="str">
        <f t="shared" si="22"/>
        <v/>
      </c>
      <c r="J55" s="31" t="str">
        <f t="shared" si="23"/>
        <v/>
      </c>
      <c r="K55" s="21" t="str">
        <f t="shared" ca="1" si="24"/>
        <v/>
      </c>
      <c r="L55" s="21" t="str">
        <f t="shared" ca="1" si="5"/>
        <v/>
      </c>
      <c r="M55" s="21" t="str">
        <f t="shared" si="6"/>
        <v/>
      </c>
      <c r="N55" s="21" t="str">
        <f t="shared" si="20"/>
        <v>VACANTE DEFINITIVA</v>
      </c>
      <c r="O55" s="21"/>
      <c r="P55" s="18" t="str">
        <f>IF(O55="","VACANTE DEFINITIVA",(VLOOKUP(O55,'PLANTA PERNO'!A:D,4,0)&amp;" "&amp;VLOOKUP(O55,'PLANTA PERNO'!A:D,2,0)&amp;" "&amp;VLOOKUP(O55,'PLANTA PERNO'!A:D,3,0)))</f>
        <v>VACANTE DEFINITIVA</v>
      </c>
      <c r="Q55" s="21"/>
      <c r="R55" s="21"/>
      <c r="S55" s="21"/>
      <c r="T55" s="21"/>
      <c r="U55" s="21"/>
      <c r="V55" s="21"/>
      <c r="W55" s="38"/>
      <c r="X55" s="128"/>
      <c r="Y55" s="21" t="str">
        <f t="shared" si="8"/>
        <v>VACANTE DEFINITIVA</v>
      </c>
      <c r="Z55" s="23" t="s">
        <v>22</v>
      </c>
      <c r="AA55" s="24" t="s">
        <v>28</v>
      </c>
      <c r="AB55" s="25">
        <v>6</v>
      </c>
      <c r="AC55" s="27">
        <v>6</v>
      </c>
      <c r="AD55" s="28" t="str">
        <f t="shared" si="9"/>
        <v>6-6</v>
      </c>
      <c r="AE55" s="24" t="s">
        <v>138</v>
      </c>
      <c r="AF55" s="24" t="s">
        <v>138</v>
      </c>
      <c r="AG55" s="24" t="s">
        <v>1384</v>
      </c>
      <c r="AH55" s="24" t="s">
        <v>1386</v>
      </c>
      <c r="AI55" s="24" t="s">
        <v>1387</v>
      </c>
      <c r="AJ55" s="24" t="s">
        <v>1389</v>
      </c>
      <c r="AK55" s="93">
        <v>10208469.82</v>
      </c>
      <c r="AL55" s="93">
        <f t="shared" si="27"/>
        <v>4083387.9280000003</v>
      </c>
      <c r="AM55" s="93">
        <f t="shared" si="25"/>
        <v>0</v>
      </c>
      <c r="AN55" s="93">
        <f>IFERROR(INT(($AK55*(VLOOKUP($D55,'PORCENTAJES FACTORES'!B:N,12,0))/100)),0)</f>
        <v>0</v>
      </c>
      <c r="AO55" s="93">
        <f t="shared" si="26"/>
        <v>0</v>
      </c>
      <c r="AP55" s="93">
        <f t="shared" si="13"/>
        <v>0</v>
      </c>
      <c r="AQ55" s="93">
        <f t="shared" si="14"/>
        <v>0</v>
      </c>
      <c r="AR55" s="95">
        <f t="shared" si="15"/>
        <v>14291857.748</v>
      </c>
      <c r="AS55" s="96"/>
      <c r="AT55" s="97"/>
      <c r="AU55" s="43">
        <f t="shared" si="16"/>
        <v>10923062.707400002</v>
      </c>
      <c r="AV55" s="43">
        <v>50</v>
      </c>
      <c r="AW55" s="43">
        <f t="shared" si="17"/>
        <v>5461531.3537000008</v>
      </c>
      <c r="AX55" s="43">
        <f t="shared" si="18"/>
        <v>60076844.890700012</v>
      </c>
      <c r="AY55" s="58" t="s">
        <v>1616</v>
      </c>
      <c r="AZ55" s="58">
        <v>2581059</v>
      </c>
      <c r="BA55" s="58"/>
      <c r="BB55" s="58"/>
      <c r="BC55" s="48"/>
      <c r="BD55" s="48"/>
      <c r="BE55" s="48"/>
      <c r="BF55" s="48"/>
      <c r="BG55" s="48"/>
      <c r="BH55" s="48"/>
      <c r="BI55" s="48"/>
      <c r="BJ55" s="48"/>
      <c r="BK55" s="48"/>
      <c r="BL55" s="48"/>
      <c r="BM55" s="48"/>
      <c r="BN55" s="48"/>
      <c r="BO55" s="48"/>
      <c r="BP55" s="48"/>
      <c r="BQ55" s="48"/>
      <c r="BR55" s="48"/>
      <c r="BS55" s="48"/>
    </row>
    <row r="56" spans="1:71" ht="12.75" hidden="1" customHeight="1">
      <c r="A56" s="85">
        <v>52</v>
      </c>
      <c r="B56" s="86">
        <v>5049</v>
      </c>
      <c r="C56" s="29">
        <v>17</v>
      </c>
      <c r="D56" s="122">
        <v>40011063</v>
      </c>
      <c r="E56" s="18" t="str">
        <f>IF(D56&gt;0,VLOOKUP(D56,'PLANTA PERNO'!A:D,4,0)&amp;" "&amp;VLOOKUP(D56,'PLANTA PERNO'!A:D,2,0)&amp;" "&amp;VLOOKUP(D56,'PLANTA PERNO'!A:D,3,0),IF(O56="","VACANTE DEFINITIVA","VACANTE TEMPORAL"))</f>
        <v>NELCY TORRES MARTINEZ</v>
      </c>
      <c r="F56" s="20" t="s">
        <v>49</v>
      </c>
      <c r="G56" s="20" t="str">
        <f t="shared" si="0"/>
        <v>EN ENCARGO</v>
      </c>
      <c r="H56" s="33">
        <f t="shared" si="21"/>
        <v>44228</v>
      </c>
      <c r="I56" s="33">
        <f t="shared" si="22"/>
        <v>44228</v>
      </c>
      <c r="J56" s="31" t="str">
        <f t="shared" si="23"/>
        <v>MUJER</v>
      </c>
      <c r="K56" s="21">
        <f t="shared" ca="1" si="24"/>
        <v>68</v>
      </c>
      <c r="L56" s="21">
        <f t="shared" ca="1" si="5"/>
        <v>5</v>
      </c>
      <c r="M56" s="21" t="str">
        <f t="shared" si="6"/>
        <v>ENCARGO</v>
      </c>
      <c r="N56" s="21" t="str">
        <f t="shared" si="20"/>
        <v>VACANTE DEFINITIVA</v>
      </c>
      <c r="O56" s="21" t="s">
        <v>25</v>
      </c>
      <c r="P56" s="18" t="str">
        <f>IF(O56="","VACANTE DEFINITIVA",(VLOOKUP(O56,'PLANTA PERNO'!A:D,4,0)&amp;" "&amp;VLOOKUP(O56,'PLANTA PERNO'!A:D,2,0)&amp;" "&amp;VLOOKUP(O56,'PLANTA PERNO'!A:D,3,0)))</f>
        <v>VACANTE DEFINITIVA</v>
      </c>
      <c r="Q56" s="21" t="s">
        <v>1260</v>
      </c>
      <c r="R56" s="21">
        <v>1</v>
      </c>
      <c r="S56" s="21"/>
      <c r="T56" s="21"/>
      <c r="U56" s="21"/>
      <c r="V56" s="21"/>
      <c r="W56" s="38"/>
      <c r="X56" s="128"/>
      <c r="Y56" s="21" t="str">
        <f t="shared" si="8"/>
        <v>OCUPADO</v>
      </c>
      <c r="Z56" s="23" t="s">
        <v>50</v>
      </c>
      <c r="AA56" s="24" t="s">
        <v>51</v>
      </c>
      <c r="AB56" s="25">
        <v>222</v>
      </c>
      <c r="AC56" s="27">
        <v>27</v>
      </c>
      <c r="AD56" s="28" t="str">
        <f t="shared" si="9"/>
        <v>222-27</v>
      </c>
      <c r="AE56" s="24" t="s">
        <v>147</v>
      </c>
      <c r="AF56" s="24" t="s">
        <v>147</v>
      </c>
      <c r="AG56" s="24" t="s">
        <v>1404</v>
      </c>
      <c r="AH56" s="24" t="s">
        <v>1405</v>
      </c>
      <c r="AI56" s="24" t="s">
        <v>1406</v>
      </c>
      <c r="AJ56" s="24" t="s">
        <v>1407</v>
      </c>
      <c r="AK56" s="93">
        <v>7358646.8000000007</v>
      </c>
      <c r="AL56" s="93">
        <v>0</v>
      </c>
      <c r="AM56" s="93">
        <f t="shared" si="25"/>
        <v>220759</v>
      </c>
      <c r="AN56" s="93">
        <f>IFERROR(INT(($AK56*(VLOOKUP($D56,'PORCENTAJES FACTORES'!B:N,12,0))/100)),0)</f>
        <v>2943458</v>
      </c>
      <c r="AO56" s="93">
        <f t="shared" si="26"/>
        <v>0</v>
      </c>
      <c r="AP56" s="93">
        <f t="shared" si="13"/>
        <v>0</v>
      </c>
      <c r="AQ56" s="93">
        <f t="shared" si="14"/>
        <v>0</v>
      </c>
      <c r="AR56" s="95">
        <f t="shared" si="15"/>
        <v>10522863.800000001</v>
      </c>
      <c r="AS56" s="96"/>
      <c r="AT56" s="97"/>
      <c r="AU56" s="43">
        <f t="shared" si="16"/>
        <v>7873752.0760000013</v>
      </c>
      <c r="AV56" s="43">
        <v>40</v>
      </c>
      <c r="AW56" s="43">
        <f t="shared" si="17"/>
        <v>3149500.8304000008</v>
      </c>
      <c r="AX56" s="43">
        <f t="shared" si="18"/>
        <v>34644509.13440001</v>
      </c>
      <c r="AY56" s="58" t="s">
        <v>1638</v>
      </c>
      <c r="AZ56" s="58">
        <v>2673251</v>
      </c>
      <c r="BA56" s="58"/>
      <c r="BB56" s="58"/>
      <c r="BC56" s="48"/>
      <c r="BD56" s="48"/>
      <c r="BE56" s="48"/>
      <c r="BF56" s="48"/>
      <c r="BG56" s="48"/>
      <c r="BH56" s="48"/>
      <c r="BI56" s="48"/>
      <c r="BJ56" s="48"/>
      <c r="BK56" s="48"/>
      <c r="BL56" s="48"/>
      <c r="BM56" s="48"/>
      <c r="BN56" s="48"/>
      <c r="BO56" s="48"/>
      <c r="BP56" s="48"/>
      <c r="BQ56" s="48"/>
      <c r="BR56" s="48"/>
      <c r="BS56" s="48"/>
    </row>
    <row r="57" spans="1:71" ht="12.75" hidden="1" customHeight="1">
      <c r="A57" s="85">
        <v>53</v>
      </c>
      <c r="B57" s="86">
        <v>5050</v>
      </c>
      <c r="C57" s="29">
        <v>18</v>
      </c>
      <c r="D57" s="122">
        <v>52282454</v>
      </c>
      <c r="E57" s="18" t="str">
        <f>IF(D57&gt;0,VLOOKUP(D57,'PLANTA PERNO'!A:D,4,0)&amp;" "&amp;VLOOKUP(D57,'PLANTA PERNO'!A:D,2,0)&amp;" "&amp;VLOOKUP(D57,'PLANTA PERNO'!A:D,3,0),IF(O57="","VACANTE DEFINITIVA","VACANTE TEMPORAL"))</f>
        <v>ADRIANA PATRICIA GUZMAN CONTRERAS</v>
      </c>
      <c r="F57" s="20" t="s">
        <v>49</v>
      </c>
      <c r="G57" s="20" t="str">
        <f t="shared" si="0"/>
        <v>CARRERA ADMINISTRATIVA</v>
      </c>
      <c r="H57" s="33">
        <f t="shared" si="21"/>
        <v>44146</v>
      </c>
      <c r="I57" s="33">
        <f t="shared" si="22"/>
        <v>39190</v>
      </c>
      <c r="J57" s="31" t="str">
        <f t="shared" si="23"/>
        <v>MUJER</v>
      </c>
      <c r="K57" s="21">
        <f t="shared" ca="1" si="24"/>
        <v>49</v>
      </c>
      <c r="L57" s="21">
        <f t="shared" ca="1" si="5"/>
        <v>5</v>
      </c>
      <c r="M57" s="21" t="str">
        <f t="shared" si="6"/>
        <v/>
      </c>
      <c r="N57" s="21" t="str">
        <f t="shared" si="20"/>
        <v>EN PROPIEDAD</v>
      </c>
      <c r="O57" s="21">
        <v>52282454</v>
      </c>
      <c r="P57" s="18" t="str">
        <f>IF(O57="","VACANTE DEFINITIVA",(VLOOKUP(O57,'PLANTA PERNO'!A:D,4,0)&amp;" "&amp;VLOOKUP(O57,'PLANTA PERNO'!A:D,2,0)&amp;" "&amp;VLOOKUP(O57,'PLANTA PERNO'!A:D,3,0)))</f>
        <v>ADRIANA PATRICIA GUZMAN CONTRERAS</v>
      </c>
      <c r="Q57" s="21"/>
      <c r="R57" s="21"/>
      <c r="S57" s="21"/>
      <c r="T57" s="21"/>
      <c r="U57" s="21"/>
      <c r="V57" s="21"/>
      <c r="W57" s="38">
        <v>66682</v>
      </c>
      <c r="X57" s="128"/>
      <c r="Y57" s="21" t="str">
        <f t="shared" si="8"/>
        <v>OCUPADO</v>
      </c>
      <c r="Z57" s="23" t="s">
        <v>50</v>
      </c>
      <c r="AA57" s="24" t="s">
        <v>51</v>
      </c>
      <c r="AB57" s="25">
        <v>222</v>
      </c>
      <c r="AC57" s="27">
        <v>27</v>
      </c>
      <c r="AD57" s="28" t="str">
        <f t="shared" si="9"/>
        <v>222-27</v>
      </c>
      <c r="AE57" s="24" t="s">
        <v>147</v>
      </c>
      <c r="AF57" s="24" t="s">
        <v>147</v>
      </c>
      <c r="AG57" s="24" t="s">
        <v>1427</v>
      </c>
      <c r="AH57" s="24" t="s">
        <v>1428</v>
      </c>
      <c r="AI57" s="24" t="s">
        <v>1429</v>
      </c>
      <c r="AJ57" s="24" t="s">
        <v>1430</v>
      </c>
      <c r="AK57" s="93">
        <v>7358646.8000000007</v>
      </c>
      <c r="AL57" s="93">
        <v>0</v>
      </c>
      <c r="AM57" s="93">
        <f t="shared" si="25"/>
        <v>515105</v>
      </c>
      <c r="AN57" s="93">
        <f>IFERROR(INT(($AK57*(VLOOKUP($D57,'PORCENTAJES FACTORES'!B:N,12,0))/100)),0)</f>
        <v>2943458</v>
      </c>
      <c r="AO57" s="93">
        <f t="shared" si="26"/>
        <v>0</v>
      </c>
      <c r="AP57" s="93">
        <f t="shared" si="13"/>
        <v>0</v>
      </c>
      <c r="AQ57" s="93">
        <f t="shared" si="14"/>
        <v>0</v>
      </c>
      <c r="AR57" s="95">
        <f t="shared" si="15"/>
        <v>10817209.800000001</v>
      </c>
      <c r="AS57" s="96"/>
      <c r="AT57" s="97"/>
      <c r="AU57" s="43">
        <f t="shared" si="16"/>
        <v>7873752.0760000013</v>
      </c>
      <c r="AV57" s="43">
        <v>40</v>
      </c>
      <c r="AW57" s="43">
        <f t="shared" si="17"/>
        <v>3149500.8304000008</v>
      </c>
      <c r="AX57" s="43">
        <f t="shared" si="18"/>
        <v>34644509.13440001</v>
      </c>
      <c r="AY57" s="58" t="s">
        <v>1708</v>
      </c>
      <c r="AZ57" s="58">
        <v>2819837</v>
      </c>
      <c r="BA57" s="58"/>
      <c r="BB57" s="58"/>
      <c r="BC57" s="48"/>
      <c r="BD57" s="48"/>
      <c r="BE57" s="48"/>
      <c r="BF57" s="48"/>
      <c r="BG57" s="48"/>
      <c r="BH57" s="48"/>
      <c r="BI57" s="48"/>
      <c r="BJ57" s="48"/>
      <c r="BK57" s="48"/>
      <c r="BL57" s="48"/>
      <c r="BM57" s="48"/>
      <c r="BN57" s="48"/>
      <c r="BO57" s="48"/>
      <c r="BP57" s="48"/>
      <c r="BQ57" s="48"/>
      <c r="BR57" s="48"/>
      <c r="BS57" s="48"/>
    </row>
    <row r="58" spans="1:71" ht="12.75" hidden="1" customHeight="1">
      <c r="A58" s="85">
        <v>54</v>
      </c>
      <c r="B58" s="86">
        <v>5051</v>
      </c>
      <c r="C58" s="29">
        <v>28</v>
      </c>
      <c r="D58" s="122">
        <v>52236487</v>
      </c>
      <c r="E58" s="18" t="str">
        <f>IF(D58&gt;0,VLOOKUP(D58,'PLANTA PERNO'!A:D,4,0)&amp;" "&amp;VLOOKUP(D58,'PLANTA PERNO'!A:D,2,0)&amp;" "&amp;VLOOKUP(D58,'PLANTA PERNO'!A:D,3,0),IF(O58="","VACANTE DEFINITIVA","VACANTE TEMPORAL"))</f>
        <v>DEYSI YANIRA MORENO GUERRERO</v>
      </c>
      <c r="F58" s="20" t="s">
        <v>49</v>
      </c>
      <c r="G58" s="20" t="str">
        <f t="shared" si="0"/>
        <v>CARRERA ADMINISTRATIVA</v>
      </c>
      <c r="H58" s="33">
        <f t="shared" si="21"/>
        <v>42585</v>
      </c>
      <c r="I58" s="33">
        <f t="shared" si="22"/>
        <v>38093</v>
      </c>
      <c r="J58" s="31" t="str">
        <f t="shared" si="23"/>
        <v>MUJER</v>
      </c>
      <c r="K58" s="21">
        <f t="shared" ca="1" si="24"/>
        <v>48</v>
      </c>
      <c r="L58" s="21">
        <f t="shared" ca="1" si="5"/>
        <v>10</v>
      </c>
      <c r="M58" s="21" t="str">
        <f t="shared" si="6"/>
        <v/>
      </c>
      <c r="N58" s="21" t="str">
        <f t="shared" si="20"/>
        <v>EN PROPIEDAD</v>
      </c>
      <c r="O58" s="21">
        <v>52236487</v>
      </c>
      <c r="P58" s="18" t="str">
        <f>IF(O58="","VACANTE DEFINITIVA",(VLOOKUP(O58,'PLANTA PERNO'!A:D,4,0)&amp;" "&amp;VLOOKUP(O58,'PLANTA PERNO'!A:D,2,0)&amp;" "&amp;VLOOKUP(O58,'PLANTA PERNO'!A:D,3,0)))</f>
        <v>DEYSI YANIRA MORENO GUERRERO</v>
      </c>
      <c r="Q58" s="21"/>
      <c r="R58" s="21"/>
      <c r="S58" s="21"/>
      <c r="T58" s="21"/>
      <c r="U58" s="21"/>
      <c r="V58" s="21"/>
      <c r="W58" s="38"/>
      <c r="X58" s="128"/>
      <c r="Y58" s="21" t="str">
        <f t="shared" si="8"/>
        <v>OCUPADO</v>
      </c>
      <c r="Z58" s="23" t="s">
        <v>50</v>
      </c>
      <c r="AA58" s="24" t="s">
        <v>51</v>
      </c>
      <c r="AB58" s="25">
        <v>222</v>
      </c>
      <c r="AC58" s="27">
        <v>27</v>
      </c>
      <c r="AD58" s="28" t="str">
        <f t="shared" si="9"/>
        <v>222-27</v>
      </c>
      <c r="AE58" s="24" t="s">
        <v>68</v>
      </c>
      <c r="AF58" s="24" t="s">
        <v>68</v>
      </c>
      <c r="AG58" s="24" t="s">
        <v>1450</v>
      </c>
      <c r="AH58" s="24" t="s">
        <v>1454</v>
      </c>
      <c r="AI58" s="24" t="s">
        <v>1455</v>
      </c>
      <c r="AJ58" s="103" t="s">
        <v>1457</v>
      </c>
      <c r="AK58" s="93">
        <v>7358646.8000000007</v>
      </c>
      <c r="AL58" s="93">
        <v>0</v>
      </c>
      <c r="AM58" s="93">
        <f t="shared" si="25"/>
        <v>515105</v>
      </c>
      <c r="AN58" s="93">
        <f>IFERROR(INT(($AK58*(VLOOKUP($D58,'PORCENTAJES FACTORES'!B:N,12,0))/100)),0)</f>
        <v>2943458</v>
      </c>
      <c r="AO58" s="93">
        <f t="shared" si="26"/>
        <v>0</v>
      </c>
      <c r="AP58" s="93">
        <f t="shared" si="13"/>
        <v>0</v>
      </c>
      <c r="AQ58" s="93">
        <f t="shared" si="14"/>
        <v>0</v>
      </c>
      <c r="AR58" s="95">
        <f t="shared" si="15"/>
        <v>10817209.800000001</v>
      </c>
      <c r="AS58" s="96"/>
      <c r="AT58" s="97"/>
      <c r="AU58" s="43">
        <f t="shared" si="16"/>
        <v>7873752.0760000013</v>
      </c>
      <c r="AV58" s="43">
        <v>40</v>
      </c>
      <c r="AW58" s="43">
        <f t="shared" si="17"/>
        <v>3149500.8304000008</v>
      </c>
      <c r="AX58" s="43">
        <f t="shared" si="18"/>
        <v>34644509.13440001</v>
      </c>
      <c r="AY58" s="58" t="s">
        <v>1732</v>
      </c>
      <c r="AZ58" s="58">
        <v>2911229</v>
      </c>
      <c r="BA58" s="58"/>
      <c r="BB58" s="58"/>
      <c r="BC58" s="48"/>
      <c r="BD58" s="48"/>
      <c r="BE58" s="48"/>
      <c r="BF58" s="48"/>
      <c r="BG58" s="48"/>
      <c r="BH58" s="48"/>
      <c r="BI58" s="48"/>
      <c r="BJ58" s="48"/>
      <c r="BK58" s="48"/>
      <c r="BL58" s="48"/>
      <c r="BM58" s="48"/>
      <c r="BN58" s="48"/>
      <c r="BO58" s="48"/>
      <c r="BP58" s="48"/>
      <c r="BQ58" s="48"/>
      <c r="BR58" s="48"/>
      <c r="BS58" s="48"/>
    </row>
    <row r="59" spans="1:71" ht="12.75" hidden="1" customHeight="1">
      <c r="A59" s="85">
        <v>55</v>
      </c>
      <c r="B59" s="86">
        <v>5052</v>
      </c>
      <c r="C59" s="29">
        <v>29</v>
      </c>
      <c r="D59" s="122">
        <v>80222608</v>
      </c>
      <c r="E59" s="18" t="str">
        <f>IF(D59&gt;0,VLOOKUP(D59,'PLANTA PERNO'!A:D,4,0)&amp;" "&amp;VLOOKUP(D59,'PLANTA PERNO'!A:D,2,0)&amp;" "&amp;VLOOKUP(D59,'PLANTA PERNO'!A:D,3,0),IF(O59="","VACANTE DEFINITIVA","VACANTE TEMPORAL"))</f>
        <v>GERMAN ALBERTO PULIDO PULIDO</v>
      </c>
      <c r="F59" s="20" t="s">
        <v>49</v>
      </c>
      <c r="G59" s="20" t="str">
        <f t="shared" si="0"/>
        <v>CARRERA ADMINISTRATIVA</v>
      </c>
      <c r="H59" s="33">
        <f t="shared" si="21"/>
        <v>44294</v>
      </c>
      <c r="I59" s="33">
        <f t="shared" si="22"/>
        <v>40598</v>
      </c>
      <c r="J59" s="31" t="str">
        <f t="shared" si="23"/>
        <v>HOMBRE</v>
      </c>
      <c r="K59" s="21">
        <f t="shared" ca="1" si="24"/>
        <v>43</v>
      </c>
      <c r="L59" s="21">
        <f t="shared" ca="1" si="5"/>
        <v>5</v>
      </c>
      <c r="M59" s="21" t="str">
        <f t="shared" si="6"/>
        <v/>
      </c>
      <c r="N59" s="21" t="str">
        <f t="shared" si="20"/>
        <v>EN PROPIEDAD</v>
      </c>
      <c r="O59" s="21">
        <v>80222608</v>
      </c>
      <c r="P59" s="18" t="str">
        <f>IF(O59="","VACANTE DEFINITIVA",(VLOOKUP(O59,'PLANTA PERNO'!A:D,4,0)&amp;" "&amp;VLOOKUP(O59,'PLANTA PERNO'!A:D,2,0)&amp;" "&amp;VLOOKUP(O59,'PLANTA PERNO'!A:D,3,0)))</f>
        <v>GERMAN ALBERTO PULIDO PULIDO</v>
      </c>
      <c r="Q59" s="21"/>
      <c r="R59" s="21"/>
      <c r="S59" s="21"/>
      <c r="T59" s="21"/>
      <c r="U59" s="21"/>
      <c r="V59" s="21"/>
      <c r="W59" s="38">
        <v>66686</v>
      </c>
      <c r="X59" s="128"/>
      <c r="Y59" s="21" t="str">
        <f t="shared" si="8"/>
        <v>OCUPADO</v>
      </c>
      <c r="Z59" s="23" t="s">
        <v>50</v>
      </c>
      <c r="AA59" s="24" t="s">
        <v>51</v>
      </c>
      <c r="AB59" s="25">
        <v>222</v>
      </c>
      <c r="AC59" s="27">
        <v>27</v>
      </c>
      <c r="AD59" s="28" t="str">
        <f t="shared" si="9"/>
        <v>222-27</v>
      </c>
      <c r="AE59" s="24" t="s">
        <v>174</v>
      </c>
      <c r="AF59" s="24" t="s">
        <v>174</v>
      </c>
      <c r="AG59" s="24" t="s">
        <v>1483</v>
      </c>
      <c r="AH59" s="24" t="s">
        <v>1486</v>
      </c>
      <c r="AI59" s="24" t="s">
        <v>1488</v>
      </c>
      <c r="AJ59" s="24" t="s">
        <v>1490</v>
      </c>
      <c r="AK59" s="93">
        <v>7358646.8000000007</v>
      </c>
      <c r="AL59" s="93">
        <v>0</v>
      </c>
      <c r="AM59" s="93">
        <f t="shared" si="25"/>
        <v>515105</v>
      </c>
      <c r="AN59" s="93">
        <f>IFERROR(INT(($AK59*(VLOOKUP($D59,'PORCENTAJES FACTORES'!B:N,12,0))/100)),0)</f>
        <v>2943458</v>
      </c>
      <c r="AO59" s="93">
        <f t="shared" si="26"/>
        <v>0</v>
      </c>
      <c r="AP59" s="93">
        <f t="shared" si="13"/>
        <v>0</v>
      </c>
      <c r="AQ59" s="93">
        <f t="shared" si="14"/>
        <v>0</v>
      </c>
      <c r="AR59" s="95">
        <f t="shared" si="15"/>
        <v>10817209.800000001</v>
      </c>
      <c r="AS59" s="96"/>
      <c r="AT59" s="97"/>
      <c r="AU59" s="43">
        <f t="shared" si="16"/>
        <v>7873752.0760000013</v>
      </c>
      <c r="AV59" s="43">
        <v>40</v>
      </c>
      <c r="AW59" s="43">
        <f t="shared" si="17"/>
        <v>3149500.8304000008</v>
      </c>
      <c r="AX59" s="43">
        <f t="shared" si="18"/>
        <v>34644509.13440001</v>
      </c>
      <c r="AY59" s="58" t="s">
        <v>1758</v>
      </c>
      <c r="AZ59" s="58">
        <v>3002627</v>
      </c>
      <c r="BA59" s="58"/>
      <c r="BB59" s="58"/>
      <c r="BC59" s="48"/>
      <c r="BD59" s="48"/>
      <c r="BE59" s="48"/>
      <c r="BF59" s="48"/>
      <c r="BG59" s="48"/>
      <c r="BH59" s="48"/>
      <c r="BI59" s="48"/>
      <c r="BJ59" s="48"/>
      <c r="BK59" s="48"/>
      <c r="BL59" s="48"/>
      <c r="BM59" s="48"/>
      <c r="BN59" s="48"/>
      <c r="BO59" s="48"/>
      <c r="BP59" s="48"/>
      <c r="BQ59" s="48"/>
      <c r="BR59" s="48"/>
      <c r="BS59" s="48"/>
    </row>
    <row r="60" spans="1:71" ht="12.75" hidden="1" customHeight="1">
      <c r="A60" s="85">
        <v>56</v>
      </c>
      <c r="B60" s="86">
        <v>5053</v>
      </c>
      <c r="C60" s="29">
        <v>30</v>
      </c>
      <c r="D60" s="122">
        <v>28496885</v>
      </c>
      <c r="E60" s="18" t="str">
        <f>IF(D60&gt;0,VLOOKUP(D60,'PLANTA PERNO'!A:D,4,0)&amp;" "&amp;VLOOKUP(D60,'PLANTA PERNO'!A:D,2,0)&amp;" "&amp;VLOOKUP(D60,'PLANTA PERNO'!A:D,3,0),IF(O60="","VACANTE DEFINITIVA","VACANTE TEMPORAL"))</f>
        <v>ESTHER PINILLA SERRANO</v>
      </c>
      <c r="F60" s="20" t="s">
        <v>49</v>
      </c>
      <c r="G60" s="20" t="str">
        <f t="shared" si="0"/>
        <v>CARRERA ADMINISTRATIVA</v>
      </c>
      <c r="H60" s="33">
        <f t="shared" si="21"/>
        <v>44229</v>
      </c>
      <c r="I60" s="33">
        <f t="shared" si="22"/>
        <v>44229</v>
      </c>
      <c r="J60" s="31" t="str">
        <f t="shared" si="23"/>
        <v>MUJER</v>
      </c>
      <c r="K60" s="21">
        <f t="shared" ca="1" si="24"/>
        <v>54</v>
      </c>
      <c r="L60" s="21">
        <f t="shared" ca="1" si="5"/>
        <v>5</v>
      </c>
      <c r="M60" s="21" t="str">
        <f t="shared" si="6"/>
        <v/>
      </c>
      <c r="N60" s="21" t="str">
        <f t="shared" si="20"/>
        <v>EN PROPIEDAD</v>
      </c>
      <c r="O60" s="21">
        <v>28496885</v>
      </c>
      <c r="P60" s="18" t="str">
        <f>IF(O60="","VACANTE DEFINITIVA",(VLOOKUP(O60,'PLANTA PERNO'!A:D,4,0)&amp;" "&amp;VLOOKUP(O60,'PLANTA PERNO'!A:D,2,0)&amp;" "&amp;VLOOKUP(O60,'PLANTA PERNO'!A:D,3,0)))</f>
        <v>ESTHER PINILLA SERRANO</v>
      </c>
      <c r="Q60" s="21"/>
      <c r="R60" s="21"/>
      <c r="S60" s="21"/>
      <c r="T60" s="21"/>
      <c r="U60" s="21"/>
      <c r="V60" s="21"/>
      <c r="W60" s="38">
        <v>66689</v>
      </c>
      <c r="X60" s="128"/>
      <c r="Y60" s="21" t="str">
        <f t="shared" si="8"/>
        <v>OCUPADO</v>
      </c>
      <c r="Z60" s="23" t="s">
        <v>50</v>
      </c>
      <c r="AA60" s="24" t="s">
        <v>51</v>
      </c>
      <c r="AB60" s="25">
        <v>222</v>
      </c>
      <c r="AC60" s="27">
        <v>27</v>
      </c>
      <c r="AD60" s="28" t="str">
        <f t="shared" si="9"/>
        <v>222-27</v>
      </c>
      <c r="AE60" s="24" t="s">
        <v>174</v>
      </c>
      <c r="AF60" s="24" t="s">
        <v>174</v>
      </c>
      <c r="AG60" s="24" t="s">
        <v>1522</v>
      </c>
      <c r="AH60" s="24" t="s">
        <v>1523</v>
      </c>
      <c r="AI60" s="24" t="s">
        <v>56</v>
      </c>
      <c r="AJ60" s="103" t="s">
        <v>1524</v>
      </c>
      <c r="AK60" s="93">
        <v>7358646.8000000007</v>
      </c>
      <c r="AL60" s="93">
        <v>0</v>
      </c>
      <c r="AM60" s="93">
        <f t="shared" si="25"/>
        <v>220759</v>
      </c>
      <c r="AN60" s="93">
        <f>IFERROR(INT(($AK60*(VLOOKUP($D60,'PORCENTAJES FACTORES'!B:N,12,0))/100)),0)</f>
        <v>2943458</v>
      </c>
      <c r="AO60" s="93">
        <f t="shared" si="26"/>
        <v>0</v>
      </c>
      <c r="AP60" s="93">
        <f t="shared" si="13"/>
        <v>0</v>
      </c>
      <c r="AQ60" s="93">
        <f t="shared" si="14"/>
        <v>0</v>
      </c>
      <c r="AR60" s="95">
        <f t="shared" si="15"/>
        <v>10522863.800000001</v>
      </c>
      <c r="AS60" s="96"/>
      <c r="AT60" s="97"/>
      <c r="AU60" s="43">
        <f t="shared" si="16"/>
        <v>7873752.0760000013</v>
      </c>
      <c r="AV60" s="43">
        <v>40</v>
      </c>
      <c r="AW60" s="43">
        <f t="shared" si="17"/>
        <v>3149500.8304000008</v>
      </c>
      <c r="AX60" s="43">
        <f t="shared" si="18"/>
        <v>34644509.13440001</v>
      </c>
      <c r="AY60" s="58" t="s">
        <v>1787</v>
      </c>
      <c r="AZ60" s="58">
        <v>3120117</v>
      </c>
      <c r="BA60" s="58"/>
      <c r="BB60" s="58"/>
      <c r="BC60" s="48"/>
      <c r="BD60" s="48"/>
      <c r="BE60" s="48"/>
      <c r="BF60" s="48"/>
      <c r="BG60" s="48"/>
      <c r="BH60" s="48"/>
      <c r="BI60" s="48"/>
      <c r="BJ60" s="48"/>
      <c r="BK60" s="48"/>
      <c r="BL60" s="48"/>
      <c r="BM60" s="48"/>
      <c r="BN60" s="48"/>
      <c r="BO60" s="48"/>
      <c r="BP60" s="48"/>
      <c r="BQ60" s="48"/>
      <c r="BR60" s="48"/>
      <c r="BS60" s="48"/>
    </row>
    <row r="61" spans="1:71" ht="12.75" hidden="1" customHeight="1">
      <c r="A61" s="85">
        <v>57</v>
      </c>
      <c r="B61" s="86">
        <v>5072</v>
      </c>
      <c r="C61" s="29">
        <v>31</v>
      </c>
      <c r="D61" s="122">
        <v>80850931</v>
      </c>
      <c r="E61" s="18" t="str">
        <f>IF(D61&gt;0,VLOOKUP(D61,'PLANTA PERNO'!A:D,4,0)&amp;" "&amp;VLOOKUP(D61,'PLANTA PERNO'!A:D,2,0)&amp;" "&amp;VLOOKUP(D61,'PLANTA PERNO'!A:D,3,0),IF(O61="","VACANTE DEFINITIVA","VACANTE TEMPORAL"))</f>
        <v>RUBEN DARIO GALLEGO GONZALEZ</v>
      </c>
      <c r="F61" s="20" t="s">
        <v>49</v>
      </c>
      <c r="G61" s="20" t="str">
        <f t="shared" si="0"/>
        <v>CARRERA ADMINISTRATIVA</v>
      </c>
      <c r="H61" s="33">
        <f t="shared" si="21"/>
        <v>43049</v>
      </c>
      <c r="I61" s="33">
        <f t="shared" si="22"/>
        <v>43049</v>
      </c>
      <c r="J61" s="31" t="str">
        <f t="shared" si="23"/>
        <v>HOMBRE</v>
      </c>
      <c r="K61" s="21">
        <f t="shared" ca="1" si="24"/>
        <v>42</v>
      </c>
      <c r="L61" s="21">
        <f t="shared" ca="1" si="5"/>
        <v>8</v>
      </c>
      <c r="M61" s="21" t="str">
        <f t="shared" si="6"/>
        <v/>
      </c>
      <c r="N61" s="21" t="str">
        <f t="shared" si="20"/>
        <v>EN PROPIEDAD</v>
      </c>
      <c r="O61" s="21">
        <v>80850931</v>
      </c>
      <c r="P61" s="18" t="str">
        <f>IF(O61="","VACANTE DEFINITIVA",(VLOOKUP(O61,'PLANTA PERNO'!A:D,4,0)&amp;" "&amp;VLOOKUP(O61,'PLANTA PERNO'!A:D,2,0)&amp;" "&amp;VLOOKUP(O61,'PLANTA PERNO'!A:D,3,0)))</f>
        <v>RUBEN DARIO GALLEGO GONZALEZ</v>
      </c>
      <c r="Q61" s="21"/>
      <c r="R61" s="21"/>
      <c r="S61" s="21"/>
      <c r="T61" s="21"/>
      <c r="U61" s="21"/>
      <c r="V61" s="21"/>
      <c r="W61" s="38">
        <v>66689</v>
      </c>
      <c r="X61" s="128"/>
      <c r="Y61" s="21" t="str">
        <f t="shared" si="8"/>
        <v>OCUPADO</v>
      </c>
      <c r="Z61" s="23" t="s">
        <v>50</v>
      </c>
      <c r="AA61" s="24" t="s">
        <v>51</v>
      </c>
      <c r="AB61" s="25">
        <v>222</v>
      </c>
      <c r="AC61" s="27">
        <v>27</v>
      </c>
      <c r="AD61" s="28" t="str">
        <f t="shared" si="9"/>
        <v>222-27</v>
      </c>
      <c r="AE61" s="24" t="s">
        <v>174</v>
      </c>
      <c r="AF61" s="24" t="s">
        <v>174</v>
      </c>
      <c r="AG61" s="24" t="s">
        <v>1555</v>
      </c>
      <c r="AH61" s="24" t="s">
        <v>1523</v>
      </c>
      <c r="AI61" s="24" t="s">
        <v>56</v>
      </c>
      <c r="AJ61" s="103" t="s">
        <v>1524</v>
      </c>
      <c r="AK61" s="93">
        <v>7358646.8000000007</v>
      </c>
      <c r="AL61" s="93">
        <v>0</v>
      </c>
      <c r="AM61" s="93">
        <f t="shared" si="25"/>
        <v>220759</v>
      </c>
      <c r="AN61" s="93">
        <f>IFERROR(INT(($AK61*(VLOOKUP($D61,'PORCENTAJES FACTORES'!B:N,12,0))/100)),0)</f>
        <v>2943458</v>
      </c>
      <c r="AO61" s="93">
        <f t="shared" si="26"/>
        <v>0</v>
      </c>
      <c r="AP61" s="93">
        <f t="shared" si="13"/>
        <v>0</v>
      </c>
      <c r="AQ61" s="93">
        <f t="shared" si="14"/>
        <v>0</v>
      </c>
      <c r="AR61" s="95">
        <f t="shared" si="15"/>
        <v>10522863.800000001</v>
      </c>
      <c r="AS61" s="96"/>
      <c r="AT61" s="97"/>
      <c r="AU61" s="43">
        <f t="shared" si="16"/>
        <v>7873752.0760000013</v>
      </c>
      <c r="AV61" s="43">
        <v>40</v>
      </c>
      <c r="AW61" s="43">
        <f t="shared" si="17"/>
        <v>3149500.8304000008</v>
      </c>
      <c r="AX61" s="43">
        <f t="shared" si="18"/>
        <v>34644509.13440001</v>
      </c>
      <c r="AY61" s="58" t="s">
        <v>1810</v>
      </c>
      <c r="AZ61" s="58">
        <v>3211519</v>
      </c>
      <c r="BA61" s="58"/>
      <c r="BB61" s="58"/>
      <c r="BC61" s="48"/>
      <c r="BD61" s="48"/>
      <c r="BE61" s="48"/>
      <c r="BF61" s="48"/>
      <c r="BG61" s="48"/>
      <c r="BH61" s="48"/>
      <c r="BI61" s="48"/>
      <c r="BJ61" s="48"/>
      <c r="BK61" s="48"/>
      <c r="BL61" s="48"/>
      <c r="BM61" s="48"/>
      <c r="BN61" s="48"/>
      <c r="BO61" s="48"/>
      <c r="BP61" s="48"/>
      <c r="BQ61" s="48"/>
      <c r="BR61" s="48"/>
      <c r="BS61" s="48"/>
    </row>
    <row r="62" spans="1:71" ht="12.75" hidden="1" customHeight="1">
      <c r="A62" s="85">
        <v>58</v>
      </c>
      <c r="B62" s="86">
        <v>5054</v>
      </c>
      <c r="C62" s="29">
        <v>32</v>
      </c>
      <c r="D62" s="122">
        <v>79567977</v>
      </c>
      <c r="E62" s="18" t="str">
        <f>IF(D62&gt;0,VLOOKUP(D62,'PLANTA PERNO'!A:D,4,0)&amp;" "&amp;VLOOKUP(D62,'PLANTA PERNO'!A:D,2,0)&amp;" "&amp;VLOOKUP(D62,'PLANTA PERNO'!A:D,3,0),IF(O62="","VACANTE DEFINITIVA","VACANTE TEMPORAL"))</f>
        <v>FERNANDO PACHON PIÃ‘EROS</v>
      </c>
      <c r="F62" s="20" t="s">
        <v>49</v>
      </c>
      <c r="G62" s="20" t="str">
        <f t="shared" si="0"/>
        <v>EN ENCARGO</v>
      </c>
      <c r="H62" s="33">
        <f t="shared" si="21"/>
        <v>42585</v>
      </c>
      <c r="I62" s="33">
        <f t="shared" si="22"/>
        <v>40267</v>
      </c>
      <c r="J62" s="31" t="str">
        <f t="shared" si="23"/>
        <v>HOMBRE</v>
      </c>
      <c r="K62" s="21">
        <f t="shared" ca="1" si="24"/>
        <v>53</v>
      </c>
      <c r="L62" s="21">
        <f t="shared" ca="1" si="5"/>
        <v>10</v>
      </c>
      <c r="M62" s="21" t="str">
        <f t="shared" si="6"/>
        <v>ENCARGO</v>
      </c>
      <c r="N62" s="21" t="str">
        <f t="shared" si="20"/>
        <v>VACANTE DEFINITIVA</v>
      </c>
      <c r="O62" s="21" t="s">
        <v>25</v>
      </c>
      <c r="P62" s="18" t="str">
        <f>IF(O62="","VACANTE DEFINITIVA",(VLOOKUP(O62,'PLANTA PERNO'!A:D,4,0)&amp;" "&amp;VLOOKUP(O62,'PLANTA PERNO'!A:D,2,0)&amp;" "&amp;VLOOKUP(O62,'PLANTA PERNO'!A:D,3,0)))</f>
        <v>VACANTE DEFINITIVA</v>
      </c>
      <c r="Q62" s="21" t="s">
        <v>1823</v>
      </c>
      <c r="R62" s="21">
        <v>1</v>
      </c>
      <c r="S62" s="21"/>
      <c r="T62" s="21"/>
      <c r="U62" s="21"/>
      <c r="V62" s="21"/>
      <c r="W62" s="38"/>
      <c r="X62" s="129">
        <v>220274</v>
      </c>
      <c r="Y62" s="21" t="str">
        <f t="shared" si="8"/>
        <v>OCUPADO</v>
      </c>
      <c r="Z62" s="23" t="s">
        <v>50</v>
      </c>
      <c r="AA62" s="24" t="s">
        <v>51</v>
      </c>
      <c r="AB62" s="25">
        <v>222</v>
      </c>
      <c r="AC62" s="27">
        <v>27</v>
      </c>
      <c r="AD62" s="28" t="str">
        <f t="shared" si="9"/>
        <v>222-27</v>
      </c>
      <c r="AE62" s="24" t="s">
        <v>153</v>
      </c>
      <c r="AF62" s="24" t="s">
        <v>153</v>
      </c>
      <c r="AG62" s="24" t="s">
        <v>1573</v>
      </c>
      <c r="AH62" s="24" t="s">
        <v>1576</v>
      </c>
      <c r="AI62" s="24" t="s">
        <v>1577</v>
      </c>
      <c r="AJ62" s="24" t="s">
        <v>1578</v>
      </c>
      <c r="AK62" s="93">
        <v>7358646.8000000007</v>
      </c>
      <c r="AL62" s="93">
        <v>0</v>
      </c>
      <c r="AM62" s="93">
        <f t="shared" si="25"/>
        <v>515105</v>
      </c>
      <c r="AN62" s="93">
        <f>IFERROR(INT(($AK62*(VLOOKUP($D62,'PORCENTAJES FACTORES'!B:N,12,0))/100)),0)</f>
        <v>2943458</v>
      </c>
      <c r="AO62" s="93">
        <f t="shared" si="26"/>
        <v>0</v>
      </c>
      <c r="AP62" s="93">
        <f t="shared" si="13"/>
        <v>0</v>
      </c>
      <c r="AQ62" s="93">
        <f t="shared" si="14"/>
        <v>0</v>
      </c>
      <c r="AR62" s="95">
        <f t="shared" si="15"/>
        <v>10817209.800000001</v>
      </c>
      <c r="AS62" s="96"/>
      <c r="AT62" s="97"/>
      <c r="AU62" s="43">
        <f t="shared" si="16"/>
        <v>7873752.0760000013</v>
      </c>
      <c r="AV62" s="43">
        <v>40</v>
      </c>
      <c r="AW62" s="43">
        <f t="shared" si="17"/>
        <v>3149500.8304000008</v>
      </c>
      <c r="AX62" s="43">
        <f t="shared" si="18"/>
        <v>34644509.13440001</v>
      </c>
      <c r="AY62" s="58" t="s">
        <v>1831</v>
      </c>
      <c r="AZ62" s="58">
        <v>3315966</v>
      </c>
      <c r="BA62" s="58"/>
      <c r="BB62" s="58"/>
      <c r="BC62" s="48"/>
      <c r="BD62" s="48"/>
      <c r="BE62" s="48"/>
      <c r="BF62" s="48"/>
      <c r="BG62" s="48"/>
      <c r="BH62" s="48"/>
      <c r="BI62" s="48"/>
      <c r="BJ62" s="48"/>
      <c r="BK62" s="48"/>
      <c r="BL62" s="48"/>
      <c r="BM62" s="48"/>
      <c r="BN62" s="48"/>
      <c r="BO62" s="48"/>
      <c r="BP62" s="48"/>
      <c r="BQ62" s="48"/>
      <c r="BR62" s="48"/>
      <c r="BS62" s="48"/>
    </row>
    <row r="63" spans="1:71" ht="12.75" hidden="1" customHeight="1">
      <c r="A63" s="85">
        <v>59</v>
      </c>
      <c r="B63" s="86">
        <v>5055</v>
      </c>
      <c r="C63" s="29">
        <v>33</v>
      </c>
      <c r="D63" s="122">
        <v>3085860</v>
      </c>
      <c r="E63" s="18" t="str">
        <f>IF(D63&gt;0,VLOOKUP(D63,'PLANTA PERNO'!A:D,4,0)&amp;" "&amp;VLOOKUP(D63,'PLANTA PERNO'!A:D,2,0)&amp;" "&amp;VLOOKUP(D63,'PLANTA PERNO'!A:D,3,0),IF(O63="","VACANTE DEFINITIVA","VACANTE TEMPORAL"))</f>
        <v>LUIS ALFONSO CASTIBLANCO URQUIJO</v>
      </c>
      <c r="F63" s="20" t="s">
        <v>49</v>
      </c>
      <c r="G63" s="20" t="str">
        <f t="shared" si="0"/>
        <v>EN ENCARGO</v>
      </c>
      <c r="H63" s="33">
        <f t="shared" si="21"/>
        <v>42585</v>
      </c>
      <c r="I63" s="33">
        <f t="shared" si="22"/>
        <v>38443</v>
      </c>
      <c r="J63" s="31" t="str">
        <f t="shared" si="23"/>
        <v>HOMBRE</v>
      </c>
      <c r="K63" s="21">
        <f t="shared" ca="1" si="24"/>
        <v>58</v>
      </c>
      <c r="L63" s="21">
        <f t="shared" ca="1" si="5"/>
        <v>10</v>
      </c>
      <c r="M63" s="21" t="str">
        <f t="shared" si="6"/>
        <v>ENCARGO</v>
      </c>
      <c r="N63" s="21" t="str">
        <f t="shared" si="20"/>
        <v>VACANTE DEFINITIVA</v>
      </c>
      <c r="O63" s="21" t="s">
        <v>25</v>
      </c>
      <c r="P63" s="18" t="str">
        <f>IF(O63="","VACANTE DEFINITIVA",(VLOOKUP(O63,'PLANTA PERNO'!A:D,4,0)&amp;" "&amp;VLOOKUP(O63,'PLANTA PERNO'!A:D,2,0)&amp;" "&amp;VLOOKUP(O63,'PLANTA PERNO'!A:D,3,0)))</f>
        <v>VACANTE DEFINITIVA</v>
      </c>
      <c r="Q63" s="21" t="s">
        <v>1602</v>
      </c>
      <c r="R63" s="21">
        <v>1</v>
      </c>
      <c r="S63" s="21"/>
      <c r="T63" s="21"/>
      <c r="U63" s="21"/>
      <c r="V63" s="21"/>
      <c r="W63" s="38"/>
      <c r="X63" s="123">
        <v>203198</v>
      </c>
      <c r="Y63" s="21" t="str">
        <f t="shared" si="8"/>
        <v>OCUPADO</v>
      </c>
      <c r="Z63" s="23" t="s">
        <v>50</v>
      </c>
      <c r="AA63" s="24" t="s">
        <v>51</v>
      </c>
      <c r="AB63" s="25">
        <v>222</v>
      </c>
      <c r="AC63" s="27">
        <v>27</v>
      </c>
      <c r="AD63" s="28" t="str">
        <f t="shared" si="9"/>
        <v>222-27</v>
      </c>
      <c r="AE63" s="24" t="s">
        <v>153</v>
      </c>
      <c r="AF63" s="24" t="s">
        <v>153</v>
      </c>
      <c r="AG63" s="24" t="s">
        <v>1573</v>
      </c>
      <c r="AH63" s="24" t="s">
        <v>1576</v>
      </c>
      <c r="AI63" s="24" t="s">
        <v>1604</v>
      </c>
      <c r="AJ63" s="24" t="s">
        <v>1578</v>
      </c>
      <c r="AK63" s="93">
        <v>7358646.8000000007</v>
      </c>
      <c r="AL63" s="93">
        <v>0</v>
      </c>
      <c r="AM63" s="93">
        <f t="shared" si="25"/>
        <v>515105</v>
      </c>
      <c r="AN63" s="93">
        <f>IFERROR(INT(($AK63*(VLOOKUP($D63,'PORCENTAJES FACTORES'!B:N,12,0))/100)),0)</f>
        <v>3679323</v>
      </c>
      <c r="AO63" s="93">
        <f t="shared" si="26"/>
        <v>0</v>
      </c>
      <c r="AP63" s="93">
        <f t="shared" si="13"/>
        <v>0</v>
      </c>
      <c r="AQ63" s="93">
        <f t="shared" si="14"/>
        <v>0</v>
      </c>
      <c r="AR63" s="95">
        <f t="shared" si="15"/>
        <v>11553074.800000001</v>
      </c>
      <c r="AS63" s="96"/>
      <c r="AT63" s="97"/>
      <c r="AU63" s="43">
        <f t="shared" si="16"/>
        <v>7873752.0760000013</v>
      </c>
      <c r="AV63" s="43">
        <v>40</v>
      </c>
      <c r="AW63" s="43">
        <f t="shared" si="17"/>
        <v>3149500.8304000008</v>
      </c>
      <c r="AX63" s="43">
        <f t="shared" si="18"/>
        <v>34644509.13440001</v>
      </c>
      <c r="AY63" s="58" t="s">
        <v>1850</v>
      </c>
      <c r="AZ63" s="58">
        <v>3446528</v>
      </c>
      <c r="BA63" s="58"/>
      <c r="BB63" s="58"/>
      <c r="BC63" s="48"/>
      <c r="BD63" s="48"/>
      <c r="BE63" s="48"/>
      <c r="BF63" s="48"/>
      <c r="BG63" s="48"/>
      <c r="BH63" s="48"/>
      <c r="BI63" s="48"/>
      <c r="BJ63" s="48"/>
      <c r="BK63" s="48"/>
      <c r="BL63" s="48"/>
      <c r="BM63" s="48"/>
      <c r="BN63" s="48"/>
      <c r="BO63" s="48"/>
      <c r="BP63" s="48"/>
      <c r="BQ63" s="48"/>
      <c r="BR63" s="48"/>
      <c r="BS63" s="48"/>
    </row>
    <row r="64" spans="1:71" ht="12.75" hidden="1" customHeight="1">
      <c r="A64" s="85">
        <v>60</v>
      </c>
      <c r="B64" s="86">
        <v>5056</v>
      </c>
      <c r="C64" s="29">
        <v>34</v>
      </c>
      <c r="D64" s="122">
        <v>51569861</v>
      </c>
      <c r="E64" s="18" t="str">
        <f>IF(D64&gt;0,VLOOKUP(D64,'PLANTA PERNO'!A:D,4,0)&amp;" "&amp;VLOOKUP(D64,'PLANTA PERNO'!A:D,2,0)&amp;" "&amp;VLOOKUP(D64,'PLANTA PERNO'!A:D,3,0),IF(O64="","VACANTE DEFINITIVA","VACANTE TEMPORAL"))</f>
        <v>GLORIA MAGDALENA DIAGO CASASBUENAS</v>
      </c>
      <c r="F64" s="20" t="s">
        <v>49</v>
      </c>
      <c r="G64" s="20" t="str">
        <f t="shared" si="0"/>
        <v>CARRERA ADMINISTRATIVA</v>
      </c>
      <c r="H64" s="33">
        <f t="shared" si="21"/>
        <v>42585</v>
      </c>
      <c r="I64" s="33">
        <f t="shared" si="22"/>
        <v>34684</v>
      </c>
      <c r="J64" s="31" t="str">
        <f t="shared" si="23"/>
        <v>MUJER</v>
      </c>
      <c r="K64" s="21">
        <f t="shared" ca="1" si="24"/>
        <v>67</v>
      </c>
      <c r="L64" s="21">
        <f t="shared" ca="1" si="5"/>
        <v>10</v>
      </c>
      <c r="M64" s="21" t="str">
        <f t="shared" si="6"/>
        <v/>
      </c>
      <c r="N64" s="21" t="str">
        <f t="shared" si="20"/>
        <v>EN PROPIEDAD</v>
      </c>
      <c r="O64" s="21">
        <v>51569861</v>
      </c>
      <c r="P64" s="18" t="str">
        <f>IF(O64="","VACANTE DEFINITIVA",(VLOOKUP(O64,'PLANTA PERNO'!A:D,4,0)&amp;" "&amp;VLOOKUP(O64,'PLANTA PERNO'!A:D,2,0)&amp;" "&amp;VLOOKUP(O64,'PLANTA PERNO'!A:D,3,0)))</f>
        <v>GLORIA MAGDALENA DIAGO CASASBUENAS</v>
      </c>
      <c r="Q64" s="21"/>
      <c r="R64" s="21"/>
      <c r="S64" s="21"/>
      <c r="T64" s="21"/>
      <c r="U64" s="21"/>
      <c r="V64" s="21"/>
      <c r="W64" s="38"/>
      <c r="X64" s="128"/>
      <c r="Y64" s="21" t="str">
        <f t="shared" si="8"/>
        <v>OCUPADO</v>
      </c>
      <c r="Z64" s="23" t="s">
        <v>50</v>
      </c>
      <c r="AA64" s="24" t="s">
        <v>51</v>
      </c>
      <c r="AB64" s="25">
        <v>222</v>
      </c>
      <c r="AC64" s="27">
        <v>27</v>
      </c>
      <c r="AD64" s="28" t="str">
        <f t="shared" si="9"/>
        <v>222-27</v>
      </c>
      <c r="AE64" s="24" t="s">
        <v>153</v>
      </c>
      <c r="AF64" s="24" t="s">
        <v>153</v>
      </c>
      <c r="AG64" s="24" t="s">
        <v>1573</v>
      </c>
      <c r="AH64" s="24" t="s">
        <v>1576</v>
      </c>
      <c r="AI64" s="24" t="s">
        <v>1622</v>
      </c>
      <c r="AJ64" s="24" t="s">
        <v>1578</v>
      </c>
      <c r="AK64" s="93">
        <v>7358646.8000000007</v>
      </c>
      <c r="AL64" s="93">
        <v>0</v>
      </c>
      <c r="AM64" s="93">
        <f t="shared" si="25"/>
        <v>515105</v>
      </c>
      <c r="AN64" s="93">
        <f>IFERROR(INT(($AK64*(VLOOKUP($D64,'PORCENTAJES FACTORES'!B:N,12,0))/100)),0)</f>
        <v>2943458</v>
      </c>
      <c r="AO64" s="93">
        <f t="shared" si="26"/>
        <v>0</v>
      </c>
      <c r="AP64" s="93">
        <f t="shared" si="13"/>
        <v>0</v>
      </c>
      <c r="AQ64" s="93">
        <f t="shared" si="14"/>
        <v>0</v>
      </c>
      <c r="AR64" s="95">
        <f t="shared" si="15"/>
        <v>10817209.800000001</v>
      </c>
      <c r="AS64" s="96"/>
      <c r="AT64" s="97"/>
      <c r="AU64" s="43">
        <f t="shared" si="16"/>
        <v>7873752.0760000013</v>
      </c>
      <c r="AV64" s="43">
        <v>40</v>
      </c>
      <c r="AW64" s="43">
        <f t="shared" si="17"/>
        <v>3149500.8304000008</v>
      </c>
      <c r="AX64" s="43">
        <f t="shared" si="18"/>
        <v>34644509.13440001</v>
      </c>
      <c r="AY64" s="58" t="s">
        <v>1880</v>
      </c>
      <c r="AZ64" s="58">
        <v>3550970</v>
      </c>
      <c r="BA64" s="58"/>
      <c r="BB64" s="58"/>
      <c r="BC64" s="48"/>
      <c r="BD64" s="48"/>
      <c r="BE64" s="48"/>
      <c r="BF64" s="48"/>
      <c r="BG64" s="48"/>
      <c r="BH64" s="48"/>
      <c r="BI64" s="48"/>
      <c r="BJ64" s="48"/>
      <c r="BK64" s="48"/>
      <c r="BL64" s="48"/>
      <c r="BM64" s="48"/>
      <c r="BN64" s="48"/>
      <c r="BO64" s="48"/>
      <c r="BP64" s="48"/>
      <c r="BQ64" s="48"/>
      <c r="BR64" s="48"/>
      <c r="BS64" s="48"/>
    </row>
    <row r="65" spans="1:71" ht="12.75" hidden="1" customHeight="1">
      <c r="A65" s="85">
        <v>61</v>
      </c>
      <c r="B65" s="86">
        <v>5057</v>
      </c>
      <c r="C65" s="29">
        <v>39</v>
      </c>
      <c r="D65" s="122">
        <v>79575101</v>
      </c>
      <c r="E65" s="18" t="str">
        <f>IF(D65&gt;0,VLOOKUP(D65,'PLANTA PERNO'!A:D,4,0)&amp;" "&amp;VLOOKUP(D65,'PLANTA PERNO'!A:D,2,0)&amp;" "&amp;VLOOKUP(D65,'PLANTA PERNO'!A:D,3,0),IF(O65="","VACANTE DEFINITIVA","VACANTE TEMPORAL"))</f>
        <v>PEDRO ALFONSO MEJIA SIERRA</v>
      </c>
      <c r="F65" s="20" t="s">
        <v>49</v>
      </c>
      <c r="G65" s="20" t="str">
        <f t="shared" si="0"/>
        <v>CARRERA ADMINISTRATIVA</v>
      </c>
      <c r="H65" s="33">
        <f t="shared" si="21"/>
        <v>44378</v>
      </c>
      <c r="I65" s="33">
        <f t="shared" si="22"/>
        <v>33158</v>
      </c>
      <c r="J65" s="31" t="str">
        <f t="shared" si="23"/>
        <v>HOMBRE</v>
      </c>
      <c r="K65" s="21">
        <f t="shared" ca="1" si="24"/>
        <v>55</v>
      </c>
      <c r="L65" s="21">
        <f t="shared" ca="1" si="5"/>
        <v>5</v>
      </c>
      <c r="M65" s="21" t="str">
        <f t="shared" si="6"/>
        <v/>
      </c>
      <c r="N65" s="21" t="str">
        <f t="shared" si="20"/>
        <v>EN PROPIEDAD</v>
      </c>
      <c r="O65" s="21">
        <v>79575101</v>
      </c>
      <c r="P65" s="18" t="str">
        <f>IF(O65="","VACANTE DEFINITIVA",(VLOOKUP(O65,'PLANTA PERNO'!A:D,4,0)&amp;" "&amp;VLOOKUP(O65,'PLANTA PERNO'!A:D,2,0)&amp;" "&amp;VLOOKUP(O65,'PLANTA PERNO'!A:D,3,0)))</f>
        <v>PEDRO ALFONSO MEJIA SIERRA</v>
      </c>
      <c r="Q65" s="21"/>
      <c r="R65" s="21"/>
      <c r="S65" s="21"/>
      <c r="T65" s="21"/>
      <c r="U65" s="21"/>
      <c r="V65" s="21"/>
      <c r="W65" s="38">
        <v>66685</v>
      </c>
      <c r="X65" s="128"/>
      <c r="Y65" s="21" t="str">
        <f t="shared" si="8"/>
        <v>OCUPADO</v>
      </c>
      <c r="Z65" s="23" t="s">
        <v>50</v>
      </c>
      <c r="AA65" s="24" t="s">
        <v>51</v>
      </c>
      <c r="AB65" s="25">
        <v>222</v>
      </c>
      <c r="AC65" s="27">
        <v>27</v>
      </c>
      <c r="AD65" s="28" t="str">
        <f t="shared" si="9"/>
        <v>222-27</v>
      </c>
      <c r="AE65" s="24" t="s">
        <v>147</v>
      </c>
      <c r="AF65" s="24" t="s">
        <v>147</v>
      </c>
      <c r="AG65" s="24" t="s">
        <v>1644</v>
      </c>
      <c r="AH65" s="24" t="s">
        <v>1646</v>
      </c>
      <c r="AI65" s="24" t="s">
        <v>1647</v>
      </c>
      <c r="AJ65" s="24" t="s">
        <v>1648</v>
      </c>
      <c r="AK65" s="93">
        <v>7358646.8000000007</v>
      </c>
      <c r="AL65" s="93">
        <v>0</v>
      </c>
      <c r="AM65" s="93">
        <f t="shared" si="25"/>
        <v>515105</v>
      </c>
      <c r="AN65" s="93">
        <f>IFERROR(INT(($AK65*(VLOOKUP($D65,'PORCENTAJES FACTORES'!B:N,12,0))/100)),0)</f>
        <v>2943458</v>
      </c>
      <c r="AO65" s="93">
        <f t="shared" si="26"/>
        <v>0</v>
      </c>
      <c r="AP65" s="93">
        <f t="shared" si="13"/>
        <v>0</v>
      </c>
      <c r="AQ65" s="93">
        <f t="shared" si="14"/>
        <v>0</v>
      </c>
      <c r="AR65" s="95">
        <f t="shared" si="15"/>
        <v>10817209.800000001</v>
      </c>
      <c r="AS65" s="96"/>
      <c r="AT65" s="97"/>
      <c r="AU65" s="43">
        <f t="shared" si="16"/>
        <v>7873752.0760000013</v>
      </c>
      <c r="AV65" s="43">
        <v>40</v>
      </c>
      <c r="AW65" s="43">
        <f t="shared" si="17"/>
        <v>3149500.8304000008</v>
      </c>
      <c r="AX65" s="43">
        <f t="shared" si="18"/>
        <v>34644509.13440001</v>
      </c>
      <c r="AY65" s="58" t="s">
        <v>1901</v>
      </c>
      <c r="AZ65" s="58">
        <v>3669436</v>
      </c>
      <c r="BA65" s="58"/>
      <c r="BB65" s="58"/>
      <c r="BC65" s="48"/>
      <c r="BD65" s="48"/>
      <c r="BE65" s="48"/>
      <c r="BF65" s="48"/>
      <c r="BG65" s="48"/>
      <c r="BH65" s="48"/>
      <c r="BI65" s="48"/>
      <c r="BJ65" s="48"/>
      <c r="BK65" s="48"/>
      <c r="BL65" s="48"/>
      <c r="BM65" s="48"/>
      <c r="BN65" s="48"/>
      <c r="BO65" s="48"/>
      <c r="BP65" s="48"/>
      <c r="BQ65" s="48"/>
      <c r="BR65" s="48"/>
      <c r="BS65" s="48"/>
    </row>
    <row r="66" spans="1:71" ht="12.75" hidden="1" customHeight="1">
      <c r="A66" s="85">
        <v>62</v>
      </c>
      <c r="B66" s="86">
        <v>5058</v>
      </c>
      <c r="C66" s="29">
        <v>35</v>
      </c>
      <c r="D66" s="122">
        <v>79709902</v>
      </c>
      <c r="E66" s="18" t="str">
        <f>IF(D66&gt;0,VLOOKUP(D66,'PLANTA PERNO'!A:D,4,0)&amp;" "&amp;VLOOKUP(D66,'PLANTA PERNO'!A:D,2,0)&amp;" "&amp;VLOOKUP(D66,'PLANTA PERNO'!A:D,3,0),IF(O66="","VACANTE DEFINITIVA","VACANTE TEMPORAL"))</f>
        <v>ALVARO ARDILA MORA</v>
      </c>
      <c r="F66" s="20" t="s">
        <v>49</v>
      </c>
      <c r="G66" s="20" t="str">
        <f t="shared" si="0"/>
        <v>CARRERA ADMINISTRATIVA</v>
      </c>
      <c r="H66" s="33">
        <f t="shared" si="21"/>
        <v>44148</v>
      </c>
      <c r="I66" s="33">
        <f t="shared" si="22"/>
        <v>44148</v>
      </c>
      <c r="J66" s="31" t="str">
        <f t="shared" si="23"/>
        <v>HOMBRE</v>
      </c>
      <c r="K66" s="21">
        <f t="shared" ca="1" si="24"/>
        <v>51</v>
      </c>
      <c r="L66" s="21">
        <f t="shared" ca="1" si="5"/>
        <v>5</v>
      </c>
      <c r="M66" s="21" t="str">
        <f t="shared" si="6"/>
        <v/>
      </c>
      <c r="N66" s="21" t="str">
        <f t="shared" si="20"/>
        <v>EN PROPIEDAD</v>
      </c>
      <c r="O66" s="21">
        <v>79709902</v>
      </c>
      <c r="P66" s="18" t="str">
        <f>IF(O66="","VACANTE DEFINITIVA",(VLOOKUP(O66,'PLANTA PERNO'!A:D,4,0)&amp;" "&amp;VLOOKUP(O66,'PLANTA PERNO'!A:D,2,0)&amp;" "&amp;VLOOKUP(O66,'PLANTA PERNO'!A:D,3,0)))</f>
        <v>ALVARO ARDILA MORA</v>
      </c>
      <c r="Q66" s="21"/>
      <c r="R66" s="21"/>
      <c r="S66" s="21"/>
      <c r="T66" s="21"/>
      <c r="U66" s="21"/>
      <c r="V66" s="21"/>
      <c r="W66" s="38">
        <v>66679</v>
      </c>
      <c r="X66" s="128"/>
      <c r="Y66" s="21" t="str">
        <f t="shared" si="8"/>
        <v>OCUPADO</v>
      </c>
      <c r="Z66" s="23" t="s">
        <v>50</v>
      </c>
      <c r="AA66" s="24" t="s">
        <v>51</v>
      </c>
      <c r="AB66" s="25">
        <v>222</v>
      </c>
      <c r="AC66" s="27">
        <v>27</v>
      </c>
      <c r="AD66" s="28" t="str">
        <f t="shared" si="9"/>
        <v>222-27</v>
      </c>
      <c r="AE66" s="24" t="s">
        <v>153</v>
      </c>
      <c r="AF66" s="24" t="s">
        <v>153</v>
      </c>
      <c r="AG66" s="24" t="s">
        <v>1671</v>
      </c>
      <c r="AH66" s="24" t="s">
        <v>1672</v>
      </c>
      <c r="AI66" s="24" t="s">
        <v>1673</v>
      </c>
      <c r="AJ66" s="24" t="s">
        <v>1578</v>
      </c>
      <c r="AK66" s="93">
        <v>7358646.8000000007</v>
      </c>
      <c r="AL66" s="93">
        <v>0</v>
      </c>
      <c r="AM66" s="93">
        <f t="shared" si="25"/>
        <v>220759</v>
      </c>
      <c r="AN66" s="93">
        <f>IFERROR(INT(($AK66*(VLOOKUP($D66,'PORCENTAJES FACTORES'!B:N,12,0))/100)),0)</f>
        <v>2943458</v>
      </c>
      <c r="AO66" s="93">
        <f t="shared" si="26"/>
        <v>0</v>
      </c>
      <c r="AP66" s="93">
        <f t="shared" si="13"/>
        <v>0</v>
      </c>
      <c r="AQ66" s="93">
        <f t="shared" si="14"/>
        <v>0</v>
      </c>
      <c r="AR66" s="95">
        <f t="shared" si="15"/>
        <v>10522863.800000001</v>
      </c>
      <c r="AS66" s="96"/>
      <c r="AT66" s="97"/>
      <c r="AU66" s="43">
        <f t="shared" si="16"/>
        <v>7873752.0760000013</v>
      </c>
      <c r="AV66" s="43">
        <v>40</v>
      </c>
      <c r="AW66" s="43">
        <f t="shared" si="17"/>
        <v>3149500.8304000008</v>
      </c>
      <c r="AX66" s="43">
        <f t="shared" si="18"/>
        <v>34644509.13440001</v>
      </c>
      <c r="AY66" s="58" t="s">
        <v>1921</v>
      </c>
      <c r="AZ66" s="58">
        <v>3703493</v>
      </c>
      <c r="BA66" s="58"/>
      <c r="BB66" s="58"/>
      <c r="BC66" s="48"/>
      <c r="BD66" s="48"/>
      <c r="BE66" s="48"/>
      <c r="BF66" s="48"/>
      <c r="BG66" s="48"/>
      <c r="BH66" s="48"/>
      <c r="BI66" s="48"/>
      <c r="BJ66" s="48"/>
      <c r="BK66" s="48"/>
      <c r="BL66" s="48"/>
      <c r="BM66" s="48"/>
      <c r="BN66" s="48"/>
      <c r="BO66" s="48"/>
      <c r="BP66" s="48"/>
      <c r="BQ66" s="48"/>
      <c r="BR66" s="48"/>
      <c r="BS66" s="48"/>
    </row>
    <row r="67" spans="1:71" ht="12.75" hidden="1" customHeight="1">
      <c r="A67" s="85">
        <v>63</v>
      </c>
      <c r="B67" s="86">
        <v>5062</v>
      </c>
      <c r="C67" s="29">
        <v>40</v>
      </c>
      <c r="D67" s="122">
        <v>1064976255</v>
      </c>
      <c r="E67" s="18" t="str">
        <f>IF(D67&gt;0,VLOOKUP(D67,'PLANTA PERNO'!A:D,4,0)&amp;" "&amp;VLOOKUP(D67,'PLANTA PERNO'!A:D,2,0)&amp;" "&amp;VLOOKUP(D67,'PLANTA PERNO'!A:D,3,0),IF(O67="","VACANTE DEFINITIVA","VACANTE TEMPORAL"))</f>
        <v>DONALDO YAMITH ZABALETA TABOADA</v>
      </c>
      <c r="F67" s="20" t="s">
        <v>49</v>
      </c>
      <c r="G67" s="20" t="str">
        <f t="shared" si="0"/>
        <v>CARRERA ADMINISTRATIVA</v>
      </c>
      <c r="H67" s="33">
        <f t="shared" si="21"/>
        <v>44370</v>
      </c>
      <c r="I67" s="33">
        <f t="shared" si="22"/>
        <v>44370</v>
      </c>
      <c r="J67" s="31" t="str">
        <f t="shared" si="23"/>
        <v>HOMBRE</v>
      </c>
      <c r="K67" s="21">
        <f t="shared" ca="1" si="24"/>
        <v>41</v>
      </c>
      <c r="L67" s="21">
        <f t="shared" ca="1" si="5"/>
        <v>5</v>
      </c>
      <c r="M67" s="21" t="str">
        <f t="shared" si="6"/>
        <v/>
      </c>
      <c r="N67" s="21" t="str">
        <f t="shared" si="20"/>
        <v>EN PROPIEDAD</v>
      </c>
      <c r="O67" s="21">
        <v>1064976255</v>
      </c>
      <c r="P67" s="18" t="str">
        <f>IF(O67="","VACANTE DEFINITIVA",(VLOOKUP(O67,'PLANTA PERNO'!A:D,4,0)&amp;" "&amp;VLOOKUP(O67,'PLANTA PERNO'!A:D,2,0)&amp;" "&amp;VLOOKUP(O67,'PLANTA PERNO'!A:D,3,0)))</f>
        <v>DONALDO YAMITH ZABALETA TABOADA</v>
      </c>
      <c r="Q67" s="21"/>
      <c r="R67" s="21"/>
      <c r="S67" s="21"/>
      <c r="T67" s="21"/>
      <c r="U67" s="21"/>
      <c r="V67" s="21"/>
      <c r="W67" s="38">
        <v>66679</v>
      </c>
      <c r="X67" s="128"/>
      <c r="Y67" s="21" t="str">
        <f t="shared" si="8"/>
        <v>OCUPADO</v>
      </c>
      <c r="Z67" s="23" t="s">
        <v>50</v>
      </c>
      <c r="AA67" s="24" t="s">
        <v>51</v>
      </c>
      <c r="AB67" s="25">
        <v>222</v>
      </c>
      <c r="AC67" s="27">
        <v>27</v>
      </c>
      <c r="AD67" s="28" t="str">
        <f t="shared" si="9"/>
        <v>222-27</v>
      </c>
      <c r="AE67" s="24" t="s">
        <v>153</v>
      </c>
      <c r="AF67" s="24" t="s">
        <v>153</v>
      </c>
      <c r="AG67" s="24" t="s">
        <v>1671</v>
      </c>
      <c r="AH67" s="24" t="s">
        <v>1672</v>
      </c>
      <c r="AI67" s="24" t="s">
        <v>1673</v>
      </c>
      <c r="AJ67" s="24" t="s">
        <v>1578</v>
      </c>
      <c r="AK67" s="93">
        <v>7358646.8000000007</v>
      </c>
      <c r="AL67" s="93">
        <v>0</v>
      </c>
      <c r="AM67" s="93">
        <f t="shared" si="25"/>
        <v>220759</v>
      </c>
      <c r="AN67" s="93">
        <f>IFERROR(INT(($AK67*(VLOOKUP($D67,'PORCENTAJES FACTORES'!B:N,12,0))/100)),0)</f>
        <v>2943458</v>
      </c>
      <c r="AO67" s="93">
        <f t="shared" si="26"/>
        <v>0</v>
      </c>
      <c r="AP67" s="93">
        <f t="shared" si="13"/>
        <v>0</v>
      </c>
      <c r="AQ67" s="93">
        <f t="shared" si="14"/>
        <v>0</v>
      </c>
      <c r="AR67" s="95">
        <f t="shared" si="15"/>
        <v>10522863.800000001</v>
      </c>
      <c r="AS67" s="96"/>
      <c r="AT67" s="97"/>
      <c r="AU67" s="43">
        <f t="shared" si="16"/>
        <v>7873752.0760000013</v>
      </c>
      <c r="AV67" s="43">
        <v>40</v>
      </c>
      <c r="AW67" s="43">
        <f t="shared" si="17"/>
        <v>3149500.8304000008</v>
      </c>
      <c r="AX67" s="43">
        <f t="shared" si="18"/>
        <v>34644509.13440001</v>
      </c>
      <c r="AY67" s="58" t="s">
        <v>1940</v>
      </c>
      <c r="AZ67" s="58">
        <v>3812086</v>
      </c>
      <c r="BA67" s="58"/>
      <c r="BB67" s="58"/>
      <c r="BC67" s="48"/>
      <c r="BD67" s="48"/>
      <c r="BE67" s="48"/>
      <c r="BF67" s="48"/>
      <c r="BG67" s="48"/>
      <c r="BH67" s="48"/>
      <c r="BI67" s="48"/>
      <c r="BJ67" s="48"/>
      <c r="BK67" s="48"/>
      <c r="BL67" s="48"/>
      <c r="BM67" s="48"/>
      <c r="BN67" s="48"/>
      <c r="BO67" s="48"/>
      <c r="BP67" s="48"/>
      <c r="BQ67" s="48"/>
      <c r="BR67" s="48"/>
      <c r="BS67" s="48"/>
    </row>
    <row r="68" spans="1:71" ht="12.75" hidden="1" customHeight="1">
      <c r="A68" s="85">
        <v>64</v>
      </c>
      <c r="B68" s="86">
        <v>5060</v>
      </c>
      <c r="C68" s="29">
        <v>37</v>
      </c>
      <c r="D68" s="122">
        <v>79802044</v>
      </c>
      <c r="E68" s="18" t="str">
        <f>IF(D68&gt;0,VLOOKUP(D68,'PLANTA PERNO'!A:D,4,0)&amp;" "&amp;VLOOKUP(D68,'PLANTA PERNO'!A:D,2,0)&amp;" "&amp;VLOOKUP(D68,'PLANTA PERNO'!A:D,3,0),IF(O68="","VACANTE DEFINITIVA","VACANTE TEMPORAL"))</f>
        <v>ALVARO CAMILO BERNATE NAVARRO</v>
      </c>
      <c r="F68" s="20" t="s">
        <v>49</v>
      </c>
      <c r="G68" s="20" t="str">
        <f t="shared" si="0"/>
        <v>CARRERA ADMINISTRATIVA</v>
      </c>
      <c r="H68" s="33">
        <f t="shared" si="21"/>
        <v>42585</v>
      </c>
      <c r="I68" s="33">
        <f t="shared" si="22"/>
        <v>38294</v>
      </c>
      <c r="J68" s="31" t="str">
        <f t="shared" si="23"/>
        <v>HOMBRE</v>
      </c>
      <c r="K68" s="21">
        <f t="shared" ca="1" si="24"/>
        <v>50</v>
      </c>
      <c r="L68" s="21">
        <f t="shared" ca="1" si="5"/>
        <v>10</v>
      </c>
      <c r="M68" s="21" t="str">
        <f t="shared" si="6"/>
        <v/>
      </c>
      <c r="N68" s="21" t="str">
        <f t="shared" si="20"/>
        <v>EN PROPIEDAD</v>
      </c>
      <c r="O68" s="21">
        <v>79802044</v>
      </c>
      <c r="P68" s="18" t="str">
        <f>IF(O68="","VACANTE DEFINITIVA",(VLOOKUP(O68,'PLANTA PERNO'!A:D,4,0)&amp;" "&amp;VLOOKUP(O68,'PLANTA PERNO'!A:D,2,0)&amp;" "&amp;VLOOKUP(O68,'PLANTA PERNO'!A:D,3,0)))</f>
        <v>ALVARO CAMILO BERNATE NAVARRO</v>
      </c>
      <c r="Q68" s="21"/>
      <c r="R68" s="21"/>
      <c r="S68" s="21"/>
      <c r="T68" s="21"/>
      <c r="U68" s="21"/>
      <c r="V68" s="21"/>
      <c r="W68" s="38">
        <v>66679</v>
      </c>
      <c r="X68" s="128"/>
      <c r="Y68" s="21" t="str">
        <f t="shared" si="8"/>
        <v>OCUPADO</v>
      </c>
      <c r="Z68" s="23" t="s">
        <v>50</v>
      </c>
      <c r="AA68" s="24" t="s">
        <v>51</v>
      </c>
      <c r="AB68" s="25">
        <v>222</v>
      </c>
      <c r="AC68" s="27">
        <v>27</v>
      </c>
      <c r="AD68" s="28" t="str">
        <f t="shared" si="9"/>
        <v>222-27</v>
      </c>
      <c r="AE68" s="24" t="s">
        <v>153</v>
      </c>
      <c r="AF68" s="24" t="s">
        <v>153</v>
      </c>
      <c r="AG68" s="24" t="s">
        <v>1671</v>
      </c>
      <c r="AH68" s="24" t="s">
        <v>1672</v>
      </c>
      <c r="AI68" s="24" t="s">
        <v>1673</v>
      </c>
      <c r="AJ68" s="24" t="s">
        <v>1578</v>
      </c>
      <c r="AK68" s="93">
        <v>7358646.8000000007</v>
      </c>
      <c r="AL68" s="93">
        <v>0</v>
      </c>
      <c r="AM68" s="93">
        <f t="shared" si="25"/>
        <v>515105</v>
      </c>
      <c r="AN68" s="93">
        <f>IFERROR(INT(($AK68*(VLOOKUP($D68,'PORCENTAJES FACTORES'!B:N,12,0))/100)),0)</f>
        <v>2943458</v>
      </c>
      <c r="AO68" s="93">
        <f t="shared" si="26"/>
        <v>0</v>
      </c>
      <c r="AP68" s="93">
        <f t="shared" si="13"/>
        <v>0</v>
      </c>
      <c r="AQ68" s="93">
        <f t="shared" si="14"/>
        <v>0</v>
      </c>
      <c r="AR68" s="95">
        <f t="shared" si="15"/>
        <v>10817209.800000001</v>
      </c>
      <c r="AS68" s="96"/>
      <c r="AT68" s="97"/>
      <c r="AU68" s="43">
        <f t="shared" si="16"/>
        <v>7873752.0760000013</v>
      </c>
      <c r="AV68" s="43">
        <v>40</v>
      </c>
      <c r="AW68" s="43">
        <f t="shared" si="17"/>
        <v>3149500.8304000008</v>
      </c>
      <c r="AX68" s="43">
        <f t="shared" si="18"/>
        <v>34644509.13440001</v>
      </c>
      <c r="AY68" s="58" t="s">
        <v>1964</v>
      </c>
      <c r="AZ68" s="58">
        <v>3929585</v>
      </c>
      <c r="BA68" s="58"/>
      <c r="BB68" s="58"/>
      <c r="BC68" s="48"/>
      <c r="BD68" s="48"/>
      <c r="BE68" s="48"/>
      <c r="BF68" s="48"/>
      <c r="BG68" s="48"/>
      <c r="BH68" s="48"/>
      <c r="BI68" s="48"/>
      <c r="BJ68" s="48"/>
      <c r="BK68" s="48"/>
      <c r="BL68" s="48"/>
      <c r="BM68" s="48"/>
      <c r="BN68" s="48"/>
      <c r="BO68" s="48"/>
      <c r="BP68" s="48"/>
      <c r="BQ68" s="48"/>
      <c r="BR68" s="48"/>
      <c r="BS68" s="48"/>
    </row>
    <row r="69" spans="1:71" ht="12.75" hidden="1" customHeight="1">
      <c r="A69" s="85">
        <v>65</v>
      </c>
      <c r="B69" s="86">
        <v>5061</v>
      </c>
      <c r="C69" s="29">
        <v>38</v>
      </c>
      <c r="D69" s="122">
        <v>46677766</v>
      </c>
      <c r="E69" s="18" t="str">
        <f>IF(D69&gt;0,VLOOKUP(D69,'PLANTA PERNO'!A:D,4,0)&amp;" "&amp;VLOOKUP(D69,'PLANTA PERNO'!A:D,2,0)&amp;" "&amp;VLOOKUP(D69,'PLANTA PERNO'!A:D,3,0),IF(O69="","VACANTE DEFINITIVA","VACANTE TEMPORAL"))</f>
        <v>MARTHA YANETH ORTIZ LEON</v>
      </c>
      <c r="F69" s="20" t="s">
        <v>49</v>
      </c>
      <c r="G69" s="20" t="str">
        <f t="shared" si="0"/>
        <v>CARRERA ADMINISTRATIVA</v>
      </c>
      <c r="H69" s="33">
        <f t="shared" ref="H69:H100" si="28">IFERROR(VLOOKUP($D69,PLANTA_PERNO,16,0)," ")</f>
        <v>44152</v>
      </c>
      <c r="I69" s="33">
        <f t="shared" ref="I69:I100" si="29">IFERROR(VLOOKUP($D69,PLANTA_PERNO,17,0),"")</f>
        <v>44152</v>
      </c>
      <c r="J69" s="31" t="str">
        <f t="shared" ref="J69:J100" si="30">IF(IFERROR((VLOOKUP($D69,PLANTA_PERNO,9,0)),"")="F","MUJER",IF(IFERROR((VLOOKUP($D69,PLANTA_PERNO,9,0)),"")="M","HOMBRE",""))</f>
        <v>MUJER</v>
      </c>
      <c r="K69" s="21">
        <f t="shared" ref="K69:K100" ca="1" si="31">IFERROR(DATEDIF((VLOOKUP($D69,PLANTA_PERNO,6,0)),$K$3,"Y"),"")</f>
        <v>50</v>
      </c>
      <c r="L69" s="21">
        <f t="shared" ca="1" si="5"/>
        <v>5</v>
      </c>
      <c r="M69" s="21" t="str">
        <f t="shared" si="6"/>
        <v/>
      </c>
      <c r="N69" s="21" t="str">
        <f t="shared" si="20"/>
        <v>EN PROPIEDAD</v>
      </c>
      <c r="O69" s="21">
        <v>46677766</v>
      </c>
      <c r="P69" s="18" t="str">
        <f>IF(O69="","VACANTE DEFINITIVA",(VLOOKUP(O69,'PLANTA PERNO'!A:D,4,0)&amp;" "&amp;VLOOKUP(O69,'PLANTA PERNO'!A:D,2,0)&amp;" "&amp;VLOOKUP(O69,'PLANTA PERNO'!A:D,3,0)))</f>
        <v>MARTHA YANETH ORTIZ LEON</v>
      </c>
      <c r="Q69" s="21"/>
      <c r="R69" s="21"/>
      <c r="S69" s="21"/>
      <c r="T69" s="21"/>
      <c r="U69" s="21"/>
      <c r="V69" s="21"/>
      <c r="W69" s="38">
        <v>66679</v>
      </c>
      <c r="X69" s="128"/>
      <c r="Y69" s="21" t="str">
        <f t="shared" si="8"/>
        <v>OCUPADO</v>
      </c>
      <c r="Z69" s="23" t="s">
        <v>50</v>
      </c>
      <c r="AA69" s="24" t="s">
        <v>51</v>
      </c>
      <c r="AB69" s="25">
        <v>222</v>
      </c>
      <c r="AC69" s="27">
        <v>27</v>
      </c>
      <c r="AD69" s="28" t="str">
        <f t="shared" si="9"/>
        <v>222-27</v>
      </c>
      <c r="AE69" s="24" t="s">
        <v>153</v>
      </c>
      <c r="AF69" s="24" t="s">
        <v>153</v>
      </c>
      <c r="AG69" s="24" t="s">
        <v>1671</v>
      </c>
      <c r="AH69" s="24" t="s">
        <v>1672</v>
      </c>
      <c r="AI69" s="24" t="s">
        <v>1673</v>
      </c>
      <c r="AJ69" s="24" t="s">
        <v>1578</v>
      </c>
      <c r="AK69" s="93">
        <v>7358646.8000000007</v>
      </c>
      <c r="AL69" s="93">
        <v>0</v>
      </c>
      <c r="AM69" s="93">
        <f t="shared" ref="AM69:AM100" si="32">IFERROR(INT(($AK69*(VLOOKUP($D69,BASE_PORCENTAJES,10,0))/100)),0)</f>
        <v>220759</v>
      </c>
      <c r="AN69" s="93">
        <f>IFERROR(INT(($AK69*(VLOOKUP($D69,'PORCENTAJES FACTORES'!B:N,12,0))/100)),0)</f>
        <v>2943458</v>
      </c>
      <c r="AO69" s="93">
        <f t="shared" ref="AO69:AO100" si="33">IFERROR(INT(($AK69*(VLOOKUP($D69,BASE_PORCENTAJES,13,0))/100)),0)</f>
        <v>0</v>
      </c>
      <c r="AP69" s="93">
        <f t="shared" si="13"/>
        <v>0</v>
      </c>
      <c r="AQ69" s="93">
        <f t="shared" si="14"/>
        <v>0</v>
      </c>
      <c r="AR69" s="95">
        <f t="shared" si="15"/>
        <v>10522863.800000001</v>
      </c>
      <c r="AS69" s="96"/>
      <c r="AT69" s="97"/>
      <c r="AU69" s="43">
        <f t="shared" si="16"/>
        <v>7873752.0760000013</v>
      </c>
      <c r="AV69" s="43">
        <v>40</v>
      </c>
      <c r="AW69" s="43">
        <f t="shared" si="17"/>
        <v>3149500.8304000008</v>
      </c>
      <c r="AX69" s="43">
        <f t="shared" si="18"/>
        <v>34644509.13440001</v>
      </c>
      <c r="AY69" s="58" t="s">
        <v>1980</v>
      </c>
      <c r="AZ69" s="58">
        <v>3950140</v>
      </c>
      <c r="BA69" s="58"/>
      <c r="BB69" s="58"/>
      <c r="BC69" s="48"/>
      <c r="BD69" s="48"/>
      <c r="BE69" s="48"/>
      <c r="BF69" s="48"/>
      <c r="BG69" s="48"/>
      <c r="BH69" s="48"/>
      <c r="BI69" s="48"/>
      <c r="BJ69" s="48"/>
      <c r="BK69" s="48"/>
      <c r="BL69" s="48"/>
      <c r="BM69" s="48"/>
      <c r="BN69" s="48"/>
      <c r="BO69" s="48"/>
      <c r="BP69" s="48"/>
      <c r="BQ69" s="48"/>
      <c r="BR69" s="48"/>
      <c r="BS69" s="48"/>
    </row>
    <row r="70" spans="1:71" ht="12.75" hidden="1" customHeight="1">
      <c r="A70" s="85">
        <v>66</v>
      </c>
      <c r="B70" s="86">
        <v>5059</v>
      </c>
      <c r="C70" s="29">
        <v>36</v>
      </c>
      <c r="D70" s="122">
        <v>23582747</v>
      </c>
      <c r="E70" s="18" t="str">
        <f>IF(D70&gt;0,VLOOKUP(D70,'PLANTA PERNO'!A:D,4,0)&amp;" "&amp;VLOOKUP(D70,'PLANTA PERNO'!A:D,2,0)&amp;" "&amp;VLOOKUP(D70,'PLANTA PERNO'!A:D,3,0),IF(O70="","VACANTE DEFINITIVA","VACANTE TEMPORAL"))</f>
        <v>MAGDA EDITH GUERRERO BONILLA</v>
      </c>
      <c r="F70" s="20" t="s">
        <v>49</v>
      </c>
      <c r="G70" s="20" t="str">
        <f t="shared" si="0"/>
        <v>CARRERA ADMINISTRATIVA</v>
      </c>
      <c r="H70" s="33">
        <f t="shared" si="28"/>
        <v>44267</v>
      </c>
      <c r="I70" s="33">
        <f t="shared" si="29"/>
        <v>44267</v>
      </c>
      <c r="J70" s="31" t="str">
        <f t="shared" si="30"/>
        <v>MUJER</v>
      </c>
      <c r="K70" s="21">
        <f t="shared" ca="1" si="31"/>
        <v>49</v>
      </c>
      <c r="L70" s="21">
        <f t="shared" ca="1" si="5"/>
        <v>5</v>
      </c>
      <c r="M70" s="21" t="str">
        <f t="shared" si="6"/>
        <v/>
      </c>
      <c r="N70" s="21" t="str">
        <f t="shared" si="20"/>
        <v>EN PROPIEDAD</v>
      </c>
      <c r="O70" s="21">
        <v>23582747</v>
      </c>
      <c r="P70" s="18" t="str">
        <f>IF(O70="","VACANTE DEFINITIVA",(VLOOKUP(O70,'PLANTA PERNO'!A:D,4,0)&amp;" "&amp;VLOOKUP(O70,'PLANTA PERNO'!A:D,2,0)&amp;" "&amp;VLOOKUP(O70,'PLANTA PERNO'!A:D,3,0)))</f>
        <v>MAGDA EDITH GUERRERO BONILLA</v>
      </c>
      <c r="Q70" s="21"/>
      <c r="R70" s="21"/>
      <c r="S70" s="21"/>
      <c r="T70" s="21"/>
      <c r="U70" s="21"/>
      <c r="V70" s="21"/>
      <c r="W70" s="38">
        <v>66679</v>
      </c>
      <c r="X70" s="128"/>
      <c r="Y70" s="21" t="str">
        <f t="shared" si="8"/>
        <v>OCUPADO</v>
      </c>
      <c r="Z70" s="23" t="s">
        <v>50</v>
      </c>
      <c r="AA70" s="24" t="s">
        <v>51</v>
      </c>
      <c r="AB70" s="25">
        <v>222</v>
      </c>
      <c r="AC70" s="27">
        <v>27</v>
      </c>
      <c r="AD70" s="28" t="str">
        <f t="shared" si="9"/>
        <v>222-27</v>
      </c>
      <c r="AE70" s="24" t="s">
        <v>153</v>
      </c>
      <c r="AF70" s="24" t="s">
        <v>153</v>
      </c>
      <c r="AG70" s="24" t="s">
        <v>1671</v>
      </c>
      <c r="AH70" s="24" t="s">
        <v>1672</v>
      </c>
      <c r="AI70" s="24" t="s">
        <v>1673</v>
      </c>
      <c r="AJ70" s="24" t="s">
        <v>1578</v>
      </c>
      <c r="AK70" s="93">
        <v>7358646.8000000007</v>
      </c>
      <c r="AL70" s="93">
        <v>0</v>
      </c>
      <c r="AM70" s="93">
        <f t="shared" si="32"/>
        <v>220759</v>
      </c>
      <c r="AN70" s="93">
        <f>IFERROR(INT(($AK70*(VLOOKUP($D70,'PORCENTAJES FACTORES'!B:N,12,0))/100)),0)</f>
        <v>2943458</v>
      </c>
      <c r="AO70" s="93">
        <f t="shared" si="33"/>
        <v>0</v>
      </c>
      <c r="AP70" s="93">
        <f t="shared" si="13"/>
        <v>0</v>
      </c>
      <c r="AQ70" s="93">
        <f t="shared" si="14"/>
        <v>0</v>
      </c>
      <c r="AR70" s="95">
        <f t="shared" si="15"/>
        <v>10522863.800000001</v>
      </c>
      <c r="AS70" s="96"/>
      <c r="AT70" s="97"/>
      <c r="AU70" s="43">
        <f t="shared" si="16"/>
        <v>7873752.0760000013</v>
      </c>
      <c r="AV70" s="43">
        <v>40</v>
      </c>
      <c r="AW70" s="43">
        <f t="shared" si="17"/>
        <v>3149500.8304000008</v>
      </c>
      <c r="AX70" s="43">
        <f t="shared" si="18"/>
        <v>34644509.13440001</v>
      </c>
      <c r="AY70" s="58" t="s">
        <v>2007</v>
      </c>
      <c r="AZ70" s="58">
        <v>4034028</v>
      </c>
      <c r="BA70" s="58"/>
      <c r="BB70" s="58"/>
      <c r="BC70" s="48"/>
      <c r="BD70" s="48"/>
      <c r="BE70" s="48"/>
      <c r="BF70" s="48"/>
      <c r="BG70" s="48"/>
      <c r="BH70" s="48"/>
      <c r="BI70" s="48"/>
      <c r="BJ70" s="48"/>
      <c r="BK70" s="48"/>
      <c r="BL70" s="48"/>
      <c r="BM70" s="48"/>
      <c r="BN70" s="48"/>
      <c r="BO70" s="48"/>
      <c r="BP70" s="48"/>
      <c r="BQ70" s="48"/>
      <c r="BR70" s="48"/>
      <c r="BS70" s="48"/>
    </row>
    <row r="71" spans="1:71" ht="12.75" hidden="1" customHeight="1">
      <c r="A71" s="85">
        <v>67</v>
      </c>
      <c r="B71" s="86">
        <v>5063</v>
      </c>
      <c r="C71" s="29">
        <v>41</v>
      </c>
      <c r="D71" s="122">
        <v>52363895</v>
      </c>
      <c r="E71" s="18" t="str">
        <f>IF(D71&gt;0,VLOOKUP(D71,'PLANTA PERNO'!A:D,4,0)&amp;" "&amp;VLOOKUP(D71,'PLANTA PERNO'!A:D,2,0)&amp;" "&amp;VLOOKUP(D71,'PLANTA PERNO'!A:D,3,0),IF(O71="","VACANTE DEFINITIVA","VACANTE TEMPORAL"))</f>
        <v>ELVIRA LILIANA HERNANDEZ LIBREROS</v>
      </c>
      <c r="F71" s="20" t="s">
        <v>49</v>
      </c>
      <c r="G71" s="20" t="str">
        <f t="shared" si="0"/>
        <v>CARRERA ADMINISTRATIVA</v>
      </c>
      <c r="H71" s="33">
        <f t="shared" si="28"/>
        <v>42585</v>
      </c>
      <c r="I71" s="33">
        <f t="shared" si="29"/>
        <v>37994</v>
      </c>
      <c r="J71" s="31" t="str">
        <f t="shared" si="30"/>
        <v>MUJER</v>
      </c>
      <c r="K71" s="21">
        <f t="shared" ca="1" si="31"/>
        <v>50</v>
      </c>
      <c r="L71" s="21">
        <f t="shared" ca="1" si="5"/>
        <v>10</v>
      </c>
      <c r="M71" s="21" t="str">
        <f t="shared" si="6"/>
        <v/>
      </c>
      <c r="N71" s="21" t="str">
        <f t="shared" si="20"/>
        <v>EN PROPIEDAD</v>
      </c>
      <c r="O71" s="21">
        <v>52363895</v>
      </c>
      <c r="P71" s="18" t="str">
        <f>IF(O71="","VACANTE DEFINITIVA",(VLOOKUP(O71,'PLANTA PERNO'!A:D,4,0)&amp;" "&amp;VLOOKUP(O71,'PLANTA PERNO'!A:D,2,0)&amp;" "&amp;VLOOKUP(O71,'PLANTA PERNO'!A:D,3,0)))</f>
        <v>ELVIRA LILIANA HERNANDEZ LIBREROS</v>
      </c>
      <c r="Q71" s="21"/>
      <c r="R71" s="21"/>
      <c r="S71" s="21"/>
      <c r="T71" s="21"/>
      <c r="U71" s="21"/>
      <c r="V71" s="21"/>
      <c r="W71" s="38"/>
      <c r="X71" s="128"/>
      <c r="Y71" s="21" t="str">
        <f t="shared" si="8"/>
        <v>OCUPADO</v>
      </c>
      <c r="Z71" s="23" t="s">
        <v>50</v>
      </c>
      <c r="AA71" s="24" t="s">
        <v>51</v>
      </c>
      <c r="AB71" s="25">
        <v>222</v>
      </c>
      <c r="AC71" s="27">
        <v>27</v>
      </c>
      <c r="AD71" s="28" t="str">
        <f t="shared" si="9"/>
        <v>222-27</v>
      </c>
      <c r="AE71" s="24" t="s">
        <v>33</v>
      </c>
      <c r="AF71" s="24" t="s">
        <v>33</v>
      </c>
      <c r="AG71" s="24" t="s">
        <v>54</v>
      </c>
      <c r="AH71" s="24" t="s">
        <v>55</v>
      </c>
      <c r="AI71" s="24" t="s">
        <v>56</v>
      </c>
      <c r="AJ71" s="24" t="s">
        <v>57</v>
      </c>
      <c r="AK71" s="93">
        <v>7358646.8000000007</v>
      </c>
      <c r="AL71" s="93">
        <v>0</v>
      </c>
      <c r="AM71" s="93">
        <f t="shared" si="32"/>
        <v>515105</v>
      </c>
      <c r="AN71" s="93">
        <f>IFERROR(INT(($AK71*(VLOOKUP($D71,'PORCENTAJES FACTORES'!B:N,12,0))/100)),0)</f>
        <v>2943458</v>
      </c>
      <c r="AO71" s="93">
        <f t="shared" si="33"/>
        <v>0</v>
      </c>
      <c r="AP71" s="93">
        <f t="shared" si="13"/>
        <v>0</v>
      </c>
      <c r="AQ71" s="93">
        <f t="shared" si="14"/>
        <v>0</v>
      </c>
      <c r="AR71" s="95">
        <f t="shared" si="15"/>
        <v>10817209.800000001</v>
      </c>
      <c r="AS71" s="96"/>
      <c r="AT71" s="97"/>
      <c r="AU71" s="43">
        <f t="shared" si="16"/>
        <v>7873752.0760000013</v>
      </c>
      <c r="AV71" s="43">
        <v>40</v>
      </c>
      <c r="AW71" s="43">
        <f t="shared" si="17"/>
        <v>3149500.8304000008</v>
      </c>
      <c r="AX71" s="43">
        <f t="shared" si="18"/>
        <v>34644509.13440001</v>
      </c>
      <c r="AY71" s="58" t="s">
        <v>2032</v>
      </c>
      <c r="AZ71" s="58">
        <v>4178875</v>
      </c>
      <c r="BA71" s="58"/>
      <c r="BB71" s="58"/>
      <c r="BC71" s="48"/>
      <c r="BD71" s="48"/>
      <c r="BE71" s="48"/>
      <c r="BF71" s="48"/>
      <c r="BG71" s="48"/>
      <c r="BH71" s="48"/>
      <c r="BI71" s="48"/>
      <c r="BJ71" s="48"/>
      <c r="BK71" s="48"/>
      <c r="BL71" s="48"/>
      <c r="BM71" s="48"/>
      <c r="BN71" s="48"/>
      <c r="BO71" s="48"/>
      <c r="BP71" s="48"/>
      <c r="BQ71" s="48"/>
      <c r="BR71" s="48"/>
      <c r="BS71" s="48"/>
    </row>
    <row r="72" spans="1:71" ht="12.75" hidden="1" customHeight="1">
      <c r="A72" s="85">
        <v>68</v>
      </c>
      <c r="B72" s="86">
        <v>5064</v>
      </c>
      <c r="C72" s="29">
        <v>42</v>
      </c>
      <c r="D72" s="122">
        <v>52146157</v>
      </c>
      <c r="E72" s="18" t="str">
        <f>IF(D72&gt;0,VLOOKUP(D72,'PLANTA PERNO'!A:D,4,0)&amp;" "&amp;VLOOKUP(D72,'PLANTA PERNO'!A:D,2,0)&amp;" "&amp;VLOOKUP(D72,'PLANTA PERNO'!A:D,3,0),IF(O72="","VACANTE DEFINITIVA","VACANTE TEMPORAL"))</f>
        <v>MARIA CAMILA COTAMO JAIMES</v>
      </c>
      <c r="F72" s="20" t="s">
        <v>49</v>
      </c>
      <c r="G72" s="20" t="str">
        <f t="shared" si="0"/>
        <v>CARRERA ADMINISTRATIVA</v>
      </c>
      <c r="H72" s="33">
        <f t="shared" si="28"/>
        <v>45111</v>
      </c>
      <c r="I72" s="33">
        <f t="shared" si="29"/>
        <v>45111</v>
      </c>
      <c r="J72" s="31" t="str">
        <f t="shared" si="30"/>
        <v>MUJER</v>
      </c>
      <c r="K72" s="21">
        <f t="shared" ca="1" si="31"/>
        <v>53</v>
      </c>
      <c r="L72" s="21">
        <f t="shared" ca="1" si="5"/>
        <v>3</v>
      </c>
      <c r="M72" s="21" t="str">
        <f t="shared" si="6"/>
        <v/>
      </c>
      <c r="N72" s="21" t="str">
        <f t="shared" si="20"/>
        <v>EN PROPIEDAD</v>
      </c>
      <c r="O72" s="21">
        <v>52146157</v>
      </c>
      <c r="P72" s="18" t="str">
        <f>IF(O72="","VACANTE DEFINITIVA",(VLOOKUP(O72,'PLANTA PERNO'!A:D,4,0)&amp;" "&amp;VLOOKUP(O72,'PLANTA PERNO'!A:D,2,0)&amp;" "&amp;VLOOKUP(O72,'PLANTA PERNO'!A:D,3,0)))</f>
        <v>MARIA CAMILA COTAMO JAIMES</v>
      </c>
      <c r="Q72" s="21"/>
      <c r="R72" s="21"/>
      <c r="S72" s="21"/>
      <c r="T72" s="21"/>
      <c r="U72" s="21"/>
      <c r="V72" s="21"/>
      <c r="W72" s="38">
        <v>131867</v>
      </c>
      <c r="X72" s="128"/>
      <c r="Y72" s="21" t="str">
        <f t="shared" si="8"/>
        <v>OCUPADO</v>
      </c>
      <c r="Z72" s="23" t="s">
        <v>50</v>
      </c>
      <c r="AA72" s="24" t="s">
        <v>51</v>
      </c>
      <c r="AB72" s="25">
        <v>222</v>
      </c>
      <c r="AC72" s="27">
        <v>27</v>
      </c>
      <c r="AD72" s="28" t="str">
        <f t="shared" si="9"/>
        <v>222-27</v>
      </c>
      <c r="AE72" s="24" t="s">
        <v>213</v>
      </c>
      <c r="AF72" s="24" t="s">
        <v>213</v>
      </c>
      <c r="AG72" s="24" t="s">
        <v>1818</v>
      </c>
      <c r="AH72" s="24" t="s">
        <v>1819</v>
      </c>
      <c r="AI72" s="24" t="s">
        <v>1820</v>
      </c>
      <c r="AJ72" s="24" t="s">
        <v>1821</v>
      </c>
      <c r="AK72" s="93">
        <v>7358646.8000000007</v>
      </c>
      <c r="AL72" s="93">
        <v>0</v>
      </c>
      <c r="AM72" s="93">
        <f t="shared" si="32"/>
        <v>0</v>
      </c>
      <c r="AN72" s="93">
        <f>IFERROR(INT(($AK72*(VLOOKUP($D72,'PORCENTAJES FACTORES'!B:N,12,0))/100)),0)</f>
        <v>2943458</v>
      </c>
      <c r="AO72" s="93">
        <f t="shared" si="33"/>
        <v>0</v>
      </c>
      <c r="AP72" s="93">
        <f t="shared" si="13"/>
        <v>0</v>
      </c>
      <c r="AQ72" s="93">
        <f t="shared" si="14"/>
        <v>0</v>
      </c>
      <c r="AR72" s="95">
        <f t="shared" si="15"/>
        <v>10302104.800000001</v>
      </c>
      <c r="AS72" s="96"/>
      <c r="AT72" s="97"/>
      <c r="AU72" s="43">
        <f t="shared" si="16"/>
        <v>7873752.0760000013</v>
      </c>
      <c r="AV72" s="43">
        <v>40</v>
      </c>
      <c r="AW72" s="43">
        <f t="shared" si="17"/>
        <v>3149500.8304000008</v>
      </c>
      <c r="AX72" s="43">
        <f t="shared" si="18"/>
        <v>34644509.13440001</v>
      </c>
      <c r="AY72" s="58" t="s">
        <v>2046</v>
      </c>
      <c r="AZ72" s="58">
        <v>4283026</v>
      </c>
      <c r="BA72" s="58"/>
      <c r="BB72" s="58"/>
      <c r="BC72" s="48"/>
      <c r="BD72" s="48"/>
      <c r="BE72" s="48"/>
      <c r="BF72" s="48"/>
      <c r="BG72" s="48"/>
      <c r="BH72" s="48"/>
      <c r="BI72" s="48"/>
      <c r="BJ72" s="48"/>
      <c r="BK72" s="48"/>
      <c r="BL72" s="48"/>
      <c r="BM72" s="48"/>
      <c r="BN72" s="48"/>
      <c r="BO72" s="48"/>
      <c r="BP72" s="48"/>
      <c r="BQ72" s="48"/>
      <c r="BR72" s="48"/>
      <c r="BS72" s="48"/>
    </row>
    <row r="73" spans="1:71" ht="12.75" hidden="1" customHeight="1">
      <c r="A73" s="85">
        <v>69</v>
      </c>
      <c r="B73" s="86">
        <v>5065</v>
      </c>
      <c r="C73" s="29">
        <v>43</v>
      </c>
      <c r="D73" s="122">
        <v>52033530</v>
      </c>
      <c r="E73" s="18" t="str">
        <f>IF(D73&gt;0,VLOOKUP(D73,'PLANTA PERNO'!A:D,4,0)&amp;" "&amp;VLOOKUP(D73,'PLANTA PERNO'!A:D,2,0)&amp;" "&amp;VLOOKUP(D73,'PLANTA PERNO'!A:D,3,0),IF(O73="","VACANTE DEFINITIVA","VACANTE TEMPORAL"))</f>
        <v>LINA MARCELA MELO RODRIGUEZ</v>
      </c>
      <c r="F73" s="20" t="s">
        <v>49</v>
      </c>
      <c r="G73" s="20" t="str">
        <f t="shared" si="0"/>
        <v>CARRERA ADMINISTRATIVA</v>
      </c>
      <c r="H73" s="33">
        <f t="shared" si="28"/>
        <v>44774</v>
      </c>
      <c r="I73" s="33">
        <f t="shared" si="29"/>
        <v>44506</v>
      </c>
      <c r="J73" s="31" t="str">
        <f t="shared" si="30"/>
        <v>MUJER</v>
      </c>
      <c r="K73" s="21">
        <f t="shared" ca="1" si="31"/>
        <v>55</v>
      </c>
      <c r="L73" s="21">
        <f t="shared" ca="1" si="5"/>
        <v>4</v>
      </c>
      <c r="M73" s="21" t="str">
        <f t="shared" si="6"/>
        <v/>
      </c>
      <c r="N73" s="21" t="str">
        <f t="shared" si="20"/>
        <v>EN PROPIEDAD</v>
      </c>
      <c r="O73" s="21">
        <v>52033530</v>
      </c>
      <c r="P73" s="18" t="str">
        <f>IF(O73="","VACANTE DEFINITIVA",(VLOOKUP(O73,'PLANTA PERNO'!A:D,4,0)&amp;" "&amp;VLOOKUP(O73,'PLANTA PERNO'!A:D,2,0)&amp;" "&amp;VLOOKUP(O73,'PLANTA PERNO'!A:D,3,0)))</f>
        <v>LINA MARCELA MELO RODRIGUEZ</v>
      </c>
      <c r="Q73" s="21"/>
      <c r="R73" s="21"/>
      <c r="S73" s="21"/>
      <c r="T73" s="21"/>
      <c r="U73" s="21"/>
      <c r="V73" s="21"/>
      <c r="W73" s="38">
        <v>66675</v>
      </c>
      <c r="X73" s="128"/>
      <c r="Y73" s="21" t="str">
        <f t="shared" si="8"/>
        <v>OCUPADO</v>
      </c>
      <c r="Z73" s="23" t="s">
        <v>50</v>
      </c>
      <c r="AA73" s="24" t="s">
        <v>51</v>
      </c>
      <c r="AB73" s="25">
        <v>222</v>
      </c>
      <c r="AC73" s="27">
        <v>27</v>
      </c>
      <c r="AD73" s="28" t="str">
        <f t="shared" si="9"/>
        <v>222-27</v>
      </c>
      <c r="AE73" s="24" t="s">
        <v>213</v>
      </c>
      <c r="AF73" s="24" t="s">
        <v>213</v>
      </c>
      <c r="AG73" s="24" t="s">
        <v>1854</v>
      </c>
      <c r="AH73" s="24" t="s">
        <v>1855</v>
      </c>
      <c r="AI73" s="24" t="s">
        <v>1856</v>
      </c>
      <c r="AJ73" s="24" t="s">
        <v>1821</v>
      </c>
      <c r="AK73" s="93">
        <v>7358646.8000000007</v>
      </c>
      <c r="AL73" s="93">
        <v>0</v>
      </c>
      <c r="AM73" s="93">
        <f t="shared" si="32"/>
        <v>0</v>
      </c>
      <c r="AN73" s="93">
        <f>IFERROR(INT(($AK73*(VLOOKUP($D73,'PORCENTAJES FACTORES'!B:N,12,0))/100)),0)</f>
        <v>2943458</v>
      </c>
      <c r="AO73" s="93">
        <f t="shared" si="33"/>
        <v>0</v>
      </c>
      <c r="AP73" s="93">
        <f t="shared" si="13"/>
        <v>0</v>
      </c>
      <c r="AQ73" s="93">
        <f t="shared" si="14"/>
        <v>0</v>
      </c>
      <c r="AR73" s="95">
        <f t="shared" si="15"/>
        <v>10302104.800000001</v>
      </c>
      <c r="AS73" s="96"/>
      <c r="AT73" s="97"/>
      <c r="AU73" s="43">
        <f t="shared" si="16"/>
        <v>7873752.0760000013</v>
      </c>
      <c r="AV73" s="43">
        <v>40</v>
      </c>
      <c r="AW73" s="43">
        <f t="shared" si="17"/>
        <v>3149500.8304000008</v>
      </c>
      <c r="AX73" s="43">
        <f t="shared" si="18"/>
        <v>34644509.13440001</v>
      </c>
      <c r="AY73" s="58" t="s">
        <v>2067</v>
      </c>
      <c r="AZ73" s="58">
        <v>4294607</v>
      </c>
      <c r="BA73" s="58"/>
      <c r="BB73" s="58"/>
      <c r="BC73" s="48"/>
      <c r="BD73" s="48"/>
      <c r="BE73" s="48"/>
      <c r="BF73" s="48"/>
      <c r="BG73" s="48"/>
      <c r="BH73" s="48"/>
      <c r="BI73" s="48"/>
      <c r="BJ73" s="48"/>
      <c r="BK73" s="48"/>
      <c r="BL73" s="48"/>
      <c r="BM73" s="48"/>
      <c r="BN73" s="48"/>
      <c r="BO73" s="48"/>
      <c r="BP73" s="48"/>
      <c r="BQ73" s="48"/>
      <c r="BR73" s="48"/>
      <c r="BS73" s="48"/>
    </row>
    <row r="74" spans="1:71" ht="12.75" hidden="1" customHeight="1">
      <c r="A74" s="85">
        <v>70</v>
      </c>
      <c r="B74" s="86">
        <v>5066</v>
      </c>
      <c r="C74" s="29">
        <v>44</v>
      </c>
      <c r="D74" s="122">
        <v>24179106</v>
      </c>
      <c r="E74" s="18" t="str">
        <f>IF(D74&gt;0,VLOOKUP(D74,'PLANTA PERNO'!A:D,4,0)&amp;" "&amp;VLOOKUP(D74,'PLANTA PERNO'!A:D,2,0)&amp;" "&amp;VLOOKUP(D74,'PLANTA PERNO'!A:D,3,0),IF(O74="","VACANTE DEFINITIVA","VACANTE TEMPORAL"))</f>
        <v>ZULMA ROJAS SUAREZ</v>
      </c>
      <c r="F74" s="20" t="s">
        <v>49</v>
      </c>
      <c r="G74" s="20" t="str">
        <f t="shared" si="0"/>
        <v>CARRERA ADMINISTRATIVA</v>
      </c>
      <c r="H74" s="33">
        <f t="shared" si="28"/>
        <v>42585</v>
      </c>
      <c r="I74" s="33">
        <f t="shared" si="29"/>
        <v>38343</v>
      </c>
      <c r="J74" s="31" t="str">
        <f t="shared" si="30"/>
        <v>MUJER</v>
      </c>
      <c r="K74" s="21">
        <f t="shared" ca="1" si="31"/>
        <v>50</v>
      </c>
      <c r="L74" s="21">
        <f t="shared" ca="1" si="5"/>
        <v>10</v>
      </c>
      <c r="M74" s="21" t="str">
        <f t="shared" si="6"/>
        <v/>
      </c>
      <c r="N74" s="21" t="str">
        <f t="shared" si="20"/>
        <v>EN PROPIEDAD</v>
      </c>
      <c r="O74" s="21">
        <v>24179106</v>
      </c>
      <c r="P74" s="18" t="str">
        <f>IF(O74="","VACANTE DEFINITIVA",(VLOOKUP(O74,'PLANTA PERNO'!A:D,4,0)&amp;" "&amp;VLOOKUP(O74,'PLANTA PERNO'!A:D,2,0)&amp;" "&amp;VLOOKUP(O74,'PLANTA PERNO'!A:D,3,0)))</f>
        <v>ZULMA ROJAS SUAREZ</v>
      </c>
      <c r="Q74" s="21"/>
      <c r="R74" s="21"/>
      <c r="S74" s="21"/>
      <c r="T74" s="21"/>
      <c r="U74" s="21"/>
      <c r="V74" s="21"/>
      <c r="W74" s="38"/>
      <c r="X74" s="128"/>
      <c r="Y74" s="21" t="str">
        <f t="shared" si="8"/>
        <v>OCUPADO</v>
      </c>
      <c r="Z74" s="23" t="s">
        <v>50</v>
      </c>
      <c r="AA74" s="24" t="s">
        <v>51</v>
      </c>
      <c r="AB74" s="25">
        <v>222</v>
      </c>
      <c r="AC74" s="27">
        <v>27</v>
      </c>
      <c r="AD74" s="28" t="str">
        <f t="shared" si="9"/>
        <v>222-27</v>
      </c>
      <c r="AE74" s="24" t="s">
        <v>213</v>
      </c>
      <c r="AF74" s="24" t="s">
        <v>213</v>
      </c>
      <c r="AG74" s="24" t="s">
        <v>54</v>
      </c>
      <c r="AH74" s="24" t="s">
        <v>55</v>
      </c>
      <c r="AI74" s="24" t="s">
        <v>1890</v>
      </c>
      <c r="AJ74" s="24" t="s">
        <v>57</v>
      </c>
      <c r="AK74" s="93">
        <v>7358646.8000000007</v>
      </c>
      <c r="AL74" s="93">
        <v>0</v>
      </c>
      <c r="AM74" s="93">
        <f t="shared" si="32"/>
        <v>515105</v>
      </c>
      <c r="AN74" s="93">
        <f>IFERROR(INT(($AK74*(VLOOKUP($D74,'PORCENTAJES FACTORES'!B:N,12,0))/100)),0)</f>
        <v>2943458</v>
      </c>
      <c r="AO74" s="93">
        <f t="shared" si="33"/>
        <v>0</v>
      </c>
      <c r="AP74" s="93">
        <f t="shared" si="13"/>
        <v>0</v>
      </c>
      <c r="AQ74" s="93">
        <f t="shared" si="14"/>
        <v>0</v>
      </c>
      <c r="AR74" s="95">
        <f t="shared" si="15"/>
        <v>10817209.800000001</v>
      </c>
      <c r="AS74" s="187" t="s">
        <v>1896</v>
      </c>
      <c r="AT74" s="201"/>
      <c r="AU74" s="43">
        <f t="shared" si="16"/>
        <v>7873752.0760000013</v>
      </c>
      <c r="AV74" s="43">
        <v>40</v>
      </c>
      <c r="AW74" s="43">
        <f t="shared" si="17"/>
        <v>3149500.8304000008</v>
      </c>
      <c r="AX74" s="43">
        <f t="shared" si="18"/>
        <v>34644509.13440001</v>
      </c>
      <c r="AY74" s="58" t="s">
        <v>2090</v>
      </c>
      <c r="AZ74" s="58">
        <v>4475957</v>
      </c>
      <c r="BA74" s="58"/>
      <c r="BB74" s="58"/>
      <c r="BC74" s="48"/>
      <c r="BD74" s="48"/>
      <c r="BE74" s="48"/>
      <c r="BF74" s="48"/>
      <c r="BG74" s="48"/>
      <c r="BH74" s="48"/>
      <c r="BI74" s="48"/>
      <c r="BJ74" s="48"/>
      <c r="BK74" s="48"/>
      <c r="BL74" s="48"/>
      <c r="BM74" s="48"/>
      <c r="BN74" s="48"/>
      <c r="BO74" s="48"/>
      <c r="BP74" s="48"/>
      <c r="BQ74" s="48"/>
      <c r="BR74" s="48"/>
      <c r="BS74" s="48"/>
    </row>
    <row r="75" spans="1:71" ht="12.75" hidden="1" customHeight="1">
      <c r="A75" s="85">
        <v>71</v>
      </c>
      <c r="B75" s="86">
        <v>5067</v>
      </c>
      <c r="C75" s="29">
        <v>45</v>
      </c>
      <c r="D75" s="122">
        <v>64586540</v>
      </c>
      <c r="E75" s="18" t="str">
        <f>IF(D75&gt;0,VLOOKUP(D75,'PLANTA PERNO'!A:D,4,0)&amp;" "&amp;VLOOKUP(D75,'PLANTA PERNO'!A:D,2,0)&amp;" "&amp;VLOOKUP(D75,'PLANTA PERNO'!A:D,3,0),IF(O75="","VACANTE DEFINITIVA","VACANTE TEMPORAL"))</f>
        <v>ALMA ROSA RAMOS MARIA</v>
      </c>
      <c r="F75" s="20" t="s">
        <v>49</v>
      </c>
      <c r="G75" s="20" t="str">
        <f t="shared" si="0"/>
        <v>CARRERA ADMINISTRATIVA</v>
      </c>
      <c r="H75" s="33">
        <f t="shared" si="28"/>
        <v>44603</v>
      </c>
      <c r="I75" s="33">
        <f t="shared" si="29"/>
        <v>44603</v>
      </c>
      <c r="J75" s="31" t="str">
        <f t="shared" si="30"/>
        <v>MUJER</v>
      </c>
      <c r="K75" s="21">
        <f t="shared" ca="1" si="31"/>
        <v>46</v>
      </c>
      <c r="L75" s="21">
        <f t="shared" ca="1" si="5"/>
        <v>4</v>
      </c>
      <c r="M75" s="21" t="str">
        <f t="shared" si="6"/>
        <v/>
      </c>
      <c r="N75" s="21" t="str">
        <f t="shared" si="20"/>
        <v>EN PROPIEDAD</v>
      </c>
      <c r="O75" s="21">
        <v>64586540</v>
      </c>
      <c r="P75" s="18" t="str">
        <f>IF(O75="","VACANTE DEFINITIVA",(VLOOKUP(O75,'PLANTA PERNO'!A:D,4,0)&amp;" "&amp;VLOOKUP(O75,'PLANTA PERNO'!A:D,2,0)&amp;" "&amp;VLOOKUP(O75,'PLANTA PERNO'!A:D,3,0)))</f>
        <v>ALMA ROSA RAMOS MARIA</v>
      </c>
      <c r="Q75" s="21"/>
      <c r="R75" s="21"/>
      <c r="S75" s="21"/>
      <c r="T75" s="21"/>
      <c r="U75" s="21"/>
      <c r="V75" s="21"/>
      <c r="W75" s="38">
        <v>66674</v>
      </c>
      <c r="X75" s="128"/>
      <c r="Y75" s="21" t="str">
        <f t="shared" si="8"/>
        <v>OCUPADO</v>
      </c>
      <c r="Z75" s="23" t="s">
        <v>50</v>
      </c>
      <c r="AA75" s="24" t="s">
        <v>51</v>
      </c>
      <c r="AB75" s="25">
        <v>222</v>
      </c>
      <c r="AC75" s="27">
        <v>27</v>
      </c>
      <c r="AD75" s="28" t="str">
        <f t="shared" si="9"/>
        <v>222-27</v>
      </c>
      <c r="AE75" s="24" t="s">
        <v>33</v>
      </c>
      <c r="AF75" s="24" t="s">
        <v>33</v>
      </c>
      <c r="AG75" s="24" t="s">
        <v>59</v>
      </c>
      <c r="AH75" s="24" t="s">
        <v>60</v>
      </c>
      <c r="AI75" s="24" t="s">
        <v>56</v>
      </c>
      <c r="AJ75" s="24" t="s">
        <v>57</v>
      </c>
      <c r="AK75" s="93">
        <v>7358646.8000000007</v>
      </c>
      <c r="AL75" s="93">
        <v>0</v>
      </c>
      <c r="AM75" s="93">
        <f t="shared" si="32"/>
        <v>0</v>
      </c>
      <c r="AN75" s="93">
        <f>IFERROR(INT(($AK75*(VLOOKUP($D75,'PORCENTAJES FACTORES'!B:N,12,0))/100)),0)</f>
        <v>2943458</v>
      </c>
      <c r="AO75" s="93">
        <f t="shared" si="33"/>
        <v>0</v>
      </c>
      <c r="AP75" s="93">
        <f t="shared" si="13"/>
        <v>0</v>
      </c>
      <c r="AQ75" s="93">
        <f t="shared" si="14"/>
        <v>0</v>
      </c>
      <c r="AR75" s="95">
        <f t="shared" si="15"/>
        <v>10302104.800000001</v>
      </c>
      <c r="AS75" s="96"/>
      <c r="AT75" s="97"/>
      <c r="AU75" s="43">
        <f t="shared" si="16"/>
        <v>7873752.0760000013</v>
      </c>
      <c r="AV75" s="43">
        <v>40</v>
      </c>
      <c r="AW75" s="43">
        <f t="shared" si="17"/>
        <v>3149500.8304000008</v>
      </c>
      <c r="AX75" s="43">
        <f t="shared" si="18"/>
        <v>34644509.13440001</v>
      </c>
      <c r="AY75" s="58" t="s">
        <v>2114</v>
      </c>
      <c r="AZ75" s="58">
        <v>4476064</v>
      </c>
      <c r="BA75" s="58"/>
      <c r="BB75" s="58"/>
      <c r="BC75" s="48"/>
      <c r="BD75" s="48"/>
      <c r="BE75" s="48"/>
      <c r="BF75" s="48"/>
      <c r="BG75" s="48"/>
      <c r="BH75" s="48"/>
      <c r="BI75" s="48"/>
      <c r="BJ75" s="48"/>
      <c r="BK75" s="48"/>
      <c r="BL75" s="48"/>
      <c r="BM75" s="48"/>
      <c r="BN75" s="48"/>
      <c r="BO75" s="48"/>
      <c r="BP75" s="48"/>
      <c r="BQ75" s="48"/>
      <c r="BR75" s="48"/>
      <c r="BS75" s="48"/>
    </row>
    <row r="76" spans="1:71" ht="12.75" hidden="1" customHeight="1">
      <c r="A76" s="85">
        <v>72</v>
      </c>
      <c r="B76" s="86">
        <v>5068</v>
      </c>
      <c r="C76" s="29">
        <v>46</v>
      </c>
      <c r="D76" s="122">
        <v>19347862</v>
      </c>
      <c r="E76" s="18" t="str">
        <f>IF(D76&gt;0,VLOOKUP(D76,'PLANTA PERNO'!A:D,4,0)&amp;" "&amp;VLOOKUP(D76,'PLANTA PERNO'!A:D,2,0)&amp;" "&amp;VLOOKUP(D76,'PLANTA PERNO'!A:D,3,0),IF(O76="","VACANTE DEFINITIVA","VACANTE TEMPORAL"))</f>
        <v>JORGE ELIECER HERNANDEZ ALBARRACIN</v>
      </c>
      <c r="F76" s="20" t="s">
        <v>49</v>
      </c>
      <c r="G76" s="20" t="str">
        <f t="shared" si="0"/>
        <v>CARRERA ADMINISTRATIVA</v>
      </c>
      <c r="H76" s="33">
        <f t="shared" si="28"/>
        <v>42585</v>
      </c>
      <c r="I76" s="33">
        <f t="shared" si="29"/>
        <v>34696</v>
      </c>
      <c r="J76" s="31" t="str">
        <f t="shared" si="30"/>
        <v>HOMBRE</v>
      </c>
      <c r="K76" s="21">
        <f t="shared" ca="1" si="31"/>
        <v>69</v>
      </c>
      <c r="L76" s="21">
        <f t="shared" ca="1" si="5"/>
        <v>10</v>
      </c>
      <c r="M76" s="21" t="str">
        <f t="shared" si="6"/>
        <v/>
      </c>
      <c r="N76" s="21" t="str">
        <f t="shared" si="20"/>
        <v>EN PROPIEDAD</v>
      </c>
      <c r="O76" s="21">
        <v>19347862</v>
      </c>
      <c r="P76" s="18" t="str">
        <f>IF(O76="","VACANTE DEFINITIVA",(VLOOKUP(O76,'PLANTA PERNO'!A:D,4,0)&amp;" "&amp;VLOOKUP(O76,'PLANTA PERNO'!A:D,2,0)&amp;" "&amp;VLOOKUP(O76,'PLANTA PERNO'!A:D,3,0)))</f>
        <v>JORGE ELIECER HERNANDEZ ALBARRACIN</v>
      </c>
      <c r="Q76" s="21"/>
      <c r="R76" s="21"/>
      <c r="S76" s="21"/>
      <c r="T76" s="21"/>
      <c r="U76" s="21"/>
      <c r="V76" s="21"/>
      <c r="W76" s="38"/>
      <c r="X76" s="128"/>
      <c r="Y76" s="21" t="str">
        <f t="shared" si="8"/>
        <v>OCUPADO</v>
      </c>
      <c r="Z76" s="23" t="s">
        <v>50</v>
      </c>
      <c r="AA76" s="24" t="s">
        <v>51</v>
      </c>
      <c r="AB76" s="25">
        <v>222</v>
      </c>
      <c r="AC76" s="27">
        <v>27</v>
      </c>
      <c r="AD76" s="28" t="str">
        <f t="shared" si="9"/>
        <v>222-27</v>
      </c>
      <c r="AE76" s="24" t="s">
        <v>150</v>
      </c>
      <c r="AF76" s="24" t="s">
        <v>150</v>
      </c>
      <c r="AG76" s="24" t="s">
        <v>1945</v>
      </c>
      <c r="AH76" s="24" t="s">
        <v>1946</v>
      </c>
      <c r="AI76" s="24" t="s">
        <v>1947</v>
      </c>
      <c r="AJ76" s="24" t="s">
        <v>1948</v>
      </c>
      <c r="AK76" s="93">
        <v>7358646.8000000007</v>
      </c>
      <c r="AL76" s="93">
        <v>0</v>
      </c>
      <c r="AM76" s="93">
        <f t="shared" si="32"/>
        <v>515105</v>
      </c>
      <c r="AN76" s="93">
        <f>IFERROR(INT(($AK76*(VLOOKUP($D76,'PORCENTAJES FACTORES'!B:N,12,0))/100)),0)</f>
        <v>2943458</v>
      </c>
      <c r="AO76" s="93">
        <f t="shared" si="33"/>
        <v>0</v>
      </c>
      <c r="AP76" s="93">
        <f t="shared" si="13"/>
        <v>0</v>
      </c>
      <c r="AQ76" s="93">
        <f t="shared" si="14"/>
        <v>0</v>
      </c>
      <c r="AR76" s="95">
        <f t="shared" si="15"/>
        <v>10817209.800000001</v>
      </c>
      <c r="AS76" s="96"/>
      <c r="AT76" s="97"/>
      <c r="AU76" s="43">
        <f t="shared" si="16"/>
        <v>7873752.0760000013</v>
      </c>
      <c r="AV76" s="43">
        <v>40</v>
      </c>
      <c r="AW76" s="43">
        <f t="shared" si="17"/>
        <v>3149500.8304000008</v>
      </c>
      <c r="AX76" s="43">
        <f t="shared" si="18"/>
        <v>34644509.13440001</v>
      </c>
      <c r="AY76" s="58" t="s">
        <v>2135</v>
      </c>
      <c r="AZ76" s="58">
        <v>4476171</v>
      </c>
      <c r="BA76" s="58"/>
      <c r="BB76" s="58"/>
      <c r="BC76" s="48"/>
      <c r="BD76" s="48"/>
      <c r="BE76" s="48"/>
      <c r="BF76" s="48"/>
      <c r="BG76" s="48"/>
      <c r="BH76" s="48"/>
      <c r="BI76" s="48"/>
      <c r="BJ76" s="48"/>
      <c r="BK76" s="48"/>
      <c r="BL76" s="48"/>
      <c r="BM76" s="48"/>
      <c r="BN76" s="48"/>
      <c r="BO76" s="48"/>
      <c r="BP76" s="48"/>
      <c r="BQ76" s="48"/>
      <c r="BR76" s="48"/>
      <c r="BS76" s="48"/>
    </row>
    <row r="77" spans="1:71" ht="12.75" customHeight="1">
      <c r="A77" s="85">
        <v>73</v>
      </c>
      <c r="B77" s="86">
        <v>5069</v>
      </c>
      <c r="C77" s="29">
        <v>47</v>
      </c>
      <c r="D77" s="122">
        <v>51649014</v>
      </c>
      <c r="E77" s="18" t="str">
        <f>IF(D77&gt;0,VLOOKUP(D77,'PLANTA PERNO'!A:D,4,0)&amp;" "&amp;VLOOKUP(D77,'PLANTA PERNO'!A:D,2,0)&amp;" "&amp;VLOOKUP(D77,'PLANTA PERNO'!A:D,3,0),IF(O77="","VACANTE DEFINITIVA","VACANTE TEMPORAL"))</f>
        <v>DORA BELEN GUTIERREZ HERNANDEZ</v>
      </c>
      <c r="F77" s="20" t="s">
        <v>49</v>
      </c>
      <c r="G77" s="20" t="str">
        <f t="shared" si="0"/>
        <v>EN ENCARGO</v>
      </c>
      <c r="H77" s="33">
        <f t="shared" si="28"/>
        <v>42585</v>
      </c>
      <c r="I77" s="33">
        <f t="shared" si="29"/>
        <v>34870</v>
      </c>
      <c r="J77" s="31" t="str">
        <f t="shared" si="30"/>
        <v>MUJER</v>
      </c>
      <c r="K77" s="21">
        <f t="shared" ca="1" si="31"/>
        <v>64</v>
      </c>
      <c r="L77" s="21">
        <f t="shared" ca="1" si="5"/>
        <v>10</v>
      </c>
      <c r="M77" s="21" t="str">
        <f t="shared" si="6"/>
        <v>ENCARGO</v>
      </c>
      <c r="N77" s="21" t="str">
        <f t="shared" si="20"/>
        <v>VACANTE DEFINITIVA</v>
      </c>
      <c r="O77" s="21" t="s">
        <v>25</v>
      </c>
      <c r="P77" s="18" t="str">
        <f>IF(O77="","VACANTE DEFINITIVA",(VLOOKUP(O77,'PLANTA PERNO'!A:D,4,0)&amp;" "&amp;VLOOKUP(O77,'PLANTA PERNO'!A:D,2,0)&amp;" "&amp;VLOOKUP(O77,'PLANTA PERNO'!A:D,3,0)))</f>
        <v>VACANTE DEFINITIVA</v>
      </c>
      <c r="Q77" s="21" t="s">
        <v>323</v>
      </c>
      <c r="R77" s="21">
        <v>1</v>
      </c>
      <c r="S77" s="21"/>
      <c r="T77" s="21"/>
      <c r="U77" s="21"/>
      <c r="V77" s="21"/>
      <c r="W77" s="38">
        <v>66669</v>
      </c>
      <c r="X77" s="129">
        <v>220283</v>
      </c>
      <c r="Y77" s="21" t="str">
        <f t="shared" si="8"/>
        <v>OCUPADO</v>
      </c>
      <c r="Z77" s="23" t="s">
        <v>50</v>
      </c>
      <c r="AA77" s="24" t="s">
        <v>51</v>
      </c>
      <c r="AB77" s="25">
        <v>222</v>
      </c>
      <c r="AC77" s="27">
        <v>27</v>
      </c>
      <c r="AD77" s="28" t="str">
        <f t="shared" si="9"/>
        <v>222-27</v>
      </c>
      <c r="AE77" s="24" t="s">
        <v>150</v>
      </c>
      <c r="AF77" s="24" t="s">
        <v>150</v>
      </c>
      <c r="AG77" s="24" t="s">
        <v>1969</v>
      </c>
      <c r="AH77" s="24" t="s">
        <v>1970</v>
      </c>
      <c r="AI77" s="24" t="s">
        <v>1971</v>
      </c>
      <c r="AJ77" s="24" t="s">
        <v>1972</v>
      </c>
      <c r="AK77" s="93">
        <v>7358646.8000000007</v>
      </c>
      <c r="AL77" s="93">
        <v>0</v>
      </c>
      <c r="AM77" s="93">
        <f t="shared" si="32"/>
        <v>515105</v>
      </c>
      <c r="AN77" s="93">
        <f>IFERROR(INT(($AK77*(VLOOKUP($D77,'PORCENTAJES FACTORES'!B:N,12,0))/100)),0)</f>
        <v>2943458</v>
      </c>
      <c r="AO77" s="93">
        <f t="shared" si="33"/>
        <v>0</v>
      </c>
      <c r="AP77" s="93">
        <f t="shared" si="13"/>
        <v>0</v>
      </c>
      <c r="AQ77" s="93">
        <f t="shared" si="14"/>
        <v>0</v>
      </c>
      <c r="AR77" s="95">
        <f t="shared" si="15"/>
        <v>10817209.800000001</v>
      </c>
      <c r="AS77" s="96"/>
      <c r="AT77" s="97" t="s">
        <v>2160</v>
      </c>
      <c r="AU77" s="43">
        <f t="shared" si="16"/>
        <v>7873752.0760000013</v>
      </c>
      <c r="AV77" s="43">
        <v>40</v>
      </c>
      <c r="AW77" s="43">
        <f t="shared" si="17"/>
        <v>3149500.8304000008</v>
      </c>
      <c r="AX77" s="43">
        <f t="shared" si="18"/>
        <v>34644509.13440001</v>
      </c>
      <c r="AY77" s="58" t="s">
        <v>2161</v>
      </c>
      <c r="AZ77" s="58">
        <v>1894759</v>
      </c>
      <c r="BA77" s="58"/>
      <c r="BB77" s="58"/>
      <c r="BC77" s="48"/>
      <c r="BD77" s="48"/>
      <c r="BE77" s="48"/>
      <c r="BF77" s="48"/>
      <c r="BG77" s="48"/>
      <c r="BH77" s="48"/>
      <c r="BI77" s="48"/>
      <c r="BJ77" s="48"/>
      <c r="BK77" s="48"/>
      <c r="BL77" s="48"/>
      <c r="BM77" s="48"/>
      <c r="BN77" s="48"/>
      <c r="BO77" s="48"/>
      <c r="BP77" s="48"/>
      <c r="BQ77" s="48"/>
      <c r="BR77" s="48"/>
      <c r="BS77" s="48"/>
    </row>
    <row r="78" spans="1:71" ht="12.75" hidden="1" customHeight="1">
      <c r="A78" s="85">
        <v>74</v>
      </c>
      <c r="B78" s="86">
        <v>5071</v>
      </c>
      <c r="C78" s="29">
        <v>49</v>
      </c>
      <c r="D78" s="122">
        <v>52380066</v>
      </c>
      <c r="E78" s="18" t="str">
        <f>IF(D78&gt;0,VLOOKUP(D78,'PLANTA PERNO'!A:D,4,0)&amp;" "&amp;VLOOKUP(D78,'PLANTA PERNO'!A:D,2,0)&amp;" "&amp;VLOOKUP(D78,'PLANTA PERNO'!A:D,3,0),IF(O78="","VACANTE DEFINITIVA","VACANTE TEMPORAL"))</f>
        <v>YUDY ZULEYMA RODRIGUEZ BLANCO</v>
      </c>
      <c r="F78" s="20" t="s">
        <v>49</v>
      </c>
      <c r="G78" s="20" t="str">
        <f t="shared" si="0"/>
        <v>CARRERA ADMINISTRATIVA</v>
      </c>
      <c r="H78" s="33">
        <f t="shared" si="28"/>
        <v>44649</v>
      </c>
      <c r="I78" s="33">
        <f t="shared" si="29"/>
        <v>39259</v>
      </c>
      <c r="J78" s="31" t="str">
        <f t="shared" si="30"/>
        <v>MUJER</v>
      </c>
      <c r="K78" s="21">
        <f t="shared" ca="1" si="31"/>
        <v>49</v>
      </c>
      <c r="L78" s="21">
        <f t="shared" ca="1" si="5"/>
        <v>4</v>
      </c>
      <c r="M78" s="21" t="str">
        <f t="shared" si="6"/>
        <v/>
      </c>
      <c r="N78" s="21" t="str">
        <f t="shared" si="20"/>
        <v>EN PROPIEDAD</v>
      </c>
      <c r="O78" s="21">
        <v>52380066</v>
      </c>
      <c r="P78" s="18" t="str">
        <f>IF(O78="","VACANTE DEFINITIVA",(VLOOKUP(O78,'PLANTA PERNO'!A:D,4,0)&amp;" "&amp;VLOOKUP(O78,'PLANTA PERNO'!A:D,2,0)&amp;" "&amp;VLOOKUP(O78,'PLANTA PERNO'!A:D,3,0)))</f>
        <v>YUDY ZULEYMA RODRIGUEZ BLANCO</v>
      </c>
      <c r="Q78" s="21"/>
      <c r="R78" s="21"/>
      <c r="S78" s="21"/>
      <c r="T78" s="21"/>
      <c r="U78" s="21"/>
      <c r="V78" s="21"/>
      <c r="W78" s="38">
        <v>66671</v>
      </c>
      <c r="X78" s="128"/>
      <c r="Y78" s="21" t="str">
        <f t="shared" si="8"/>
        <v>OCUPADO</v>
      </c>
      <c r="Z78" s="23" t="s">
        <v>50</v>
      </c>
      <c r="AA78" s="24" t="s">
        <v>51</v>
      </c>
      <c r="AB78" s="25">
        <v>222</v>
      </c>
      <c r="AC78" s="27">
        <v>27</v>
      </c>
      <c r="AD78" s="28" t="str">
        <f t="shared" si="9"/>
        <v>222-27</v>
      </c>
      <c r="AE78" s="24" t="s">
        <v>150</v>
      </c>
      <c r="AF78" s="24" t="s">
        <v>150</v>
      </c>
      <c r="AG78" s="24" t="s">
        <v>1985</v>
      </c>
      <c r="AH78" s="24" t="s">
        <v>1986</v>
      </c>
      <c r="AI78" s="24" t="s">
        <v>1987</v>
      </c>
      <c r="AJ78" s="24" t="s">
        <v>1948</v>
      </c>
      <c r="AK78" s="93">
        <v>7358646.8000000007</v>
      </c>
      <c r="AL78" s="93">
        <v>0</v>
      </c>
      <c r="AM78" s="93">
        <f t="shared" si="32"/>
        <v>515105</v>
      </c>
      <c r="AN78" s="93">
        <f>IFERROR(INT(($AK78*(VLOOKUP($D78,'PORCENTAJES FACTORES'!B:N,12,0))/100)),0)</f>
        <v>2943458</v>
      </c>
      <c r="AO78" s="93">
        <f t="shared" si="33"/>
        <v>0</v>
      </c>
      <c r="AP78" s="93">
        <f t="shared" si="13"/>
        <v>0</v>
      </c>
      <c r="AQ78" s="93">
        <f t="shared" si="14"/>
        <v>0</v>
      </c>
      <c r="AR78" s="95">
        <f t="shared" si="15"/>
        <v>10817209.800000001</v>
      </c>
      <c r="AS78" s="96"/>
      <c r="AT78" s="97"/>
      <c r="AU78" s="43">
        <f t="shared" si="16"/>
        <v>7873752.0760000013</v>
      </c>
      <c r="AV78" s="43">
        <v>40</v>
      </c>
      <c r="AW78" s="43">
        <f t="shared" si="17"/>
        <v>3149500.8304000008</v>
      </c>
      <c r="AX78" s="43">
        <f t="shared" si="18"/>
        <v>34644509.13440001</v>
      </c>
      <c r="AY78" s="58" t="s">
        <v>2181</v>
      </c>
      <c r="AZ78" s="58">
        <v>1974832</v>
      </c>
      <c r="BA78" s="58"/>
      <c r="BB78" s="58"/>
      <c r="BC78" s="48"/>
      <c r="BD78" s="48"/>
      <c r="BE78" s="48"/>
      <c r="BF78" s="48"/>
      <c r="BG78" s="48"/>
      <c r="BH78" s="48"/>
      <c r="BI78" s="48"/>
      <c r="BJ78" s="48"/>
      <c r="BK78" s="48"/>
      <c r="BL78" s="48"/>
      <c r="BM78" s="48"/>
      <c r="BN78" s="48"/>
      <c r="BO78" s="48"/>
      <c r="BP78" s="48"/>
      <c r="BQ78" s="48"/>
      <c r="BR78" s="48"/>
      <c r="BS78" s="48"/>
    </row>
    <row r="79" spans="1:71" ht="12.75" hidden="1" customHeight="1">
      <c r="A79" s="85">
        <v>75</v>
      </c>
      <c r="B79" s="86">
        <v>5070</v>
      </c>
      <c r="C79" s="29">
        <v>48</v>
      </c>
      <c r="D79" s="122">
        <v>19444915</v>
      </c>
      <c r="E79" s="18" t="str">
        <f>IF(D79&gt;0,VLOOKUP(D79,'PLANTA PERNO'!A:D,4,0)&amp;" "&amp;VLOOKUP(D79,'PLANTA PERNO'!A:D,2,0)&amp;" "&amp;VLOOKUP(D79,'PLANTA PERNO'!A:D,3,0),IF(O79="","VACANTE DEFINITIVA","VACANTE TEMPORAL"))</f>
        <v>OCTAVIO QUINTERO LARA</v>
      </c>
      <c r="F79" s="20" t="s">
        <v>49</v>
      </c>
      <c r="G79" s="20" t="str">
        <f t="shared" si="0"/>
        <v>CARRERA ADMINISTRATIVA</v>
      </c>
      <c r="H79" s="33">
        <f t="shared" si="28"/>
        <v>44400</v>
      </c>
      <c r="I79" s="33">
        <f t="shared" si="29"/>
        <v>44400</v>
      </c>
      <c r="J79" s="31" t="str">
        <f t="shared" si="30"/>
        <v>HOMBRE</v>
      </c>
      <c r="K79" s="21">
        <f t="shared" ca="1" si="31"/>
        <v>65</v>
      </c>
      <c r="L79" s="21">
        <f t="shared" ca="1" si="5"/>
        <v>5</v>
      </c>
      <c r="M79" s="21" t="str">
        <f t="shared" si="6"/>
        <v/>
      </c>
      <c r="N79" s="21" t="str">
        <f t="shared" si="20"/>
        <v>EN PROPIEDAD</v>
      </c>
      <c r="O79" s="21">
        <v>19444915</v>
      </c>
      <c r="P79" s="18" t="str">
        <f>IF(O79="","VACANTE DEFINITIVA",(VLOOKUP(O79,'PLANTA PERNO'!A:D,4,0)&amp;" "&amp;VLOOKUP(O79,'PLANTA PERNO'!A:D,2,0)&amp;" "&amp;VLOOKUP(O79,'PLANTA PERNO'!A:D,3,0)))</f>
        <v>OCTAVIO QUINTERO LARA</v>
      </c>
      <c r="Q79" s="21"/>
      <c r="R79" s="21"/>
      <c r="S79" s="21"/>
      <c r="T79" s="21"/>
      <c r="U79" s="21"/>
      <c r="V79" s="21"/>
      <c r="W79" s="38">
        <v>66671</v>
      </c>
      <c r="X79" s="128"/>
      <c r="Y79" s="21" t="str">
        <f t="shared" si="8"/>
        <v>OCUPADO</v>
      </c>
      <c r="Z79" s="23" t="s">
        <v>50</v>
      </c>
      <c r="AA79" s="24" t="s">
        <v>51</v>
      </c>
      <c r="AB79" s="25">
        <v>222</v>
      </c>
      <c r="AC79" s="27">
        <v>27</v>
      </c>
      <c r="AD79" s="28" t="str">
        <f t="shared" si="9"/>
        <v>222-27</v>
      </c>
      <c r="AE79" s="24" t="s">
        <v>150</v>
      </c>
      <c r="AF79" s="24" t="s">
        <v>150</v>
      </c>
      <c r="AG79" s="24" t="s">
        <v>1985</v>
      </c>
      <c r="AH79" s="24" t="s">
        <v>1986</v>
      </c>
      <c r="AI79" s="24" t="s">
        <v>1987</v>
      </c>
      <c r="AJ79" s="24" t="s">
        <v>1948</v>
      </c>
      <c r="AK79" s="93">
        <v>7358646.8000000007</v>
      </c>
      <c r="AL79" s="93">
        <v>0</v>
      </c>
      <c r="AM79" s="93">
        <f t="shared" si="32"/>
        <v>220759</v>
      </c>
      <c r="AN79" s="93">
        <f>IFERROR(INT(($AK79*(VLOOKUP($D79,'PORCENTAJES FACTORES'!B:N,12,0))/100)),0)</f>
        <v>2943458</v>
      </c>
      <c r="AO79" s="93">
        <f t="shared" si="33"/>
        <v>0</v>
      </c>
      <c r="AP79" s="93">
        <f t="shared" si="13"/>
        <v>0</v>
      </c>
      <c r="AQ79" s="93">
        <f t="shared" si="14"/>
        <v>0</v>
      </c>
      <c r="AR79" s="95">
        <f t="shared" si="15"/>
        <v>10522863.800000001</v>
      </c>
      <c r="AS79" s="96"/>
      <c r="AT79" s="97"/>
      <c r="AU79" s="43">
        <f t="shared" si="16"/>
        <v>7873752.0760000013</v>
      </c>
      <c r="AV79" s="43">
        <v>40</v>
      </c>
      <c r="AW79" s="43">
        <f t="shared" si="17"/>
        <v>3149500.8304000008</v>
      </c>
      <c r="AX79" s="43">
        <f t="shared" si="18"/>
        <v>34644509.13440001</v>
      </c>
      <c r="AY79" s="58" t="s">
        <v>2199</v>
      </c>
      <c r="AZ79" s="58">
        <v>2045094</v>
      </c>
      <c r="BA79" s="58"/>
      <c r="BB79" s="58"/>
      <c r="BC79" s="48"/>
      <c r="BD79" s="48"/>
      <c r="BE79" s="48"/>
      <c r="BF79" s="48"/>
      <c r="BG79" s="48"/>
      <c r="BH79" s="48"/>
      <c r="BI79" s="48"/>
      <c r="BJ79" s="48"/>
      <c r="BK79" s="48"/>
      <c r="BL79" s="48"/>
      <c r="BM79" s="48"/>
      <c r="BN79" s="48"/>
      <c r="BO79" s="48"/>
      <c r="BP79" s="48"/>
      <c r="BQ79" s="48"/>
      <c r="BR79" s="48"/>
      <c r="BS79" s="48"/>
    </row>
    <row r="80" spans="1:71" ht="12.75" hidden="1" customHeight="1">
      <c r="A80" s="85">
        <v>76</v>
      </c>
      <c r="B80" s="86">
        <v>5073</v>
      </c>
      <c r="C80" s="29">
        <v>50</v>
      </c>
      <c r="D80" s="122"/>
      <c r="E80" s="18" t="str">
        <f>IF(D80&gt;0,VLOOKUP(D80,'PLANTA PERNO'!A:D,4,0)&amp;" "&amp;VLOOKUP(D80,'PLANTA PERNO'!A:D,2,0)&amp;" "&amp;VLOOKUP(D80,'PLANTA PERNO'!A:D,3,0),IF(O80="","VACANTE DEFINITIVA","VACANTE TEMPORAL"))</f>
        <v>VACANTE DEFINITIVA</v>
      </c>
      <c r="F80" s="20"/>
      <c r="G80" s="20" t="str">
        <f t="shared" si="0"/>
        <v>VACANTE DEFINITIVA</v>
      </c>
      <c r="H80" s="33" t="str">
        <f t="shared" si="28"/>
        <v xml:space="preserve"> </v>
      </c>
      <c r="I80" s="33" t="str">
        <f t="shared" si="29"/>
        <v/>
      </c>
      <c r="J80" s="31" t="str">
        <f t="shared" si="30"/>
        <v/>
      </c>
      <c r="K80" s="21" t="str">
        <f t="shared" ca="1" si="31"/>
        <v/>
      </c>
      <c r="L80" s="21" t="str">
        <f t="shared" ca="1" si="5"/>
        <v/>
      </c>
      <c r="M80" s="21" t="str">
        <f t="shared" si="6"/>
        <v/>
      </c>
      <c r="N80" s="21" t="str">
        <f t="shared" si="20"/>
        <v>VACANTE DEFINITIVA</v>
      </c>
      <c r="O80" s="21"/>
      <c r="P80" s="18" t="str">
        <f>IF(O80="","VACANTE DEFINITIVA",(VLOOKUP(O80,'PLANTA PERNO'!A:D,4,0)&amp;" "&amp;VLOOKUP(O80,'PLANTA PERNO'!A:D,2,0)&amp;" "&amp;VLOOKUP(O80,'PLANTA PERNO'!A:D,3,0)))</f>
        <v>VACANTE DEFINITIVA</v>
      </c>
      <c r="Q80" s="21"/>
      <c r="R80" s="21"/>
      <c r="S80" s="21"/>
      <c r="T80" s="21"/>
      <c r="U80" s="21"/>
      <c r="V80" s="21"/>
      <c r="W80" s="38"/>
      <c r="X80" s="128"/>
      <c r="Y80" s="21" t="str">
        <f t="shared" si="8"/>
        <v>VACANTE DEFINITIVA</v>
      </c>
      <c r="Z80" s="23" t="s">
        <v>50</v>
      </c>
      <c r="AA80" s="24" t="s">
        <v>51</v>
      </c>
      <c r="AB80" s="25">
        <v>222</v>
      </c>
      <c r="AC80" s="27">
        <v>26</v>
      </c>
      <c r="AD80" s="28" t="str">
        <f t="shared" si="9"/>
        <v>222-26</v>
      </c>
      <c r="AE80" s="24" t="s">
        <v>153</v>
      </c>
      <c r="AF80" s="24" t="s">
        <v>153</v>
      </c>
      <c r="AG80" s="24" t="s">
        <v>2049</v>
      </c>
      <c r="AH80" s="24" t="s">
        <v>2050</v>
      </c>
      <c r="AI80" s="24" t="s">
        <v>2051</v>
      </c>
      <c r="AJ80" s="24" t="s">
        <v>2052</v>
      </c>
      <c r="AK80" s="93">
        <v>7296815.7800000003</v>
      </c>
      <c r="AL80" s="93">
        <f>+AK80*0.2</f>
        <v>1459363.1560000002</v>
      </c>
      <c r="AM80" s="93">
        <f t="shared" si="32"/>
        <v>0</v>
      </c>
      <c r="AN80" s="93">
        <f>IFERROR(INT(($AK80*(VLOOKUP($D80,'PORCENTAJES FACTORES'!B:N,12,0))/100)),0)</f>
        <v>0</v>
      </c>
      <c r="AO80" s="93">
        <f t="shared" si="33"/>
        <v>0</v>
      </c>
      <c r="AP80" s="93">
        <f t="shared" si="13"/>
        <v>0</v>
      </c>
      <c r="AQ80" s="93">
        <f t="shared" si="14"/>
        <v>0</v>
      </c>
      <c r="AR80" s="95">
        <f t="shared" si="15"/>
        <v>8756178.9360000007</v>
      </c>
      <c r="AS80" s="96"/>
      <c r="AT80" s="97"/>
      <c r="AU80" s="43">
        <f t="shared" si="16"/>
        <v>7807592.8846000005</v>
      </c>
      <c r="AV80" s="43">
        <v>40</v>
      </c>
      <c r="AW80" s="43">
        <f t="shared" si="17"/>
        <v>3123037.1538399998</v>
      </c>
      <c r="AX80" s="43">
        <f t="shared" si="18"/>
        <v>34353408.69224</v>
      </c>
      <c r="AY80" s="58" t="s">
        <v>2219</v>
      </c>
      <c r="AZ80" s="58">
        <v>2188351</v>
      </c>
      <c r="BA80" s="58"/>
      <c r="BB80" s="58"/>
      <c r="BC80" s="48"/>
      <c r="BD80" s="48"/>
      <c r="BE80" s="48"/>
      <c r="BF80" s="48"/>
      <c r="BG80" s="48"/>
      <c r="BH80" s="48"/>
      <c r="BI80" s="48"/>
      <c r="BJ80" s="48"/>
      <c r="BK80" s="48"/>
      <c r="BL80" s="48"/>
      <c r="BM80" s="48"/>
      <c r="BN80" s="48"/>
      <c r="BO80" s="48"/>
      <c r="BP80" s="48"/>
      <c r="BQ80" s="48"/>
      <c r="BR80" s="48"/>
      <c r="BS80" s="48"/>
    </row>
    <row r="81" spans="1:71" ht="12.75" hidden="1" customHeight="1">
      <c r="A81" s="85">
        <v>77</v>
      </c>
      <c r="B81" s="86">
        <v>5074</v>
      </c>
      <c r="C81" s="29">
        <v>51</v>
      </c>
      <c r="D81" s="122">
        <v>28963444</v>
      </c>
      <c r="E81" s="18" t="str">
        <f>IF(D81&gt;0,VLOOKUP(D81,'PLANTA PERNO'!A:D,4,0)&amp;" "&amp;VLOOKUP(D81,'PLANTA PERNO'!A:D,2,0)&amp;" "&amp;VLOOKUP(D81,'PLANTA PERNO'!A:D,3,0),IF(O81="","VACANTE DEFINITIVA","VACANTE TEMPORAL"))</f>
        <v>GLORIA ESTHER SALCEDO TAMAYO</v>
      </c>
      <c r="F81" s="20" t="s">
        <v>49</v>
      </c>
      <c r="G81" s="20" t="str">
        <f t="shared" si="0"/>
        <v>EN ENCARGO</v>
      </c>
      <c r="H81" s="33">
        <f t="shared" si="28"/>
        <v>42585</v>
      </c>
      <c r="I81" s="33">
        <f t="shared" si="29"/>
        <v>34257</v>
      </c>
      <c r="J81" s="31" t="str">
        <f t="shared" si="30"/>
        <v>MUJER</v>
      </c>
      <c r="K81" s="21">
        <f t="shared" ca="1" si="31"/>
        <v>62</v>
      </c>
      <c r="L81" s="21">
        <f t="shared" ca="1" si="5"/>
        <v>10</v>
      </c>
      <c r="M81" s="21" t="str">
        <f t="shared" si="6"/>
        <v>ENCARGO</v>
      </c>
      <c r="N81" s="21" t="str">
        <f t="shared" si="20"/>
        <v>VACANTE DEFINITIVA</v>
      </c>
      <c r="O81" s="21" t="s">
        <v>25</v>
      </c>
      <c r="P81" s="18" t="str">
        <f>IF(O81="","VACANTE DEFINITIVA",(VLOOKUP(O81,'PLANTA PERNO'!A:D,4,0)&amp;" "&amp;VLOOKUP(O81,'PLANTA PERNO'!A:D,2,0)&amp;" "&amp;VLOOKUP(O81,'PLANTA PERNO'!A:D,3,0)))</f>
        <v>VACANTE DEFINITIVA</v>
      </c>
      <c r="Q81" s="21" t="s">
        <v>1205</v>
      </c>
      <c r="R81" s="21">
        <v>1</v>
      </c>
      <c r="S81" s="21"/>
      <c r="T81" s="21"/>
      <c r="U81" s="21"/>
      <c r="V81" s="21"/>
      <c r="W81" s="38"/>
      <c r="X81" s="123">
        <v>203199</v>
      </c>
      <c r="Y81" s="21" t="str">
        <f t="shared" si="8"/>
        <v>OCUPADO</v>
      </c>
      <c r="Z81" s="23" t="s">
        <v>50</v>
      </c>
      <c r="AA81" s="24" t="s">
        <v>51</v>
      </c>
      <c r="AB81" s="25">
        <v>222</v>
      </c>
      <c r="AC81" s="27">
        <v>26</v>
      </c>
      <c r="AD81" s="28" t="str">
        <f t="shared" si="9"/>
        <v>222-26</v>
      </c>
      <c r="AE81" s="24" t="s">
        <v>147</v>
      </c>
      <c r="AF81" s="24" t="s">
        <v>147</v>
      </c>
      <c r="AG81" s="24" t="s">
        <v>2073</v>
      </c>
      <c r="AH81" s="24" t="s">
        <v>2074</v>
      </c>
      <c r="AI81" s="24" t="s">
        <v>2075</v>
      </c>
      <c r="AJ81" s="24" t="s">
        <v>2076</v>
      </c>
      <c r="AK81" s="93">
        <v>7296815.7800000003</v>
      </c>
      <c r="AL81" s="93">
        <v>0</v>
      </c>
      <c r="AM81" s="93">
        <f t="shared" si="32"/>
        <v>510777</v>
      </c>
      <c r="AN81" s="93">
        <f>IFERROR(INT(($AK81*(VLOOKUP($D81,'PORCENTAJES FACTORES'!B:N,12,0))/100)),0)</f>
        <v>2918726</v>
      </c>
      <c r="AO81" s="93">
        <f t="shared" si="33"/>
        <v>0</v>
      </c>
      <c r="AP81" s="93">
        <f t="shared" si="13"/>
        <v>0</v>
      </c>
      <c r="AQ81" s="93">
        <f t="shared" si="14"/>
        <v>0</v>
      </c>
      <c r="AR81" s="95">
        <f t="shared" si="15"/>
        <v>10726318.780000001</v>
      </c>
      <c r="AS81" s="96"/>
      <c r="AT81" s="97"/>
      <c r="AU81" s="43">
        <f t="shared" si="16"/>
        <v>7807592.8846000005</v>
      </c>
      <c r="AV81" s="43">
        <v>40</v>
      </c>
      <c r="AW81" s="43">
        <f t="shared" si="17"/>
        <v>3123037.1538399998</v>
      </c>
      <c r="AX81" s="43">
        <f t="shared" si="18"/>
        <v>34353408.69224</v>
      </c>
      <c r="AY81" s="58" t="s">
        <v>2222</v>
      </c>
      <c r="AZ81" s="58">
        <v>2281765</v>
      </c>
      <c r="BA81" s="58"/>
      <c r="BB81" s="58"/>
      <c r="BC81" s="48"/>
      <c r="BD81" s="48"/>
      <c r="BE81" s="48"/>
      <c r="BF81" s="48"/>
      <c r="BG81" s="48"/>
      <c r="BH81" s="48"/>
      <c r="BI81" s="48"/>
      <c r="BJ81" s="48"/>
      <c r="BK81" s="48"/>
      <c r="BL81" s="48"/>
      <c r="BM81" s="48"/>
      <c r="BN81" s="48"/>
      <c r="BO81" s="48"/>
      <c r="BP81" s="48"/>
      <c r="BQ81" s="48"/>
      <c r="BR81" s="48"/>
      <c r="BS81" s="48"/>
    </row>
    <row r="82" spans="1:71" ht="12.75" hidden="1" customHeight="1">
      <c r="A82" s="85">
        <v>78</v>
      </c>
      <c r="B82" s="86">
        <v>5075</v>
      </c>
      <c r="C82" s="29">
        <v>52</v>
      </c>
      <c r="D82" s="122">
        <v>79954654</v>
      </c>
      <c r="E82" s="18" t="str">
        <f>IF(D82&gt;0,VLOOKUP(D82,'PLANTA PERNO'!A:D,4,0)&amp;" "&amp;VLOOKUP(D82,'PLANTA PERNO'!A:D,2,0)&amp;" "&amp;VLOOKUP(D82,'PLANTA PERNO'!A:D,3,0),IF(O82="","VACANTE DEFINITIVA","VACANTE TEMPORAL"))</f>
        <v>CAMILO ANDRES RODRIGUEZ RODRIGUEZ</v>
      </c>
      <c r="F82" s="20" t="s">
        <v>49</v>
      </c>
      <c r="G82" s="20" t="str">
        <f t="shared" si="0"/>
        <v>CARRERA ADMINISTRATIVA</v>
      </c>
      <c r="H82" s="33">
        <f t="shared" si="28"/>
        <v>42817</v>
      </c>
      <c r="I82" s="33">
        <f t="shared" si="29"/>
        <v>42817</v>
      </c>
      <c r="J82" s="31" t="str">
        <f t="shared" si="30"/>
        <v>HOMBRE</v>
      </c>
      <c r="K82" s="21">
        <f t="shared" ca="1" si="31"/>
        <v>46</v>
      </c>
      <c r="L82" s="21">
        <f t="shared" ca="1" si="5"/>
        <v>9</v>
      </c>
      <c r="M82" s="21" t="str">
        <f t="shared" si="6"/>
        <v/>
      </c>
      <c r="N82" s="21" t="str">
        <f t="shared" si="20"/>
        <v>EN PROPIEDAD</v>
      </c>
      <c r="O82" s="21">
        <v>79954654</v>
      </c>
      <c r="P82" s="18" t="str">
        <f>IF(O82="","VACANTE DEFINITIVA",(VLOOKUP(O82,'PLANTA PERNO'!A:D,4,0)&amp;" "&amp;VLOOKUP(O82,'PLANTA PERNO'!A:D,2,0)&amp;" "&amp;VLOOKUP(O82,'PLANTA PERNO'!A:D,3,0)))</f>
        <v>CAMILO ANDRES RODRIGUEZ RODRIGUEZ</v>
      </c>
      <c r="Q82" s="21"/>
      <c r="R82" s="21"/>
      <c r="S82" s="21"/>
      <c r="T82" s="21"/>
      <c r="U82" s="21"/>
      <c r="V82" s="21"/>
      <c r="W82" s="38">
        <v>66690</v>
      </c>
      <c r="X82" s="128"/>
      <c r="Y82" s="21" t="str">
        <f t="shared" si="8"/>
        <v>OCUPADO</v>
      </c>
      <c r="Z82" s="23" t="s">
        <v>50</v>
      </c>
      <c r="AA82" s="24" t="s">
        <v>51</v>
      </c>
      <c r="AB82" s="25">
        <v>222</v>
      </c>
      <c r="AC82" s="27">
        <v>25</v>
      </c>
      <c r="AD82" s="28" t="str">
        <f t="shared" si="9"/>
        <v>222-25</v>
      </c>
      <c r="AE82" s="24" t="s">
        <v>150</v>
      </c>
      <c r="AF82" s="24" t="s">
        <v>150</v>
      </c>
      <c r="AG82" s="24" t="s">
        <v>2095</v>
      </c>
      <c r="AH82" s="24" t="s">
        <v>2096</v>
      </c>
      <c r="AI82" s="24" t="s">
        <v>56</v>
      </c>
      <c r="AJ82" s="24" t="s">
        <v>2099</v>
      </c>
      <c r="AK82" s="93">
        <v>6982027.1300000008</v>
      </c>
      <c r="AL82" s="93">
        <v>0</v>
      </c>
      <c r="AM82" s="93">
        <f t="shared" si="32"/>
        <v>209460</v>
      </c>
      <c r="AN82" s="93">
        <f>IFERROR(INT(($AK82*(VLOOKUP($D82,'PORCENTAJES FACTORES'!B:N,12,0))/100)),0)</f>
        <v>2792810</v>
      </c>
      <c r="AO82" s="93">
        <f t="shared" si="33"/>
        <v>0</v>
      </c>
      <c r="AP82" s="93">
        <f t="shared" si="13"/>
        <v>0</v>
      </c>
      <c r="AQ82" s="93">
        <f t="shared" si="14"/>
        <v>0</v>
      </c>
      <c r="AR82" s="95">
        <f t="shared" si="15"/>
        <v>9984297.1300000008</v>
      </c>
      <c r="AS82" s="96"/>
      <c r="AT82" s="97"/>
      <c r="AU82" s="43">
        <f t="shared" si="16"/>
        <v>7470769.0291000009</v>
      </c>
      <c r="AV82" s="43">
        <v>40</v>
      </c>
      <c r="AW82" s="43">
        <f t="shared" si="17"/>
        <v>2988307.6116400003</v>
      </c>
      <c r="AX82" s="43">
        <f t="shared" si="18"/>
        <v>32871383.728040002</v>
      </c>
      <c r="AY82" s="58" t="s">
        <v>2223</v>
      </c>
      <c r="AZ82" s="58">
        <v>2361840</v>
      </c>
      <c r="BA82" s="58"/>
      <c r="BB82" s="58"/>
      <c r="BC82" s="48"/>
      <c r="BD82" s="48"/>
      <c r="BE82" s="48"/>
      <c r="BF82" s="48"/>
      <c r="BG82" s="48"/>
      <c r="BH82" s="48"/>
      <c r="BI82" s="48"/>
      <c r="BJ82" s="48"/>
      <c r="BK82" s="48"/>
      <c r="BL82" s="48"/>
      <c r="BM82" s="48"/>
      <c r="BN82" s="48"/>
      <c r="BO82" s="48"/>
      <c r="BP82" s="48"/>
      <c r="BQ82" s="48"/>
      <c r="BR82" s="48"/>
      <c r="BS82" s="48"/>
    </row>
    <row r="83" spans="1:71" ht="12.75" hidden="1" customHeight="1">
      <c r="A83" s="85">
        <v>79</v>
      </c>
      <c r="B83" s="86">
        <v>5076</v>
      </c>
      <c r="C83" s="29">
        <v>54</v>
      </c>
      <c r="D83" s="122">
        <v>86058268</v>
      </c>
      <c r="E83" s="18" t="str">
        <f>IF(D83&gt;0,VLOOKUP(D83,'PLANTA PERNO'!A:D,4,0)&amp;" "&amp;VLOOKUP(D83,'PLANTA PERNO'!A:D,2,0)&amp;" "&amp;VLOOKUP(D83,'PLANTA PERNO'!A:D,3,0),IF(O83="","VACANTE DEFINITIVA","VACANTE TEMPORAL"))</f>
        <v>IAM ALEXANDER OJEDA CARDENAS</v>
      </c>
      <c r="F83" s="20" t="s">
        <v>49</v>
      </c>
      <c r="G83" s="20" t="str">
        <f t="shared" si="0"/>
        <v>EN ENCARGO</v>
      </c>
      <c r="H83" s="33">
        <f t="shared" si="28"/>
        <v>44152</v>
      </c>
      <c r="I83" s="33">
        <f t="shared" si="29"/>
        <v>44152</v>
      </c>
      <c r="J83" s="31" t="str">
        <f t="shared" si="30"/>
        <v>HOMBRE</v>
      </c>
      <c r="K83" s="21">
        <f t="shared" ca="1" si="31"/>
        <v>48</v>
      </c>
      <c r="L83" s="21">
        <f t="shared" ca="1" si="5"/>
        <v>5</v>
      </c>
      <c r="M83" s="21" t="str">
        <f t="shared" si="6"/>
        <v>ENCARGO</v>
      </c>
      <c r="N83" s="21" t="str">
        <f t="shared" si="20"/>
        <v>VACANTE DEFINITIVA</v>
      </c>
      <c r="O83" s="21" t="s">
        <v>25</v>
      </c>
      <c r="P83" s="18" t="str">
        <f>IF(O83="","VACANTE DEFINITIVA",(VLOOKUP(O83,'PLANTA PERNO'!A:D,4,0)&amp;" "&amp;VLOOKUP(O83,'PLANTA PERNO'!A:D,2,0)&amp;" "&amp;VLOOKUP(O83,'PLANTA PERNO'!A:D,3,0)))</f>
        <v>VACANTE DEFINITIVA</v>
      </c>
      <c r="Q83" s="21" t="s">
        <v>82</v>
      </c>
      <c r="R83" s="21">
        <v>1</v>
      </c>
      <c r="S83" s="21"/>
      <c r="T83" s="21"/>
      <c r="U83" s="21"/>
      <c r="V83" s="21"/>
      <c r="W83" s="38">
        <v>66693</v>
      </c>
      <c r="X83" s="128"/>
      <c r="Y83" s="21" t="str">
        <f t="shared" si="8"/>
        <v>OCUPADO</v>
      </c>
      <c r="Z83" s="23" t="s">
        <v>50</v>
      </c>
      <c r="AA83" s="24" t="s">
        <v>51</v>
      </c>
      <c r="AB83" s="25">
        <v>222</v>
      </c>
      <c r="AC83" s="27">
        <v>24</v>
      </c>
      <c r="AD83" s="28" t="str">
        <f t="shared" si="9"/>
        <v>222-24</v>
      </c>
      <c r="AE83" s="24" t="s">
        <v>75</v>
      </c>
      <c r="AF83" s="24" t="s">
        <v>75</v>
      </c>
      <c r="AG83" s="24" t="s">
        <v>2129</v>
      </c>
      <c r="AH83" s="24" t="s">
        <v>2130</v>
      </c>
      <c r="AI83" s="24" t="s">
        <v>2131</v>
      </c>
      <c r="AJ83" s="24" t="s">
        <v>2132</v>
      </c>
      <c r="AK83" s="93">
        <v>6809899.4400000004</v>
      </c>
      <c r="AL83" s="93">
        <v>0</v>
      </c>
      <c r="AM83" s="93">
        <f t="shared" si="32"/>
        <v>204296</v>
      </c>
      <c r="AN83" s="93">
        <f>IFERROR(INT(($AK83*(VLOOKUP($D83,'PORCENTAJES FACTORES'!B:N,12,0))/100)),0)</f>
        <v>2723959</v>
      </c>
      <c r="AO83" s="93">
        <f t="shared" si="33"/>
        <v>0</v>
      </c>
      <c r="AP83" s="93">
        <f t="shared" si="13"/>
        <v>0</v>
      </c>
      <c r="AQ83" s="93">
        <f t="shared" si="14"/>
        <v>0</v>
      </c>
      <c r="AR83" s="95">
        <f t="shared" si="15"/>
        <v>9738154.4400000013</v>
      </c>
      <c r="AS83" s="96"/>
      <c r="AT83" s="97"/>
      <c r="AU83" s="43">
        <f t="shared" si="16"/>
        <v>7286592.4008000009</v>
      </c>
      <c r="AV83" s="43">
        <v>40</v>
      </c>
      <c r="AW83" s="43">
        <f t="shared" si="17"/>
        <v>2914636.9603200005</v>
      </c>
      <c r="AX83" s="43">
        <f t="shared" si="18"/>
        <v>32061006.563520007</v>
      </c>
      <c r="AY83" s="58" t="s">
        <v>2228</v>
      </c>
      <c r="AZ83" s="58">
        <v>2451578</v>
      </c>
      <c r="BA83" s="58"/>
      <c r="BB83" s="58"/>
      <c r="BC83" s="48"/>
      <c r="BD83" s="48"/>
      <c r="BE83" s="48"/>
      <c r="BF83" s="48"/>
      <c r="BG83" s="48"/>
      <c r="BH83" s="48"/>
      <c r="BI83" s="48"/>
      <c r="BJ83" s="48"/>
      <c r="BK83" s="48"/>
      <c r="BL83" s="48"/>
      <c r="BM83" s="48"/>
      <c r="BN83" s="48"/>
      <c r="BO83" s="48"/>
      <c r="BP83" s="48"/>
      <c r="BQ83" s="48"/>
      <c r="BR83" s="48"/>
      <c r="BS83" s="48"/>
    </row>
    <row r="84" spans="1:71" ht="12.75" hidden="1" customHeight="1">
      <c r="A84" s="85">
        <v>80</v>
      </c>
      <c r="B84" s="86">
        <v>5077</v>
      </c>
      <c r="C84" s="29">
        <v>53</v>
      </c>
      <c r="D84" s="122">
        <v>79349710</v>
      </c>
      <c r="E84" s="18" t="str">
        <f>IF(D84&gt;0,VLOOKUP(D84,'PLANTA PERNO'!A:D,4,0)&amp;" "&amp;VLOOKUP(D84,'PLANTA PERNO'!A:D,2,0)&amp;" "&amp;VLOOKUP(D84,'PLANTA PERNO'!A:D,3,0),IF(O84="","VACANTE DEFINITIVA","VACANTE TEMPORAL"))</f>
        <v>EDGAR ENRIQUE OVALLE CUERVO</v>
      </c>
      <c r="F84" s="20" t="s">
        <v>49</v>
      </c>
      <c r="G84" s="20" t="str">
        <f t="shared" si="0"/>
        <v>EN ENCARGO</v>
      </c>
      <c r="H84" s="33">
        <f t="shared" si="28"/>
        <v>42585</v>
      </c>
      <c r="I84" s="33">
        <f t="shared" si="29"/>
        <v>35786</v>
      </c>
      <c r="J84" s="31" t="str">
        <f t="shared" si="30"/>
        <v>HOMBRE</v>
      </c>
      <c r="K84" s="21">
        <f t="shared" ca="1" si="31"/>
        <v>62</v>
      </c>
      <c r="L84" s="21">
        <f t="shared" ca="1" si="5"/>
        <v>10</v>
      </c>
      <c r="M84" s="21" t="str">
        <f t="shared" si="6"/>
        <v>ENCARGO</v>
      </c>
      <c r="N84" s="21" t="str">
        <f t="shared" si="20"/>
        <v>EN ENCARGO</v>
      </c>
      <c r="O84" s="21">
        <v>79349710</v>
      </c>
      <c r="P84" s="18" t="str">
        <f>IF(O84="","VACANTE DEFINITIVA",(VLOOKUP(O84,'PLANTA PERNO'!A:D,4,0)&amp;" "&amp;VLOOKUP(O84,'PLANTA PERNO'!A:D,2,0)&amp;" "&amp;VLOOKUP(O84,'PLANTA PERNO'!A:D,3,0)))</f>
        <v>EDGAR ENRIQUE OVALLE CUERVO</v>
      </c>
      <c r="Q84" s="21" t="s">
        <v>322</v>
      </c>
      <c r="R84" s="21">
        <v>2</v>
      </c>
      <c r="S84" s="21"/>
      <c r="T84" s="21"/>
      <c r="U84" s="21"/>
      <c r="V84" s="21"/>
      <c r="W84" s="38"/>
      <c r="X84" s="128"/>
      <c r="Y84" s="21" t="str">
        <f t="shared" si="8"/>
        <v>OCUPADO</v>
      </c>
      <c r="Z84" s="23" t="s">
        <v>50</v>
      </c>
      <c r="AA84" s="24" t="s">
        <v>51</v>
      </c>
      <c r="AB84" s="25">
        <v>222</v>
      </c>
      <c r="AC84" s="27">
        <v>24</v>
      </c>
      <c r="AD84" s="28" t="str">
        <f t="shared" si="9"/>
        <v>222-24</v>
      </c>
      <c r="AE84" s="24" t="s">
        <v>75</v>
      </c>
      <c r="AF84" s="24" t="s">
        <v>75</v>
      </c>
      <c r="AG84" s="24" t="s">
        <v>2150</v>
      </c>
      <c r="AH84" s="24" t="s">
        <v>2151</v>
      </c>
      <c r="AI84" s="24" t="s">
        <v>2152</v>
      </c>
      <c r="AJ84" s="24" t="s">
        <v>2132</v>
      </c>
      <c r="AK84" s="93">
        <v>6809899.4400000004</v>
      </c>
      <c r="AL84" s="93">
        <v>0</v>
      </c>
      <c r="AM84" s="93">
        <f t="shared" si="32"/>
        <v>476692</v>
      </c>
      <c r="AN84" s="93">
        <f>IFERROR(INT(($AK84*(VLOOKUP($D84,'PORCENTAJES FACTORES'!B:N,12,0))/100)),0)</f>
        <v>2723959</v>
      </c>
      <c r="AO84" s="93">
        <f t="shared" si="33"/>
        <v>0</v>
      </c>
      <c r="AP84" s="93">
        <f t="shared" si="13"/>
        <v>0</v>
      </c>
      <c r="AQ84" s="93">
        <f t="shared" si="14"/>
        <v>0</v>
      </c>
      <c r="AR84" s="95">
        <f t="shared" si="15"/>
        <v>10010550.440000001</v>
      </c>
      <c r="AS84" s="96"/>
      <c r="AT84" s="97"/>
      <c r="AU84" s="43">
        <f t="shared" si="16"/>
        <v>7286592.4008000009</v>
      </c>
      <c r="AV84" s="43">
        <v>40</v>
      </c>
      <c r="AW84" s="43">
        <f t="shared" si="17"/>
        <v>2914636.9603200005</v>
      </c>
      <c r="AX84" s="43">
        <f t="shared" si="18"/>
        <v>32061006.563520007</v>
      </c>
      <c r="AY84" s="58" t="s">
        <v>2233</v>
      </c>
      <c r="AZ84" s="58">
        <v>2499672</v>
      </c>
      <c r="BA84" s="58"/>
      <c r="BB84" s="58"/>
      <c r="BC84" s="48"/>
      <c r="BD84" s="48"/>
      <c r="BE84" s="48"/>
      <c r="BF84" s="48"/>
      <c r="BG84" s="48"/>
      <c r="BH84" s="48"/>
      <c r="BI84" s="48"/>
      <c r="BJ84" s="48"/>
      <c r="BK84" s="48"/>
      <c r="BL84" s="48"/>
      <c r="BM84" s="48"/>
      <c r="BN84" s="48"/>
      <c r="BO84" s="48"/>
      <c r="BP84" s="48"/>
      <c r="BQ84" s="48"/>
      <c r="BR84" s="48"/>
      <c r="BS84" s="48"/>
    </row>
    <row r="85" spans="1:71" ht="12.75" hidden="1" customHeight="1">
      <c r="A85" s="85">
        <v>81</v>
      </c>
      <c r="B85" s="86">
        <v>5083</v>
      </c>
      <c r="C85" s="29">
        <v>21</v>
      </c>
      <c r="D85" s="122">
        <v>52391785</v>
      </c>
      <c r="E85" s="18" t="str">
        <f>IF(D85&gt;0,VLOOKUP(D85,'PLANTA PERNO'!A:D,4,0)&amp;" "&amp;VLOOKUP(D85,'PLANTA PERNO'!A:D,2,0)&amp;" "&amp;VLOOKUP(D85,'PLANTA PERNO'!A:D,3,0),IF(O85="","VACANTE DEFINITIVA","VACANTE TEMPORAL"))</f>
        <v>YOMAIRA AMPARO ALARCON ACERO</v>
      </c>
      <c r="F85" s="20" t="s">
        <v>49</v>
      </c>
      <c r="G85" s="20" t="str">
        <f t="shared" si="0"/>
        <v>EN ENCARGO</v>
      </c>
      <c r="H85" s="33">
        <f t="shared" si="28"/>
        <v>44200</v>
      </c>
      <c r="I85" s="33">
        <f t="shared" si="29"/>
        <v>43405</v>
      </c>
      <c r="J85" s="31" t="str">
        <f t="shared" si="30"/>
        <v>MUJER</v>
      </c>
      <c r="K85" s="21">
        <f t="shared" ca="1" si="31"/>
        <v>48</v>
      </c>
      <c r="L85" s="21">
        <f t="shared" ca="1" si="5"/>
        <v>5</v>
      </c>
      <c r="M85" s="21" t="str">
        <f t="shared" si="6"/>
        <v>ENCARGO</v>
      </c>
      <c r="N85" s="21" t="str">
        <f t="shared" si="20"/>
        <v>EN ENCARGO</v>
      </c>
      <c r="O85" s="21">
        <v>28963444</v>
      </c>
      <c r="P85" s="18" t="str">
        <f>IF(O85="","VACANTE DEFINITIVA",(VLOOKUP(O85,'PLANTA PERNO'!A:D,4,0)&amp;" "&amp;VLOOKUP(O85,'PLANTA PERNO'!A:D,2,0)&amp;" "&amp;VLOOKUP(O85,'PLANTA PERNO'!A:D,3,0)))</f>
        <v>GLORIA ESTHER SALCEDO TAMAYO</v>
      </c>
      <c r="Q85" s="21" t="s">
        <v>1205</v>
      </c>
      <c r="R85" s="21">
        <v>2</v>
      </c>
      <c r="S85" s="21"/>
      <c r="T85" s="21"/>
      <c r="U85" s="21"/>
      <c r="V85" s="21"/>
      <c r="W85" s="38"/>
      <c r="X85" s="123">
        <v>203199</v>
      </c>
      <c r="Y85" s="21" t="str">
        <f t="shared" si="8"/>
        <v>OCUPADO</v>
      </c>
      <c r="Z85" s="23" t="s">
        <v>50</v>
      </c>
      <c r="AA85" s="24" t="s">
        <v>51</v>
      </c>
      <c r="AB85" s="25">
        <v>222</v>
      </c>
      <c r="AC85" s="27">
        <v>24</v>
      </c>
      <c r="AD85" s="28" t="str">
        <f t="shared" si="9"/>
        <v>222-24</v>
      </c>
      <c r="AE85" s="24" t="s">
        <v>147</v>
      </c>
      <c r="AF85" s="24" t="s">
        <v>147</v>
      </c>
      <c r="AG85" s="24" t="s">
        <v>2167</v>
      </c>
      <c r="AH85" s="24" t="s">
        <v>2168</v>
      </c>
      <c r="AI85" s="24" t="s">
        <v>2169</v>
      </c>
      <c r="AJ85" s="24" t="s">
        <v>2170</v>
      </c>
      <c r="AK85" s="93">
        <v>6809899.4400000004</v>
      </c>
      <c r="AL85" s="93">
        <v>0</v>
      </c>
      <c r="AM85" s="93">
        <f t="shared" si="32"/>
        <v>204296</v>
      </c>
      <c r="AN85" s="93">
        <f>IFERROR(INT(($AK85*(VLOOKUP($D85,'PORCENTAJES FACTORES'!B:N,12,0))/100)),0)</f>
        <v>2723959</v>
      </c>
      <c r="AO85" s="93">
        <f t="shared" si="33"/>
        <v>0</v>
      </c>
      <c r="AP85" s="93">
        <f t="shared" si="13"/>
        <v>0</v>
      </c>
      <c r="AQ85" s="93">
        <f t="shared" si="14"/>
        <v>0</v>
      </c>
      <c r="AR85" s="95">
        <f t="shared" si="15"/>
        <v>9738154.4400000013</v>
      </c>
      <c r="AS85" s="96"/>
      <c r="AT85" s="97"/>
      <c r="AU85" s="43">
        <f t="shared" si="16"/>
        <v>7286592.4008000009</v>
      </c>
      <c r="AV85" s="43">
        <v>40</v>
      </c>
      <c r="AW85" s="43">
        <f t="shared" si="17"/>
        <v>2914636.9603200005</v>
      </c>
      <c r="AX85" s="43">
        <f t="shared" si="18"/>
        <v>32061006.563520007</v>
      </c>
      <c r="AY85" s="58" t="s">
        <v>2234</v>
      </c>
      <c r="AZ85" s="58">
        <v>2500522</v>
      </c>
      <c r="BA85" s="58"/>
      <c r="BB85" s="58"/>
      <c r="BC85" s="48"/>
      <c r="BD85" s="48"/>
      <c r="BE85" s="48"/>
      <c r="BF85" s="48"/>
      <c r="BG85" s="48"/>
      <c r="BH85" s="48"/>
      <c r="BI85" s="48"/>
      <c r="BJ85" s="48"/>
      <c r="BK85" s="48"/>
      <c r="BL85" s="48"/>
      <c r="BM85" s="48"/>
      <c r="BN85" s="48"/>
      <c r="BO85" s="48"/>
      <c r="BP85" s="48"/>
      <c r="BQ85" s="48"/>
      <c r="BR85" s="48"/>
      <c r="BS85" s="48"/>
    </row>
    <row r="86" spans="1:71" ht="12.75" hidden="1" customHeight="1">
      <c r="A86" s="85">
        <v>82</v>
      </c>
      <c r="B86" s="86">
        <v>5081</v>
      </c>
      <c r="C86" s="29">
        <v>55</v>
      </c>
      <c r="D86" s="122">
        <v>53015269</v>
      </c>
      <c r="E86" s="18" t="str">
        <f>IF(D86&gt;0,VLOOKUP(D86,'PLANTA PERNO'!A:D,4,0)&amp;" "&amp;VLOOKUP(D86,'PLANTA PERNO'!A:D,2,0)&amp;" "&amp;VLOOKUP(D86,'PLANTA PERNO'!A:D,3,0),IF(O86="","VACANTE DEFINITIVA","VACANTE TEMPORAL"))</f>
        <v>JOHANA PATRICIA GAMEZ GOMEZ</v>
      </c>
      <c r="F86" s="20" t="s">
        <v>49</v>
      </c>
      <c r="G86" s="20" t="str">
        <f t="shared" si="0"/>
        <v>EN ENCARGO</v>
      </c>
      <c r="H86" s="33">
        <f t="shared" si="28"/>
        <v>43049</v>
      </c>
      <c r="I86" s="33">
        <f t="shared" si="29"/>
        <v>43049</v>
      </c>
      <c r="J86" s="31" t="str">
        <f t="shared" si="30"/>
        <v>MUJER</v>
      </c>
      <c r="K86" s="21">
        <f t="shared" ca="1" si="31"/>
        <v>42</v>
      </c>
      <c r="L86" s="21">
        <f t="shared" ca="1" si="5"/>
        <v>8</v>
      </c>
      <c r="M86" s="21" t="str">
        <f t="shared" si="6"/>
        <v>ENCARGO</v>
      </c>
      <c r="N86" s="21" t="str">
        <f t="shared" si="20"/>
        <v>VACANTE DEFINITIVA</v>
      </c>
      <c r="O86" s="21"/>
      <c r="P86" s="18" t="str">
        <f>IF(O86="","VACANTE DEFINITIVA",(VLOOKUP(O86,'PLANTA PERNO'!A:D,4,0)&amp;" "&amp;VLOOKUP(O86,'PLANTA PERNO'!A:D,2,0)&amp;" "&amp;VLOOKUP(O86,'PLANTA PERNO'!A:D,3,0)))</f>
        <v>VACANTE DEFINITIVA</v>
      </c>
      <c r="Q86" s="21" t="s">
        <v>2220</v>
      </c>
      <c r="R86" s="21">
        <v>1</v>
      </c>
      <c r="S86" s="21"/>
      <c r="T86" s="21"/>
      <c r="U86" s="21"/>
      <c r="V86" s="21"/>
      <c r="W86" s="38"/>
      <c r="X86" s="128"/>
      <c r="Y86" s="21" t="str">
        <f t="shared" si="8"/>
        <v>OCUPADO</v>
      </c>
      <c r="Z86" s="23" t="s">
        <v>50</v>
      </c>
      <c r="AA86" s="24" t="s">
        <v>51</v>
      </c>
      <c r="AB86" s="25">
        <v>222</v>
      </c>
      <c r="AC86" s="27">
        <v>24</v>
      </c>
      <c r="AD86" s="28" t="str">
        <f t="shared" si="9"/>
        <v>222-24</v>
      </c>
      <c r="AE86" s="24" t="s">
        <v>213</v>
      </c>
      <c r="AF86" s="63" t="s">
        <v>213</v>
      </c>
      <c r="AG86" s="24" t="s">
        <v>2239</v>
      </c>
      <c r="AH86" s="24" t="s">
        <v>2240</v>
      </c>
      <c r="AI86" s="24" t="s">
        <v>2191</v>
      </c>
      <c r="AJ86" s="24" t="s">
        <v>2192</v>
      </c>
      <c r="AK86" s="93">
        <v>6809899.4400000004</v>
      </c>
      <c r="AL86" s="93">
        <v>0</v>
      </c>
      <c r="AM86" s="93">
        <f t="shared" si="32"/>
        <v>204296</v>
      </c>
      <c r="AN86" s="93">
        <f>IFERROR(INT(($AK86*(VLOOKUP($D86,'PORCENTAJES FACTORES'!B:N,12,0))/100)),0)</f>
        <v>2723959</v>
      </c>
      <c r="AO86" s="93">
        <f t="shared" si="33"/>
        <v>0</v>
      </c>
      <c r="AP86" s="93">
        <f t="shared" si="13"/>
        <v>0</v>
      </c>
      <c r="AQ86" s="93">
        <f t="shared" si="14"/>
        <v>0</v>
      </c>
      <c r="AR86" s="95">
        <f t="shared" si="15"/>
        <v>9738154.4400000013</v>
      </c>
      <c r="AS86" s="96"/>
      <c r="AT86" s="97"/>
      <c r="AU86" s="43">
        <f t="shared" si="16"/>
        <v>7286592.4008000009</v>
      </c>
      <c r="AV86" s="43">
        <v>40</v>
      </c>
      <c r="AW86" s="43">
        <f t="shared" si="17"/>
        <v>2914636.9603200005</v>
      </c>
      <c r="AX86" s="43">
        <f t="shared" si="18"/>
        <v>32061006.563520007</v>
      </c>
      <c r="AY86" s="58" t="s">
        <v>2241</v>
      </c>
      <c r="AZ86" s="58">
        <v>2582372</v>
      </c>
      <c r="BA86" s="58"/>
      <c r="BB86" s="58"/>
      <c r="BC86" s="48"/>
      <c r="BD86" s="48"/>
      <c r="BE86" s="48"/>
      <c r="BF86" s="48"/>
      <c r="BG86" s="48"/>
      <c r="BH86" s="48"/>
      <c r="BI86" s="48"/>
      <c r="BJ86" s="48"/>
      <c r="BK86" s="48"/>
      <c r="BL86" s="48"/>
      <c r="BM86" s="48"/>
      <c r="BN86" s="48"/>
      <c r="BO86" s="48"/>
      <c r="BP86" s="48"/>
      <c r="BQ86" s="48"/>
      <c r="BR86" s="48"/>
      <c r="BS86" s="48"/>
    </row>
    <row r="87" spans="1:71" ht="12.75" hidden="1" customHeight="1">
      <c r="A87" s="85">
        <v>83</v>
      </c>
      <c r="B87" s="86">
        <v>5084</v>
      </c>
      <c r="C87" s="29">
        <v>57</v>
      </c>
      <c r="D87" s="122"/>
      <c r="E87" s="18" t="str">
        <f>IF(D87&gt;0,VLOOKUP(D87,'PLANTA PERNO'!A:D,4,0)&amp;" "&amp;VLOOKUP(D87,'PLANTA PERNO'!A:D,2,0)&amp;" "&amp;VLOOKUP(D87,'PLANTA PERNO'!A:D,3,0),IF(O87="","VACANTE DEFINITIVA","VACANTE TEMPORAL"))</f>
        <v>VACANTE DEFINITIVA</v>
      </c>
      <c r="F87" s="20"/>
      <c r="G87" s="20" t="str">
        <f t="shared" si="0"/>
        <v>VACANTE DEFINITIVA</v>
      </c>
      <c r="H87" s="33" t="str">
        <f t="shared" si="28"/>
        <v xml:space="preserve"> </v>
      </c>
      <c r="I87" s="33" t="str">
        <f t="shared" si="29"/>
        <v/>
      </c>
      <c r="J87" s="31" t="str">
        <f t="shared" si="30"/>
        <v/>
      </c>
      <c r="K87" s="21" t="str">
        <f t="shared" ca="1" si="31"/>
        <v/>
      </c>
      <c r="L87" s="21" t="str">
        <f t="shared" ca="1" si="5"/>
        <v/>
      </c>
      <c r="M87" s="21" t="str">
        <f t="shared" si="6"/>
        <v/>
      </c>
      <c r="N87" s="21" t="str">
        <f t="shared" si="20"/>
        <v>VACANTE DEFINITIVA</v>
      </c>
      <c r="O87" s="21" t="s">
        <v>25</v>
      </c>
      <c r="P87" s="18" t="str">
        <f>IF(O87="","VACANTE DEFINITIVA",(VLOOKUP(O87,'PLANTA PERNO'!A:D,4,0)&amp;" "&amp;VLOOKUP(O87,'PLANTA PERNO'!A:D,2,0)&amp;" "&amp;VLOOKUP(O87,'PLANTA PERNO'!A:D,3,0)))</f>
        <v>VACANTE DEFINITIVA</v>
      </c>
      <c r="Q87" s="21"/>
      <c r="R87" s="21"/>
      <c r="S87" s="21"/>
      <c r="T87" s="21"/>
      <c r="U87" s="21"/>
      <c r="V87" s="21"/>
      <c r="W87" s="38">
        <v>66692</v>
      </c>
      <c r="X87" s="123">
        <v>203194</v>
      </c>
      <c r="Y87" s="21" t="str">
        <f t="shared" si="8"/>
        <v>VACANTE DEFINITIVA</v>
      </c>
      <c r="Z87" s="23" t="s">
        <v>50</v>
      </c>
      <c r="AA87" s="24" t="s">
        <v>51</v>
      </c>
      <c r="AB87" s="25">
        <v>222</v>
      </c>
      <c r="AC87" s="27">
        <v>24</v>
      </c>
      <c r="AD87" s="28" t="str">
        <f t="shared" si="9"/>
        <v>222-24</v>
      </c>
      <c r="AE87" s="24" t="s">
        <v>213</v>
      </c>
      <c r="AF87" s="63" t="s">
        <v>213</v>
      </c>
      <c r="AG87" s="24" t="s">
        <v>2186</v>
      </c>
      <c r="AH87" s="24" t="s">
        <v>2207</v>
      </c>
      <c r="AI87" s="24" t="s">
        <v>2208</v>
      </c>
      <c r="AJ87" s="24" t="s">
        <v>2192</v>
      </c>
      <c r="AK87" s="93">
        <v>6809899.4400000004</v>
      </c>
      <c r="AL87" s="93">
        <v>0</v>
      </c>
      <c r="AM87" s="93">
        <f t="shared" si="32"/>
        <v>0</v>
      </c>
      <c r="AN87" s="93">
        <f>IFERROR(INT(($AK87*(VLOOKUP($D87,'PORCENTAJES FACTORES'!B:N,12,0))/100)),0)</f>
        <v>0</v>
      </c>
      <c r="AO87" s="93">
        <f t="shared" si="33"/>
        <v>0</v>
      </c>
      <c r="AP87" s="93">
        <f t="shared" si="13"/>
        <v>0</v>
      </c>
      <c r="AQ87" s="93">
        <f t="shared" si="14"/>
        <v>0</v>
      </c>
      <c r="AR87" s="95">
        <f t="shared" si="15"/>
        <v>6809899.4400000004</v>
      </c>
      <c r="AS87" s="96"/>
      <c r="AT87" s="97"/>
      <c r="AU87" s="43">
        <f t="shared" si="16"/>
        <v>7286592.4008000009</v>
      </c>
      <c r="AV87" s="43">
        <v>40</v>
      </c>
      <c r="AW87" s="43">
        <f t="shared" si="17"/>
        <v>2914636.9603200005</v>
      </c>
      <c r="AX87" s="43">
        <f t="shared" si="18"/>
        <v>32061006.563520007</v>
      </c>
      <c r="AY87" s="58" t="s">
        <v>2247</v>
      </c>
      <c r="AZ87" s="58">
        <v>2621167</v>
      </c>
      <c r="BA87" s="58"/>
      <c r="BB87" s="58"/>
      <c r="BC87" s="48"/>
      <c r="BD87" s="48"/>
      <c r="BE87" s="48"/>
      <c r="BF87" s="48"/>
      <c r="BG87" s="48"/>
      <c r="BH87" s="48"/>
      <c r="BI87" s="48"/>
      <c r="BJ87" s="48"/>
      <c r="BK87" s="48"/>
      <c r="BL87" s="48"/>
      <c r="BM87" s="48"/>
      <c r="BN87" s="48"/>
      <c r="BO87" s="48"/>
      <c r="BP87" s="48"/>
      <c r="BQ87" s="48"/>
      <c r="BR87" s="48"/>
      <c r="BS87" s="48"/>
    </row>
    <row r="88" spans="1:71" ht="12.75" hidden="1" customHeight="1">
      <c r="A88" s="85">
        <v>84</v>
      </c>
      <c r="B88" s="86">
        <v>5082</v>
      </c>
      <c r="C88" s="29">
        <v>58</v>
      </c>
      <c r="D88" s="122">
        <v>91526810</v>
      </c>
      <c r="E88" s="18" t="str">
        <f>IF(D88&gt;0,VLOOKUP(D88,'PLANTA PERNO'!A:D,4,0)&amp;" "&amp;VLOOKUP(D88,'PLANTA PERNO'!A:D,2,0)&amp;" "&amp;VLOOKUP(D88,'PLANTA PERNO'!A:D,3,0),IF(O88="","VACANTE DEFINITIVA","VACANTE TEMPORAL"))</f>
        <v>DANIEL YIDID GRANADOS GELVES</v>
      </c>
      <c r="F88" s="20" t="s">
        <v>49</v>
      </c>
      <c r="G88" s="20" t="str">
        <f t="shared" si="0"/>
        <v>CARRERA ADMINISTRATIVA</v>
      </c>
      <c r="H88" s="33">
        <f t="shared" si="28"/>
        <v>44228</v>
      </c>
      <c r="I88" s="33">
        <f t="shared" si="29"/>
        <v>44228</v>
      </c>
      <c r="J88" s="31" t="str">
        <f t="shared" si="30"/>
        <v>HOMBRE</v>
      </c>
      <c r="K88" s="21">
        <f t="shared" ca="1" si="31"/>
        <v>43</v>
      </c>
      <c r="L88" s="21">
        <f t="shared" ca="1" si="5"/>
        <v>5</v>
      </c>
      <c r="M88" s="21" t="str">
        <f t="shared" si="6"/>
        <v/>
      </c>
      <c r="N88" s="21" t="str">
        <f t="shared" si="20"/>
        <v>EN PROPIEDAD</v>
      </c>
      <c r="O88" s="21">
        <v>91526810</v>
      </c>
      <c r="P88" s="18" t="str">
        <f>IF(O88="","VACANTE DEFINITIVA",(VLOOKUP(O88,'PLANTA PERNO'!A:D,4,0)&amp;" "&amp;VLOOKUP(O88,'PLANTA PERNO'!A:D,2,0)&amp;" "&amp;VLOOKUP(O88,'PLANTA PERNO'!A:D,3,0)))</f>
        <v>DANIEL YIDID GRANADOS GELVES</v>
      </c>
      <c r="Q88" s="21"/>
      <c r="R88" s="21"/>
      <c r="S88" s="21"/>
      <c r="T88" s="21"/>
      <c r="U88" s="21"/>
      <c r="V88" s="21"/>
      <c r="W88" s="38">
        <v>66692</v>
      </c>
      <c r="X88" s="128"/>
      <c r="Y88" s="21" t="str">
        <f t="shared" si="8"/>
        <v>OCUPADO</v>
      </c>
      <c r="Z88" s="23" t="s">
        <v>50</v>
      </c>
      <c r="AA88" s="24" t="s">
        <v>51</v>
      </c>
      <c r="AB88" s="25">
        <v>222</v>
      </c>
      <c r="AC88" s="27">
        <v>24</v>
      </c>
      <c r="AD88" s="28" t="str">
        <f t="shared" si="9"/>
        <v>222-24</v>
      </c>
      <c r="AE88" s="24" t="s">
        <v>213</v>
      </c>
      <c r="AF88" s="63" t="s">
        <v>213</v>
      </c>
      <c r="AG88" s="24" t="s">
        <v>2186</v>
      </c>
      <c r="AH88" s="24" t="s">
        <v>2207</v>
      </c>
      <c r="AI88" s="24" t="s">
        <v>2208</v>
      </c>
      <c r="AJ88" s="24" t="s">
        <v>2192</v>
      </c>
      <c r="AK88" s="93">
        <v>6809899.4400000004</v>
      </c>
      <c r="AL88" s="93">
        <v>0</v>
      </c>
      <c r="AM88" s="93">
        <f t="shared" si="32"/>
        <v>204296</v>
      </c>
      <c r="AN88" s="93">
        <f>IFERROR(INT(($AK88*(VLOOKUP($D88,'PORCENTAJES FACTORES'!B:N,12,0))/100)),0)</f>
        <v>2723959</v>
      </c>
      <c r="AO88" s="93">
        <f t="shared" si="33"/>
        <v>0</v>
      </c>
      <c r="AP88" s="93">
        <f t="shared" si="13"/>
        <v>0</v>
      </c>
      <c r="AQ88" s="93">
        <f t="shared" si="14"/>
        <v>0</v>
      </c>
      <c r="AR88" s="95">
        <f t="shared" si="15"/>
        <v>9738154.4400000013</v>
      </c>
      <c r="AS88" s="96"/>
      <c r="AT88" s="97"/>
      <c r="AU88" s="43">
        <f t="shared" si="16"/>
        <v>7286592.4008000009</v>
      </c>
      <c r="AV88" s="43">
        <v>40</v>
      </c>
      <c r="AW88" s="43">
        <f t="shared" si="17"/>
        <v>2914636.9603200005</v>
      </c>
      <c r="AX88" s="43">
        <f t="shared" si="18"/>
        <v>32061006.563520007</v>
      </c>
      <c r="AY88" s="58" t="s">
        <v>2252</v>
      </c>
      <c r="AZ88" s="58">
        <v>2673251</v>
      </c>
      <c r="BA88" s="58"/>
      <c r="BB88" s="58"/>
      <c r="BC88" s="48"/>
      <c r="BD88" s="48"/>
      <c r="BE88" s="48"/>
      <c r="BF88" s="48"/>
      <c r="BG88" s="48"/>
      <c r="BH88" s="48"/>
      <c r="BI88" s="48"/>
      <c r="BJ88" s="48"/>
      <c r="BK88" s="48"/>
      <c r="BL88" s="48"/>
      <c r="BM88" s="48"/>
      <c r="BN88" s="48"/>
      <c r="BO88" s="48"/>
      <c r="BP88" s="48"/>
      <c r="BQ88" s="48"/>
      <c r="BR88" s="48"/>
      <c r="BS88" s="48"/>
    </row>
    <row r="89" spans="1:71" ht="12.75" hidden="1" customHeight="1">
      <c r="A89" s="85">
        <v>85</v>
      </c>
      <c r="B89" s="86">
        <v>5078</v>
      </c>
      <c r="C89" s="29">
        <v>59</v>
      </c>
      <c r="D89" s="122">
        <v>1019058729</v>
      </c>
      <c r="E89" s="18" t="str">
        <f>IF(D89&gt;0,VLOOKUP(D89,'PLANTA PERNO'!A:D,4,0)&amp;" "&amp;VLOOKUP(D89,'PLANTA PERNO'!A:D,2,0)&amp;" "&amp;VLOOKUP(D89,'PLANTA PERNO'!A:D,3,0),IF(O89="","VACANTE DEFINITIVA","VACANTE TEMPORAL"))</f>
        <v>DIEGO ALEJANDRO SOLANO FERNANDEZ</v>
      </c>
      <c r="F89" s="20" t="s">
        <v>49</v>
      </c>
      <c r="G89" s="20" t="str">
        <f t="shared" si="0"/>
        <v>EN ENCARGO</v>
      </c>
      <c r="H89" s="33">
        <f t="shared" si="28"/>
        <v>44839</v>
      </c>
      <c r="I89" s="33">
        <f t="shared" si="29"/>
        <v>44839</v>
      </c>
      <c r="J89" s="31" t="str">
        <f t="shared" si="30"/>
        <v>HOMBRE</v>
      </c>
      <c r="K89" s="21">
        <f t="shared" ca="1" si="31"/>
        <v>35</v>
      </c>
      <c r="L89" s="21">
        <f t="shared" ca="1" si="5"/>
        <v>4</v>
      </c>
      <c r="M89" s="21" t="str">
        <f t="shared" si="6"/>
        <v>ENCARGO</v>
      </c>
      <c r="N89" s="21" t="str">
        <f t="shared" si="20"/>
        <v>EN ENCARGO</v>
      </c>
      <c r="O89" s="21">
        <v>79567977</v>
      </c>
      <c r="P89" s="18" t="str">
        <f>IF(O89="","VACANTE DEFINITIVA",(VLOOKUP(O89,'PLANTA PERNO'!A:D,4,0)&amp;" "&amp;VLOOKUP(O89,'PLANTA PERNO'!A:D,2,0)&amp;" "&amp;VLOOKUP(O89,'PLANTA PERNO'!A:D,3,0)))</f>
        <v>FERNANDO PACHON PIÃ‘EROS</v>
      </c>
      <c r="Q89" s="21" t="s">
        <v>1823</v>
      </c>
      <c r="R89" s="21">
        <v>2</v>
      </c>
      <c r="S89" s="21"/>
      <c r="T89" s="21"/>
      <c r="U89" s="21"/>
      <c r="V89" s="21"/>
      <c r="W89" s="38">
        <v>66692</v>
      </c>
      <c r="X89" s="128"/>
      <c r="Y89" s="21" t="str">
        <f t="shared" si="8"/>
        <v>OCUPADO</v>
      </c>
      <c r="Z89" s="23" t="s">
        <v>50</v>
      </c>
      <c r="AA89" s="24" t="s">
        <v>51</v>
      </c>
      <c r="AB89" s="25">
        <v>222</v>
      </c>
      <c r="AC89" s="27">
        <v>24</v>
      </c>
      <c r="AD89" s="28" t="str">
        <f t="shared" si="9"/>
        <v>222-24</v>
      </c>
      <c r="AE89" s="24" t="s">
        <v>213</v>
      </c>
      <c r="AF89" s="63" t="s">
        <v>213</v>
      </c>
      <c r="AG89" s="24" t="s">
        <v>2186</v>
      </c>
      <c r="AH89" s="24" t="s">
        <v>2207</v>
      </c>
      <c r="AI89" s="24" t="s">
        <v>2208</v>
      </c>
      <c r="AJ89" s="24" t="s">
        <v>2192</v>
      </c>
      <c r="AK89" s="93">
        <v>6809899.4400000004</v>
      </c>
      <c r="AL89" s="93">
        <v>0</v>
      </c>
      <c r="AM89" s="93">
        <f t="shared" si="32"/>
        <v>0</v>
      </c>
      <c r="AN89" s="93">
        <f>IFERROR(INT(($AK89*(VLOOKUP($D89,'PORCENTAJES FACTORES'!B:N,12,0))/100)),0)</f>
        <v>2723959</v>
      </c>
      <c r="AO89" s="93">
        <f t="shared" si="33"/>
        <v>0</v>
      </c>
      <c r="AP89" s="93">
        <f t="shared" si="13"/>
        <v>0</v>
      </c>
      <c r="AQ89" s="93">
        <f t="shared" si="14"/>
        <v>0</v>
      </c>
      <c r="AR89" s="95">
        <f t="shared" si="15"/>
        <v>9533858.4400000013</v>
      </c>
      <c r="AS89" s="96"/>
      <c r="AT89" s="97"/>
      <c r="AU89" s="43">
        <f t="shared" si="16"/>
        <v>7286592.4008000009</v>
      </c>
      <c r="AV89" s="43">
        <v>40</v>
      </c>
      <c r="AW89" s="43">
        <f t="shared" si="17"/>
        <v>2914636.9603200005</v>
      </c>
      <c r="AX89" s="43">
        <f t="shared" si="18"/>
        <v>32061006.563520007</v>
      </c>
      <c r="AY89" s="58" t="s">
        <v>2261</v>
      </c>
      <c r="AZ89" s="58">
        <v>2819837</v>
      </c>
      <c r="BA89" s="58"/>
      <c r="BB89" s="58"/>
      <c r="BC89" s="48"/>
      <c r="BD89" s="48"/>
      <c r="BE89" s="48"/>
      <c r="BF89" s="48"/>
      <c r="BG89" s="48"/>
      <c r="BH89" s="48"/>
      <c r="BI89" s="48"/>
      <c r="BJ89" s="48"/>
      <c r="BK89" s="48"/>
      <c r="BL89" s="48"/>
      <c r="BM89" s="48"/>
      <c r="BN89" s="48"/>
      <c r="BO89" s="48"/>
      <c r="BP89" s="48"/>
      <c r="BQ89" s="48"/>
      <c r="BR89" s="48"/>
      <c r="BS89" s="48"/>
    </row>
    <row r="90" spans="1:71" ht="12.75" hidden="1" customHeight="1">
      <c r="A90" s="85">
        <v>86</v>
      </c>
      <c r="B90" s="86">
        <v>5079</v>
      </c>
      <c r="C90" s="29">
        <v>56</v>
      </c>
      <c r="D90" s="122">
        <v>52454621</v>
      </c>
      <c r="E90" s="18" t="str">
        <f>IF(D90&gt;0,VLOOKUP(D90,'PLANTA PERNO'!A:D,4,0)&amp;" "&amp;VLOOKUP(D90,'PLANTA PERNO'!A:D,2,0)&amp;" "&amp;VLOOKUP(D90,'PLANTA PERNO'!A:D,3,0),IF(O90="","VACANTE DEFINITIVA","VACANTE TEMPORAL"))</f>
        <v>CAROLINA LOZANO ARDILA</v>
      </c>
      <c r="F90" s="20" t="s">
        <v>49</v>
      </c>
      <c r="G90" s="20" t="str">
        <f t="shared" si="0"/>
        <v>CARRERA ADMINISTRATIVA</v>
      </c>
      <c r="H90" s="33">
        <f t="shared" si="28"/>
        <v>44168</v>
      </c>
      <c r="I90" s="33">
        <f t="shared" si="29"/>
        <v>44168</v>
      </c>
      <c r="J90" s="31" t="str">
        <f t="shared" si="30"/>
        <v>MUJER</v>
      </c>
      <c r="K90" s="21">
        <f t="shared" ca="1" si="31"/>
        <v>47</v>
      </c>
      <c r="L90" s="21">
        <f t="shared" ca="1" si="5"/>
        <v>5</v>
      </c>
      <c r="M90" s="21" t="str">
        <f t="shared" si="6"/>
        <v/>
      </c>
      <c r="N90" s="21" t="str">
        <f t="shared" si="20"/>
        <v>EN PROPIEDAD</v>
      </c>
      <c r="O90" s="21">
        <v>52454621</v>
      </c>
      <c r="P90" s="18" t="str">
        <f>IF(O90="","VACANTE DEFINITIVA",(VLOOKUP(O90,'PLANTA PERNO'!A:D,4,0)&amp;" "&amp;VLOOKUP(O90,'PLANTA PERNO'!A:D,2,0)&amp;" "&amp;VLOOKUP(O90,'PLANTA PERNO'!A:D,3,0)))</f>
        <v>CAROLINA LOZANO ARDILA</v>
      </c>
      <c r="Q90" s="21"/>
      <c r="R90" s="21"/>
      <c r="S90" s="21"/>
      <c r="T90" s="21"/>
      <c r="U90" s="21"/>
      <c r="V90" s="21"/>
      <c r="W90" s="38">
        <v>66691</v>
      </c>
      <c r="X90" s="128"/>
      <c r="Y90" s="21" t="str">
        <f t="shared" si="8"/>
        <v>OCUPADO</v>
      </c>
      <c r="Z90" s="23" t="s">
        <v>50</v>
      </c>
      <c r="AA90" s="24" t="s">
        <v>51</v>
      </c>
      <c r="AB90" s="25">
        <v>222</v>
      </c>
      <c r="AC90" s="27">
        <v>24</v>
      </c>
      <c r="AD90" s="28" t="str">
        <f t="shared" si="9"/>
        <v>222-24</v>
      </c>
      <c r="AE90" s="24" t="s">
        <v>138</v>
      </c>
      <c r="AF90" s="24" t="s">
        <v>138</v>
      </c>
      <c r="AG90" s="24" t="s">
        <v>2224</v>
      </c>
      <c r="AH90" s="24" t="s">
        <v>2225</v>
      </c>
      <c r="AI90" s="24" t="s">
        <v>2226</v>
      </c>
      <c r="AJ90" s="24" t="s">
        <v>2227</v>
      </c>
      <c r="AK90" s="93">
        <v>6809899.4400000004</v>
      </c>
      <c r="AL90" s="93">
        <v>0</v>
      </c>
      <c r="AM90" s="93">
        <f t="shared" si="32"/>
        <v>204296</v>
      </c>
      <c r="AN90" s="93">
        <f>IFERROR(INT(($AK90*(VLOOKUP($D90,'PORCENTAJES FACTORES'!B:N,12,0))/100)),0)</f>
        <v>2723959</v>
      </c>
      <c r="AO90" s="93">
        <f t="shared" si="33"/>
        <v>0</v>
      </c>
      <c r="AP90" s="93">
        <f t="shared" si="13"/>
        <v>0</v>
      </c>
      <c r="AQ90" s="93">
        <f t="shared" si="14"/>
        <v>0</v>
      </c>
      <c r="AR90" s="95">
        <f t="shared" si="15"/>
        <v>9738154.4400000013</v>
      </c>
      <c r="AS90" s="96"/>
      <c r="AT90" s="97"/>
      <c r="AU90" s="43">
        <f t="shared" si="16"/>
        <v>7286592.4008000009</v>
      </c>
      <c r="AV90" s="43">
        <v>40</v>
      </c>
      <c r="AW90" s="43">
        <f t="shared" si="17"/>
        <v>2914636.9603200005</v>
      </c>
      <c r="AX90" s="43">
        <f t="shared" si="18"/>
        <v>32061006.563520007</v>
      </c>
      <c r="AY90" s="58" t="s">
        <v>2262</v>
      </c>
      <c r="AZ90" s="58">
        <v>2911229</v>
      </c>
      <c r="BA90" s="58"/>
      <c r="BB90" s="58"/>
      <c r="BC90" s="48"/>
      <c r="BD90" s="48"/>
      <c r="BE90" s="48"/>
      <c r="BF90" s="48"/>
      <c r="BG90" s="48"/>
      <c r="BH90" s="48"/>
      <c r="BI90" s="48"/>
      <c r="BJ90" s="48"/>
      <c r="BK90" s="48"/>
      <c r="BL90" s="48"/>
      <c r="BM90" s="48"/>
      <c r="BN90" s="48"/>
      <c r="BO90" s="48"/>
      <c r="BP90" s="48"/>
      <c r="BQ90" s="48"/>
      <c r="BR90" s="48"/>
      <c r="BS90" s="48"/>
    </row>
    <row r="91" spans="1:71" ht="12.75" hidden="1" customHeight="1">
      <c r="A91" s="85">
        <v>87</v>
      </c>
      <c r="B91" s="86">
        <v>5080</v>
      </c>
      <c r="C91" s="29">
        <v>60</v>
      </c>
      <c r="D91" s="122">
        <v>79316619</v>
      </c>
      <c r="E91" s="18" t="str">
        <f>IF(D91&gt;0,VLOOKUP(D91,'PLANTA PERNO'!A:D,4,0)&amp;" "&amp;VLOOKUP(D91,'PLANTA PERNO'!A:D,2,0)&amp;" "&amp;VLOOKUP(D91,'PLANTA PERNO'!A:D,3,0),IF(O91="","VACANTE DEFINITIVA","VACANTE TEMPORAL"))</f>
        <v>JOSE ORLANDO ALVARADO HERREÃ‘O</v>
      </c>
      <c r="F91" s="20" t="s">
        <v>49</v>
      </c>
      <c r="G91" s="20" t="str">
        <f t="shared" si="0"/>
        <v>CARRERA ADMINISTRATIVA</v>
      </c>
      <c r="H91" s="33">
        <f t="shared" si="28"/>
        <v>44165</v>
      </c>
      <c r="I91" s="33">
        <f t="shared" si="29"/>
        <v>44165</v>
      </c>
      <c r="J91" s="31" t="str">
        <f t="shared" si="30"/>
        <v>HOMBRE</v>
      </c>
      <c r="K91" s="21">
        <f t="shared" ca="1" si="31"/>
        <v>62</v>
      </c>
      <c r="L91" s="21">
        <f t="shared" ca="1" si="5"/>
        <v>5</v>
      </c>
      <c r="M91" s="21" t="str">
        <f t="shared" si="6"/>
        <v/>
      </c>
      <c r="N91" s="21" t="str">
        <f t="shared" si="20"/>
        <v>EN PROPIEDAD</v>
      </c>
      <c r="O91" s="21">
        <v>79316619</v>
      </c>
      <c r="P91" s="18" t="str">
        <f>IF(O91="","VACANTE DEFINITIVA",(VLOOKUP(O91,'PLANTA PERNO'!A:D,4,0)&amp;" "&amp;VLOOKUP(O91,'PLANTA PERNO'!A:D,2,0)&amp;" "&amp;VLOOKUP(O91,'PLANTA PERNO'!A:D,3,0)))</f>
        <v>JOSE ORLANDO ALVARADO HERREÃ‘O</v>
      </c>
      <c r="Q91" s="21"/>
      <c r="R91" s="21"/>
      <c r="S91" s="21"/>
      <c r="T91" s="21"/>
      <c r="U91" s="21"/>
      <c r="V91" s="21"/>
      <c r="W91" s="38">
        <v>74312</v>
      </c>
      <c r="X91" s="128"/>
      <c r="Y91" s="21" t="str">
        <f t="shared" si="8"/>
        <v>OCUPADO</v>
      </c>
      <c r="Z91" s="23" t="s">
        <v>50</v>
      </c>
      <c r="AA91" s="24" t="s">
        <v>51</v>
      </c>
      <c r="AB91" s="25">
        <v>222</v>
      </c>
      <c r="AC91" s="27">
        <v>24</v>
      </c>
      <c r="AD91" s="28" t="str">
        <f t="shared" si="9"/>
        <v>222-24</v>
      </c>
      <c r="AE91" s="24" t="s">
        <v>150</v>
      </c>
      <c r="AF91" s="24" t="s">
        <v>150</v>
      </c>
      <c r="AG91" s="24" t="s">
        <v>2229</v>
      </c>
      <c r="AH91" s="24" t="s">
        <v>2230</v>
      </c>
      <c r="AI91" s="24" t="s">
        <v>2231</v>
      </c>
      <c r="AJ91" s="24" t="s">
        <v>2232</v>
      </c>
      <c r="AK91" s="93">
        <v>6809899.4400000004</v>
      </c>
      <c r="AL91" s="93">
        <v>0</v>
      </c>
      <c r="AM91" s="93">
        <f t="shared" si="32"/>
        <v>204296</v>
      </c>
      <c r="AN91" s="93">
        <f>IFERROR(INT(($AK91*(VLOOKUP($D91,'PORCENTAJES FACTORES'!B:N,12,0))/100)),0)</f>
        <v>2723959</v>
      </c>
      <c r="AO91" s="93">
        <f t="shared" si="33"/>
        <v>0</v>
      </c>
      <c r="AP91" s="93">
        <f t="shared" si="13"/>
        <v>0</v>
      </c>
      <c r="AQ91" s="93">
        <f t="shared" si="14"/>
        <v>0</v>
      </c>
      <c r="AR91" s="95">
        <f t="shared" si="15"/>
        <v>9738154.4400000013</v>
      </c>
      <c r="AS91" s="96"/>
      <c r="AT91" s="97"/>
      <c r="AU91" s="43">
        <f t="shared" si="16"/>
        <v>7286592.4008000009</v>
      </c>
      <c r="AV91" s="43">
        <v>40</v>
      </c>
      <c r="AW91" s="43">
        <f t="shared" si="17"/>
        <v>2914636.9603200005</v>
      </c>
      <c r="AX91" s="43">
        <f t="shared" si="18"/>
        <v>32061006.563520007</v>
      </c>
      <c r="AY91" s="58" t="s">
        <v>2272</v>
      </c>
      <c r="AZ91" s="58">
        <v>3002627</v>
      </c>
      <c r="BA91" s="58"/>
      <c r="BB91" s="58"/>
      <c r="BC91" s="48"/>
      <c r="BD91" s="48"/>
      <c r="BE91" s="48"/>
      <c r="BF91" s="48"/>
      <c r="BG91" s="48"/>
      <c r="BH91" s="48"/>
      <c r="BI91" s="48"/>
      <c r="BJ91" s="48"/>
      <c r="BK91" s="48"/>
      <c r="BL91" s="48"/>
      <c r="BM91" s="48"/>
      <c r="BN91" s="48"/>
      <c r="BO91" s="48"/>
      <c r="BP91" s="48"/>
      <c r="BQ91" s="48"/>
      <c r="BR91" s="48"/>
      <c r="BS91" s="48"/>
    </row>
    <row r="92" spans="1:71" ht="12.75" hidden="1" customHeight="1">
      <c r="A92" s="85">
        <v>88</v>
      </c>
      <c r="B92" s="86">
        <v>5085</v>
      </c>
      <c r="C92" s="29">
        <v>61</v>
      </c>
      <c r="D92" s="122">
        <v>73155098</v>
      </c>
      <c r="E92" s="18" t="str">
        <f>IF(D92&gt;0,VLOOKUP(D92,'PLANTA PERNO'!A:D,4,0)&amp;" "&amp;VLOOKUP(D92,'PLANTA PERNO'!A:D,2,0)&amp;" "&amp;VLOOKUP(D92,'PLANTA PERNO'!A:D,3,0),IF(O92="","VACANTE DEFINITIVA","VACANTE TEMPORAL"))</f>
        <v>FERNAN ENRIQUE PEREZ FORTICH</v>
      </c>
      <c r="F92" s="20" t="s">
        <v>49</v>
      </c>
      <c r="G92" s="20" t="str">
        <f t="shared" si="0"/>
        <v>EN ENCARGO</v>
      </c>
      <c r="H92" s="33">
        <f t="shared" si="28"/>
        <v>44138</v>
      </c>
      <c r="I92" s="33">
        <f t="shared" si="29"/>
        <v>44138</v>
      </c>
      <c r="J92" s="31" t="str">
        <f t="shared" si="30"/>
        <v>HOMBRE</v>
      </c>
      <c r="K92" s="21">
        <f t="shared" ca="1" si="31"/>
        <v>54</v>
      </c>
      <c r="L92" s="21">
        <f t="shared" ca="1" si="5"/>
        <v>5</v>
      </c>
      <c r="M92" s="21" t="str">
        <f t="shared" si="6"/>
        <v>ENCARGO</v>
      </c>
      <c r="N92" s="21" t="str">
        <f t="shared" si="20"/>
        <v>EN ENCARGO</v>
      </c>
      <c r="O92" s="21">
        <v>53015269</v>
      </c>
      <c r="P92" s="18" t="str">
        <f>IF(O92="","VACANTE DEFINITIVA",(VLOOKUP(O92,'PLANTA PERNO'!A:D,4,0)&amp;" "&amp;VLOOKUP(O92,'PLANTA PERNO'!A:D,2,0)&amp;" "&amp;VLOOKUP(O92,'PLANTA PERNO'!A:D,3,0)))</f>
        <v>JOHANA PATRICIA GAMEZ GOMEZ</v>
      </c>
      <c r="Q92" s="21" t="s">
        <v>2220</v>
      </c>
      <c r="R92" s="21">
        <v>2</v>
      </c>
      <c r="S92" s="21"/>
      <c r="T92" s="21"/>
      <c r="U92" s="21"/>
      <c r="V92" s="21"/>
      <c r="W92" s="38">
        <v>66694</v>
      </c>
      <c r="X92" s="128"/>
      <c r="Y92" s="21" t="str">
        <f t="shared" si="8"/>
        <v>OCUPADO</v>
      </c>
      <c r="Z92" s="23" t="s">
        <v>50</v>
      </c>
      <c r="AA92" s="24" t="s">
        <v>51</v>
      </c>
      <c r="AB92" s="25">
        <v>222</v>
      </c>
      <c r="AC92" s="27">
        <v>22</v>
      </c>
      <c r="AD92" s="28" t="str">
        <f t="shared" si="9"/>
        <v>222-22</v>
      </c>
      <c r="AE92" s="24" t="s">
        <v>33</v>
      </c>
      <c r="AF92" s="24" t="s">
        <v>33</v>
      </c>
      <c r="AG92" s="24" t="s">
        <v>64</v>
      </c>
      <c r="AH92" s="24" t="s">
        <v>65</v>
      </c>
      <c r="AI92" s="24" t="s">
        <v>66</v>
      </c>
      <c r="AJ92" s="24" t="s">
        <v>67</v>
      </c>
      <c r="AK92" s="93">
        <v>6752582.75</v>
      </c>
      <c r="AL92" s="93">
        <v>0</v>
      </c>
      <c r="AM92" s="93">
        <f t="shared" si="32"/>
        <v>202577</v>
      </c>
      <c r="AN92" s="93">
        <f>IFERROR(INT(($AK92*(VLOOKUP($D92,'PORCENTAJES FACTORES'!B:N,12,0))/100)),0)</f>
        <v>2701033</v>
      </c>
      <c r="AO92" s="93">
        <f t="shared" si="33"/>
        <v>0</v>
      </c>
      <c r="AP92" s="93">
        <f t="shared" si="13"/>
        <v>0</v>
      </c>
      <c r="AQ92" s="93">
        <f t="shared" si="14"/>
        <v>0</v>
      </c>
      <c r="AR92" s="95">
        <f t="shared" si="15"/>
        <v>9656192.75</v>
      </c>
      <c r="AS92" s="96"/>
      <c r="AT92" s="97"/>
      <c r="AU92" s="43">
        <f t="shared" si="16"/>
        <v>7225263.5425000004</v>
      </c>
      <c r="AV92" s="43">
        <v>40</v>
      </c>
      <c r="AW92" s="43">
        <f t="shared" si="17"/>
        <v>2890105.4170000004</v>
      </c>
      <c r="AX92" s="43">
        <f t="shared" si="18"/>
        <v>31791159.587000005</v>
      </c>
      <c r="AY92" s="58" t="s">
        <v>2278</v>
      </c>
      <c r="AZ92" s="58">
        <v>3120117</v>
      </c>
      <c r="BA92" s="58">
        <f>AU92+AZ92</f>
        <v>10345380.5425</v>
      </c>
      <c r="BB92" s="58">
        <f>BA92*1.1108</f>
        <v>11491648.706609001</v>
      </c>
      <c r="BC92" s="48"/>
      <c r="BD92" s="48"/>
      <c r="BE92" s="48"/>
      <c r="BF92" s="48"/>
      <c r="BG92" s="48"/>
      <c r="BH92" s="48"/>
      <c r="BI92" s="48"/>
      <c r="BJ92" s="48"/>
      <c r="BK92" s="48"/>
      <c r="BL92" s="48"/>
      <c r="BM92" s="48"/>
      <c r="BN92" s="48"/>
      <c r="BO92" s="48"/>
      <c r="BP92" s="48"/>
      <c r="BQ92" s="48"/>
      <c r="BR92" s="48"/>
      <c r="BS92" s="48"/>
    </row>
    <row r="93" spans="1:71" ht="12.75" hidden="1" customHeight="1">
      <c r="A93" s="85">
        <v>89</v>
      </c>
      <c r="B93" s="86">
        <v>5086</v>
      </c>
      <c r="C93" s="29">
        <v>62</v>
      </c>
      <c r="D93" s="122">
        <v>79569642</v>
      </c>
      <c r="E93" s="18" t="str">
        <f>IF(D93&gt;0,VLOOKUP(D93,'PLANTA PERNO'!A:D,4,0)&amp;" "&amp;VLOOKUP(D93,'PLANTA PERNO'!A:D,2,0)&amp;" "&amp;VLOOKUP(D93,'PLANTA PERNO'!A:D,3,0),IF(O93="","VACANTE DEFINITIVA","VACANTE TEMPORAL"))</f>
        <v>NELSON JULIAN SALAZAR URRUTIA</v>
      </c>
      <c r="F93" s="20" t="s">
        <v>49</v>
      </c>
      <c r="G93" s="20" t="str">
        <f t="shared" si="0"/>
        <v>CARRERA ADMINISTRATIVA</v>
      </c>
      <c r="H93" s="33">
        <f t="shared" si="28"/>
        <v>42585</v>
      </c>
      <c r="I93" s="33">
        <f t="shared" si="29"/>
        <v>36271</v>
      </c>
      <c r="J93" s="31" t="str">
        <f t="shared" si="30"/>
        <v>HOMBRE</v>
      </c>
      <c r="K93" s="21">
        <f t="shared" ca="1" si="31"/>
        <v>54</v>
      </c>
      <c r="L93" s="21">
        <f t="shared" ca="1" si="5"/>
        <v>10</v>
      </c>
      <c r="M93" s="21" t="str">
        <f t="shared" si="6"/>
        <v/>
      </c>
      <c r="N93" s="21" t="str">
        <f t="shared" si="20"/>
        <v>EN PROPIEDAD</v>
      </c>
      <c r="O93" s="21">
        <v>79569642</v>
      </c>
      <c r="P93" s="18" t="str">
        <f>IF(O93="","VACANTE DEFINITIVA",(VLOOKUP(O93,'PLANTA PERNO'!A:D,4,0)&amp;" "&amp;VLOOKUP(O93,'PLANTA PERNO'!A:D,2,0)&amp;" "&amp;VLOOKUP(O93,'PLANTA PERNO'!A:D,3,0)))</f>
        <v>NELSON JULIAN SALAZAR URRUTIA</v>
      </c>
      <c r="Q93" s="21"/>
      <c r="R93" s="21"/>
      <c r="S93" s="21"/>
      <c r="T93" s="21"/>
      <c r="U93" s="21"/>
      <c r="V93" s="21"/>
      <c r="W93" s="38"/>
      <c r="X93" s="128"/>
      <c r="Y93" s="21" t="str">
        <f t="shared" si="8"/>
        <v>OCUPADO</v>
      </c>
      <c r="Z93" s="23" t="s">
        <v>50</v>
      </c>
      <c r="AA93" s="24" t="s">
        <v>51</v>
      </c>
      <c r="AB93" s="25">
        <v>222</v>
      </c>
      <c r="AC93" s="27">
        <v>21</v>
      </c>
      <c r="AD93" s="28" t="str">
        <f t="shared" si="9"/>
        <v>222-21</v>
      </c>
      <c r="AE93" s="24" t="s">
        <v>32</v>
      </c>
      <c r="AF93" s="24" t="s">
        <v>32</v>
      </c>
      <c r="AG93" s="24" t="s">
        <v>2235</v>
      </c>
      <c r="AH93" s="24" t="s">
        <v>2236</v>
      </c>
      <c r="AI93" s="24" t="s">
        <v>2237</v>
      </c>
      <c r="AJ93" s="24" t="s">
        <v>2238</v>
      </c>
      <c r="AK93" s="93">
        <v>6566428.4300000006</v>
      </c>
      <c r="AL93" s="93">
        <v>0</v>
      </c>
      <c r="AM93" s="93">
        <f t="shared" si="32"/>
        <v>459649</v>
      </c>
      <c r="AN93" s="93">
        <f>IFERROR(INT(($AK93*(VLOOKUP($D93,'PORCENTAJES FACTORES'!B:N,12,0))/100)),0)</f>
        <v>2626571</v>
      </c>
      <c r="AO93" s="93">
        <f t="shared" si="33"/>
        <v>0</v>
      </c>
      <c r="AP93" s="93">
        <f t="shared" si="13"/>
        <v>0</v>
      </c>
      <c r="AQ93" s="93">
        <f t="shared" si="14"/>
        <v>0</v>
      </c>
      <c r="AR93" s="95">
        <f t="shared" si="15"/>
        <v>9652648.4299999997</v>
      </c>
      <c r="AS93" s="96"/>
      <c r="AT93" s="97"/>
      <c r="AU93" s="43">
        <f t="shared" si="16"/>
        <v>7026078.4201000007</v>
      </c>
      <c r="AV93" s="43">
        <v>40</v>
      </c>
      <c r="AW93" s="43">
        <f t="shared" si="17"/>
        <v>2810431.3680400001</v>
      </c>
      <c r="AX93" s="43">
        <f t="shared" si="18"/>
        <v>30914745.048440002</v>
      </c>
      <c r="AY93" s="58" t="s">
        <v>2282</v>
      </c>
      <c r="AZ93" s="58">
        <v>3211519</v>
      </c>
      <c r="BA93" s="58"/>
      <c r="BB93" s="58">
        <f>BB92*0.91</f>
        <v>10457400.323014192</v>
      </c>
      <c r="BC93" s="48"/>
      <c r="BD93" s="48"/>
      <c r="BE93" s="48"/>
      <c r="BF93" s="48"/>
      <c r="BG93" s="48"/>
      <c r="BH93" s="48"/>
      <c r="BI93" s="48"/>
      <c r="BJ93" s="48"/>
      <c r="BK93" s="48"/>
      <c r="BL93" s="48"/>
      <c r="BM93" s="48"/>
      <c r="BN93" s="48"/>
      <c r="BO93" s="48"/>
      <c r="BP93" s="48"/>
      <c r="BQ93" s="48"/>
      <c r="BR93" s="48"/>
      <c r="BS93" s="48"/>
    </row>
    <row r="94" spans="1:71" ht="12.75" hidden="1" customHeight="1">
      <c r="A94" s="85">
        <v>90</v>
      </c>
      <c r="B94" s="86">
        <v>5087</v>
      </c>
      <c r="C94" s="29">
        <v>22</v>
      </c>
      <c r="D94" s="122">
        <v>53166058</v>
      </c>
      <c r="E94" s="18" t="str">
        <f>IF(D94&gt;0,VLOOKUP(D94,'PLANTA PERNO'!A:D,4,0)&amp;" "&amp;VLOOKUP(D94,'PLANTA PERNO'!A:D,2,0)&amp;" "&amp;VLOOKUP(D94,'PLANTA PERNO'!A:D,3,0),IF(O94="","VACANTE DEFINITIVA","VACANTE TEMPORAL"))</f>
        <v>ADDILY JOHANNA CALA CASTRO</v>
      </c>
      <c r="F94" s="20" t="s">
        <v>49</v>
      </c>
      <c r="G94" s="20" t="str">
        <f t="shared" si="0"/>
        <v>CARRERA ADMINISTRATIVA</v>
      </c>
      <c r="H94" s="33">
        <f t="shared" si="28"/>
        <v>44153</v>
      </c>
      <c r="I94" s="33">
        <f t="shared" si="29"/>
        <v>44153</v>
      </c>
      <c r="J94" s="31" t="str">
        <f t="shared" si="30"/>
        <v>MUJER</v>
      </c>
      <c r="K94" s="21">
        <f t="shared" ca="1" si="31"/>
        <v>41</v>
      </c>
      <c r="L94" s="21">
        <f t="shared" ca="1" si="5"/>
        <v>5</v>
      </c>
      <c r="M94" s="21" t="str">
        <f t="shared" si="6"/>
        <v/>
      </c>
      <c r="N94" s="21" t="str">
        <f t="shared" si="20"/>
        <v>EN PROPIEDAD</v>
      </c>
      <c r="O94" s="21">
        <v>53166058</v>
      </c>
      <c r="P94" s="18" t="str">
        <f>IF(O94="","VACANTE DEFINITIVA",(VLOOKUP(O94,'PLANTA PERNO'!A:D,4,0)&amp;" "&amp;VLOOKUP(O94,'PLANTA PERNO'!A:D,2,0)&amp;" "&amp;VLOOKUP(O94,'PLANTA PERNO'!A:D,3,0)))</f>
        <v>ADDILY JOHANNA CALA CASTRO</v>
      </c>
      <c r="Q94" s="21"/>
      <c r="R94" s="21"/>
      <c r="S94" s="21"/>
      <c r="T94" s="21"/>
      <c r="U94" s="21"/>
      <c r="V94" s="21"/>
      <c r="W94" s="38">
        <v>66700</v>
      </c>
      <c r="X94" s="128"/>
      <c r="Y94" s="21" t="str">
        <f t="shared" si="8"/>
        <v>OCUPADO</v>
      </c>
      <c r="Z94" s="23" t="s">
        <v>50</v>
      </c>
      <c r="AA94" s="24" t="s">
        <v>51</v>
      </c>
      <c r="AB94" s="25">
        <v>222</v>
      </c>
      <c r="AC94" s="27">
        <v>21</v>
      </c>
      <c r="AD94" s="28" t="str">
        <f t="shared" si="9"/>
        <v>222-21</v>
      </c>
      <c r="AE94" s="24" t="s">
        <v>147</v>
      </c>
      <c r="AF94" s="24" t="s">
        <v>147</v>
      </c>
      <c r="AG94" s="24" t="s">
        <v>2242</v>
      </c>
      <c r="AH94" s="24" t="s">
        <v>2243</v>
      </c>
      <c r="AI94" s="24" t="s">
        <v>2244</v>
      </c>
      <c r="AJ94" s="24" t="s">
        <v>2245</v>
      </c>
      <c r="AK94" s="93">
        <v>6566428.4300000006</v>
      </c>
      <c r="AL94" s="93">
        <v>0</v>
      </c>
      <c r="AM94" s="93">
        <f t="shared" si="32"/>
        <v>196992</v>
      </c>
      <c r="AN94" s="93">
        <f>IFERROR(INT(($AK94*(VLOOKUP($D94,'PORCENTAJES FACTORES'!B:N,12,0))/100)),0)</f>
        <v>2626571</v>
      </c>
      <c r="AO94" s="93">
        <f t="shared" si="33"/>
        <v>0</v>
      </c>
      <c r="AP94" s="93">
        <f t="shared" si="13"/>
        <v>0</v>
      </c>
      <c r="AQ94" s="93">
        <f t="shared" si="14"/>
        <v>0</v>
      </c>
      <c r="AR94" s="95">
        <f t="shared" si="15"/>
        <v>9389991.4299999997</v>
      </c>
      <c r="AS94" s="96"/>
      <c r="AT94" s="97"/>
      <c r="AU94" s="43">
        <f t="shared" si="16"/>
        <v>7026078.4201000007</v>
      </c>
      <c r="AV94" s="43">
        <v>40</v>
      </c>
      <c r="AW94" s="43">
        <f t="shared" si="17"/>
        <v>2810431.3680400001</v>
      </c>
      <c r="AX94" s="43">
        <f t="shared" si="18"/>
        <v>30914745.048440002</v>
      </c>
      <c r="AY94" s="58" t="s">
        <v>2288</v>
      </c>
      <c r="AZ94" s="58">
        <v>3315966</v>
      </c>
      <c r="BA94" s="58"/>
      <c r="BB94" s="58">
        <f>BB93/2</f>
        <v>5228700.1615070961</v>
      </c>
      <c r="BC94" s="48"/>
      <c r="BD94" s="48"/>
      <c r="BE94" s="48"/>
      <c r="BF94" s="48"/>
      <c r="BG94" s="48"/>
      <c r="BH94" s="48"/>
      <c r="BI94" s="48"/>
      <c r="BJ94" s="48"/>
      <c r="BK94" s="48"/>
      <c r="BL94" s="48"/>
      <c r="BM94" s="48"/>
      <c r="BN94" s="48"/>
      <c r="BO94" s="48"/>
      <c r="BP94" s="48"/>
      <c r="BQ94" s="48"/>
      <c r="BR94" s="48"/>
      <c r="BS94" s="48"/>
    </row>
    <row r="95" spans="1:71" ht="12.75" customHeight="1">
      <c r="A95" s="85">
        <v>91</v>
      </c>
      <c r="B95" s="86">
        <v>5092</v>
      </c>
      <c r="C95" s="29">
        <v>23</v>
      </c>
      <c r="D95" s="122">
        <v>1032448684</v>
      </c>
      <c r="E95" s="18" t="str">
        <f>IF(D95&gt;0,VLOOKUP(D95,'PLANTA PERNO'!A:D,4,0)&amp;" "&amp;VLOOKUP(D95,'PLANTA PERNO'!A:D,2,0)&amp;" "&amp;VLOOKUP(D95,'PLANTA PERNO'!A:D,3,0),IF(O95="","VACANTE DEFINITIVA","VACANTE TEMPORAL"))</f>
        <v>JUAN CARLOS MARTINEZ BERNAL</v>
      </c>
      <c r="F95" s="20" t="s">
        <v>49</v>
      </c>
      <c r="G95" s="20" t="str">
        <f t="shared" si="0"/>
        <v>EN ENCARGO</v>
      </c>
      <c r="H95" s="33">
        <f t="shared" si="28"/>
        <v>44147</v>
      </c>
      <c r="I95" s="33">
        <f t="shared" si="29"/>
        <v>44147</v>
      </c>
      <c r="J95" s="31" t="str">
        <f t="shared" si="30"/>
        <v>HOMBRE</v>
      </c>
      <c r="K95" s="21">
        <f t="shared" ca="1" si="31"/>
        <v>34</v>
      </c>
      <c r="L95" s="21">
        <f t="shared" ca="1" si="5"/>
        <v>5</v>
      </c>
      <c r="M95" s="21" t="str">
        <f t="shared" si="6"/>
        <v>ENCARGO</v>
      </c>
      <c r="N95" s="21" t="str">
        <f t="shared" si="20"/>
        <v>EN ENCARGO</v>
      </c>
      <c r="O95" s="21">
        <v>51649014</v>
      </c>
      <c r="P95" s="18" t="str">
        <f>IF(O95="","VACANTE DEFINITIVA",(VLOOKUP(O95,'PLANTA PERNO'!A:D,4,0)&amp;" "&amp;VLOOKUP(O95,'PLANTA PERNO'!A:D,2,0)&amp;" "&amp;VLOOKUP(O95,'PLANTA PERNO'!A:D,3,0)))</f>
        <v>DORA BELEN GUTIERREZ HERNANDEZ</v>
      </c>
      <c r="Q95" s="21" t="s">
        <v>323</v>
      </c>
      <c r="R95" s="21">
        <v>2</v>
      </c>
      <c r="S95" s="21"/>
      <c r="T95" s="21"/>
      <c r="U95" s="21"/>
      <c r="V95" s="21"/>
      <c r="W95" s="38"/>
      <c r="X95" s="128"/>
      <c r="Y95" s="21" t="str">
        <f t="shared" si="8"/>
        <v>OCUPADO</v>
      </c>
      <c r="Z95" s="23" t="s">
        <v>50</v>
      </c>
      <c r="AA95" s="24" t="s">
        <v>51</v>
      </c>
      <c r="AB95" s="25">
        <v>222</v>
      </c>
      <c r="AC95" s="27">
        <v>21</v>
      </c>
      <c r="AD95" s="28" t="str">
        <f t="shared" si="9"/>
        <v>222-21</v>
      </c>
      <c r="AE95" s="24" t="s">
        <v>147</v>
      </c>
      <c r="AF95" s="24" t="s">
        <v>147</v>
      </c>
      <c r="AG95" s="24" t="s">
        <v>2248</v>
      </c>
      <c r="AH95" s="24" t="s">
        <v>2249</v>
      </c>
      <c r="AI95" s="24" t="s">
        <v>2250</v>
      </c>
      <c r="AJ95" s="24" t="s">
        <v>2251</v>
      </c>
      <c r="AK95" s="93">
        <v>6566428.4300000006</v>
      </c>
      <c r="AL95" s="93">
        <v>0</v>
      </c>
      <c r="AM95" s="93">
        <f t="shared" si="32"/>
        <v>196992</v>
      </c>
      <c r="AN95" s="93">
        <f>IFERROR(INT(($AK95*(VLOOKUP($D95,'PORCENTAJES FACTORES'!B:N,12,0))/100)),0)</f>
        <v>2626571</v>
      </c>
      <c r="AO95" s="93">
        <f t="shared" si="33"/>
        <v>0</v>
      </c>
      <c r="AP95" s="93">
        <f t="shared" si="13"/>
        <v>0</v>
      </c>
      <c r="AQ95" s="93">
        <f t="shared" si="14"/>
        <v>0</v>
      </c>
      <c r="AR95" s="95">
        <f t="shared" si="15"/>
        <v>9389991.4299999997</v>
      </c>
      <c r="AS95" s="96"/>
      <c r="AT95" s="97"/>
      <c r="AU95" s="43">
        <f t="shared" si="16"/>
        <v>7026078.4201000007</v>
      </c>
      <c r="AV95" s="43">
        <v>40</v>
      </c>
      <c r="AW95" s="43">
        <f t="shared" si="17"/>
        <v>2810431.3680400001</v>
      </c>
      <c r="AX95" s="43">
        <f t="shared" si="18"/>
        <v>30914745.048440002</v>
      </c>
      <c r="AY95" s="58" t="s">
        <v>2293</v>
      </c>
      <c r="AZ95" s="58">
        <v>3446528</v>
      </c>
      <c r="BA95" s="58"/>
      <c r="BB95" s="58">
        <v>-2531995</v>
      </c>
      <c r="BC95" s="48"/>
      <c r="BD95" s="48"/>
      <c r="BE95" s="48"/>
      <c r="BF95" s="48"/>
      <c r="BG95" s="48"/>
      <c r="BH95" s="48"/>
      <c r="BI95" s="48"/>
      <c r="BJ95" s="48"/>
      <c r="BK95" s="48"/>
      <c r="BL95" s="48"/>
      <c r="BM95" s="48"/>
      <c r="BN95" s="48"/>
      <c r="BO95" s="48"/>
      <c r="BP95" s="48"/>
      <c r="BQ95" s="48"/>
      <c r="BR95" s="48"/>
      <c r="BS95" s="48"/>
    </row>
    <row r="96" spans="1:71" ht="12.75" hidden="1" customHeight="1">
      <c r="A96" s="85">
        <v>92</v>
      </c>
      <c r="B96" s="86">
        <v>5088</v>
      </c>
      <c r="C96" s="29">
        <v>19</v>
      </c>
      <c r="D96" s="122">
        <v>80022321</v>
      </c>
      <c r="E96" s="18" t="str">
        <f>IF(D96&gt;0,VLOOKUP(D96,'PLANTA PERNO'!A:D,4,0)&amp;" "&amp;VLOOKUP(D96,'PLANTA PERNO'!A:D,2,0)&amp;" "&amp;VLOOKUP(D96,'PLANTA PERNO'!A:D,3,0),IF(O96="","VACANTE DEFINITIVA","VACANTE TEMPORAL"))</f>
        <v>SAMUEL ARTURO HERNANDEZ MURCIA</v>
      </c>
      <c r="F96" s="20" t="s">
        <v>49</v>
      </c>
      <c r="G96" s="20" t="str">
        <f t="shared" si="0"/>
        <v>CARRERA ADMINISTRATIVA</v>
      </c>
      <c r="H96" s="33">
        <f t="shared" si="28"/>
        <v>44652</v>
      </c>
      <c r="I96" s="33">
        <f t="shared" si="29"/>
        <v>44652</v>
      </c>
      <c r="J96" s="31" t="str">
        <f t="shared" si="30"/>
        <v>HOMBRE</v>
      </c>
      <c r="K96" s="21">
        <f t="shared" ca="1" si="31"/>
        <v>47</v>
      </c>
      <c r="L96" s="21">
        <f t="shared" ca="1" si="5"/>
        <v>4</v>
      </c>
      <c r="M96" s="21" t="str">
        <f t="shared" si="6"/>
        <v/>
      </c>
      <c r="N96" s="21" t="str">
        <f t="shared" si="20"/>
        <v>EN PROPIEDAD</v>
      </c>
      <c r="O96" s="21">
        <v>80022321</v>
      </c>
      <c r="P96" s="18" t="str">
        <f>IF(O96="","VACANTE DEFINITIVA",(VLOOKUP(O96,'PLANTA PERNO'!A:D,4,0)&amp;" "&amp;VLOOKUP(O96,'PLANTA PERNO'!A:D,2,0)&amp;" "&amp;VLOOKUP(O96,'PLANTA PERNO'!A:D,3,0)))</f>
        <v>SAMUEL ARTURO HERNANDEZ MURCIA</v>
      </c>
      <c r="Q96" s="21"/>
      <c r="R96" s="21"/>
      <c r="S96" s="21"/>
      <c r="T96" s="21"/>
      <c r="U96" s="21"/>
      <c r="V96" s="21"/>
      <c r="W96" s="38">
        <v>66699</v>
      </c>
      <c r="X96" s="128"/>
      <c r="Y96" s="21" t="str">
        <f t="shared" si="8"/>
        <v>OCUPADO</v>
      </c>
      <c r="Z96" s="23" t="s">
        <v>50</v>
      </c>
      <c r="AA96" s="24" t="s">
        <v>51</v>
      </c>
      <c r="AB96" s="25">
        <v>222</v>
      </c>
      <c r="AC96" s="27">
        <v>21</v>
      </c>
      <c r="AD96" s="28" t="str">
        <f t="shared" si="9"/>
        <v>222-21</v>
      </c>
      <c r="AE96" s="24" t="s">
        <v>147</v>
      </c>
      <c r="AF96" s="24" t="s">
        <v>147</v>
      </c>
      <c r="AG96" s="24" t="s">
        <v>2253</v>
      </c>
      <c r="AH96" s="24" t="s">
        <v>2254</v>
      </c>
      <c r="AI96" s="24" t="s">
        <v>2255</v>
      </c>
      <c r="AJ96" s="24" t="s">
        <v>2256</v>
      </c>
      <c r="AK96" s="93">
        <v>6566428.4300000006</v>
      </c>
      <c r="AL96" s="93">
        <v>0</v>
      </c>
      <c r="AM96" s="93">
        <f t="shared" si="32"/>
        <v>0</v>
      </c>
      <c r="AN96" s="93">
        <f>IFERROR(INT(($AK96*(VLOOKUP($D96,'PORCENTAJES FACTORES'!B:N,12,0))/100)),0)</f>
        <v>2626571</v>
      </c>
      <c r="AO96" s="93">
        <f t="shared" si="33"/>
        <v>0</v>
      </c>
      <c r="AP96" s="93">
        <f t="shared" si="13"/>
        <v>0</v>
      </c>
      <c r="AQ96" s="93">
        <f t="shared" si="14"/>
        <v>0</v>
      </c>
      <c r="AR96" s="95">
        <f t="shared" si="15"/>
        <v>9192999.4299999997</v>
      </c>
      <c r="AS96" s="96"/>
      <c r="AT96" s="97"/>
      <c r="AU96" s="43">
        <f t="shared" si="16"/>
        <v>7026078.4201000007</v>
      </c>
      <c r="AV96" s="43">
        <v>40</v>
      </c>
      <c r="AW96" s="43">
        <f t="shared" si="17"/>
        <v>2810431.3680400001</v>
      </c>
      <c r="AX96" s="43">
        <f t="shared" si="18"/>
        <v>30914745.048440002</v>
      </c>
      <c r="AY96" s="58" t="s">
        <v>2298</v>
      </c>
      <c r="AZ96" s="58">
        <v>3550970</v>
      </c>
      <c r="BA96" s="58"/>
      <c r="BB96" s="58">
        <v>-100000</v>
      </c>
      <c r="BC96" s="48"/>
      <c r="BD96" s="48"/>
      <c r="BE96" s="48"/>
      <c r="BF96" s="48"/>
      <c r="BG96" s="48"/>
      <c r="BH96" s="48"/>
      <c r="BI96" s="48"/>
      <c r="BJ96" s="48"/>
      <c r="BK96" s="48"/>
      <c r="BL96" s="48"/>
      <c r="BM96" s="48"/>
      <c r="BN96" s="48"/>
      <c r="BO96" s="48"/>
      <c r="BP96" s="48"/>
      <c r="BQ96" s="48"/>
      <c r="BR96" s="48"/>
      <c r="BS96" s="48"/>
    </row>
    <row r="97" spans="1:71" ht="12.75" hidden="1" customHeight="1">
      <c r="A97" s="85">
        <v>93</v>
      </c>
      <c r="B97" s="86">
        <v>5089</v>
      </c>
      <c r="C97" s="29">
        <v>20</v>
      </c>
      <c r="D97" s="122">
        <v>52337438</v>
      </c>
      <c r="E97" s="18" t="str">
        <f>IF(D97&gt;0,VLOOKUP(D97,'PLANTA PERNO'!A:D,4,0)&amp;" "&amp;VLOOKUP(D97,'PLANTA PERNO'!A:D,2,0)&amp;" "&amp;VLOOKUP(D97,'PLANTA PERNO'!A:D,3,0),IF(O97="","VACANTE DEFINITIVA","VACANTE TEMPORAL"))</f>
        <v>CHEILA ALEXANDRA ALVARADO ROJAS</v>
      </c>
      <c r="F97" s="20" t="s">
        <v>49</v>
      </c>
      <c r="G97" s="20" t="str">
        <f t="shared" si="0"/>
        <v>EN ENCARGO</v>
      </c>
      <c r="H97" s="33">
        <f t="shared" si="28"/>
        <v>44228</v>
      </c>
      <c r="I97" s="33">
        <f t="shared" si="29"/>
        <v>44228</v>
      </c>
      <c r="J97" s="31" t="str">
        <f t="shared" si="30"/>
        <v>MUJER</v>
      </c>
      <c r="K97" s="21">
        <f t="shared" ca="1" si="31"/>
        <v>49</v>
      </c>
      <c r="L97" s="21">
        <f t="shared" ca="1" si="5"/>
        <v>5</v>
      </c>
      <c r="M97" s="21" t="str">
        <f t="shared" si="6"/>
        <v>ENCARGO</v>
      </c>
      <c r="N97" s="21" t="str">
        <f t="shared" si="20"/>
        <v>EN ENCARGO</v>
      </c>
      <c r="O97" s="21">
        <v>52391785</v>
      </c>
      <c r="P97" s="18" t="str">
        <f>IF(O97="","VACANTE DEFINITIVA",(VLOOKUP(O97,'PLANTA PERNO'!A:D,4,0)&amp;" "&amp;VLOOKUP(O97,'PLANTA PERNO'!A:D,2,0)&amp;" "&amp;VLOOKUP(O97,'PLANTA PERNO'!A:D,3,0)))</f>
        <v>YOMAIRA AMPARO ALARCON ACERO</v>
      </c>
      <c r="Q97" s="21" t="s">
        <v>1205</v>
      </c>
      <c r="R97" s="21">
        <v>3</v>
      </c>
      <c r="S97" s="21"/>
      <c r="T97" s="21"/>
      <c r="U97" s="21"/>
      <c r="V97" s="21"/>
      <c r="W97" s="38">
        <v>66698</v>
      </c>
      <c r="X97" s="123">
        <v>203199</v>
      </c>
      <c r="Y97" s="21" t="str">
        <f t="shared" si="8"/>
        <v>OCUPADO</v>
      </c>
      <c r="Z97" s="23" t="s">
        <v>50</v>
      </c>
      <c r="AA97" s="24" t="s">
        <v>51</v>
      </c>
      <c r="AB97" s="25">
        <v>222</v>
      </c>
      <c r="AC97" s="27">
        <v>21</v>
      </c>
      <c r="AD97" s="28" t="str">
        <f t="shared" si="9"/>
        <v>222-21</v>
      </c>
      <c r="AE97" s="24" t="s">
        <v>147</v>
      </c>
      <c r="AF97" s="24" t="s">
        <v>147</v>
      </c>
      <c r="AG97" s="24" t="s">
        <v>2257</v>
      </c>
      <c r="AH97" s="24" t="s">
        <v>2258</v>
      </c>
      <c r="AI97" s="24" t="s">
        <v>2259</v>
      </c>
      <c r="AJ97" s="24" t="s">
        <v>2260</v>
      </c>
      <c r="AK97" s="93">
        <v>6566428.4300000006</v>
      </c>
      <c r="AL97" s="93">
        <v>0</v>
      </c>
      <c r="AM97" s="93">
        <f t="shared" si="32"/>
        <v>196992</v>
      </c>
      <c r="AN97" s="93">
        <f>IFERROR(INT(($AK97*(VLOOKUP($D97,'PORCENTAJES FACTORES'!B:N,12,0))/100)),0)</f>
        <v>2626571</v>
      </c>
      <c r="AO97" s="93">
        <f t="shared" si="33"/>
        <v>0</v>
      </c>
      <c r="AP97" s="93">
        <f t="shared" si="13"/>
        <v>0</v>
      </c>
      <c r="AQ97" s="93">
        <f t="shared" si="14"/>
        <v>0</v>
      </c>
      <c r="AR97" s="95">
        <f t="shared" ref="AR97:AR174" si="34">(+AK97+AL97+AM97+AN97+AO97+AP97+AQ97)</f>
        <v>9389991.4299999997</v>
      </c>
      <c r="AS97" s="96"/>
      <c r="AT97" s="97"/>
      <c r="AU97" s="43">
        <f t="shared" si="16"/>
        <v>7026078.4201000007</v>
      </c>
      <c r="AV97" s="43">
        <v>40</v>
      </c>
      <c r="AW97" s="43">
        <f t="shared" si="17"/>
        <v>2810431.3680400001</v>
      </c>
      <c r="AX97" s="43">
        <f t="shared" si="18"/>
        <v>30914745.048440002</v>
      </c>
      <c r="AY97" s="58" t="s">
        <v>2299</v>
      </c>
      <c r="AZ97" s="58">
        <v>3668474</v>
      </c>
      <c r="BA97" s="58"/>
      <c r="BB97" s="58">
        <v>-280000</v>
      </c>
      <c r="BC97" s="48"/>
      <c r="BD97" s="48"/>
      <c r="BE97" s="48"/>
      <c r="BF97" s="48"/>
      <c r="BG97" s="48"/>
      <c r="BH97" s="48"/>
      <c r="BI97" s="48"/>
      <c r="BJ97" s="48"/>
      <c r="BK97" s="48"/>
      <c r="BL97" s="48"/>
      <c r="BM97" s="48"/>
      <c r="BN97" s="48"/>
      <c r="BO97" s="48"/>
      <c r="BP97" s="48"/>
      <c r="BQ97" s="48"/>
      <c r="BR97" s="48"/>
      <c r="BS97" s="48"/>
    </row>
    <row r="98" spans="1:71" ht="12.75" hidden="1" customHeight="1">
      <c r="A98" s="85">
        <v>94</v>
      </c>
      <c r="B98" s="86">
        <v>5093</v>
      </c>
      <c r="C98" s="29">
        <v>63</v>
      </c>
      <c r="D98" s="122">
        <v>79450267</v>
      </c>
      <c r="E98" s="18" t="str">
        <f>IF(D98&gt;0,VLOOKUP(D98,'PLANTA PERNO'!A:D,4,0)&amp;" "&amp;VLOOKUP(D98,'PLANTA PERNO'!A:D,2,0)&amp;" "&amp;VLOOKUP(D98,'PLANTA PERNO'!A:D,3,0),IF(O98="","VACANTE DEFINITIVA","VACANTE TEMPORAL"))</f>
        <v>HENRY ALBERTO GONZALEZ MOLINA</v>
      </c>
      <c r="F98" s="20" t="s">
        <v>49</v>
      </c>
      <c r="G98" s="20" t="str">
        <f t="shared" si="0"/>
        <v>EN ENCARGO</v>
      </c>
      <c r="H98" s="33">
        <f t="shared" si="28"/>
        <v>42585</v>
      </c>
      <c r="I98" s="33">
        <f t="shared" si="29"/>
        <v>35062</v>
      </c>
      <c r="J98" s="31" t="str">
        <f t="shared" si="30"/>
        <v>HOMBRE</v>
      </c>
      <c r="K98" s="21">
        <f t="shared" ca="1" si="31"/>
        <v>59</v>
      </c>
      <c r="L98" s="21">
        <f t="shared" ca="1" si="5"/>
        <v>10</v>
      </c>
      <c r="M98" s="21" t="str">
        <f t="shared" si="6"/>
        <v>ENCARGO</v>
      </c>
      <c r="N98" s="21" t="str">
        <f t="shared" si="20"/>
        <v>EN ENCARGO</v>
      </c>
      <c r="O98" s="21">
        <v>3085860</v>
      </c>
      <c r="P98" s="18" t="str">
        <f>IF(O98="","VACANTE DEFINITIVA",(VLOOKUP(O98,'PLANTA PERNO'!A:D,4,0)&amp;" "&amp;VLOOKUP(O98,'PLANTA PERNO'!A:D,2,0)&amp;" "&amp;VLOOKUP(O98,'PLANTA PERNO'!A:D,3,0)))</f>
        <v>LUIS ALFONSO CASTIBLANCO URQUIJO</v>
      </c>
      <c r="Q98" s="21" t="s">
        <v>1602</v>
      </c>
      <c r="R98" s="21">
        <v>2</v>
      </c>
      <c r="S98" s="21"/>
      <c r="T98" s="21"/>
      <c r="U98" s="21"/>
      <c r="V98" s="21"/>
      <c r="W98" s="38"/>
      <c r="X98" s="123">
        <v>203198</v>
      </c>
      <c r="Y98" s="21" t="str">
        <f t="shared" si="8"/>
        <v>OCUPADO</v>
      </c>
      <c r="Z98" s="23" t="s">
        <v>50</v>
      </c>
      <c r="AA98" s="24" t="s">
        <v>51</v>
      </c>
      <c r="AB98" s="25">
        <v>222</v>
      </c>
      <c r="AC98" s="27">
        <v>21</v>
      </c>
      <c r="AD98" s="28" t="str">
        <f t="shared" si="9"/>
        <v>222-21</v>
      </c>
      <c r="AE98" s="24" t="s">
        <v>153</v>
      </c>
      <c r="AF98" s="24" t="s">
        <v>153</v>
      </c>
      <c r="AG98" s="24" t="s">
        <v>2263</v>
      </c>
      <c r="AH98" s="24" t="s">
        <v>2264</v>
      </c>
      <c r="AI98" s="24" t="s">
        <v>2265</v>
      </c>
      <c r="AJ98" s="24" t="s">
        <v>2266</v>
      </c>
      <c r="AK98" s="93">
        <v>6566428.4300000006</v>
      </c>
      <c r="AL98" s="93">
        <v>0</v>
      </c>
      <c r="AM98" s="93">
        <f t="shared" si="32"/>
        <v>459649</v>
      </c>
      <c r="AN98" s="93">
        <f>IFERROR(INT(($AK98*(VLOOKUP($D98,'PORCENTAJES FACTORES'!B:N,12,0))/100)),0)</f>
        <v>2626571</v>
      </c>
      <c r="AO98" s="93">
        <f t="shared" si="33"/>
        <v>0</v>
      </c>
      <c r="AP98" s="93">
        <f t="shared" si="13"/>
        <v>0</v>
      </c>
      <c r="AQ98" s="93">
        <f t="shared" si="14"/>
        <v>0</v>
      </c>
      <c r="AR98" s="95">
        <f t="shared" si="34"/>
        <v>9652648.4299999997</v>
      </c>
      <c r="AS98" s="96"/>
      <c r="AT98" s="97"/>
      <c r="AU98" s="43">
        <f t="shared" si="16"/>
        <v>7026078.4201000007</v>
      </c>
      <c r="AV98" s="43">
        <v>40</v>
      </c>
      <c r="AW98" s="43">
        <f t="shared" si="17"/>
        <v>2810431.3680400001</v>
      </c>
      <c r="AX98" s="43">
        <f t="shared" si="18"/>
        <v>30914745.048440002</v>
      </c>
      <c r="AY98" s="58" t="s">
        <v>2304</v>
      </c>
      <c r="AZ98" s="58">
        <v>3732977</v>
      </c>
      <c r="BA98" s="58"/>
      <c r="BB98" s="58"/>
      <c r="BC98" s="48"/>
      <c r="BD98" s="48"/>
      <c r="BE98" s="48"/>
      <c r="BF98" s="48"/>
      <c r="BG98" s="48"/>
      <c r="BH98" s="48"/>
      <c r="BI98" s="48"/>
      <c r="BJ98" s="48"/>
      <c r="BK98" s="48"/>
      <c r="BL98" s="48"/>
      <c r="BM98" s="48"/>
      <c r="BN98" s="48"/>
      <c r="BO98" s="48"/>
      <c r="BP98" s="48"/>
      <c r="BQ98" s="48"/>
      <c r="BR98" s="48"/>
      <c r="BS98" s="48"/>
    </row>
    <row r="99" spans="1:71" ht="12.75" hidden="1" customHeight="1">
      <c r="A99" s="85">
        <v>95</v>
      </c>
      <c r="B99" s="86">
        <v>5094</v>
      </c>
      <c r="C99" s="29">
        <v>64</v>
      </c>
      <c r="D99" s="122">
        <v>52818411</v>
      </c>
      <c r="E99" s="18" t="str">
        <f>IF(D99&gt;0,VLOOKUP(D99,'PLANTA PERNO'!A:D,4,0)&amp;" "&amp;VLOOKUP(D99,'PLANTA PERNO'!A:D,2,0)&amp;" "&amp;VLOOKUP(D99,'PLANTA PERNO'!A:D,3,0),IF(O99="","VACANTE DEFINITIVA","VACANTE TEMPORAL"))</f>
        <v>MARIA XIMENA CUBIDES AMAYA</v>
      </c>
      <c r="F99" s="20" t="s">
        <v>49</v>
      </c>
      <c r="G99" s="20" t="str">
        <f t="shared" si="0"/>
        <v>CARRERA ADMINISTRATIVA</v>
      </c>
      <c r="H99" s="33">
        <f t="shared" si="28"/>
        <v>44326</v>
      </c>
      <c r="I99" s="33">
        <f t="shared" si="29"/>
        <v>44326</v>
      </c>
      <c r="J99" s="31" t="str">
        <f t="shared" si="30"/>
        <v>MUJER</v>
      </c>
      <c r="K99" s="21">
        <f t="shared" ca="1" si="31"/>
        <v>42</v>
      </c>
      <c r="L99" s="21">
        <f t="shared" ca="1" si="5"/>
        <v>5</v>
      </c>
      <c r="M99" s="21" t="str">
        <f t="shared" si="6"/>
        <v/>
      </c>
      <c r="N99" s="21" t="str">
        <f t="shared" si="20"/>
        <v>EN PROPIEDAD</v>
      </c>
      <c r="O99" s="21">
        <v>52818411</v>
      </c>
      <c r="P99" s="18" t="str">
        <f>IF(O99="","VACANTE DEFINITIVA",(VLOOKUP(O99,'PLANTA PERNO'!A:D,4,0)&amp;" "&amp;VLOOKUP(O99,'PLANTA PERNO'!A:D,2,0)&amp;" "&amp;VLOOKUP(O99,'PLANTA PERNO'!A:D,3,0)))</f>
        <v>MARIA XIMENA CUBIDES AMAYA</v>
      </c>
      <c r="Q99" s="21"/>
      <c r="R99" s="21"/>
      <c r="S99" s="21"/>
      <c r="T99" s="21"/>
      <c r="U99" s="21"/>
      <c r="V99" s="21"/>
      <c r="W99" s="38">
        <v>66701</v>
      </c>
      <c r="X99" s="128"/>
      <c r="Y99" s="21" t="str">
        <f t="shared" si="8"/>
        <v>OCUPADO</v>
      </c>
      <c r="Z99" s="23" t="s">
        <v>50</v>
      </c>
      <c r="AA99" s="24" t="s">
        <v>51</v>
      </c>
      <c r="AB99" s="25">
        <v>222</v>
      </c>
      <c r="AC99" s="27">
        <v>21</v>
      </c>
      <c r="AD99" s="28" t="str">
        <f t="shared" si="9"/>
        <v>222-21</v>
      </c>
      <c r="AE99" s="24" t="s">
        <v>213</v>
      </c>
      <c r="AF99" s="63" t="s">
        <v>213</v>
      </c>
      <c r="AG99" s="24" t="s">
        <v>2268</v>
      </c>
      <c r="AH99" s="24" t="s">
        <v>2269</v>
      </c>
      <c r="AI99" s="24" t="s">
        <v>2270</v>
      </c>
      <c r="AJ99" s="24" t="s">
        <v>2271</v>
      </c>
      <c r="AK99" s="93">
        <v>6566428.4300000006</v>
      </c>
      <c r="AL99" s="93">
        <v>0</v>
      </c>
      <c r="AM99" s="93">
        <f t="shared" si="32"/>
        <v>196992</v>
      </c>
      <c r="AN99" s="93">
        <f>IFERROR(INT(($AK99*(VLOOKUP($D99,'PORCENTAJES FACTORES'!B:N,12,0))/100)),0)</f>
        <v>2626571</v>
      </c>
      <c r="AO99" s="93">
        <f t="shared" si="33"/>
        <v>0</v>
      </c>
      <c r="AP99" s="93">
        <f t="shared" si="13"/>
        <v>0</v>
      </c>
      <c r="AQ99" s="93">
        <f t="shared" si="14"/>
        <v>0</v>
      </c>
      <c r="AR99" s="95">
        <f t="shared" si="34"/>
        <v>9389991.4299999997</v>
      </c>
      <c r="AS99" s="96"/>
      <c r="AT99" s="97"/>
      <c r="AU99" s="43">
        <f t="shared" si="16"/>
        <v>7026078.4201000007</v>
      </c>
      <c r="AV99" s="43">
        <v>40</v>
      </c>
      <c r="AW99" s="43">
        <f t="shared" si="17"/>
        <v>2810431.3680400001</v>
      </c>
      <c r="AX99" s="43">
        <f t="shared" si="18"/>
        <v>30914745.048440002</v>
      </c>
      <c r="AY99" s="58" t="s">
        <v>2309</v>
      </c>
      <c r="AZ99" s="58">
        <v>3812086</v>
      </c>
      <c r="BA99" s="58"/>
      <c r="BB99" s="58"/>
      <c r="BC99" s="48"/>
      <c r="BD99" s="48"/>
      <c r="BE99" s="48"/>
      <c r="BF99" s="48"/>
      <c r="BG99" s="48"/>
      <c r="BH99" s="48"/>
      <c r="BI99" s="48"/>
      <c r="BJ99" s="48"/>
      <c r="BK99" s="48"/>
      <c r="BL99" s="48"/>
      <c r="BM99" s="48"/>
      <c r="BN99" s="48"/>
      <c r="BO99" s="48"/>
      <c r="BP99" s="48"/>
      <c r="BQ99" s="48"/>
      <c r="BR99" s="48"/>
      <c r="BS99" s="48"/>
    </row>
    <row r="100" spans="1:71" ht="12.75" hidden="1" customHeight="1">
      <c r="A100" s="85">
        <v>96</v>
      </c>
      <c r="B100" s="86">
        <v>5090</v>
      </c>
      <c r="C100" s="29">
        <v>66</v>
      </c>
      <c r="D100" s="122">
        <v>52176512</v>
      </c>
      <c r="E100" s="18" t="str">
        <f>IF(D100&gt;0,VLOOKUP(D100,'PLANTA PERNO'!A:D,4,0)&amp;" "&amp;VLOOKUP(D100,'PLANTA PERNO'!A:D,2,0)&amp;" "&amp;VLOOKUP(D100,'PLANTA PERNO'!A:D,3,0),IF(O100="","VACANTE DEFINITIVA","VACANTE TEMPORAL"))</f>
        <v>LUZ DARY MERCHAN LARA</v>
      </c>
      <c r="F100" s="20" t="s">
        <v>49</v>
      </c>
      <c r="G100" s="20" t="str">
        <f t="shared" si="0"/>
        <v>CARRERA ADMINISTRATIVA</v>
      </c>
      <c r="H100" s="33">
        <f t="shared" si="28"/>
        <v>44144</v>
      </c>
      <c r="I100" s="33">
        <f t="shared" si="29"/>
        <v>44144</v>
      </c>
      <c r="J100" s="31" t="str">
        <f t="shared" si="30"/>
        <v>MUJER</v>
      </c>
      <c r="K100" s="21">
        <f t="shared" ca="1" si="31"/>
        <v>53</v>
      </c>
      <c r="L100" s="21">
        <f t="shared" ca="1" si="5"/>
        <v>5</v>
      </c>
      <c r="M100" s="21" t="str">
        <f t="shared" si="6"/>
        <v/>
      </c>
      <c r="N100" s="21" t="str">
        <f t="shared" si="20"/>
        <v>EN PROPIEDAD</v>
      </c>
      <c r="O100" s="21">
        <v>52176512</v>
      </c>
      <c r="P100" s="18" t="str">
        <f>IF(O100="","VACANTE DEFINITIVA",(VLOOKUP(O100,'PLANTA PERNO'!A:D,4,0)&amp;" "&amp;VLOOKUP(O100,'PLANTA PERNO'!A:D,2,0)&amp;" "&amp;VLOOKUP(O100,'PLANTA PERNO'!A:D,3,0)))</f>
        <v>LUZ DARY MERCHAN LARA</v>
      </c>
      <c r="Q100" s="21"/>
      <c r="R100" s="21"/>
      <c r="S100" s="21"/>
      <c r="T100" s="21"/>
      <c r="U100" s="21"/>
      <c r="V100" s="21"/>
      <c r="W100" s="38">
        <v>66702</v>
      </c>
      <c r="X100" s="128"/>
      <c r="Y100" s="21" t="str">
        <f t="shared" si="8"/>
        <v>OCUPADO</v>
      </c>
      <c r="Z100" s="23" t="s">
        <v>50</v>
      </c>
      <c r="AA100" s="24" t="s">
        <v>51</v>
      </c>
      <c r="AB100" s="25">
        <v>222</v>
      </c>
      <c r="AC100" s="27">
        <v>21</v>
      </c>
      <c r="AD100" s="28" t="str">
        <f t="shared" si="9"/>
        <v>222-21</v>
      </c>
      <c r="AE100" s="24" t="s">
        <v>150</v>
      </c>
      <c r="AF100" s="24" t="s">
        <v>150</v>
      </c>
      <c r="AG100" s="24" t="s">
        <v>2274</v>
      </c>
      <c r="AH100" s="24" t="s">
        <v>2275</v>
      </c>
      <c r="AI100" s="24" t="s">
        <v>2276</v>
      </c>
      <c r="AJ100" s="24" t="s">
        <v>2277</v>
      </c>
      <c r="AK100" s="93">
        <v>6566428.4300000006</v>
      </c>
      <c r="AL100" s="93">
        <v>0</v>
      </c>
      <c r="AM100" s="93">
        <f t="shared" si="32"/>
        <v>196992</v>
      </c>
      <c r="AN100" s="93">
        <f>IFERROR(INT(($AK100*(VLOOKUP($D100,'PORCENTAJES FACTORES'!B:N,12,0))/100)),0)</f>
        <v>2626571</v>
      </c>
      <c r="AO100" s="93">
        <f t="shared" si="33"/>
        <v>0</v>
      </c>
      <c r="AP100" s="93">
        <f t="shared" si="13"/>
        <v>0</v>
      </c>
      <c r="AQ100" s="93">
        <f t="shared" si="14"/>
        <v>0</v>
      </c>
      <c r="AR100" s="95">
        <f t="shared" si="34"/>
        <v>9389991.4299999997</v>
      </c>
      <c r="AS100" s="96"/>
      <c r="AT100" s="97"/>
      <c r="AU100" s="43">
        <f t="shared" si="16"/>
        <v>7026078.4201000007</v>
      </c>
      <c r="AV100" s="43">
        <v>40</v>
      </c>
      <c r="AW100" s="43">
        <f t="shared" si="17"/>
        <v>2810431.3680400001</v>
      </c>
      <c r="AX100" s="43">
        <f t="shared" si="18"/>
        <v>30914745.048440002</v>
      </c>
      <c r="AY100" s="58" t="s">
        <v>2318</v>
      </c>
      <c r="AZ100" s="58">
        <v>3841171</v>
      </c>
      <c r="BA100" s="58"/>
      <c r="BB100" s="58"/>
      <c r="BC100" s="48"/>
      <c r="BD100" s="48"/>
      <c r="BE100" s="48"/>
      <c r="BF100" s="48"/>
      <c r="BG100" s="48"/>
      <c r="BH100" s="48"/>
      <c r="BI100" s="48"/>
      <c r="BJ100" s="48"/>
      <c r="BK100" s="48"/>
      <c r="BL100" s="48"/>
      <c r="BM100" s="48"/>
      <c r="BN100" s="48"/>
      <c r="BO100" s="48"/>
      <c r="BP100" s="48"/>
      <c r="BQ100" s="48"/>
      <c r="BR100" s="48"/>
      <c r="BS100" s="48"/>
    </row>
    <row r="101" spans="1:71" ht="12.75" hidden="1" customHeight="1">
      <c r="A101" s="85">
        <v>97</v>
      </c>
      <c r="B101" s="86">
        <v>5091</v>
      </c>
      <c r="C101" s="29">
        <v>65</v>
      </c>
      <c r="D101" s="122">
        <v>53066719</v>
      </c>
      <c r="E101" s="18" t="str">
        <f>IF(D101&gt;0,VLOOKUP(D101,'PLANTA PERNO'!A:D,4,0)&amp;" "&amp;VLOOKUP(D101,'PLANTA PERNO'!A:D,2,0)&amp;" "&amp;VLOOKUP(D101,'PLANTA PERNO'!A:D,3,0),IF(O101="","VACANTE DEFINITIVA","VACANTE TEMPORAL"))</f>
        <v>JENIFFER GUTIERREZ GUTIERREZ</v>
      </c>
      <c r="F101" s="20" t="s">
        <v>49</v>
      </c>
      <c r="G101" s="20" t="str">
        <f t="shared" si="0"/>
        <v>CARRERA ADMINISTRATIVA</v>
      </c>
      <c r="H101" s="33">
        <f t="shared" ref="H101:H132" si="35">IFERROR(VLOOKUP($D101,PLANTA_PERNO,16,0)," ")</f>
        <v>44211</v>
      </c>
      <c r="I101" s="33">
        <f t="shared" ref="I101:I132" si="36">IFERROR(VLOOKUP($D101,PLANTA_PERNO,17,0),"")</f>
        <v>44211</v>
      </c>
      <c r="J101" s="31" t="str">
        <f t="shared" ref="J101:J132" si="37">IF(IFERROR((VLOOKUP($D101,PLANTA_PERNO,9,0)),"")="F","MUJER",IF(IFERROR((VLOOKUP($D101,PLANTA_PERNO,9,0)),"")="M","HOMBRE",""))</f>
        <v>MUJER</v>
      </c>
      <c r="K101" s="21">
        <f t="shared" ref="K101:K132" ca="1" si="38">IFERROR(DATEDIF((VLOOKUP($D101,PLANTA_PERNO,6,0)),$K$3,"Y"),"")</f>
        <v>42</v>
      </c>
      <c r="L101" s="21">
        <f t="shared" ca="1" si="5"/>
        <v>5</v>
      </c>
      <c r="M101" s="21" t="str">
        <f t="shared" si="6"/>
        <v/>
      </c>
      <c r="N101" s="21" t="str">
        <f t="shared" si="20"/>
        <v>EN PROPIEDAD</v>
      </c>
      <c r="O101" s="21">
        <v>53066719</v>
      </c>
      <c r="P101" s="18" t="str">
        <f>IF(O101="","VACANTE DEFINITIVA",(VLOOKUP(O101,'PLANTA PERNO'!A:D,4,0)&amp;" "&amp;VLOOKUP(O101,'PLANTA PERNO'!A:D,2,0)&amp;" "&amp;VLOOKUP(O101,'PLANTA PERNO'!A:D,3,0)))</f>
        <v>JENIFFER GUTIERREZ GUTIERREZ</v>
      </c>
      <c r="Q101" s="21"/>
      <c r="R101" s="21"/>
      <c r="S101" s="21"/>
      <c r="T101" s="21"/>
      <c r="U101" s="21"/>
      <c r="V101" s="21"/>
      <c r="W101" s="38">
        <v>66703</v>
      </c>
      <c r="X101" s="128"/>
      <c r="Y101" s="21" t="str">
        <f t="shared" si="8"/>
        <v>OCUPADO</v>
      </c>
      <c r="Z101" s="23" t="s">
        <v>50</v>
      </c>
      <c r="AA101" s="24" t="s">
        <v>51</v>
      </c>
      <c r="AB101" s="25">
        <v>222</v>
      </c>
      <c r="AC101" s="27">
        <v>21</v>
      </c>
      <c r="AD101" s="28" t="str">
        <f t="shared" si="9"/>
        <v>222-21</v>
      </c>
      <c r="AE101" s="24" t="s">
        <v>150</v>
      </c>
      <c r="AF101" s="24" t="s">
        <v>150</v>
      </c>
      <c r="AG101" s="24" t="s">
        <v>2279</v>
      </c>
      <c r="AH101" s="24" t="s">
        <v>2280</v>
      </c>
      <c r="AI101" s="24" t="s">
        <v>56</v>
      </c>
      <c r="AJ101" s="24" t="s">
        <v>2281</v>
      </c>
      <c r="AK101" s="93">
        <v>6566428.4300000006</v>
      </c>
      <c r="AL101" s="93">
        <v>0</v>
      </c>
      <c r="AM101" s="93">
        <f t="shared" ref="AM101:AM126" si="39">IFERROR(INT(($AK101*(VLOOKUP($D101,BASE_PORCENTAJES,10,0))/100)),0)</f>
        <v>196992</v>
      </c>
      <c r="AN101" s="93">
        <f>IFERROR(INT(($AK101*(VLOOKUP($D101,'PORCENTAJES FACTORES'!B:N,12,0))/100)),0)</f>
        <v>2626571</v>
      </c>
      <c r="AO101" s="93">
        <f t="shared" ref="AO101:AO126" si="40">IFERROR(INT(($AK101*(VLOOKUP($D101,BASE_PORCENTAJES,13,0))/100)),0)</f>
        <v>0</v>
      </c>
      <c r="AP101" s="93">
        <f t="shared" si="13"/>
        <v>0</v>
      </c>
      <c r="AQ101" s="93">
        <f t="shared" si="14"/>
        <v>0</v>
      </c>
      <c r="AR101" s="95">
        <f t="shared" si="34"/>
        <v>9389991.4299999997</v>
      </c>
      <c r="AS101" s="96"/>
      <c r="AT101" s="97"/>
      <c r="AU101" s="43">
        <f t="shared" si="16"/>
        <v>7026078.4201000007</v>
      </c>
      <c r="AV101" s="43">
        <v>40</v>
      </c>
      <c r="AW101" s="43">
        <f t="shared" si="17"/>
        <v>2810431.3680400001</v>
      </c>
      <c r="AX101" s="43">
        <f t="shared" si="18"/>
        <v>30914745.048440002</v>
      </c>
      <c r="AY101" s="58" t="s">
        <v>2319</v>
      </c>
      <c r="AZ101" s="58">
        <v>3929585</v>
      </c>
      <c r="BA101" s="58"/>
      <c r="BB101" s="58"/>
      <c r="BC101" s="48"/>
      <c r="BD101" s="48"/>
      <c r="BE101" s="48"/>
      <c r="BF101" s="48"/>
      <c r="BG101" s="48"/>
      <c r="BH101" s="48"/>
      <c r="BI101" s="48"/>
      <c r="BJ101" s="48"/>
      <c r="BK101" s="48"/>
      <c r="BL101" s="48"/>
      <c r="BM101" s="48"/>
      <c r="BN101" s="48"/>
      <c r="BO101" s="48"/>
      <c r="BP101" s="48"/>
      <c r="BQ101" s="48"/>
      <c r="BR101" s="48"/>
      <c r="BS101" s="48"/>
    </row>
    <row r="102" spans="1:71" ht="12.75" hidden="1" customHeight="1">
      <c r="A102" s="85">
        <v>98</v>
      </c>
      <c r="B102" s="86">
        <v>5095</v>
      </c>
      <c r="C102" s="29">
        <v>68</v>
      </c>
      <c r="D102" s="122">
        <v>6765913</v>
      </c>
      <c r="E102" s="18" t="str">
        <f>IF(D102&gt;0,VLOOKUP(D102,'PLANTA PERNO'!A:D,4,0)&amp;" "&amp;VLOOKUP(D102,'PLANTA PERNO'!A:D,2,0)&amp;" "&amp;VLOOKUP(D102,'PLANTA PERNO'!A:D,3,0),IF(O102="","VACANTE DEFINITIVA","VACANTE TEMPORAL"))</f>
        <v>CARLOS ANDRES NIÃ‘O SOCHA</v>
      </c>
      <c r="F102" s="20" t="s">
        <v>49</v>
      </c>
      <c r="G102" s="20" t="str">
        <f t="shared" si="0"/>
        <v>EN ENCARGO</v>
      </c>
      <c r="H102" s="33">
        <f t="shared" si="35"/>
        <v>44249</v>
      </c>
      <c r="I102" s="33">
        <f t="shared" si="36"/>
        <v>44249</v>
      </c>
      <c r="J102" s="31" t="str">
        <f t="shared" si="37"/>
        <v>HOMBRE</v>
      </c>
      <c r="K102" s="21">
        <f t="shared" ca="1" si="38"/>
        <v>67</v>
      </c>
      <c r="L102" s="21">
        <f t="shared" ca="1" si="5"/>
        <v>5</v>
      </c>
      <c r="M102" s="21" t="str">
        <f t="shared" si="6"/>
        <v>ENCARGO</v>
      </c>
      <c r="N102" s="21" t="str">
        <f t="shared" si="20"/>
        <v>EN ENCARGO</v>
      </c>
      <c r="O102" s="21">
        <v>79450267</v>
      </c>
      <c r="P102" s="18" t="str">
        <f>IF(O102="","VACANTE DEFINITIVA",(VLOOKUP(O102,'PLANTA PERNO'!A:D,4,0)&amp;" "&amp;VLOOKUP(O102,'PLANTA PERNO'!A:D,2,0)&amp;" "&amp;VLOOKUP(O102,'PLANTA PERNO'!A:D,3,0)))</f>
        <v>HENRY ALBERTO GONZALEZ MOLINA</v>
      </c>
      <c r="Q102" s="21" t="s">
        <v>1602</v>
      </c>
      <c r="R102" s="21">
        <v>3</v>
      </c>
      <c r="S102" s="21"/>
      <c r="T102" s="21"/>
      <c r="U102" s="21"/>
      <c r="V102" s="21"/>
      <c r="W102" s="38"/>
      <c r="X102" s="123">
        <v>203198</v>
      </c>
      <c r="Y102" s="21" t="str">
        <f t="shared" si="8"/>
        <v>OCUPADO</v>
      </c>
      <c r="Z102" s="23" t="s">
        <v>50</v>
      </c>
      <c r="AA102" s="24" t="s">
        <v>51</v>
      </c>
      <c r="AB102" s="25">
        <v>222</v>
      </c>
      <c r="AC102" s="27">
        <v>20</v>
      </c>
      <c r="AD102" s="28" t="str">
        <f t="shared" si="9"/>
        <v>222-20</v>
      </c>
      <c r="AE102" s="24" t="s">
        <v>153</v>
      </c>
      <c r="AF102" s="24" t="s">
        <v>153</v>
      </c>
      <c r="AG102" s="24" t="s">
        <v>2284</v>
      </c>
      <c r="AH102" s="24" t="s">
        <v>2285</v>
      </c>
      <c r="AI102" s="24" t="s">
        <v>2286</v>
      </c>
      <c r="AJ102" s="24" t="s">
        <v>2287</v>
      </c>
      <c r="AK102" s="93">
        <v>6405933.7800000003</v>
      </c>
      <c r="AL102" s="93">
        <v>0</v>
      </c>
      <c r="AM102" s="93">
        <f t="shared" si="39"/>
        <v>192178</v>
      </c>
      <c r="AN102" s="93">
        <f>IFERROR(INT(($AK102*(VLOOKUP($D102,'PORCENTAJES FACTORES'!B:N,12,0))/100)),0)</f>
        <v>2562373</v>
      </c>
      <c r="AO102" s="93">
        <f t="shared" si="40"/>
        <v>0</v>
      </c>
      <c r="AP102" s="93">
        <f t="shared" si="13"/>
        <v>0</v>
      </c>
      <c r="AQ102" s="93">
        <f t="shared" si="14"/>
        <v>0</v>
      </c>
      <c r="AR102" s="95">
        <f t="shared" si="34"/>
        <v>9160484.7800000012</v>
      </c>
      <c r="AS102" s="96"/>
      <c r="AT102" s="97"/>
      <c r="AU102" s="43">
        <f t="shared" si="16"/>
        <v>6854349.1446000002</v>
      </c>
      <c r="AV102" s="43">
        <v>40</v>
      </c>
      <c r="AW102" s="43">
        <f t="shared" si="17"/>
        <v>2741739.6578400005</v>
      </c>
      <c r="AX102" s="43">
        <f t="shared" si="18"/>
        <v>30159136.236240007</v>
      </c>
      <c r="AY102" s="58" t="s">
        <v>2332</v>
      </c>
      <c r="AZ102" s="58">
        <v>4034028</v>
      </c>
      <c r="BA102" s="58"/>
      <c r="BB102" s="58"/>
      <c r="BC102" s="48"/>
      <c r="BD102" s="48"/>
      <c r="BE102" s="48"/>
      <c r="BF102" s="48"/>
      <c r="BG102" s="48"/>
      <c r="BH102" s="48"/>
      <c r="BI102" s="48"/>
      <c r="BJ102" s="48"/>
      <c r="BK102" s="48"/>
      <c r="BL102" s="48"/>
      <c r="BM102" s="48"/>
      <c r="BN102" s="48"/>
      <c r="BO102" s="48"/>
      <c r="BP102" s="48"/>
      <c r="BQ102" s="48"/>
      <c r="BR102" s="48"/>
      <c r="BS102" s="48"/>
    </row>
    <row r="103" spans="1:71" ht="12.75" hidden="1" customHeight="1">
      <c r="A103" s="85">
        <v>99</v>
      </c>
      <c r="B103" s="86">
        <v>5096</v>
      </c>
      <c r="C103" s="29">
        <v>67</v>
      </c>
      <c r="D103" s="122">
        <v>8526853</v>
      </c>
      <c r="E103" s="18" t="str">
        <f>IF(D103&gt;0,VLOOKUP(D103,'PLANTA PERNO'!A:D,4,0)&amp;" "&amp;VLOOKUP(D103,'PLANTA PERNO'!A:D,2,0)&amp;" "&amp;VLOOKUP(D103,'PLANTA PERNO'!A:D,3,0),IF(O103="","VACANTE DEFINITIVA","VACANTE TEMPORAL"))</f>
        <v>EURANIO JOSE MANOTAS MALDONADO</v>
      </c>
      <c r="F103" s="20" t="s">
        <v>49</v>
      </c>
      <c r="G103" s="20" t="str">
        <f t="shared" si="0"/>
        <v>EN ENCARGO</v>
      </c>
      <c r="H103" s="33">
        <f t="shared" si="35"/>
        <v>45048</v>
      </c>
      <c r="I103" s="33">
        <f t="shared" si="36"/>
        <v>45048</v>
      </c>
      <c r="J103" s="31" t="str">
        <f t="shared" si="37"/>
        <v>HOMBRE</v>
      </c>
      <c r="K103" s="21">
        <f t="shared" ca="1" si="38"/>
        <v>43</v>
      </c>
      <c r="L103" s="21">
        <f t="shared" ca="1" si="5"/>
        <v>3</v>
      </c>
      <c r="M103" s="21" t="str">
        <f t="shared" si="6"/>
        <v>ENCARGO</v>
      </c>
      <c r="N103" s="21" t="str">
        <f t="shared" si="20"/>
        <v>EN ENCARGO</v>
      </c>
      <c r="O103" s="21">
        <v>1019058729</v>
      </c>
      <c r="P103" s="18" t="str">
        <f>IF(O103="","VACANTE DEFINITIVA",(VLOOKUP(O103,'PLANTA PERNO'!A:D,4,0)&amp;" "&amp;VLOOKUP(O103,'PLANTA PERNO'!A:D,2,0)&amp;" "&amp;VLOOKUP(O103,'PLANTA PERNO'!A:D,3,0)))</f>
        <v>DIEGO ALEJANDRO SOLANO FERNANDEZ</v>
      </c>
      <c r="Q103" s="21" t="s">
        <v>1823</v>
      </c>
      <c r="R103" s="21">
        <v>3</v>
      </c>
      <c r="S103" s="21"/>
      <c r="T103" s="21"/>
      <c r="U103" s="21"/>
      <c r="V103" s="21"/>
      <c r="W103" s="38">
        <v>66697</v>
      </c>
      <c r="X103" s="128"/>
      <c r="Y103" s="21" t="str">
        <f t="shared" si="8"/>
        <v>OCUPADO</v>
      </c>
      <c r="Z103" s="23" t="s">
        <v>50</v>
      </c>
      <c r="AA103" s="24" t="s">
        <v>51</v>
      </c>
      <c r="AB103" s="25">
        <v>222</v>
      </c>
      <c r="AC103" s="27">
        <v>20</v>
      </c>
      <c r="AD103" s="28" t="str">
        <f t="shared" si="9"/>
        <v>222-20</v>
      </c>
      <c r="AE103" s="24" t="s">
        <v>153</v>
      </c>
      <c r="AF103" s="24" t="s">
        <v>153</v>
      </c>
      <c r="AG103" s="24" t="s">
        <v>2289</v>
      </c>
      <c r="AH103" s="24" t="s">
        <v>2290</v>
      </c>
      <c r="AI103" s="24" t="s">
        <v>2291</v>
      </c>
      <c r="AJ103" s="24" t="s">
        <v>2292</v>
      </c>
      <c r="AK103" s="93">
        <v>6405933.7800000003</v>
      </c>
      <c r="AL103" s="93">
        <v>0</v>
      </c>
      <c r="AM103" s="93">
        <f t="shared" si="39"/>
        <v>0</v>
      </c>
      <c r="AN103" s="93">
        <f>IFERROR(INT(($AK103*(VLOOKUP($D103,'PORCENTAJES FACTORES'!B:N,12,0))/100)),0)</f>
        <v>2562373</v>
      </c>
      <c r="AO103" s="93">
        <f t="shared" si="40"/>
        <v>0</v>
      </c>
      <c r="AP103" s="93">
        <f t="shared" si="13"/>
        <v>0</v>
      </c>
      <c r="AQ103" s="93">
        <f t="shared" si="14"/>
        <v>0</v>
      </c>
      <c r="AR103" s="95">
        <f t="shared" si="34"/>
        <v>8968306.7800000012</v>
      </c>
      <c r="AS103" s="96"/>
      <c r="AT103" s="97"/>
      <c r="AU103" s="43">
        <f t="shared" si="16"/>
        <v>6854349.1446000002</v>
      </c>
      <c r="AV103" s="43">
        <v>40</v>
      </c>
      <c r="AW103" s="43">
        <f t="shared" si="17"/>
        <v>2741739.6578400005</v>
      </c>
      <c r="AX103" s="43">
        <f t="shared" si="18"/>
        <v>30159136.236240007</v>
      </c>
      <c r="AY103" s="58" t="s">
        <v>2337</v>
      </c>
      <c r="AZ103" s="58">
        <v>4034273</v>
      </c>
      <c r="BA103" s="58"/>
      <c r="BB103" s="58"/>
      <c r="BC103" s="48"/>
      <c r="BD103" s="48"/>
      <c r="BE103" s="48"/>
      <c r="BF103" s="48"/>
      <c r="BG103" s="48"/>
      <c r="BH103" s="48"/>
      <c r="BI103" s="48"/>
      <c r="BJ103" s="48"/>
      <c r="BK103" s="48"/>
      <c r="BL103" s="48"/>
      <c r="BM103" s="48"/>
      <c r="BN103" s="48"/>
      <c r="BO103" s="48"/>
      <c r="BP103" s="48"/>
      <c r="BQ103" s="48"/>
      <c r="BR103" s="48"/>
      <c r="BS103" s="48"/>
    </row>
    <row r="104" spans="1:71" ht="12.75" hidden="1" customHeight="1">
      <c r="A104" s="85">
        <v>100</v>
      </c>
      <c r="B104" s="86">
        <v>5097</v>
      </c>
      <c r="C104" s="29">
        <v>69</v>
      </c>
      <c r="D104" s="122">
        <v>53001416</v>
      </c>
      <c r="E104" s="18" t="str">
        <f>IF(D104&gt;0,VLOOKUP(D104,'PLANTA PERNO'!A:D,4,0)&amp;" "&amp;VLOOKUP(D104,'PLANTA PERNO'!A:D,2,0)&amp;" "&amp;VLOOKUP(D104,'PLANTA PERNO'!A:D,3,0),IF(O104="","VACANTE DEFINITIVA","VACANTE TEMPORAL"))</f>
        <v>DIANA MARIA MORENO VARGAS</v>
      </c>
      <c r="F104" s="20" t="s">
        <v>49</v>
      </c>
      <c r="G104" s="20" t="str">
        <f t="shared" si="0"/>
        <v>EN ENCARGO</v>
      </c>
      <c r="H104" s="33">
        <f t="shared" si="35"/>
        <v>44643</v>
      </c>
      <c r="I104" s="33">
        <f t="shared" si="36"/>
        <v>44643</v>
      </c>
      <c r="J104" s="31" t="str">
        <f t="shared" si="37"/>
        <v>MUJER</v>
      </c>
      <c r="K104" s="21">
        <f t="shared" ca="1" si="38"/>
        <v>41</v>
      </c>
      <c r="L104" s="21">
        <f t="shared" ca="1" si="5"/>
        <v>4</v>
      </c>
      <c r="M104" s="21" t="str">
        <f t="shared" si="6"/>
        <v>ENCARGO</v>
      </c>
      <c r="N104" s="21" t="str">
        <f t="shared" si="20"/>
        <v>VACANTE DEFINITIVA</v>
      </c>
      <c r="O104" s="21"/>
      <c r="P104" s="18" t="str">
        <f>IF(O104="","VACANTE DEFINITIVA",(VLOOKUP(O104,'PLANTA PERNO'!A:D,4,0)&amp;" "&amp;VLOOKUP(O104,'PLANTA PERNO'!A:D,2,0)&amp;" "&amp;VLOOKUP(O104,'PLANTA PERNO'!A:D,3,0)))</f>
        <v>VACANTE DEFINITIVA</v>
      </c>
      <c r="Q104" s="21" t="s">
        <v>963</v>
      </c>
      <c r="R104" s="21">
        <v>1</v>
      </c>
      <c r="S104" s="21"/>
      <c r="T104" s="21"/>
      <c r="U104" s="21"/>
      <c r="V104" s="21"/>
      <c r="W104" s="38">
        <v>66695</v>
      </c>
      <c r="X104" s="128"/>
      <c r="Y104" s="21" t="str">
        <f t="shared" si="8"/>
        <v>OCUPADO</v>
      </c>
      <c r="Z104" s="23" t="s">
        <v>50</v>
      </c>
      <c r="AA104" s="24" t="s">
        <v>51</v>
      </c>
      <c r="AB104" s="25">
        <v>222</v>
      </c>
      <c r="AC104" s="27">
        <v>19</v>
      </c>
      <c r="AD104" s="28" t="str">
        <f t="shared" si="9"/>
        <v>222-19</v>
      </c>
      <c r="AE104" s="24" t="s">
        <v>68</v>
      </c>
      <c r="AF104" s="63" t="s">
        <v>68</v>
      </c>
      <c r="AG104" s="24" t="s">
        <v>2294</v>
      </c>
      <c r="AH104" s="24" t="s">
        <v>2295</v>
      </c>
      <c r="AI104" s="24" t="s">
        <v>2296</v>
      </c>
      <c r="AJ104" s="24" t="s">
        <v>2297</v>
      </c>
      <c r="AK104" s="93">
        <v>6258911.5</v>
      </c>
      <c r="AL104" s="93">
        <v>0</v>
      </c>
      <c r="AM104" s="93">
        <f t="shared" si="39"/>
        <v>0</v>
      </c>
      <c r="AN104" s="93">
        <f>IFERROR(INT(($AK104*(VLOOKUP($D104,'PORCENTAJES FACTORES'!B:N,12,0))/100)),0)</f>
        <v>2503564</v>
      </c>
      <c r="AO104" s="93">
        <f t="shared" si="40"/>
        <v>0</v>
      </c>
      <c r="AP104" s="93">
        <f t="shared" si="13"/>
        <v>0</v>
      </c>
      <c r="AQ104" s="93">
        <f t="shared" si="14"/>
        <v>0</v>
      </c>
      <c r="AR104" s="95">
        <f t="shared" si="34"/>
        <v>8762475.5</v>
      </c>
      <c r="AS104" s="96"/>
      <c r="AT104" s="97"/>
      <c r="AU104" s="43">
        <f t="shared" si="16"/>
        <v>6697035.3050000006</v>
      </c>
      <c r="AV104" s="43">
        <v>40</v>
      </c>
      <c r="AW104" s="43">
        <f t="shared" si="17"/>
        <v>2678814.122</v>
      </c>
      <c r="AX104" s="43">
        <f t="shared" si="18"/>
        <v>29466955.342</v>
      </c>
      <c r="AY104" s="58"/>
      <c r="AZ104" s="58"/>
      <c r="BA104" s="58"/>
      <c r="BB104" s="58"/>
      <c r="BC104" s="48"/>
      <c r="BD104" s="48"/>
      <c r="BE104" s="48"/>
      <c r="BF104" s="48"/>
      <c r="BG104" s="48"/>
      <c r="BH104" s="48"/>
      <c r="BI104" s="48"/>
      <c r="BJ104" s="48"/>
      <c r="BK104" s="48"/>
      <c r="BL104" s="48"/>
      <c r="BM104" s="48"/>
      <c r="BN104" s="48"/>
      <c r="BO104" s="48"/>
      <c r="BP104" s="48"/>
      <c r="BQ104" s="48"/>
      <c r="BR104" s="48"/>
      <c r="BS104" s="48"/>
    </row>
    <row r="105" spans="1:71" ht="12.75" hidden="1" customHeight="1">
      <c r="A105" s="85">
        <v>101</v>
      </c>
      <c r="B105" s="86">
        <v>5098</v>
      </c>
      <c r="C105" s="29">
        <v>70</v>
      </c>
      <c r="D105" s="122">
        <v>1018435583</v>
      </c>
      <c r="E105" s="18" t="str">
        <f>IF(D105&gt;0,VLOOKUP(D105,'PLANTA PERNO'!A:D,4,0)&amp;" "&amp;VLOOKUP(D105,'PLANTA PERNO'!A:D,2,0)&amp;" "&amp;VLOOKUP(D105,'PLANTA PERNO'!A:D,3,0),IF(O105="","VACANTE DEFINITIVA","VACANTE TEMPORAL"))</f>
        <v>SONIA TERESA ROA SILVA</v>
      </c>
      <c r="F105" s="20" t="s">
        <v>49</v>
      </c>
      <c r="G105" s="20" t="str">
        <f t="shared" si="0"/>
        <v>EN ENCARGO</v>
      </c>
      <c r="H105" s="33">
        <f t="shared" si="35"/>
        <v>44195</v>
      </c>
      <c r="I105" s="33">
        <f t="shared" si="36"/>
        <v>44195</v>
      </c>
      <c r="J105" s="31" t="str">
        <f t="shared" si="37"/>
        <v>MUJER</v>
      </c>
      <c r="K105" s="21">
        <f t="shared" ca="1" si="38"/>
        <v>36</v>
      </c>
      <c r="L105" s="21">
        <f t="shared" ca="1" si="5"/>
        <v>5</v>
      </c>
      <c r="M105" s="21" t="str">
        <f t="shared" si="6"/>
        <v>ENCARGO</v>
      </c>
      <c r="N105" s="21" t="str">
        <f t="shared" si="20"/>
        <v>VACANTE DEFINITIVA</v>
      </c>
      <c r="O105" s="21" t="s">
        <v>25</v>
      </c>
      <c r="P105" s="18" t="str">
        <f>IF(O105="","VACANTE DEFINITIVA",(VLOOKUP(O105,'PLANTA PERNO'!A:D,4,0)&amp;" "&amp;VLOOKUP(O105,'PLANTA PERNO'!A:D,2,0)&amp;" "&amp;VLOOKUP(O105,'PLANTA PERNO'!A:D,3,0)))</f>
        <v>VACANTE DEFINITIVA</v>
      </c>
      <c r="Q105" s="21" t="s">
        <v>2342</v>
      </c>
      <c r="R105" s="21">
        <v>1</v>
      </c>
      <c r="S105" s="21"/>
      <c r="T105" s="21"/>
      <c r="U105" s="21"/>
      <c r="V105" s="21"/>
      <c r="W105" s="38">
        <v>66695</v>
      </c>
      <c r="X105" s="128">
        <v>203196</v>
      </c>
      <c r="Y105" s="21" t="str">
        <f t="shared" si="8"/>
        <v>OCUPADO</v>
      </c>
      <c r="Z105" s="23" t="s">
        <v>50</v>
      </c>
      <c r="AA105" s="24" t="s">
        <v>51</v>
      </c>
      <c r="AB105" s="25">
        <v>222</v>
      </c>
      <c r="AC105" s="27">
        <v>19</v>
      </c>
      <c r="AD105" s="28" t="str">
        <f t="shared" si="9"/>
        <v>222-19</v>
      </c>
      <c r="AE105" s="24" t="s">
        <v>68</v>
      </c>
      <c r="AF105" s="63" t="s">
        <v>68</v>
      </c>
      <c r="AG105" s="24" t="s">
        <v>2294</v>
      </c>
      <c r="AH105" s="24" t="s">
        <v>2295</v>
      </c>
      <c r="AI105" s="24" t="s">
        <v>2296</v>
      </c>
      <c r="AJ105" s="24" t="s">
        <v>2297</v>
      </c>
      <c r="AK105" s="93">
        <v>6258911.5</v>
      </c>
      <c r="AL105" s="93">
        <v>0</v>
      </c>
      <c r="AM105" s="93">
        <f t="shared" si="39"/>
        <v>187767</v>
      </c>
      <c r="AN105" s="93">
        <f>IFERROR(INT(($AK105*(VLOOKUP($D105,'PORCENTAJES FACTORES'!B:N,12,0))/100)),0)</f>
        <v>2503564</v>
      </c>
      <c r="AO105" s="93">
        <f t="shared" si="40"/>
        <v>0</v>
      </c>
      <c r="AP105" s="93">
        <f t="shared" si="13"/>
        <v>0</v>
      </c>
      <c r="AQ105" s="93">
        <f t="shared" si="14"/>
        <v>0</v>
      </c>
      <c r="AR105" s="95">
        <f t="shared" si="34"/>
        <v>8950242.5</v>
      </c>
      <c r="AS105" s="96"/>
      <c r="AT105" s="97"/>
      <c r="AU105" s="43">
        <f t="shared" si="16"/>
        <v>6697035.3050000006</v>
      </c>
      <c r="AV105" s="43">
        <v>40</v>
      </c>
      <c r="AW105" s="43">
        <f t="shared" si="17"/>
        <v>2678814.122</v>
      </c>
      <c r="AX105" s="43">
        <f t="shared" si="18"/>
        <v>29466955.342</v>
      </c>
      <c r="AY105" s="58"/>
      <c r="AZ105" s="58"/>
      <c r="BA105" s="58"/>
      <c r="BB105" s="58"/>
      <c r="BC105" s="48"/>
      <c r="BD105" s="48"/>
      <c r="BE105" s="48"/>
      <c r="BF105" s="48"/>
      <c r="BG105" s="48"/>
      <c r="BH105" s="48"/>
      <c r="BI105" s="48"/>
      <c r="BJ105" s="48"/>
      <c r="BK105" s="48"/>
      <c r="BL105" s="48"/>
      <c r="BM105" s="48"/>
      <c r="BN105" s="48"/>
      <c r="BO105" s="48"/>
      <c r="BP105" s="48"/>
      <c r="BQ105" s="48"/>
      <c r="BR105" s="48"/>
      <c r="BS105" s="48"/>
    </row>
    <row r="106" spans="1:71" ht="12.75" hidden="1" customHeight="1">
      <c r="A106" s="85">
        <v>102</v>
      </c>
      <c r="B106" s="86">
        <v>5100</v>
      </c>
      <c r="C106" s="29">
        <v>71</v>
      </c>
      <c r="D106" s="122">
        <v>52258032</v>
      </c>
      <c r="E106" s="18" t="str">
        <f>IF(D106&gt;0,VLOOKUP(D106,'PLANTA PERNO'!A:D,4,0)&amp;" "&amp;VLOOKUP(D106,'PLANTA PERNO'!A:D,2,0)&amp;" "&amp;VLOOKUP(D106,'PLANTA PERNO'!A:D,3,0),IF(O106="","VACANTE DEFINITIVA","VACANTE TEMPORAL"))</f>
        <v>ANGELICA DIAZ RINCON</v>
      </c>
      <c r="F106" s="20" t="s">
        <v>49</v>
      </c>
      <c r="G106" s="20" t="str">
        <f t="shared" si="0"/>
        <v>CARRERA ADMINISTRATIVA</v>
      </c>
      <c r="H106" s="33">
        <f t="shared" si="35"/>
        <v>44298</v>
      </c>
      <c r="I106" s="33">
        <f t="shared" si="36"/>
        <v>44298</v>
      </c>
      <c r="J106" s="31" t="str">
        <f t="shared" si="37"/>
        <v>MUJER</v>
      </c>
      <c r="K106" s="21">
        <f t="shared" ca="1" si="38"/>
        <v>50</v>
      </c>
      <c r="L106" s="21">
        <f t="shared" ca="1" si="5"/>
        <v>5</v>
      </c>
      <c r="M106" s="21" t="str">
        <f t="shared" si="6"/>
        <v/>
      </c>
      <c r="N106" s="21" t="str">
        <f t="shared" si="20"/>
        <v>EN PROPIEDAD</v>
      </c>
      <c r="O106" s="21">
        <v>52258032</v>
      </c>
      <c r="P106" s="18" t="str">
        <f>IF(O106="","VACANTE DEFINITIVA",(VLOOKUP(O106,'PLANTA PERNO'!A:D,4,0)&amp;" "&amp;VLOOKUP(O106,'PLANTA PERNO'!A:D,2,0)&amp;" "&amp;VLOOKUP(O106,'PLANTA PERNO'!A:D,3,0)))</f>
        <v>ANGELICA DIAZ RINCON</v>
      </c>
      <c r="Q106" s="21"/>
      <c r="R106" s="21"/>
      <c r="S106" s="21"/>
      <c r="T106" s="21"/>
      <c r="U106" s="21"/>
      <c r="V106" s="21"/>
      <c r="W106" s="38">
        <v>66696</v>
      </c>
      <c r="X106" s="128"/>
      <c r="Y106" s="21" t="str">
        <f t="shared" si="8"/>
        <v>OCUPADO</v>
      </c>
      <c r="Z106" s="23" t="s">
        <v>50</v>
      </c>
      <c r="AA106" s="24" t="s">
        <v>51</v>
      </c>
      <c r="AB106" s="25">
        <v>222</v>
      </c>
      <c r="AC106" s="27">
        <v>19</v>
      </c>
      <c r="AD106" s="28" t="str">
        <f t="shared" si="9"/>
        <v>222-19</v>
      </c>
      <c r="AE106" s="24" t="s">
        <v>213</v>
      </c>
      <c r="AF106" s="63" t="s">
        <v>213</v>
      </c>
      <c r="AG106" s="24" t="s">
        <v>2300</v>
      </c>
      <c r="AH106" s="24" t="s">
        <v>2301</v>
      </c>
      <c r="AI106" s="24" t="s">
        <v>2208</v>
      </c>
      <c r="AJ106" s="24" t="s">
        <v>2302</v>
      </c>
      <c r="AK106" s="93">
        <v>6258911.5</v>
      </c>
      <c r="AL106" s="93">
        <v>0</v>
      </c>
      <c r="AM106" s="93">
        <f t="shared" si="39"/>
        <v>187767</v>
      </c>
      <c r="AN106" s="93">
        <f>IFERROR(INT(($AK106*(VLOOKUP($D106,'PORCENTAJES FACTORES'!B:N,12,0))/100)),0)</f>
        <v>2503564</v>
      </c>
      <c r="AO106" s="93">
        <f t="shared" si="40"/>
        <v>0</v>
      </c>
      <c r="AP106" s="93">
        <f t="shared" si="13"/>
        <v>0</v>
      </c>
      <c r="AQ106" s="93">
        <f t="shared" si="14"/>
        <v>0</v>
      </c>
      <c r="AR106" s="95">
        <f t="shared" si="34"/>
        <v>8950242.5</v>
      </c>
      <c r="AS106" s="96"/>
      <c r="AT106" s="97"/>
      <c r="AU106" s="43">
        <f t="shared" si="16"/>
        <v>6697035.3050000006</v>
      </c>
      <c r="AV106" s="43">
        <v>40</v>
      </c>
      <c r="AW106" s="43">
        <f t="shared" si="17"/>
        <v>2678814.122</v>
      </c>
      <c r="AX106" s="43">
        <f t="shared" si="18"/>
        <v>29466955.342</v>
      </c>
      <c r="AY106" s="58"/>
      <c r="AZ106" s="58"/>
      <c r="BA106" s="58"/>
      <c r="BB106" s="58"/>
      <c r="BC106" s="48"/>
      <c r="BD106" s="48"/>
      <c r="BE106" s="48"/>
      <c r="BF106" s="48"/>
      <c r="BG106" s="48"/>
      <c r="BH106" s="48"/>
      <c r="BI106" s="48"/>
      <c r="BJ106" s="48"/>
      <c r="BK106" s="48"/>
      <c r="BL106" s="48"/>
      <c r="BM106" s="48"/>
      <c r="BN106" s="48"/>
      <c r="BO106" s="48"/>
      <c r="BP106" s="48"/>
      <c r="BQ106" s="48"/>
      <c r="BR106" s="48"/>
      <c r="BS106" s="48"/>
    </row>
    <row r="107" spans="1:71" ht="12.75" hidden="1" customHeight="1">
      <c r="A107" s="85">
        <v>103</v>
      </c>
      <c r="B107" s="86">
        <v>5099</v>
      </c>
      <c r="C107" s="29">
        <v>72</v>
      </c>
      <c r="D107" s="122">
        <v>52646082</v>
      </c>
      <c r="E107" s="18" t="str">
        <f>IF(D107&gt;0,VLOOKUP(D107,'PLANTA PERNO'!A:D,4,0)&amp;" "&amp;VLOOKUP(D107,'PLANTA PERNO'!A:D,2,0)&amp;" "&amp;VLOOKUP(D107,'PLANTA PERNO'!A:D,3,0),IF(O107="","VACANTE DEFINITIVA","VACANTE TEMPORAL"))</f>
        <v>SANDRA NICOLASA ORGANISTA BUILES</v>
      </c>
      <c r="F107" s="20" t="s">
        <v>49</v>
      </c>
      <c r="G107" s="20" t="str">
        <f t="shared" si="0"/>
        <v>EN ENCARGO</v>
      </c>
      <c r="H107" s="33">
        <f t="shared" si="35"/>
        <v>44145</v>
      </c>
      <c r="I107" s="33">
        <f t="shared" si="36"/>
        <v>44145</v>
      </c>
      <c r="J107" s="31" t="str">
        <f t="shared" si="37"/>
        <v>MUJER</v>
      </c>
      <c r="K107" s="21">
        <f t="shared" ca="1" si="38"/>
        <v>52</v>
      </c>
      <c r="L107" s="21">
        <f t="shared" ca="1" si="5"/>
        <v>5</v>
      </c>
      <c r="M107" s="21" t="str">
        <f t="shared" si="6"/>
        <v>ENCARGO</v>
      </c>
      <c r="N107" s="21" t="str">
        <f t="shared" si="20"/>
        <v>VACANTE DEFINITIVA</v>
      </c>
      <c r="O107" s="21" t="s">
        <v>25</v>
      </c>
      <c r="P107" s="18" t="str">
        <f>IF(O107="","VACANTE DEFINITIVA",(VLOOKUP(O107,'PLANTA PERNO'!A:D,4,0)&amp;" "&amp;VLOOKUP(O107,'PLANTA PERNO'!A:D,2,0)&amp;" "&amp;VLOOKUP(O107,'PLANTA PERNO'!A:D,3,0)))</f>
        <v>VACANTE DEFINITIVA</v>
      </c>
      <c r="Q107" s="21" t="s">
        <v>2349</v>
      </c>
      <c r="R107" s="21">
        <v>1</v>
      </c>
      <c r="S107" s="21"/>
      <c r="T107" s="21"/>
      <c r="U107" s="21"/>
      <c r="V107" s="21"/>
      <c r="W107" s="38"/>
      <c r="X107" s="128">
        <v>220280</v>
      </c>
      <c r="Y107" s="21" t="str">
        <f t="shared" si="8"/>
        <v>OCUPADO</v>
      </c>
      <c r="Z107" s="23" t="s">
        <v>50</v>
      </c>
      <c r="AA107" s="24" t="s">
        <v>51</v>
      </c>
      <c r="AB107" s="25">
        <v>222</v>
      </c>
      <c r="AC107" s="27">
        <v>19</v>
      </c>
      <c r="AD107" s="28" t="str">
        <f t="shared" si="9"/>
        <v>222-19</v>
      </c>
      <c r="AE107" s="24" t="s">
        <v>150</v>
      </c>
      <c r="AF107" s="24" t="s">
        <v>150</v>
      </c>
      <c r="AG107" s="24" t="s">
        <v>2305</v>
      </c>
      <c r="AH107" s="24" t="s">
        <v>2306</v>
      </c>
      <c r="AI107" s="24" t="s">
        <v>2307</v>
      </c>
      <c r="AJ107" s="24" t="s">
        <v>2308</v>
      </c>
      <c r="AK107" s="93">
        <v>6258911.5</v>
      </c>
      <c r="AL107" s="93">
        <v>0</v>
      </c>
      <c r="AM107" s="93">
        <f t="shared" si="39"/>
        <v>187767</v>
      </c>
      <c r="AN107" s="93">
        <f>IFERROR(INT(($AK107*(VLOOKUP($D107,'PORCENTAJES FACTORES'!B:N,12,0))/100)),0)</f>
        <v>2503564</v>
      </c>
      <c r="AO107" s="93">
        <f t="shared" si="40"/>
        <v>0</v>
      </c>
      <c r="AP107" s="93">
        <f t="shared" si="13"/>
        <v>0</v>
      </c>
      <c r="AQ107" s="93">
        <f t="shared" si="14"/>
        <v>0</v>
      </c>
      <c r="AR107" s="95">
        <f t="shared" si="34"/>
        <v>8950242.5</v>
      </c>
      <c r="AS107" s="96"/>
      <c r="AT107" s="97"/>
      <c r="AU107" s="43">
        <f t="shared" si="16"/>
        <v>6697035.3050000006</v>
      </c>
      <c r="AV107" s="43">
        <v>40</v>
      </c>
      <c r="AW107" s="43">
        <f t="shared" si="17"/>
        <v>2678814.122</v>
      </c>
      <c r="AX107" s="43">
        <f t="shared" si="18"/>
        <v>29466955.342</v>
      </c>
      <c r="AY107" s="58"/>
      <c r="AZ107" s="58"/>
      <c r="BA107" s="58"/>
      <c r="BB107" s="58"/>
      <c r="BC107" s="48"/>
      <c r="BD107" s="48"/>
      <c r="BE107" s="48"/>
      <c r="BF107" s="48"/>
      <c r="BG107" s="48"/>
      <c r="BH107" s="48"/>
      <c r="BI107" s="48"/>
      <c r="BJ107" s="48"/>
      <c r="BK107" s="48"/>
      <c r="BL107" s="48"/>
      <c r="BM107" s="48"/>
      <c r="BN107" s="48"/>
      <c r="BO107" s="48"/>
      <c r="BP107" s="48"/>
      <c r="BQ107" s="48"/>
      <c r="BR107" s="48"/>
      <c r="BS107" s="48"/>
    </row>
    <row r="108" spans="1:71" ht="12.75" hidden="1" customHeight="1">
      <c r="A108" s="85">
        <v>104</v>
      </c>
      <c r="B108" s="86">
        <v>5101</v>
      </c>
      <c r="C108" s="29">
        <v>73</v>
      </c>
      <c r="D108" s="122">
        <v>52868519</v>
      </c>
      <c r="E108" s="18" t="str">
        <f>IF(D108&gt;0,VLOOKUP(D108,'PLANTA PERNO'!A:D,4,0)&amp;" "&amp;VLOOKUP(D108,'PLANTA PERNO'!A:D,2,0)&amp;" "&amp;VLOOKUP(D108,'PLANTA PERNO'!A:D,3,0),IF(O108="","VACANTE DEFINITIVA","VACANTE TEMPORAL"))</f>
        <v>LUZ ESTELLA MORENO PEREZ</v>
      </c>
      <c r="F108" s="20" t="s">
        <v>49</v>
      </c>
      <c r="G108" s="20" t="str">
        <f t="shared" si="0"/>
        <v>CARRERA ADMINISTRATIVA</v>
      </c>
      <c r="H108" s="33">
        <f t="shared" si="35"/>
        <v>44242</v>
      </c>
      <c r="I108" s="33">
        <f t="shared" si="36"/>
        <v>42339</v>
      </c>
      <c r="J108" s="31" t="str">
        <f t="shared" si="37"/>
        <v>MUJER</v>
      </c>
      <c r="K108" s="21">
        <f t="shared" ca="1" si="38"/>
        <v>44</v>
      </c>
      <c r="L108" s="21">
        <f t="shared" ca="1" si="5"/>
        <v>5</v>
      </c>
      <c r="M108" s="21" t="str">
        <f t="shared" si="6"/>
        <v/>
      </c>
      <c r="N108" s="21" t="str">
        <f t="shared" si="20"/>
        <v>EN PROPIEDAD</v>
      </c>
      <c r="O108" s="21">
        <v>52868519</v>
      </c>
      <c r="P108" s="18" t="str">
        <f>IF(O108="","VACANTE DEFINITIVA",(VLOOKUP(O108,'PLANTA PERNO'!A:D,4,0)&amp;" "&amp;VLOOKUP(O108,'PLANTA PERNO'!A:D,2,0)&amp;" "&amp;VLOOKUP(O108,'PLANTA PERNO'!A:D,3,0)))</f>
        <v>LUZ ESTELLA MORENO PEREZ</v>
      </c>
      <c r="Q108" s="21"/>
      <c r="R108" s="21"/>
      <c r="S108" s="21"/>
      <c r="T108" s="21"/>
      <c r="U108" s="21"/>
      <c r="V108" s="21"/>
      <c r="W108" s="38">
        <v>66656</v>
      </c>
      <c r="X108" s="128"/>
      <c r="Y108" s="21" t="str">
        <f t="shared" si="8"/>
        <v>OCUPADO</v>
      </c>
      <c r="Z108" s="23" t="s">
        <v>50</v>
      </c>
      <c r="AA108" s="24" t="s">
        <v>72</v>
      </c>
      <c r="AB108" s="25">
        <v>219</v>
      </c>
      <c r="AC108" s="27">
        <v>18</v>
      </c>
      <c r="AD108" s="28" t="str">
        <f t="shared" si="9"/>
        <v>219-18</v>
      </c>
      <c r="AE108" s="24" t="s">
        <v>98</v>
      </c>
      <c r="AF108" s="63" t="s">
        <v>98</v>
      </c>
      <c r="AG108" s="24" t="s">
        <v>2310</v>
      </c>
      <c r="AH108" s="24" t="s">
        <v>2311</v>
      </c>
      <c r="AI108" s="24" t="s">
        <v>2312</v>
      </c>
      <c r="AJ108" s="24" t="s">
        <v>2313</v>
      </c>
      <c r="AK108" s="93">
        <v>5951244.7700000005</v>
      </c>
      <c r="AL108" s="93">
        <v>0</v>
      </c>
      <c r="AM108" s="93">
        <f t="shared" si="39"/>
        <v>297562</v>
      </c>
      <c r="AN108" s="93">
        <f>IFERROR(INT(($AK108*(VLOOKUP($D108,'PORCENTAJES FACTORES'!B:N,12,0))/100)),0)</f>
        <v>2380497</v>
      </c>
      <c r="AO108" s="93">
        <f t="shared" si="40"/>
        <v>0</v>
      </c>
      <c r="AP108" s="93">
        <f t="shared" si="13"/>
        <v>0</v>
      </c>
      <c r="AQ108" s="93">
        <f t="shared" si="14"/>
        <v>0</v>
      </c>
      <c r="AR108" s="95">
        <f t="shared" si="34"/>
        <v>8629303.7699999996</v>
      </c>
      <c r="AS108" s="96"/>
      <c r="AT108" s="97"/>
      <c r="AU108" s="43">
        <f t="shared" si="16"/>
        <v>6367831.9039000012</v>
      </c>
      <c r="AV108" s="43">
        <v>40</v>
      </c>
      <c r="AW108" s="43">
        <f t="shared" si="17"/>
        <v>2547132.7615600005</v>
      </c>
      <c r="AX108" s="43">
        <f t="shared" si="18"/>
        <v>28018460.377160005</v>
      </c>
      <c r="AY108" s="58"/>
      <c r="AZ108" s="58"/>
      <c r="BA108" s="58"/>
      <c r="BB108" s="58"/>
      <c r="BC108" s="48"/>
      <c r="BD108" s="48"/>
      <c r="BE108" s="48"/>
      <c r="BF108" s="48"/>
      <c r="BG108" s="48"/>
      <c r="BH108" s="48"/>
      <c r="BI108" s="48"/>
      <c r="BJ108" s="48"/>
      <c r="BK108" s="48"/>
      <c r="BL108" s="48"/>
      <c r="BM108" s="48"/>
      <c r="BN108" s="48"/>
      <c r="BO108" s="48"/>
      <c r="BP108" s="48"/>
      <c r="BQ108" s="48"/>
      <c r="BR108" s="48"/>
      <c r="BS108" s="48"/>
    </row>
    <row r="109" spans="1:71" ht="12.75" hidden="1" customHeight="1">
      <c r="A109" s="85">
        <v>105</v>
      </c>
      <c r="B109" s="86">
        <v>5124</v>
      </c>
      <c r="C109" s="29">
        <v>74</v>
      </c>
      <c r="D109" s="204">
        <v>41059054</v>
      </c>
      <c r="E109" s="18" t="str">
        <f>IF(D109&gt;0,VLOOKUP(D109,'PLANTA PERNO'!A:D,4,0)&amp;" "&amp;VLOOKUP(D109,'PLANTA PERNO'!A:D,2,0)&amp;" "&amp;VLOOKUP(D109,'PLANTA PERNO'!A:D,3,0),IF(O109="","VACANTE DEFINITIVA","VACANTE TEMPORAL"))</f>
        <v>MARIA TERESA VALDERRAMA PEREIRA</v>
      </c>
      <c r="F109" s="20" t="s">
        <v>49</v>
      </c>
      <c r="G109" s="20" t="str">
        <f t="shared" si="0"/>
        <v>EN ENCARGO</v>
      </c>
      <c r="H109" s="33">
        <f t="shared" si="35"/>
        <v>44631</v>
      </c>
      <c r="I109" s="33">
        <f t="shared" si="36"/>
        <v>44631</v>
      </c>
      <c r="J109" s="31" t="str">
        <f t="shared" si="37"/>
        <v>MUJER</v>
      </c>
      <c r="K109" s="21">
        <f t="shared" ca="1" si="38"/>
        <v>44</v>
      </c>
      <c r="L109" s="21">
        <f t="shared" ca="1" si="5"/>
        <v>4</v>
      </c>
      <c r="M109" s="21" t="str">
        <f t="shared" si="6"/>
        <v>ENCARGO</v>
      </c>
      <c r="N109" s="21" t="str">
        <f t="shared" si="20"/>
        <v>VACANTE DEFINITIVA</v>
      </c>
      <c r="O109" s="21"/>
      <c r="P109" s="18" t="str">
        <f>IF(O109="","VACANTE DEFINITIVA",(VLOOKUP(O109,'PLANTA PERNO'!A:D,4,0)&amp;" "&amp;VLOOKUP(O109,'PLANTA PERNO'!A:D,2,0)&amp;" "&amp;VLOOKUP(O109,'PLANTA PERNO'!A:D,3,0)))</f>
        <v>VACANTE DEFINITIVA</v>
      </c>
      <c r="Q109" s="21" t="s">
        <v>489</v>
      </c>
      <c r="R109" s="21">
        <v>1</v>
      </c>
      <c r="S109" s="21"/>
      <c r="T109" s="21"/>
      <c r="U109" s="21"/>
      <c r="V109" s="21"/>
      <c r="W109" s="38">
        <v>66654</v>
      </c>
      <c r="X109" s="128"/>
      <c r="Y109" s="21" t="str">
        <f t="shared" si="8"/>
        <v>OCUPADO</v>
      </c>
      <c r="Z109" s="23" t="s">
        <v>50</v>
      </c>
      <c r="AA109" s="24" t="s">
        <v>72</v>
      </c>
      <c r="AB109" s="25">
        <v>219</v>
      </c>
      <c r="AC109" s="27">
        <v>18</v>
      </c>
      <c r="AD109" s="28" t="str">
        <f t="shared" si="9"/>
        <v>219-18</v>
      </c>
      <c r="AE109" s="24" t="s">
        <v>32</v>
      </c>
      <c r="AF109" s="63" t="s">
        <v>32</v>
      </c>
      <c r="AG109" s="24" t="s">
        <v>2314</v>
      </c>
      <c r="AH109" s="24" t="s">
        <v>2315</v>
      </c>
      <c r="AI109" s="24" t="s">
        <v>2316</v>
      </c>
      <c r="AJ109" s="24" t="s">
        <v>2317</v>
      </c>
      <c r="AK109" s="93">
        <v>5951244.7700000005</v>
      </c>
      <c r="AL109" s="93">
        <v>0</v>
      </c>
      <c r="AM109" s="93">
        <f t="shared" si="39"/>
        <v>0</v>
      </c>
      <c r="AN109" s="93">
        <f>IFERROR(INT(($AK109*(VLOOKUP($D109,'PORCENTAJES FACTORES'!B:N,12,0))/100)),0)</f>
        <v>1428298</v>
      </c>
      <c r="AO109" s="93">
        <f t="shared" si="40"/>
        <v>0</v>
      </c>
      <c r="AP109" s="93">
        <f t="shared" si="13"/>
        <v>0</v>
      </c>
      <c r="AQ109" s="93">
        <f t="shared" si="14"/>
        <v>0</v>
      </c>
      <c r="AR109" s="95">
        <f t="shared" si="34"/>
        <v>7379542.7700000005</v>
      </c>
      <c r="AS109" s="96"/>
      <c r="AT109" s="97"/>
      <c r="AU109" s="43">
        <f t="shared" si="16"/>
        <v>6367831.9039000012</v>
      </c>
      <c r="AV109" s="43">
        <v>40</v>
      </c>
      <c r="AW109" s="43">
        <f t="shared" si="17"/>
        <v>2547132.7615600005</v>
      </c>
      <c r="AX109" s="43">
        <f t="shared" si="18"/>
        <v>28018460.377160005</v>
      </c>
      <c r="AY109" s="58"/>
      <c r="AZ109" s="58"/>
      <c r="BA109" s="58"/>
      <c r="BB109" s="58"/>
      <c r="BC109" s="48"/>
      <c r="BD109" s="48"/>
      <c r="BE109" s="48"/>
      <c r="BF109" s="48"/>
      <c r="BG109" s="48"/>
      <c r="BH109" s="48"/>
      <c r="BI109" s="48"/>
      <c r="BJ109" s="48"/>
      <c r="BK109" s="48"/>
      <c r="BL109" s="48"/>
      <c r="BM109" s="48"/>
      <c r="BN109" s="48"/>
      <c r="BO109" s="48"/>
      <c r="BP109" s="48"/>
      <c r="BQ109" s="48"/>
      <c r="BR109" s="48"/>
      <c r="BS109" s="48"/>
    </row>
    <row r="110" spans="1:71" ht="12.75" hidden="1" customHeight="1">
      <c r="A110" s="203">
        <v>106</v>
      </c>
      <c r="B110" s="86">
        <v>5102</v>
      </c>
      <c r="C110" s="29">
        <v>75</v>
      </c>
      <c r="D110" s="122">
        <v>60348229</v>
      </c>
      <c r="E110" s="18" t="str">
        <f>IF(D110&gt;0,VLOOKUP(D110,'PLANTA PERNO'!A:D,4,0)&amp;" "&amp;VLOOKUP(D110,'PLANTA PERNO'!A:D,2,0)&amp;" "&amp;VLOOKUP(D110,'PLANTA PERNO'!A:D,3,0),IF(O110="","VACANTE DEFINITIVA","VACANTE TEMPORAL"))</f>
        <v>BRICEIDA ALVARADO ROJAS</v>
      </c>
      <c r="F110" s="20" t="s">
        <v>49</v>
      </c>
      <c r="G110" s="20" t="str">
        <f t="shared" si="0"/>
        <v>CARRERA ADMINISTRATIVA</v>
      </c>
      <c r="H110" s="33">
        <f t="shared" si="35"/>
        <v>44167</v>
      </c>
      <c r="I110" s="33">
        <f t="shared" si="36"/>
        <v>44167</v>
      </c>
      <c r="J110" s="31" t="str">
        <f t="shared" si="37"/>
        <v>MUJER</v>
      </c>
      <c r="K110" s="21">
        <f t="shared" ca="1" si="38"/>
        <v>54</v>
      </c>
      <c r="L110" s="21">
        <f t="shared" ca="1" si="5"/>
        <v>5</v>
      </c>
      <c r="M110" s="21" t="str">
        <f t="shared" si="6"/>
        <v/>
      </c>
      <c r="N110" s="21" t="str">
        <f t="shared" si="20"/>
        <v>EN PROPIEDAD</v>
      </c>
      <c r="O110" s="21">
        <v>60348229</v>
      </c>
      <c r="P110" s="18" t="str">
        <f>IF(O110="","VACANTE DEFINITIVA",(VLOOKUP(O110,'PLANTA PERNO'!A:D,4,0)&amp;" "&amp;VLOOKUP(O110,'PLANTA PERNO'!A:D,2,0)&amp;" "&amp;VLOOKUP(O110,'PLANTA PERNO'!A:D,3,0)))</f>
        <v>BRICEIDA ALVARADO ROJAS</v>
      </c>
      <c r="Q110" s="21"/>
      <c r="R110" s="21"/>
      <c r="S110" s="21"/>
      <c r="T110" s="21"/>
      <c r="U110" s="21"/>
      <c r="V110" s="21"/>
      <c r="W110" s="38">
        <v>66648</v>
      </c>
      <c r="X110" s="128"/>
      <c r="Y110" s="21" t="str">
        <f t="shared" si="8"/>
        <v>OCUPADO</v>
      </c>
      <c r="Z110" s="23" t="s">
        <v>50</v>
      </c>
      <c r="AA110" s="24" t="s">
        <v>72</v>
      </c>
      <c r="AB110" s="25">
        <v>219</v>
      </c>
      <c r="AC110" s="27">
        <v>18</v>
      </c>
      <c r="AD110" s="28" t="str">
        <f t="shared" si="9"/>
        <v>219-18</v>
      </c>
      <c r="AE110" s="24" t="s">
        <v>147</v>
      </c>
      <c r="AF110" s="24" t="s">
        <v>147</v>
      </c>
      <c r="AG110" s="24" t="s">
        <v>2320</v>
      </c>
      <c r="AH110" s="24" t="s">
        <v>2321</v>
      </c>
      <c r="AI110" s="24" t="s">
        <v>2322</v>
      </c>
      <c r="AJ110" s="24" t="s">
        <v>2323</v>
      </c>
      <c r="AK110" s="93">
        <v>5951244.7700000005</v>
      </c>
      <c r="AL110" s="93">
        <v>0</v>
      </c>
      <c r="AM110" s="93">
        <f t="shared" si="39"/>
        <v>178537</v>
      </c>
      <c r="AN110" s="93">
        <f>IFERROR(INT(($AK110*(VLOOKUP($D110,'PORCENTAJES FACTORES'!B:N,12,0))/100)),0)</f>
        <v>2380497</v>
      </c>
      <c r="AO110" s="93">
        <f t="shared" si="40"/>
        <v>0</v>
      </c>
      <c r="AP110" s="93">
        <f t="shared" si="13"/>
        <v>0</v>
      </c>
      <c r="AQ110" s="93">
        <f t="shared" si="14"/>
        <v>0</v>
      </c>
      <c r="AR110" s="95">
        <f t="shared" si="34"/>
        <v>8510278.7699999996</v>
      </c>
      <c r="AS110" s="96"/>
      <c r="AT110" s="97"/>
      <c r="AU110" s="43">
        <f t="shared" si="16"/>
        <v>6367831.9039000012</v>
      </c>
      <c r="AV110" s="43">
        <v>40</v>
      </c>
      <c r="AW110" s="43">
        <f t="shared" si="17"/>
        <v>2547132.7615600005</v>
      </c>
      <c r="AX110" s="43">
        <f t="shared" si="18"/>
        <v>28018460.377160005</v>
      </c>
      <c r="AY110" s="58"/>
      <c r="AZ110" s="58"/>
      <c r="BA110" s="58"/>
      <c r="BB110" s="58"/>
      <c r="BC110" s="48"/>
      <c r="BD110" s="48"/>
      <c r="BE110" s="48"/>
      <c r="BF110" s="48"/>
      <c r="BG110" s="48"/>
      <c r="BH110" s="48"/>
      <c r="BI110" s="48"/>
      <c r="BJ110" s="48"/>
      <c r="BK110" s="48"/>
      <c r="BL110" s="48"/>
      <c r="BM110" s="48"/>
      <c r="BN110" s="48"/>
      <c r="BO110" s="48"/>
      <c r="BP110" s="48"/>
      <c r="BQ110" s="48"/>
      <c r="BR110" s="48"/>
      <c r="BS110" s="48"/>
    </row>
    <row r="111" spans="1:71" ht="12.75" hidden="1" customHeight="1">
      <c r="A111" s="203">
        <v>107</v>
      </c>
      <c r="B111" s="86">
        <v>5109</v>
      </c>
      <c r="C111" s="29">
        <v>76</v>
      </c>
      <c r="D111" s="122">
        <v>52768137</v>
      </c>
      <c r="E111" s="18" t="str">
        <f>IF(D111&gt;0,VLOOKUP(D111,'PLANTA PERNO'!A:D,4,0)&amp;" "&amp;VLOOKUP(D111,'PLANTA PERNO'!A:D,2,0)&amp;" "&amp;VLOOKUP(D111,'PLANTA PERNO'!A:D,3,0),IF(O111="","VACANTE DEFINITIVA","VACANTE TEMPORAL"))</f>
        <v>LUZ ESPERANZA GARCIA CARDONA</v>
      </c>
      <c r="F111" s="20" t="s">
        <v>24</v>
      </c>
      <c r="G111" s="20" t="str">
        <f t="shared" si="0"/>
        <v>EN PROVISIONALIDAD</v>
      </c>
      <c r="H111" s="33">
        <f t="shared" si="35"/>
        <v>42843</v>
      </c>
      <c r="I111" s="33">
        <f t="shared" si="36"/>
        <v>42843</v>
      </c>
      <c r="J111" s="31" t="str">
        <f t="shared" si="37"/>
        <v>MUJER</v>
      </c>
      <c r="K111" s="21">
        <f t="shared" ca="1" si="38"/>
        <v>46</v>
      </c>
      <c r="L111" s="21">
        <f t="shared" ca="1" si="5"/>
        <v>9</v>
      </c>
      <c r="M111" s="21" t="str">
        <f t="shared" si="6"/>
        <v>PROVISIONALIDAD</v>
      </c>
      <c r="N111" s="21" t="str">
        <f t="shared" si="20"/>
        <v>VACANTE DEFINITIVA</v>
      </c>
      <c r="O111" s="21" t="s">
        <v>25</v>
      </c>
      <c r="P111" s="18" t="str">
        <f>IF(O111="","VACANTE DEFINITIVA",(VLOOKUP(O111,'PLANTA PERNO'!A:D,4,0)&amp;" "&amp;VLOOKUP(O111,'PLANTA PERNO'!A:D,2,0)&amp;" "&amp;VLOOKUP(O111,'PLANTA PERNO'!A:D,3,0)))</f>
        <v>VACANTE DEFINITIVA</v>
      </c>
      <c r="Q111" s="21"/>
      <c r="R111" s="21"/>
      <c r="S111" s="21" t="s">
        <v>166</v>
      </c>
      <c r="T111" s="21"/>
      <c r="U111" s="21"/>
      <c r="V111" s="21"/>
      <c r="W111" s="38"/>
      <c r="X111" s="123">
        <v>203192</v>
      </c>
      <c r="Y111" s="21" t="str">
        <f t="shared" si="8"/>
        <v>OCUPADO</v>
      </c>
      <c r="Z111" s="23" t="s">
        <v>50</v>
      </c>
      <c r="AA111" s="24" t="s">
        <v>72</v>
      </c>
      <c r="AB111" s="25">
        <v>219</v>
      </c>
      <c r="AC111" s="27">
        <v>18</v>
      </c>
      <c r="AD111" s="28" t="str">
        <f t="shared" si="9"/>
        <v>219-18</v>
      </c>
      <c r="AE111" s="24" t="s">
        <v>147</v>
      </c>
      <c r="AF111" s="24" t="s">
        <v>147</v>
      </c>
      <c r="AG111" s="24" t="s">
        <v>2324</v>
      </c>
      <c r="AH111" s="24" t="s">
        <v>2325</v>
      </c>
      <c r="AI111" s="24" t="s">
        <v>2326</v>
      </c>
      <c r="AJ111" s="24" t="s">
        <v>2327</v>
      </c>
      <c r="AK111" s="93">
        <v>5951244.7700000005</v>
      </c>
      <c r="AL111" s="93">
        <v>0</v>
      </c>
      <c r="AM111" s="93">
        <f t="shared" si="39"/>
        <v>178537</v>
      </c>
      <c r="AN111" s="93">
        <f>IFERROR(INT(($AK111*(VLOOKUP($D111,'PORCENTAJES FACTORES'!B:N,12,0))/100)),0)</f>
        <v>1904398</v>
      </c>
      <c r="AO111" s="93">
        <f t="shared" si="40"/>
        <v>0</v>
      </c>
      <c r="AP111" s="93">
        <f t="shared" si="13"/>
        <v>0</v>
      </c>
      <c r="AQ111" s="93">
        <f t="shared" si="14"/>
        <v>0</v>
      </c>
      <c r="AR111" s="95">
        <f t="shared" si="34"/>
        <v>8034179.7700000005</v>
      </c>
      <c r="AS111" s="96"/>
      <c r="AT111" s="97"/>
      <c r="AU111" s="43">
        <f t="shared" si="16"/>
        <v>6367831.9039000012</v>
      </c>
      <c r="AV111" s="43">
        <v>40</v>
      </c>
      <c r="AW111" s="43">
        <f t="shared" si="17"/>
        <v>2547132.7615600005</v>
      </c>
      <c r="AX111" s="43">
        <f t="shared" si="18"/>
        <v>28018460.377160005</v>
      </c>
      <c r="AY111" s="58"/>
      <c r="AZ111" s="58"/>
      <c r="BA111" s="58"/>
      <c r="BB111" s="58"/>
      <c r="BC111" s="48"/>
      <c r="BD111" s="48"/>
      <c r="BE111" s="48"/>
      <c r="BF111" s="48"/>
      <c r="BG111" s="48"/>
      <c r="BH111" s="48"/>
      <c r="BI111" s="48"/>
      <c r="BJ111" s="48"/>
      <c r="BK111" s="48"/>
      <c r="BL111" s="48"/>
      <c r="BM111" s="48"/>
      <c r="BN111" s="48"/>
      <c r="BO111" s="48"/>
      <c r="BP111" s="48"/>
      <c r="BQ111" s="48"/>
      <c r="BR111" s="48"/>
      <c r="BS111" s="48"/>
    </row>
    <row r="112" spans="1:71" ht="12.75" hidden="1" customHeight="1">
      <c r="A112" s="203">
        <v>108</v>
      </c>
      <c r="B112" s="86">
        <v>5103</v>
      </c>
      <c r="C112" s="29">
        <v>24</v>
      </c>
      <c r="D112" s="122">
        <v>52174173</v>
      </c>
      <c r="E112" s="18" t="str">
        <f>IF(D112&gt;0,VLOOKUP(D112,'PLANTA PERNO'!A:D,4,0)&amp;" "&amp;VLOOKUP(D112,'PLANTA PERNO'!A:D,2,0)&amp;" "&amp;VLOOKUP(D112,'PLANTA PERNO'!A:D,3,0),IF(O112="","VACANTE DEFINITIVA","VACANTE TEMPORAL"))</f>
        <v>LUZ DARY CORREDOR MORENO</v>
      </c>
      <c r="F112" s="20" t="s">
        <v>49</v>
      </c>
      <c r="G112" s="20" t="str">
        <f t="shared" si="0"/>
        <v>CARRERA ADMINISTRATIVA</v>
      </c>
      <c r="H112" s="33">
        <f t="shared" si="35"/>
        <v>45323</v>
      </c>
      <c r="I112" s="33">
        <f t="shared" si="36"/>
        <v>41302</v>
      </c>
      <c r="J112" s="31" t="str">
        <f t="shared" si="37"/>
        <v>MUJER</v>
      </c>
      <c r="K112" s="21">
        <f t="shared" ca="1" si="38"/>
        <v>52</v>
      </c>
      <c r="L112" s="21">
        <f t="shared" ca="1" si="5"/>
        <v>2</v>
      </c>
      <c r="M112" s="21" t="str">
        <f t="shared" si="6"/>
        <v/>
      </c>
      <c r="N112" s="21" t="str">
        <f t="shared" si="20"/>
        <v>EN PROPIEDAD</v>
      </c>
      <c r="O112" s="21">
        <v>52174173</v>
      </c>
      <c r="P112" s="18" t="str">
        <f>IF(O112="","VACANTE DEFINITIVA",(VLOOKUP(O112,'PLANTA PERNO'!A:D,4,0)&amp;" "&amp;VLOOKUP(O112,'PLANTA PERNO'!A:D,2,0)&amp;" "&amp;VLOOKUP(O112,'PLANTA PERNO'!A:D,3,0)))</f>
        <v>LUZ DARY CORREDOR MORENO</v>
      </c>
      <c r="Q112" s="21"/>
      <c r="R112" s="21"/>
      <c r="S112" s="21"/>
      <c r="T112" s="21"/>
      <c r="U112" s="21"/>
      <c r="V112" s="21"/>
      <c r="W112" s="38">
        <v>66653</v>
      </c>
      <c r="X112" s="128"/>
      <c r="Y112" s="21" t="str">
        <f t="shared" si="8"/>
        <v>OCUPADO</v>
      </c>
      <c r="Z112" s="23" t="s">
        <v>50</v>
      </c>
      <c r="AA112" s="24" t="s">
        <v>72</v>
      </c>
      <c r="AB112" s="25">
        <v>219</v>
      </c>
      <c r="AC112" s="27">
        <v>18</v>
      </c>
      <c r="AD112" s="28" t="str">
        <f t="shared" si="9"/>
        <v>219-18</v>
      </c>
      <c r="AE112" s="24" t="s">
        <v>147</v>
      </c>
      <c r="AF112" s="24" t="s">
        <v>147</v>
      </c>
      <c r="AG112" s="24" t="s">
        <v>2328</v>
      </c>
      <c r="AH112" s="24" t="s">
        <v>2329</v>
      </c>
      <c r="AI112" s="24" t="s">
        <v>2330</v>
      </c>
      <c r="AJ112" s="24" t="s">
        <v>2331</v>
      </c>
      <c r="AK112" s="93">
        <v>5951244.7700000005</v>
      </c>
      <c r="AL112" s="93">
        <v>0</v>
      </c>
      <c r="AM112" s="93">
        <f t="shared" si="39"/>
        <v>297562</v>
      </c>
      <c r="AN112" s="93">
        <f>IFERROR(INT(($AK112*(VLOOKUP($D112,'PORCENTAJES FACTORES'!B:N,12,0))/100)),0)</f>
        <v>2380497</v>
      </c>
      <c r="AO112" s="93">
        <f t="shared" si="40"/>
        <v>0</v>
      </c>
      <c r="AP112" s="93">
        <f t="shared" si="13"/>
        <v>0</v>
      </c>
      <c r="AQ112" s="93">
        <f t="shared" si="14"/>
        <v>0</v>
      </c>
      <c r="AR112" s="95">
        <f t="shared" si="34"/>
        <v>8629303.7699999996</v>
      </c>
      <c r="AS112" s="96"/>
      <c r="AT112" s="97"/>
      <c r="AU112" s="43">
        <f t="shared" si="16"/>
        <v>6367831.9039000012</v>
      </c>
      <c r="AV112" s="43">
        <v>40</v>
      </c>
      <c r="AW112" s="43">
        <f t="shared" si="17"/>
        <v>2547132.7615600005</v>
      </c>
      <c r="AX112" s="43">
        <f t="shared" si="18"/>
        <v>28018460.377160005</v>
      </c>
      <c r="AY112" s="58"/>
      <c r="AZ112" s="58"/>
      <c r="BA112" s="58"/>
      <c r="BB112" s="58"/>
      <c r="BC112" s="48"/>
      <c r="BD112" s="48"/>
      <c r="BE112" s="48"/>
      <c r="BF112" s="48"/>
      <c r="BG112" s="48"/>
      <c r="BH112" s="48"/>
      <c r="BI112" s="48"/>
      <c r="BJ112" s="48"/>
      <c r="BK112" s="48"/>
      <c r="BL112" s="48"/>
      <c r="BM112" s="48"/>
      <c r="BN112" s="48"/>
      <c r="BO112" s="48"/>
      <c r="BP112" s="48"/>
      <c r="BQ112" s="48"/>
      <c r="BR112" s="48"/>
      <c r="BS112" s="48"/>
    </row>
    <row r="113" spans="1:71" ht="12.75" hidden="1" customHeight="1">
      <c r="A113" s="203">
        <v>109</v>
      </c>
      <c r="B113" s="86">
        <v>5123</v>
      </c>
      <c r="C113" s="29">
        <v>25</v>
      </c>
      <c r="D113" s="122">
        <v>75093516</v>
      </c>
      <c r="E113" s="18" t="str">
        <f>IF(D113&gt;0,VLOOKUP(D113,'PLANTA PERNO'!A:D,4,0)&amp;" "&amp;VLOOKUP(D113,'PLANTA PERNO'!A:D,2,0)&amp;" "&amp;VLOOKUP(D113,'PLANTA PERNO'!A:D,3,0),IF(O113="","VACANTE DEFINITIVA","VACANTE TEMPORAL"))</f>
        <v>HUGO HERNANDO AGUIRRE CORRALES</v>
      </c>
      <c r="F113" s="20" t="s">
        <v>49</v>
      </c>
      <c r="G113" s="20" t="str">
        <f t="shared" si="0"/>
        <v>CARRERA ADMINISTRATIVA</v>
      </c>
      <c r="H113" s="33">
        <f t="shared" si="35"/>
        <v>44215</v>
      </c>
      <c r="I113" s="33">
        <f t="shared" si="36"/>
        <v>44215</v>
      </c>
      <c r="J113" s="31" t="str">
        <f t="shared" si="37"/>
        <v>HOMBRE</v>
      </c>
      <c r="K113" s="21">
        <f t="shared" ca="1" si="38"/>
        <v>46</v>
      </c>
      <c r="L113" s="21">
        <f t="shared" ca="1" si="5"/>
        <v>5</v>
      </c>
      <c r="M113" s="21" t="str">
        <f t="shared" si="6"/>
        <v/>
      </c>
      <c r="N113" s="21" t="str">
        <f t="shared" si="20"/>
        <v>EN PROPIEDAD</v>
      </c>
      <c r="O113" s="21">
        <v>75093516</v>
      </c>
      <c r="P113" s="18" t="str">
        <f>IF(O113="","VACANTE DEFINITIVA",(VLOOKUP(O113,'PLANTA PERNO'!A:D,4,0)&amp;" "&amp;VLOOKUP(O113,'PLANTA PERNO'!A:D,2,0)&amp;" "&amp;VLOOKUP(O113,'PLANTA PERNO'!A:D,3,0)))</f>
        <v>HUGO HERNANDO AGUIRRE CORRALES</v>
      </c>
      <c r="Q113" s="21"/>
      <c r="R113" s="21"/>
      <c r="S113" s="21"/>
      <c r="T113" s="21"/>
      <c r="U113" s="21"/>
      <c r="V113" s="21"/>
      <c r="W113" s="38">
        <v>66649</v>
      </c>
      <c r="X113" s="128"/>
      <c r="Y113" s="21" t="str">
        <f t="shared" si="8"/>
        <v>OCUPADO</v>
      </c>
      <c r="Z113" s="23" t="s">
        <v>50</v>
      </c>
      <c r="AA113" s="24" t="s">
        <v>72</v>
      </c>
      <c r="AB113" s="25">
        <v>219</v>
      </c>
      <c r="AC113" s="27">
        <v>18</v>
      </c>
      <c r="AD113" s="28" t="str">
        <f t="shared" si="9"/>
        <v>219-18</v>
      </c>
      <c r="AE113" s="24" t="s">
        <v>147</v>
      </c>
      <c r="AF113" s="24" t="s">
        <v>147</v>
      </c>
      <c r="AG113" s="24" t="s">
        <v>2333</v>
      </c>
      <c r="AH113" s="24" t="s">
        <v>2334</v>
      </c>
      <c r="AI113" s="24" t="s">
        <v>2335</v>
      </c>
      <c r="AJ113" s="24" t="s">
        <v>2336</v>
      </c>
      <c r="AK113" s="93">
        <v>5951244.7700000005</v>
      </c>
      <c r="AL113" s="93">
        <v>0</v>
      </c>
      <c r="AM113" s="93">
        <f t="shared" si="39"/>
        <v>178537</v>
      </c>
      <c r="AN113" s="93">
        <f>IFERROR(INT(($AK113*(VLOOKUP($D113,'PORCENTAJES FACTORES'!B:N,12,0))/100)),0)</f>
        <v>2380497</v>
      </c>
      <c r="AO113" s="93">
        <f t="shared" si="40"/>
        <v>0</v>
      </c>
      <c r="AP113" s="93">
        <f t="shared" si="13"/>
        <v>0</v>
      </c>
      <c r="AQ113" s="93">
        <f t="shared" si="14"/>
        <v>0</v>
      </c>
      <c r="AR113" s="95">
        <f t="shared" si="34"/>
        <v>8510278.7699999996</v>
      </c>
      <c r="AS113" s="96"/>
      <c r="AT113" s="97"/>
      <c r="AU113" s="43">
        <f t="shared" si="16"/>
        <v>6367831.9039000012</v>
      </c>
      <c r="AV113" s="43">
        <v>40</v>
      </c>
      <c r="AW113" s="43">
        <f t="shared" si="17"/>
        <v>2547132.7615600005</v>
      </c>
      <c r="AX113" s="43">
        <f t="shared" si="18"/>
        <v>28018460.377160005</v>
      </c>
      <c r="AY113" s="58"/>
      <c r="AZ113" s="58"/>
      <c r="BA113" s="58"/>
      <c r="BB113" s="58"/>
      <c r="BC113" s="48"/>
      <c r="BD113" s="48"/>
      <c r="BE113" s="48"/>
      <c r="BF113" s="48"/>
      <c r="BG113" s="48"/>
      <c r="BH113" s="48"/>
      <c r="BI113" s="48"/>
      <c r="BJ113" s="48"/>
      <c r="BK113" s="48"/>
      <c r="BL113" s="48"/>
      <c r="BM113" s="48"/>
      <c r="BN113" s="48"/>
      <c r="BO113" s="48"/>
      <c r="BP113" s="48"/>
      <c r="BQ113" s="48"/>
      <c r="BR113" s="48"/>
      <c r="BS113" s="48"/>
    </row>
    <row r="114" spans="1:71" ht="12.75" hidden="1" customHeight="1">
      <c r="A114" s="203">
        <v>110</v>
      </c>
      <c r="B114" s="86">
        <v>5118</v>
      </c>
      <c r="C114" s="29">
        <v>26</v>
      </c>
      <c r="D114" s="122">
        <v>1015393324</v>
      </c>
      <c r="E114" s="18" t="str">
        <f>IF(D114&gt;0,VLOOKUP(D114,'PLANTA PERNO'!A:D,4,0)&amp;" "&amp;VLOOKUP(D114,'PLANTA PERNO'!A:D,2,0)&amp;" "&amp;VLOOKUP(D114,'PLANTA PERNO'!A:D,3,0),IF(O114="","VACANTE DEFINITIVA","VACANTE TEMPORAL"))</f>
        <v>JORGE ANDRES ROJAS PEÃ‘A</v>
      </c>
      <c r="F114" s="20" t="s">
        <v>49</v>
      </c>
      <c r="G114" s="20" t="str">
        <f t="shared" si="0"/>
        <v>EN ENCARGO</v>
      </c>
      <c r="H114" s="33">
        <f t="shared" si="35"/>
        <v>44147</v>
      </c>
      <c r="I114" s="33">
        <f t="shared" si="36"/>
        <v>44147</v>
      </c>
      <c r="J114" s="31" t="str">
        <f t="shared" si="37"/>
        <v>HOMBRE</v>
      </c>
      <c r="K114" s="21">
        <f t="shared" ca="1" si="38"/>
        <v>40</v>
      </c>
      <c r="L114" s="21">
        <f t="shared" ca="1" si="5"/>
        <v>5</v>
      </c>
      <c r="M114" s="21" t="str">
        <f t="shared" si="6"/>
        <v>ENCARGO</v>
      </c>
      <c r="N114" s="21" t="str">
        <f t="shared" si="20"/>
        <v>EN ENCARGO</v>
      </c>
      <c r="O114" s="21">
        <v>52337438</v>
      </c>
      <c r="P114" s="18" t="str">
        <f>IF(O114="","VACANTE DEFINITIVA",(VLOOKUP(O114,'PLANTA PERNO'!A:D,4,0)&amp;" "&amp;VLOOKUP(O114,'PLANTA PERNO'!A:D,2,0)&amp;" "&amp;VLOOKUP(O114,'PLANTA PERNO'!A:D,3,0)))</f>
        <v>CHEILA ALEXANDRA ALVARADO ROJAS</v>
      </c>
      <c r="Q114" s="21" t="s">
        <v>1205</v>
      </c>
      <c r="R114" s="21">
        <v>4</v>
      </c>
      <c r="S114" s="21"/>
      <c r="T114" s="21"/>
      <c r="U114" s="21"/>
      <c r="V114" s="21"/>
      <c r="W114" s="38">
        <v>66646</v>
      </c>
      <c r="X114" s="123">
        <v>203199</v>
      </c>
      <c r="Y114" s="21" t="str">
        <f t="shared" si="8"/>
        <v>OCUPADO</v>
      </c>
      <c r="Z114" s="23" t="s">
        <v>50</v>
      </c>
      <c r="AA114" s="24" t="s">
        <v>72</v>
      </c>
      <c r="AB114" s="25">
        <v>219</v>
      </c>
      <c r="AC114" s="27">
        <v>18</v>
      </c>
      <c r="AD114" s="28" t="str">
        <f t="shared" si="9"/>
        <v>219-18</v>
      </c>
      <c r="AE114" s="24" t="s">
        <v>147</v>
      </c>
      <c r="AF114" s="24" t="s">
        <v>147</v>
      </c>
      <c r="AG114" s="24" t="s">
        <v>2338</v>
      </c>
      <c r="AH114" s="24" t="s">
        <v>2339</v>
      </c>
      <c r="AI114" s="24" t="s">
        <v>2340</v>
      </c>
      <c r="AJ114" s="24" t="s">
        <v>2341</v>
      </c>
      <c r="AK114" s="93">
        <v>5951244.7700000005</v>
      </c>
      <c r="AL114" s="93">
        <v>0</v>
      </c>
      <c r="AM114" s="93">
        <f t="shared" si="39"/>
        <v>178537</v>
      </c>
      <c r="AN114" s="93">
        <f>IFERROR(INT(($AK114*(VLOOKUP($D114,'PORCENTAJES FACTORES'!B:N,12,0))/100)),0)</f>
        <v>2380497</v>
      </c>
      <c r="AO114" s="93">
        <f t="shared" si="40"/>
        <v>0</v>
      </c>
      <c r="AP114" s="93">
        <f t="shared" si="13"/>
        <v>0</v>
      </c>
      <c r="AQ114" s="93">
        <f t="shared" si="14"/>
        <v>0</v>
      </c>
      <c r="AR114" s="95">
        <f t="shared" si="34"/>
        <v>8510278.7699999996</v>
      </c>
      <c r="AS114" s="96"/>
      <c r="AT114" s="97"/>
      <c r="AU114" s="43">
        <f t="shared" si="16"/>
        <v>6367831.9039000012</v>
      </c>
      <c r="AV114" s="43">
        <v>40</v>
      </c>
      <c r="AW114" s="43">
        <f t="shared" si="17"/>
        <v>2547132.7615600005</v>
      </c>
      <c r="AX114" s="43">
        <f t="shared" si="18"/>
        <v>28018460.377160005</v>
      </c>
      <c r="AY114" s="58"/>
      <c r="AZ114" s="58"/>
      <c r="BA114" s="58"/>
      <c r="BB114" s="58"/>
      <c r="BC114" s="48"/>
      <c r="BD114" s="48"/>
      <c r="BE114" s="48"/>
      <c r="BF114" s="48"/>
      <c r="BG114" s="48"/>
      <c r="BH114" s="48"/>
      <c r="BI114" s="48"/>
      <c r="BJ114" s="48"/>
      <c r="BK114" s="48"/>
      <c r="BL114" s="48"/>
      <c r="BM114" s="48"/>
      <c r="BN114" s="48"/>
      <c r="BO114" s="48"/>
      <c r="BP114" s="48"/>
      <c r="BQ114" s="48"/>
      <c r="BR114" s="48"/>
      <c r="BS114" s="48"/>
    </row>
    <row r="115" spans="1:71" ht="12.75" hidden="1" customHeight="1">
      <c r="A115" s="85">
        <v>111</v>
      </c>
      <c r="B115" s="86">
        <v>5104</v>
      </c>
      <c r="C115" s="29">
        <v>77</v>
      </c>
      <c r="D115" s="122">
        <v>53122985</v>
      </c>
      <c r="E115" s="18" t="str">
        <f>IF(D115&gt;0,VLOOKUP(D115,'PLANTA PERNO'!A:D,4,0)&amp;" "&amp;VLOOKUP(D115,'PLANTA PERNO'!A:D,2,0)&amp;" "&amp;VLOOKUP(D115,'PLANTA PERNO'!A:D,3,0),IF(O115="","VACANTE DEFINITIVA","VACANTE TEMPORAL"))</f>
        <v>LUISA FERNANDA GARCIA AVILA</v>
      </c>
      <c r="F115" s="20" t="s">
        <v>49</v>
      </c>
      <c r="G115" s="20" t="str">
        <f t="shared" si="0"/>
        <v>CARRERA ADMINISTRATIVA</v>
      </c>
      <c r="H115" s="33">
        <f t="shared" si="35"/>
        <v>45307</v>
      </c>
      <c r="I115" s="33">
        <f t="shared" si="36"/>
        <v>45307</v>
      </c>
      <c r="J115" s="31" t="str">
        <f t="shared" si="37"/>
        <v>MUJER</v>
      </c>
      <c r="K115" s="21">
        <f t="shared" ca="1" si="38"/>
        <v>41</v>
      </c>
      <c r="L115" s="21">
        <f t="shared" ca="1" si="5"/>
        <v>2</v>
      </c>
      <c r="M115" s="21" t="str">
        <f t="shared" si="6"/>
        <v/>
      </c>
      <c r="N115" s="21" t="str">
        <f t="shared" si="20"/>
        <v>EN PROPIEDAD</v>
      </c>
      <c r="O115" s="21">
        <v>53122985</v>
      </c>
      <c r="P115" s="18" t="str">
        <f>IF(O115="","VACANTE DEFINITIVA",(VLOOKUP(O115,'PLANTA PERNO'!A:D,4,0)&amp;" "&amp;VLOOKUP(O115,'PLANTA PERNO'!A:D,2,0)&amp;" "&amp;VLOOKUP(O115,'PLANTA PERNO'!A:D,3,0)))</f>
        <v>LUISA FERNANDA GARCIA AVILA</v>
      </c>
      <c r="Q115" s="21"/>
      <c r="R115" s="21"/>
      <c r="S115" s="21"/>
      <c r="T115" s="21"/>
      <c r="U115" s="21"/>
      <c r="V115" s="21"/>
      <c r="W115" s="38"/>
      <c r="X115" s="128"/>
      <c r="Y115" s="21" t="str">
        <f t="shared" si="8"/>
        <v>OCUPADO</v>
      </c>
      <c r="Z115" s="23" t="s">
        <v>50</v>
      </c>
      <c r="AA115" s="24" t="s">
        <v>72</v>
      </c>
      <c r="AB115" s="25">
        <v>219</v>
      </c>
      <c r="AC115" s="27">
        <v>18</v>
      </c>
      <c r="AD115" s="28" t="str">
        <f t="shared" si="9"/>
        <v>219-18</v>
      </c>
      <c r="AE115" s="24" t="s">
        <v>153</v>
      </c>
      <c r="AF115" s="24" t="s">
        <v>153</v>
      </c>
      <c r="AG115" s="24" t="s">
        <v>2343</v>
      </c>
      <c r="AH115" s="24" t="s">
        <v>2344</v>
      </c>
      <c r="AI115" s="24" t="s">
        <v>2345</v>
      </c>
      <c r="AJ115" s="24" t="s">
        <v>2346</v>
      </c>
      <c r="AK115" s="93">
        <v>5951244.7700000005</v>
      </c>
      <c r="AL115" s="93">
        <v>0</v>
      </c>
      <c r="AM115" s="93">
        <f t="shared" si="39"/>
        <v>0</v>
      </c>
      <c r="AN115" s="93">
        <f>IFERROR(INT(($AK115*(VLOOKUP($D115,'PORCENTAJES FACTORES'!B:N,12,0))/100)),0)</f>
        <v>2380497</v>
      </c>
      <c r="AO115" s="93">
        <f t="shared" si="40"/>
        <v>0</v>
      </c>
      <c r="AP115" s="93">
        <f t="shared" si="13"/>
        <v>0</v>
      </c>
      <c r="AQ115" s="93">
        <f t="shared" si="14"/>
        <v>0</v>
      </c>
      <c r="AR115" s="95">
        <f t="shared" si="34"/>
        <v>8331741.7700000005</v>
      </c>
      <c r="AS115" s="96"/>
      <c r="AT115" s="97"/>
      <c r="AU115" s="43">
        <f t="shared" si="16"/>
        <v>6367831.9039000012</v>
      </c>
      <c r="AV115" s="43">
        <v>40</v>
      </c>
      <c r="AW115" s="43">
        <f t="shared" si="17"/>
        <v>2547132.7615600005</v>
      </c>
      <c r="AX115" s="43">
        <f t="shared" si="18"/>
        <v>28018460.377160005</v>
      </c>
      <c r="AY115" s="58"/>
      <c r="AZ115" s="58"/>
      <c r="BA115" s="58"/>
      <c r="BB115" s="58"/>
      <c r="BC115" s="48"/>
      <c r="BD115" s="48"/>
      <c r="BE115" s="48"/>
      <c r="BF115" s="48"/>
      <c r="BG115" s="48"/>
      <c r="BH115" s="48"/>
      <c r="BI115" s="48"/>
      <c r="BJ115" s="48"/>
      <c r="BK115" s="48"/>
      <c r="BL115" s="48"/>
      <c r="BM115" s="48"/>
      <c r="BN115" s="48"/>
      <c r="BO115" s="48"/>
      <c r="BP115" s="48"/>
      <c r="BQ115" s="48"/>
      <c r="BR115" s="48"/>
      <c r="BS115" s="48"/>
    </row>
    <row r="116" spans="1:71" ht="12.75" hidden="1" customHeight="1">
      <c r="A116" s="85">
        <v>112</v>
      </c>
      <c r="B116" s="86">
        <v>5108</v>
      </c>
      <c r="C116" s="29">
        <v>82</v>
      </c>
      <c r="D116" s="122">
        <v>1032489040</v>
      </c>
      <c r="E116" s="18" t="str">
        <f>IF(D116&gt;0,VLOOKUP(D116,'PLANTA PERNO'!A:D,4,0)&amp;" "&amp;VLOOKUP(D116,'PLANTA PERNO'!A:D,2,0)&amp;" "&amp;VLOOKUP(D116,'PLANTA PERNO'!A:D,3,0),IF(O116="","VACANTE DEFINITIVA","VACANTE TEMPORAL"))</f>
        <v>LEIDY JOHANNA ALONSO GUTIERREZ</v>
      </c>
      <c r="F116" s="20" t="s">
        <v>49</v>
      </c>
      <c r="G116" s="20" t="str">
        <f t="shared" si="0"/>
        <v>EN ENCARGO</v>
      </c>
      <c r="H116" s="33">
        <f t="shared" si="35"/>
        <v>44144</v>
      </c>
      <c r="I116" s="33">
        <f t="shared" si="36"/>
        <v>44144</v>
      </c>
      <c r="J116" s="31" t="str">
        <f t="shared" si="37"/>
        <v>MUJER</v>
      </c>
      <c r="K116" s="21">
        <f t="shared" ca="1" si="38"/>
        <v>29</v>
      </c>
      <c r="L116" s="21">
        <f t="shared" ca="1" si="5"/>
        <v>5</v>
      </c>
      <c r="M116" s="21" t="str">
        <f t="shared" si="6"/>
        <v>ENCARGO</v>
      </c>
      <c r="N116" s="21" t="str">
        <f t="shared" si="20"/>
        <v>EN ENCARGO</v>
      </c>
      <c r="O116" s="21">
        <v>6765913</v>
      </c>
      <c r="P116" s="18" t="str">
        <f>IF(O116="","VACANTE DEFINITIVA",(VLOOKUP(O116,'PLANTA PERNO'!A:D,4,0)&amp;" "&amp;VLOOKUP(O116,'PLANTA PERNO'!A:D,2,0)&amp;" "&amp;VLOOKUP(O116,'PLANTA PERNO'!A:D,3,0)))</f>
        <v>CARLOS ANDRES NIÃ‘O SOCHA</v>
      </c>
      <c r="Q116" s="21" t="s">
        <v>1602</v>
      </c>
      <c r="R116" s="21">
        <v>4</v>
      </c>
      <c r="S116" s="21"/>
      <c r="T116" s="21"/>
      <c r="U116" s="21"/>
      <c r="V116" s="21"/>
      <c r="W116" s="205">
        <v>66644</v>
      </c>
      <c r="X116" s="123">
        <v>203198</v>
      </c>
      <c r="Y116" s="21" t="str">
        <f t="shared" si="8"/>
        <v>OCUPADO</v>
      </c>
      <c r="Z116" s="23" t="s">
        <v>50</v>
      </c>
      <c r="AA116" s="24" t="s">
        <v>72</v>
      </c>
      <c r="AB116" s="25">
        <v>219</v>
      </c>
      <c r="AC116" s="27">
        <v>18</v>
      </c>
      <c r="AD116" s="28" t="str">
        <f t="shared" si="9"/>
        <v>219-18</v>
      </c>
      <c r="AE116" s="24" t="s">
        <v>153</v>
      </c>
      <c r="AF116" s="24" t="s">
        <v>153</v>
      </c>
      <c r="AG116" s="24" t="s">
        <v>2347</v>
      </c>
      <c r="AH116" s="24" t="s">
        <v>2348</v>
      </c>
      <c r="AI116" s="24" t="s">
        <v>92</v>
      </c>
      <c r="AJ116" s="24" t="s">
        <v>2346</v>
      </c>
      <c r="AK116" s="93">
        <v>5951244.7700000005</v>
      </c>
      <c r="AL116" s="93">
        <v>0</v>
      </c>
      <c r="AM116" s="93">
        <f t="shared" si="39"/>
        <v>178537</v>
      </c>
      <c r="AN116" s="93">
        <f>IFERROR(INT(($AK116*(VLOOKUP($D116,'PORCENTAJES FACTORES'!B:N,12,0))/100)),0)</f>
        <v>2380497</v>
      </c>
      <c r="AO116" s="93">
        <f t="shared" si="40"/>
        <v>0</v>
      </c>
      <c r="AP116" s="93">
        <f t="shared" si="13"/>
        <v>0</v>
      </c>
      <c r="AQ116" s="93">
        <f t="shared" si="14"/>
        <v>0</v>
      </c>
      <c r="AR116" s="95">
        <f t="shared" si="34"/>
        <v>8510278.7699999996</v>
      </c>
      <c r="AS116" s="96"/>
      <c r="AT116" s="97"/>
      <c r="AU116" s="43">
        <f t="shared" si="16"/>
        <v>6367831.9039000012</v>
      </c>
      <c r="AV116" s="43">
        <v>40</v>
      </c>
      <c r="AW116" s="43">
        <f t="shared" si="17"/>
        <v>2547132.7615600005</v>
      </c>
      <c r="AX116" s="43">
        <f t="shared" si="18"/>
        <v>28018460.377160005</v>
      </c>
      <c r="AY116" s="58"/>
      <c r="AZ116" s="58"/>
      <c r="BA116" s="58"/>
      <c r="BB116" s="58"/>
      <c r="BC116" s="48"/>
      <c r="BD116" s="48"/>
      <c r="BE116" s="48"/>
      <c r="BF116" s="48"/>
      <c r="BG116" s="48"/>
      <c r="BH116" s="48"/>
      <c r="BI116" s="48"/>
      <c r="BJ116" s="48"/>
      <c r="BK116" s="48"/>
      <c r="BL116" s="48"/>
      <c r="BM116" s="48"/>
      <c r="BN116" s="48"/>
      <c r="BO116" s="48"/>
      <c r="BP116" s="48"/>
      <c r="BQ116" s="48"/>
      <c r="BR116" s="48"/>
      <c r="BS116" s="48"/>
    </row>
    <row r="117" spans="1:71" ht="12.75" hidden="1" customHeight="1">
      <c r="A117" s="85">
        <v>113</v>
      </c>
      <c r="B117" s="86">
        <v>5106</v>
      </c>
      <c r="C117" s="29">
        <v>79</v>
      </c>
      <c r="D117" s="122">
        <v>1049619617</v>
      </c>
      <c r="E117" s="18" t="str">
        <f>IF(D117&gt;0,VLOOKUP(D117,'PLANTA PERNO'!A:D,4,0)&amp;" "&amp;VLOOKUP(D117,'PLANTA PERNO'!A:D,2,0)&amp;" "&amp;VLOOKUP(D117,'PLANTA PERNO'!A:D,3,0),IF(O117="","VACANTE DEFINITIVA","VACANTE TEMPORAL"))</f>
        <v>SANDRA LISETTE NOVOA DUEÃ‘AS</v>
      </c>
      <c r="F117" s="20" t="s">
        <v>49</v>
      </c>
      <c r="G117" s="20" t="str">
        <f t="shared" si="0"/>
        <v>CARRERA ADMINISTRATIVA</v>
      </c>
      <c r="H117" s="33">
        <f t="shared" si="35"/>
        <v>44193</v>
      </c>
      <c r="I117" s="33">
        <f t="shared" si="36"/>
        <v>43739</v>
      </c>
      <c r="J117" s="31" t="str">
        <f t="shared" si="37"/>
        <v>MUJER</v>
      </c>
      <c r="K117" s="21">
        <f t="shared" ca="1" si="38"/>
        <v>36</v>
      </c>
      <c r="L117" s="21">
        <f t="shared" ca="1" si="5"/>
        <v>5</v>
      </c>
      <c r="M117" s="21" t="str">
        <f t="shared" si="6"/>
        <v/>
      </c>
      <c r="N117" s="21" t="str">
        <f t="shared" si="20"/>
        <v>EN PROPIEDAD</v>
      </c>
      <c r="O117" s="21">
        <v>1049619617</v>
      </c>
      <c r="P117" s="18" t="str">
        <f>IF(O117="","VACANTE DEFINITIVA",(VLOOKUP(O117,'PLANTA PERNO'!A:D,4,0)&amp;" "&amp;VLOOKUP(O117,'PLANTA PERNO'!A:D,2,0)&amp;" "&amp;VLOOKUP(O117,'PLANTA PERNO'!A:D,3,0)))</f>
        <v>SANDRA LISETTE NOVOA DUEÃ‘AS</v>
      </c>
      <c r="Q117" s="21"/>
      <c r="R117" s="21"/>
      <c r="S117" s="21"/>
      <c r="T117" s="21"/>
      <c r="U117" s="21"/>
      <c r="V117" s="21"/>
      <c r="W117" s="38">
        <v>66644</v>
      </c>
      <c r="X117" s="128"/>
      <c r="Y117" s="21" t="str">
        <f t="shared" si="8"/>
        <v>OCUPADO</v>
      </c>
      <c r="Z117" s="23" t="s">
        <v>50</v>
      </c>
      <c r="AA117" s="24" t="s">
        <v>72</v>
      </c>
      <c r="AB117" s="25">
        <v>219</v>
      </c>
      <c r="AC117" s="27">
        <v>18</v>
      </c>
      <c r="AD117" s="28" t="str">
        <f t="shared" si="9"/>
        <v>219-18</v>
      </c>
      <c r="AE117" s="24" t="s">
        <v>153</v>
      </c>
      <c r="AF117" s="24" t="s">
        <v>153</v>
      </c>
      <c r="AG117" s="24" t="s">
        <v>2347</v>
      </c>
      <c r="AH117" s="24" t="s">
        <v>2348</v>
      </c>
      <c r="AI117" s="24" t="s">
        <v>92</v>
      </c>
      <c r="AJ117" s="24" t="s">
        <v>2346</v>
      </c>
      <c r="AK117" s="93">
        <v>5951244.7700000005</v>
      </c>
      <c r="AL117" s="93">
        <v>0</v>
      </c>
      <c r="AM117" s="93">
        <f t="shared" si="39"/>
        <v>178537</v>
      </c>
      <c r="AN117" s="93">
        <f>IFERROR(INT(($AK117*(VLOOKUP($D117,'PORCENTAJES FACTORES'!B:N,12,0))/100)),0)</f>
        <v>2380497</v>
      </c>
      <c r="AO117" s="93">
        <f t="shared" si="40"/>
        <v>0</v>
      </c>
      <c r="AP117" s="93">
        <f t="shared" si="13"/>
        <v>0</v>
      </c>
      <c r="AQ117" s="93">
        <f t="shared" si="14"/>
        <v>0</v>
      </c>
      <c r="AR117" s="95">
        <f t="shared" si="34"/>
        <v>8510278.7699999996</v>
      </c>
      <c r="AS117" s="96"/>
      <c r="AT117" s="97"/>
      <c r="AU117" s="43">
        <f t="shared" si="16"/>
        <v>6367831.9039000012</v>
      </c>
      <c r="AV117" s="43">
        <v>40</v>
      </c>
      <c r="AW117" s="43">
        <f t="shared" si="17"/>
        <v>2547132.7615600005</v>
      </c>
      <c r="AX117" s="43">
        <f t="shared" si="18"/>
        <v>28018460.377160005</v>
      </c>
      <c r="AY117" s="58"/>
      <c r="AZ117" s="58"/>
      <c r="BA117" s="58"/>
      <c r="BB117" s="58"/>
      <c r="BC117" s="48"/>
      <c r="BD117" s="48"/>
      <c r="BE117" s="48"/>
      <c r="BF117" s="48"/>
      <c r="BG117" s="48"/>
      <c r="BH117" s="48"/>
      <c r="BI117" s="48"/>
      <c r="BJ117" s="48"/>
      <c r="BK117" s="48"/>
      <c r="BL117" s="48"/>
      <c r="BM117" s="48"/>
      <c r="BN117" s="48"/>
      <c r="BO117" s="48"/>
      <c r="BP117" s="48"/>
      <c r="BQ117" s="48"/>
      <c r="BR117" s="48"/>
      <c r="BS117" s="48"/>
    </row>
    <row r="118" spans="1:71" ht="12.75" hidden="1" customHeight="1">
      <c r="A118" s="85">
        <v>114</v>
      </c>
      <c r="B118" s="86">
        <v>5125</v>
      </c>
      <c r="C118" s="29">
        <v>80</v>
      </c>
      <c r="D118" s="122">
        <v>1030577699</v>
      </c>
      <c r="E118" s="18" t="str">
        <f>IF(D118&gt;0,VLOOKUP(D118,'PLANTA PERNO'!A:D,4,0)&amp;" "&amp;VLOOKUP(D118,'PLANTA PERNO'!A:D,2,0)&amp;" "&amp;VLOOKUP(D118,'PLANTA PERNO'!A:D,3,0),IF(O118="","VACANTE DEFINITIVA","VACANTE TEMPORAL"))</f>
        <v>KATHERINE PAOLA ARAGON CASTIBLANCO</v>
      </c>
      <c r="F118" s="20" t="s">
        <v>49</v>
      </c>
      <c r="G118" s="20" t="str">
        <f t="shared" si="0"/>
        <v>EN ENCARGO</v>
      </c>
      <c r="H118" s="33">
        <f t="shared" si="35"/>
        <v>44383</v>
      </c>
      <c r="I118" s="33">
        <f t="shared" si="36"/>
        <v>44383</v>
      </c>
      <c r="J118" s="31" t="str">
        <f t="shared" si="37"/>
        <v>MUJER</v>
      </c>
      <c r="K118" s="21">
        <f t="shared" ca="1" si="38"/>
        <v>36</v>
      </c>
      <c r="L118" s="21">
        <f t="shared" ca="1" si="5"/>
        <v>5</v>
      </c>
      <c r="M118" s="21" t="str">
        <f t="shared" si="6"/>
        <v>ENCARGO</v>
      </c>
      <c r="N118" s="21" t="str">
        <f t="shared" si="20"/>
        <v>EN ENCARGO</v>
      </c>
      <c r="O118" s="21">
        <v>8526853</v>
      </c>
      <c r="P118" s="18" t="str">
        <f>IF(O118="","VACANTE DEFINITIVA",(VLOOKUP(O118,'PLANTA PERNO'!A:D,4,0)&amp;" "&amp;VLOOKUP(O118,'PLANTA PERNO'!A:D,2,0)&amp;" "&amp;VLOOKUP(O118,'PLANTA PERNO'!A:D,3,0)))</f>
        <v>EURANIO JOSE MANOTAS MALDONADO</v>
      </c>
      <c r="Q118" s="21" t="s">
        <v>1823</v>
      </c>
      <c r="R118" s="21">
        <v>4</v>
      </c>
      <c r="S118" s="21"/>
      <c r="T118" s="21"/>
      <c r="U118" s="21"/>
      <c r="V118" s="21"/>
      <c r="W118" s="38">
        <v>66644</v>
      </c>
      <c r="X118" s="128"/>
      <c r="Y118" s="21" t="str">
        <f t="shared" si="8"/>
        <v>OCUPADO</v>
      </c>
      <c r="Z118" s="23" t="s">
        <v>50</v>
      </c>
      <c r="AA118" s="24" t="s">
        <v>72</v>
      </c>
      <c r="AB118" s="25">
        <v>219</v>
      </c>
      <c r="AC118" s="27">
        <v>18</v>
      </c>
      <c r="AD118" s="28" t="str">
        <f t="shared" si="9"/>
        <v>219-18</v>
      </c>
      <c r="AE118" s="24" t="s">
        <v>153</v>
      </c>
      <c r="AF118" s="24" t="s">
        <v>153</v>
      </c>
      <c r="AG118" s="24" t="s">
        <v>2347</v>
      </c>
      <c r="AH118" s="24" t="s">
        <v>2348</v>
      </c>
      <c r="AI118" s="24" t="s">
        <v>92</v>
      </c>
      <c r="AJ118" s="24" t="s">
        <v>2346</v>
      </c>
      <c r="AK118" s="93">
        <v>5951244.7700000005</v>
      </c>
      <c r="AL118" s="93">
        <v>0</v>
      </c>
      <c r="AM118" s="93">
        <f t="shared" si="39"/>
        <v>178537</v>
      </c>
      <c r="AN118" s="93">
        <f>IFERROR(INT(($AK118*(VLOOKUP($D118,'PORCENTAJES FACTORES'!B:N,12,0))/100)),0)</f>
        <v>0</v>
      </c>
      <c r="AO118" s="93">
        <f t="shared" si="40"/>
        <v>0</v>
      </c>
      <c r="AP118" s="93">
        <f t="shared" si="13"/>
        <v>0</v>
      </c>
      <c r="AQ118" s="93">
        <f t="shared" si="14"/>
        <v>0</v>
      </c>
      <c r="AR118" s="95">
        <f t="shared" si="34"/>
        <v>6129781.7700000005</v>
      </c>
      <c r="AS118" s="96"/>
      <c r="AT118" s="97"/>
      <c r="AU118" s="43">
        <f t="shared" si="16"/>
        <v>6367831.9039000012</v>
      </c>
      <c r="AV118" s="43">
        <v>40</v>
      </c>
      <c r="AW118" s="43">
        <f t="shared" si="17"/>
        <v>2547132.7615600005</v>
      </c>
      <c r="AX118" s="43">
        <f t="shared" si="18"/>
        <v>28018460.377160005</v>
      </c>
      <c r="AY118" s="58"/>
      <c r="AZ118" s="58"/>
      <c r="BA118" s="58"/>
      <c r="BB118" s="58"/>
      <c r="BC118" s="48"/>
      <c r="BD118" s="48"/>
      <c r="BE118" s="48"/>
      <c r="BF118" s="48"/>
      <c r="BG118" s="48"/>
      <c r="BH118" s="48"/>
      <c r="BI118" s="48"/>
      <c r="BJ118" s="48"/>
      <c r="BK118" s="48"/>
      <c r="BL118" s="48"/>
      <c r="BM118" s="48"/>
      <c r="BN118" s="48"/>
      <c r="BO118" s="48"/>
      <c r="BP118" s="48"/>
      <c r="BQ118" s="48"/>
      <c r="BR118" s="48"/>
      <c r="BS118" s="48"/>
    </row>
    <row r="119" spans="1:71" ht="12.75" hidden="1" customHeight="1">
      <c r="A119" s="85">
        <v>115</v>
      </c>
      <c r="B119" s="86">
        <v>5105</v>
      </c>
      <c r="C119" s="29">
        <v>81</v>
      </c>
      <c r="D119" s="122">
        <v>1032479676</v>
      </c>
      <c r="E119" s="18" t="str">
        <f>IF(D119&gt;0,VLOOKUP(D119,'PLANTA PERNO'!A:D,4,0)&amp;" "&amp;VLOOKUP(D119,'PLANTA PERNO'!A:D,2,0)&amp;" "&amp;VLOOKUP(D119,'PLANTA PERNO'!A:D,3,0),IF(O119="","VACANTE DEFINITIVA","VACANTE TEMPORAL"))</f>
        <v>DAVID ALEJANDRO MORA BERMUDEZ</v>
      </c>
      <c r="F119" s="20" t="s">
        <v>49</v>
      </c>
      <c r="G119" s="20" t="str">
        <f t="shared" si="0"/>
        <v>EN ENCARGO</v>
      </c>
      <c r="H119" s="33">
        <f t="shared" si="35"/>
        <v>44153</v>
      </c>
      <c r="I119" s="33">
        <f t="shared" si="36"/>
        <v>44153</v>
      </c>
      <c r="J119" s="31" t="str">
        <f t="shared" si="37"/>
        <v>HOMBRE</v>
      </c>
      <c r="K119" s="21">
        <f t="shared" ca="1" si="38"/>
        <v>30</v>
      </c>
      <c r="L119" s="21">
        <f t="shared" ca="1" si="5"/>
        <v>5</v>
      </c>
      <c r="M119" s="21" t="str">
        <f t="shared" si="6"/>
        <v>ENCARGO</v>
      </c>
      <c r="N119" s="21" t="str">
        <f t="shared" si="20"/>
        <v>EN ENCARGO</v>
      </c>
      <c r="O119" s="21">
        <v>40011063</v>
      </c>
      <c r="P119" s="18" t="str">
        <f>IF(O119="","VACANTE DEFINITIVA",(VLOOKUP(O119,'PLANTA PERNO'!A:D,4,0)&amp;" "&amp;VLOOKUP(O119,'PLANTA PERNO'!A:D,2,0)&amp;" "&amp;VLOOKUP(O119,'PLANTA PERNO'!A:D,3,0)))</f>
        <v>NELCY TORRES MARTINEZ</v>
      </c>
      <c r="Q119" s="21" t="s">
        <v>1260</v>
      </c>
      <c r="R119" s="21">
        <v>2</v>
      </c>
      <c r="S119" s="21"/>
      <c r="T119" s="21"/>
      <c r="U119" s="21"/>
      <c r="V119" s="21"/>
      <c r="W119" s="38">
        <v>66645</v>
      </c>
      <c r="X119" s="128"/>
      <c r="Y119" s="21" t="str">
        <f t="shared" si="8"/>
        <v>OCUPADO</v>
      </c>
      <c r="Z119" s="23" t="s">
        <v>50</v>
      </c>
      <c r="AA119" s="24" t="s">
        <v>72</v>
      </c>
      <c r="AB119" s="25">
        <v>219</v>
      </c>
      <c r="AC119" s="27">
        <v>18</v>
      </c>
      <c r="AD119" s="28" t="str">
        <f t="shared" si="9"/>
        <v>219-18</v>
      </c>
      <c r="AE119" s="24" t="s">
        <v>153</v>
      </c>
      <c r="AF119" s="24" t="s">
        <v>153</v>
      </c>
      <c r="AG119" s="24" t="s">
        <v>2350</v>
      </c>
      <c r="AH119" s="24" t="s">
        <v>2351</v>
      </c>
      <c r="AI119" s="24" t="s">
        <v>2352</v>
      </c>
      <c r="AJ119" s="24" t="s">
        <v>2353</v>
      </c>
      <c r="AK119" s="93">
        <v>5951244.7700000005</v>
      </c>
      <c r="AL119" s="93">
        <v>0</v>
      </c>
      <c r="AM119" s="93">
        <f t="shared" si="39"/>
        <v>178537</v>
      </c>
      <c r="AN119" s="93">
        <f>IFERROR(INT(($AK119*(VLOOKUP($D119,'PORCENTAJES FACTORES'!B:N,12,0))/100)),0)</f>
        <v>2380497</v>
      </c>
      <c r="AO119" s="93">
        <f t="shared" si="40"/>
        <v>0</v>
      </c>
      <c r="AP119" s="93">
        <f t="shared" si="13"/>
        <v>0</v>
      </c>
      <c r="AQ119" s="93">
        <f t="shared" si="14"/>
        <v>0</v>
      </c>
      <c r="AR119" s="95">
        <f t="shared" si="34"/>
        <v>8510278.7699999996</v>
      </c>
      <c r="AS119" s="96"/>
      <c r="AT119" s="97"/>
      <c r="AU119" s="43">
        <f t="shared" si="16"/>
        <v>6367831.9039000012</v>
      </c>
      <c r="AV119" s="43">
        <v>40</v>
      </c>
      <c r="AW119" s="43">
        <f t="shared" si="17"/>
        <v>2547132.7615600005</v>
      </c>
      <c r="AX119" s="43">
        <f t="shared" si="18"/>
        <v>28018460.377160005</v>
      </c>
      <c r="AY119" s="58"/>
      <c r="AZ119" s="58"/>
      <c r="BA119" s="58"/>
      <c r="BB119" s="58"/>
      <c r="BC119" s="48"/>
      <c r="BD119" s="48"/>
      <c r="BE119" s="48"/>
      <c r="BF119" s="48"/>
      <c r="BG119" s="48"/>
      <c r="BH119" s="48"/>
      <c r="BI119" s="48"/>
      <c r="BJ119" s="48"/>
      <c r="BK119" s="48"/>
      <c r="BL119" s="48"/>
      <c r="BM119" s="48"/>
      <c r="BN119" s="48"/>
      <c r="BO119" s="48"/>
      <c r="BP119" s="48"/>
      <c r="BQ119" s="48"/>
      <c r="BR119" s="48"/>
      <c r="BS119" s="48"/>
    </row>
    <row r="120" spans="1:71" ht="12.75" hidden="1" customHeight="1">
      <c r="A120" s="85">
        <v>116</v>
      </c>
      <c r="B120" s="86">
        <v>5107</v>
      </c>
      <c r="C120" s="29">
        <v>78</v>
      </c>
      <c r="D120" s="122">
        <v>1110573560</v>
      </c>
      <c r="E120" s="18" t="str">
        <f>IF(D120&gt;0,VLOOKUP(D120,'PLANTA PERNO'!A:D,4,0)&amp;" "&amp;VLOOKUP(D120,'PLANTA PERNO'!A:D,2,0)&amp;" "&amp;VLOOKUP(D120,'PLANTA PERNO'!A:D,3,0),IF(O120="","VACANTE DEFINITIVA","VACANTE TEMPORAL"))</f>
        <v>CRISTHIAM DAVID JIMENEZ VASQUEZ</v>
      </c>
      <c r="F120" s="20" t="s">
        <v>49</v>
      </c>
      <c r="G120" s="20" t="str">
        <f t="shared" si="0"/>
        <v>EN ENCARGO</v>
      </c>
      <c r="H120" s="33">
        <f t="shared" si="35"/>
        <v>44299</v>
      </c>
      <c r="I120" s="33">
        <f t="shared" si="36"/>
        <v>44299</v>
      </c>
      <c r="J120" s="31" t="str">
        <f t="shared" si="37"/>
        <v>HOMBRE</v>
      </c>
      <c r="K120" s="21">
        <f t="shared" ca="1" si="38"/>
        <v>30</v>
      </c>
      <c r="L120" s="21">
        <f t="shared" ca="1" si="5"/>
        <v>5</v>
      </c>
      <c r="M120" s="21" t="str">
        <f t="shared" si="6"/>
        <v>ENCARGO</v>
      </c>
      <c r="N120" s="21" t="str">
        <f t="shared" si="20"/>
        <v>EN ENCARGO</v>
      </c>
      <c r="O120" s="21">
        <v>1018435583</v>
      </c>
      <c r="P120" s="18" t="str">
        <f>IF(O120="","VACANTE DEFINITIVA",(VLOOKUP(O120,'PLANTA PERNO'!A:D,4,0)&amp;" "&amp;VLOOKUP(O120,'PLANTA PERNO'!A:D,2,0)&amp;" "&amp;VLOOKUP(O120,'PLANTA PERNO'!A:D,3,0)))</f>
        <v>SONIA TERESA ROA SILVA</v>
      </c>
      <c r="Q120" s="21" t="s">
        <v>2342</v>
      </c>
      <c r="R120" s="21">
        <v>2</v>
      </c>
      <c r="S120" s="21"/>
      <c r="T120" s="21"/>
      <c r="U120" s="21"/>
      <c r="V120" s="21"/>
      <c r="W120" s="38">
        <v>66644</v>
      </c>
      <c r="X120" s="128"/>
      <c r="Y120" s="21" t="str">
        <f t="shared" si="8"/>
        <v>OCUPADO</v>
      </c>
      <c r="Z120" s="23" t="s">
        <v>50</v>
      </c>
      <c r="AA120" s="24" t="s">
        <v>72</v>
      </c>
      <c r="AB120" s="25">
        <v>219</v>
      </c>
      <c r="AC120" s="27">
        <v>18</v>
      </c>
      <c r="AD120" s="28" t="str">
        <f t="shared" si="9"/>
        <v>219-18</v>
      </c>
      <c r="AE120" s="24" t="s">
        <v>153</v>
      </c>
      <c r="AF120" s="24" t="s">
        <v>153</v>
      </c>
      <c r="AG120" s="24" t="s">
        <v>2347</v>
      </c>
      <c r="AH120" s="24" t="s">
        <v>2348</v>
      </c>
      <c r="AI120" s="24" t="s">
        <v>92</v>
      </c>
      <c r="AJ120" s="24" t="s">
        <v>2346</v>
      </c>
      <c r="AK120" s="93">
        <v>5951244.7700000005</v>
      </c>
      <c r="AL120" s="93">
        <v>0</v>
      </c>
      <c r="AM120" s="93">
        <f t="shared" si="39"/>
        <v>178537</v>
      </c>
      <c r="AN120" s="93">
        <f>IFERROR(INT(($AK120*(VLOOKUP($D120,'PORCENTAJES FACTORES'!B:N,12,0))/100)),0)</f>
        <v>2380497</v>
      </c>
      <c r="AO120" s="93">
        <f t="shared" si="40"/>
        <v>0</v>
      </c>
      <c r="AP120" s="93">
        <f t="shared" si="13"/>
        <v>0</v>
      </c>
      <c r="AQ120" s="93">
        <f t="shared" si="14"/>
        <v>0</v>
      </c>
      <c r="AR120" s="95">
        <f t="shared" si="34"/>
        <v>8510278.7699999996</v>
      </c>
      <c r="AS120" s="96"/>
      <c r="AT120" s="97"/>
      <c r="AU120" s="43">
        <f t="shared" si="16"/>
        <v>6367831.9039000012</v>
      </c>
      <c r="AV120" s="43">
        <v>40</v>
      </c>
      <c r="AW120" s="43">
        <f t="shared" si="17"/>
        <v>2547132.7615600005</v>
      </c>
      <c r="AX120" s="43">
        <f t="shared" si="18"/>
        <v>28018460.377160005</v>
      </c>
      <c r="AY120" s="58"/>
      <c r="AZ120" s="58"/>
      <c r="BA120" s="58"/>
      <c r="BB120" s="58"/>
      <c r="BC120" s="48"/>
      <c r="BD120" s="48"/>
      <c r="BE120" s="48"/>
      <c r="BF120" s="48"/>
      <c r="BG120" s="48"/>
      <c r="BH120" s="48"/>
      <c r="BI120" s="48"/>
      <c r="BJ120" s="48"/>
      <c r="BK120" s="48"/>
      <c r="BL120" s="48"/>
      <c r="BM120" s="48"/>
      <c r="BN120" s="48"/>
      <c r="BO120" s="48"/>
      <c r="BP120" s="48"/>
      <c r="BQ120" s="48"/>
      <c r="BR120" s="48"/>
      <c r="BS120" s="48"/>
    </row>
    <row r="121" spans="1:71" ht="12.75" hidden="1" customHeight="1">
      <c r="A121" s="85">
        <v>117</v>
      </c>
      <c r="B121" s="86">
        <v>5120</v>
      </c>
      <c r="C121" s="29">
        <v>83</v>
      </c>
      <c r="D121" s="122">
        <v>52486713</v>
      </c>
      <c r="E121" s="18" t="str">
        <f>IF(D121&gt;0,VLOOKUP(D121,'PLANTA PERNO'!A:D,4,0)&amp;" "&amp;VLOOKUP(D121,'PLANTA PERNO'!A:D,2,0)&amp;" "&amp;VLOOKUP(D121,'PLANTA PERNO'!A:D,3,0),IF(O121="","VACANTE DEFINITIVA","VACANTE TEMPORAL"))</f>
        <v>CLAUDIA MARCELA CAMARGO CASTRO</v>
      </c>
      <c r="F121" s="20" t="s">
        <v>49</v>
      </c>
      <c r="G121" s="20" t="str">
        <f t="shared" si="0"/>
        <v>EN ENCARGO</v>
      </c>
      <c r="H121" s="33">
        <f t="shared" si="35"/>
        <v>44139</v>
      </c>
      <c r="I121" s="33">
        <f t="shared" si="36"/>
        <v>44139</v>
      </c>
      <c r="J121" s="31" t="str">
        <f t="shared" si="37"/>
        <v>MUJER</v>
      </c>
      <c r="K121" s="21">
        <f t="shared" ca="1" si="38"/>
        <v>46</v>
      </c>
      <c r="L121" s="21">
        <f t="shared" ca="1" si="5"/>
        <v>5</v>
      </c>
      <c r="M121" s="21" t="str">
        <f t="shared" si="6"/>
        <v>ENCARGO</v>
      </c>
      <c r="N121" s="21" t="str">
        <f t="shared" si="20"/>
        <v>VACANTE DEFINITIVA</v>
      </c>
      <c r="O121" s="21"/>
      <c r="P121" s="18" t="str">
        <f>IF(O121="","VACANTE DEFINITIVA",(VLOOKUP(O121,'PLANTA PERNO'!A:D,4,0)&amp;" "&amp;VLOOKUP(O121,'PLANTA PERNO'!A:D,2,0)&amp;" "&amp;VLOOKUP(O121,'PLANTA PERNO'!A:D,3,0)))</f>
        <v>VACANTE DEFINITIVA</v>
      </c>
      <c r="Q121" s="21" t="s">
        <v>2354</v>
      </c>
      <c r="R121" s="21">
        <v>1</v>
      </c>
      <c r="S121" s="21"/>
      <c r="T121" s="21"/>
      <c r="U121" s="21"/>
      <c r="V121" s="21"/>
      <c r="W121" s="38"/>
      <c r="X121" s="128"/>
      <c r="Y121" s="21" t="str">
        <f t="shared" si="8"/>
        <v>OCUPADO</v>
      </c>
      <c r="Z121" s="23" t="s">
        <v>50</v>
      </c>
      <c r="AA121" s="24" t="s">
        <v>72</v>
      </c>
      <c r="AB121" s="25">
        <v>219</v>
      </c>
      <c r="AC121" s="27">
        <v>18</v>
      </c>
      <c r="AD121" s="28" t="str">
        <f t="shared" si="9"/>
        <v>219-18</v>
      </c>
      <c r="AE121" s="24" t="s">
        <v>213</v>
      </c>
      <c r="AF121" s="127" t="s">
        <v>213</v>
      </c>
      <c r="AG121" s="24" t="s">
        <v>2355</v>
      </c>
      <c r="AH121" s="24" t="s">
        <v>2356</v>
      </c>
      <c r="AI121" s="24" t="s">
        <v>2345</v>
      </c>
      <c r="AJ121" s="24" t="s">
        <v>2357</v>
      </c>
      <c r="AK121" s="93">
        <v>5951244.7700000005</v>
      </c>
      <c r="AL121" s="93">
        <v>0</v>
      </c>
      <c r="AM121" s="93">
        <f t="shared" si="39"/>
        <v>178537</v>
      </c>
      <c r="AN121" s="93">
        <f>IFERROR(INT(($AK121*(VLOOKUP($D121,'PORCENTAJES FACTORES'!B:N,12,0))/100)),0)</f>
        <v>2380497</v>
      </c>
      <c r="AO121" s="93">
        <f t="shared" si="40"/>
        <v>0</v>
      </c>
      <c r="AP121" s="93">
        <f t="shared" si="13"/>
        <v>0</v>
      </c>
      <c r="AQ121" s="93">
        <f t="shared" si="14"/>
        <v>0</v>
      </c>
      <c r="AR121" s="95">
        <f t="shared" si="34"/>
        <v>8510278.7699999996</v>
      </c>
      <c r="AS121" s="96"/>
      <c r="AT121" s="97"/>
      <c r="AU121" s="43">
        <f t="shared" si="16"/>
        <v>6367831.9039000012</v>
      </c>
      <c r="AV121" s="43">
        <v>40</v>
      </c>
      <c r="AW121" s="43">
        <f t="shared" si="17"/>
        <v>2547132.7615600005</v>
      </c>
      <c r="AX121" s="43">
        <f t="shared" si="18"/>
        <v>28018460.377160005</v>
      </c>
      <c r="AY121" s="58"/>
      <c r="AZ121" s="58"/>
      <c r="BA121" s="58"/>
      <c r="BB121" s="58"/>
      <c r="BC121" s="48"/>
      <c r="BD121" s="48"/>
      <c r="BE121" s="48"/>
      <c r="BF121" s="48"/>
      <c r="BG121" s="48"/>
      <c r="BH121" s="48"/>
      <c r="BI121" s="48"/>
      <c r="BJ121" s="48"/>
      <c r="BK121" s="48"/>
      <c r="BL121" s="48"/>
      <c r="BM121" s="48"/>
      <c r="BN121" s="48"/>
      <c r="BO121" s="48"/>
      <c r="BP121" s="48"/>
      <c r="BQ121" s="48"/>
      <c r="BR121" s="48"/>
      <c r="BS121" s="48"/>
    </row>
    <row r="122" spans="1:71" ht="12.75" hidden="1" customHeight="1">
      <c r="A122" s="85">
        <v>118</v>
      </c>
      <c r="B122" s="86">
        <v>5110</v>
      </c>
      <c r="C122" s="29">
        <v>85</v>
      </c>
      <c r="D122" s="122">
        <v>80267904</v>
      </c>
      <c r="E122" s="18" t="str">
        <f>IF(D122&gt;0,VLOOKUP(D122,'PLANTA PERNO'!A:D,4,0)&amp;" "&amp;VLOOKUP(D122,'PLANTA PERNO'!A:D,2,0)&amp;" "&amp;VLOOKUP(D122,'PLANTA PERNO'!A:D,3,0),IF(O122="","VACANTE DEFINITIVA","VACANTE TEMPORAL"))</f>
        <v>CARLOS JULIO RAMIREZ MUÃ‘OZ</v>
      </c>
      <c r="F122" s="20" t="s">
        <v>49</v>
      </c>
      <c r="G122" s="20" t="str">
        <f t="shared" si="0"/>
        <v>CARRERA ADMINISTRATIVA</v>
      </c>
      <c r="H122" s="33">
        <f t="shared" si="35"/>
        <v>44400</v>
      </c>
      <c r="I122" s="33">
        <f t="shared" si="36"/>
        <v>44400</v>
      </c>
      <c r="J122" s="31" t="str">
        <f t="shared" si="37"/>
        <v>HOMBRE</v>
      </c>
      <c r="K122" s="21">
        <f t="shared" ca="1" si="38"/>
        <v>61</v>
      </c>
      <c r="L122" s="21">
        <f t="shared" ca="1" si="5"/>
        <v>5</v>
      </c>
      <c r="M122" s="21" t="str">
        <f t="shared" si="6"/>
        <v/>
      </c>
      <c r="N122" s="21" t="str">
        <f t="shared" si="20"/>
        <v>EN PROPIEDAD</v>
      </c>
      <c r="O122" s="21">
        <v>80267904</v>
      </c>
      <c r="P122" s="18" t="str">
        <f>IF(O122="","VACANTE DEFINITIVA",(VLOOKUP(O122,'PLANTA PERNO'!A:D,4,0)&amp;" "&amp;VLOOKUP(O122,'PLANTA PERNO'!A:D,2,0)&amp;" "&amp;VLOOKUP(O122,'PLANTA PERNO'!A:D,3,0)))</f>
        <v>CARLOS JULIO RAMIREZ MUÃ‘OZ</v>
      </c>
      <c r="Q122" s="21"/>
      <c r="R122" s="21"/>
      <c r="S122" s="21"/>
      <c r="T122" s="21"/>
      <c r="U122" s="21"/>
      <c r="V122" s="21"/>
      <c r="W122" s="38">
        <v>66642</v>
      </c>
      <c r="X122" s="128"/>
      <c r="Y122" s="21" t="str">
        <f t="shared" si="8"/>
        <v>OCUPADO</v>
      </c>
      <c r="Z122" s="23" t="s">
        <v>50</v>
      </c>
      <c r="AA122" s="24" t="s">
        <v>72</v>
      </c>
      <c r="AB122" s="25">
        <v>219</v>
      </c>
      <c r="AC122" s="27">
        <v>18</v>
      </c>
      <c r="AD122" s="28" t="str">
        <f t="shared" si="9"/>
        <v>219-18</v>
      </c>
      <c r="AE122" s="24" t="s">
        <v>213</v>
      </c>
      <c r="AF122" s="63" t="s">
        <v>213</v>
      </c>
      <c r="AG122" s="24" t="s">
        <v>2358</v>
      </c>
      <c r="AH122" s="24" t="s">
        <v>2359</v>
      </c>
      <c r="AI122" s="24" t="s">
        <v>92</v>
      </c>
      <c r="AJ122" s="24" t="s">
        <v>2357</v>
      </c>
      <c r="AK122" s="93">
        <v>5951244.7700000005</v>
      </c>
      <c r="AL122" s="93">
        <v>0</v>
      </c>
      <c r="AM122" s="93">
        <f t="shared" si="39"/>
        <v>178537</v>
      </c>
      <c r="AN122" s="93">
        <f>IFERROR(INT(($AK122*(VLOOKUP($D122,'PORCENTAJES FACTORES'!B:N,12,0))/100)),0)</f>
        <v>2380497</v>
      </c>
      <c r="AO122" s="93">
        <f t="shared" si="40"/>
        <v>0</v>
      </c>
      <c r="AP122" s="93">
        <f t="shared" si="13"/>
        <v>0</v>
      </c>
      <c r="AQ122" s="93">
        <f t="shared" si="14"/>
        <v>0</v>
      </c>
      <c r="AR122" s="95">
        <f t="shared" si="34"/>
        <v>8510278.7699999996</v>
      </c>
      <c r="AS122" s="96"/>
      <c r="AT122" s="97"/>
      <c r="AU122" s="43">
        <f t="shared" si="16"/>
        <v>6367831.9039000012</v>
      </c>
      <c r="AV122" s="43">
        <v>40</v>
      </c>
      <c r="AW122" s="43">
        <f t="shared" si="17"/>
        <v>2547132.7615600005</v>
      </c>
      <c r="AX122" s="43">
        <f t="shared" si="18"/>
        <v>28018460.377160005</v>
      </c>
      <c r="AY122" s="58"/>
      <c r="AZ122" s="58"/>
      <c r="BA122" s="58"/>
      <c r="BB122" s="58"/>
      <c r="BC122" s="48"/>
      <c r="BD122" s="48"/>
      <c r="BE122" s="48"/>
      <c r="BF122" s="48"/>
      <c r="BG122" s="48"/>
      <c r="BH122" s="48"/>
      <c r="BI122" s="48"/>
      <c r="BJ122" s="48"/>
      <c r="BK122" s="48"/>
      <c r="BL122" s="48"/>
      <c r="BM122" s="48"/>
      <c r="BN122" s="48"/>
      <c r="BO122" s="48"/>
      <c r="BP122" s="48"/>
      <c r="BQ122" s="48"/>
      <c r="BR122" s="48"/>
      <c r="BS122" s="48"/>
    </row>
    <row r="123" spans="1:71" ht="13.5" hidden="1" customHeight="1">
      <c r="A123" s="85">
        <v>119</v>
      </c>
      <c r="B123" s="86">
        <v>5119</v>
      </c>
      <c r="C123" s="29">
        <v>84</v>
      </c>
      <c r="D123" s="122">
        <v>93371977</v>
      </c>
      <c r="E123" s="18" t="str">
        <f>IF(D123&gt;0,VLOOKUP(D123,'PLANTA PERNO'!A:D,4,0)&amp;" "&amp;VLOOKUP(D123,'PLANTA PERNO'!A:D,2,0)&amp;" "&amp;VLOOKUP(D123,'PLANTA PERNO'!A:D,3,0),IF(O123="","VACANTE DEFINITIVA","VACANTE TEMPORAL"))</f>
        <v>DUVAN SANDOVAL RODRIGUEZ</v>
      </c>
      <c r="F123" s="20" t="s">
        <v>49</v>
      </c>
      <c r="G123" s="20" t="str">
        <f t="shared" si="0"/>
        <v>CARRERA ADMINISTRATIVA</v>
      </c>
      <c r="H123" s="33">
        <f t="shared" si="35"/>
        <v>42585</v>
      </c>
      <c r="I123" s="33">
        <f t="shared" si="36"/>
        <v>40267</v>
      </c>
      <c r="J123" s="31" t="str">
        <f t="shared" si="37"/>
        <v>HOMBRE</v>
      </c>
      <c r="K123" s="21">
        <f t="shared" ca="1" si="38"/>
        <v>58</v>
      </c>
      <c r="L123" s="21">
        <f t="shared" ca="1" si="5"/>
        <v>10</v>
      </c>
      <c r="M123" s="21" t="str">
        <f t="shared" si="6"/>
        <v/>
      </c>
      <c r="N123" s="21" t="str">
        <f t="shared" si="20"/>
        <v>EN PROPIEDAD</v>
      </c>
      <c r="O123" s="21">
        <v>93371977</v>
      </c>
      <c r="P123" s="18" t="str">
        <f>IF(O123="","VACANTE DEFINITIVA",(VLOOKUP(O123,'PLANTA PERNO'!A:D,4,0)&amp;" "&amp;VLOOKUP(O123,'PLANTA PERNO'!A:D,2,0)&amp;" "&amp;VLOOKUP(O123,'PLANTA PERNO'!A:D,3,0)))</f>
        <v>DUVAN SANDOVAL RODRIGUEZ</v>
      </c>
      <c r="Q123" s="21"/>
      <c r="R123" s="21"/>
      <c r="S123" s="21"/>
      <c r="T123" s="21"/>
      <c r="U123" s="21"/>
      <c r="V123" s="21"/>
      <c r="W123" s="38"/>
      <c r="X123" s="128"/>
      <c r="Y123" s="21" t="str">
        <f t="shared" si="8"/>
        <v>OCUPADO</v>
      </c>
      <c r="Z123" s="23" t="s">
        <v>50</v>
      </c>
      <c r="AA123" s="24" t="s">
        <v>72</v>
      </c>
      <c r="AB123" s="25">
        <v>219</v>
      </c>
      <c r="AC123" s="27">
        <v>18</v>
      </c>
      <c r="AD123" s="28" t="str">
        <f t="shared" si="9"/>
        <v>219-18</v>
      </c>
      <c r="AE123" s="24" t="s">
        <v>213</v>
      </c>
      <c r="AF123" s="127" t="s">
        <v>213</v>
      </c>
      <c r="AG123" s="24" t="s">
        <v>2355</v>
      </c>
      <c r="AH123" s="24" t="s">
        <v>2356</v>
      </c>
      <c r="AI123" s="24" t="s">
        <v>2360</v>
      </c>
      <c r="AJ123" s="24" t="s">
        <v>2357</v>
      </c>
      <c r="AK123" s="93">
        <v>5951244.7700000005</v>
      </c>
      <c r="AL123" s="93">
        <v>0</v>
      </c>
      <c r="AM123" s="93">
        <f t="shared" si="39"/>
        <v>416587</v>
      </c>
      <c r="AN123" s="93">
        <f>IFERROR(INT(($AK123*(VLOOKUP($D123,'PORCENTAJES FACTORES'!B:N,12,0))/100)),0)</f>
        <v>2380497</v>
      </c>
      <c r="AO123" s="93">
        <f t="shared" si="40"/>
        <v>0</v>
      </c>
      <c r="AP123" s="93">
        <f t="shared" si="13"/>
        <v>0</v>
      </c>
      <c r="AQ123" s="93">
        <f t="shared" si="14"/>
        <v>0</v>
      </c>
      <c r="AR123" s="95">
        <f t="shared" si="34"/>
        <v>8748328.7699999996</v>
      </c>
      <c r="AS123" s="96"/>
      <c r="AT123" s="97"/>
      <c r="AU123" s="43">
        <f t="shared" si="16"/>
        <v>6367831.9039000012</v>
      </c>
      <c r="AV123" s="43">
        <v>40</v>
      </c>
      <c r="AW123" s="43">
        <f t="shared" si="17"/>
        <v>2547132.7615600005</v>
      </c>
      <c r="AX123" s="43">
        <f t="shared" si="18"/>
        <v>28018460.377160005</v>
      </c>
      <c r="AY123" s="58"/>
      <c r="AZ123" s="58"/>
      <c r="BA123" s="58"/>
      <c r="BB123" s="58"/>
      <c r="BC123" s="48"/>
      <c r="BD123" s="48"/>
      <c r="BE123" s="48"/>
      <c r="BF123" s="48"/>
      <c r="BG123" s="48"/>
      <c r="BH123" s="48"/>
      <c r="BI123" s="48"/>
      <c r="BJ123" s="48"/>
      <c r="BK123" s="48"/>
      <c r="BL123" s="48"/>
      <c r="BM123" s="48"/>
      <c r="BN123" s="48"/>
      <c r="BO123" s="48"/>
      <c r="BP123" s="48"/>
      <c r="BQ123" s="48"/>
      <c r="BR123" s="48"/>
      <c r="BS123" s="48"/>
    </row>
    <row r="124" spans="1:71" ht="13.5" hidden="1" customHeight="1">
      <c r="A124" s="85">
        <v>120</v>
      </c>
      <c r="B124" s="86">
        <v>5111</v>
      </c>
      <c r="C124" s="29">
        <v>86</v>
      </c>
      <c r="D124" s="122"/>
      <c r="E124" s="18" t="str">
        <f>IF(D124&gt;0,VLOOKUP(D124,'PLANTA PERNO'!A:D,4,0)&amp;" "&amp;VLOOKUP(D124,'PLANTA PERNO'!A:D,2,0)&amp;" "&amp;VLOOKUP(D124,'PLANTA PERNO'!A:D,3,0),IF(O124="","VACANTE DEFINITIVA","VACANTE TEMPORAL"))</f>
        <v>VACANTE TEMPORAL</v>
      </c>
      <c r="F124" s="20"/>
      <c r="G124" s="20" t="str">
        <f t="shared" si="0"/>
        <v>VACANTE TEMPORAL</v>
      </c>
      <c r="H124" s="33" t="str">
        <f t="shared" si="35"/>
        <v xml:space="preserve"> </v>
      </c>
      <c r="I124" s="33" t="str">
        <f t="shared" si="36"/>
        <v/>
      </c>
      <c r="J124" s="31" t="str">
        <f t="shared" si="37"/>
        <v/>
      </c>
      <c r="K124" s="21" t="str">
        <f t="shared" ca="1" si="38"/>
        <v/>
      </c>
      <c r="L124" s="21" t="str">
        <f t="shared" ca="1" si="5"/>
        <v/>
      </c>
      <c r="M124" s="21" t="str">
        <f t="shared" si="6"/>
        <v/>
      </c>
      <c r="N124" s="21" t="str">
        <f t="shared" si="20"/>
        <v>EN ENCARGO</v>
      </c>
      <c r="O124" s="21">
        <v>53001416</v>
      </c>
      <c r="P124" s="18" t="str">
        <f>IF(O124="","VACANTE DEFINITIVA",(VLOOKUP(O124,'PLANTA PERNO'!A:D,4,0)&amp;" "&amp;VLOOKUP(O124,'PLANTA PERNO'!A:D,2,0)&amp;" "&amp;VLOOKUP(O124,'PLANTA PERNO'!A:D,3,0)))</f>
        <v>DIANA MARIA MORENO VARGAS</v>
      </c>
      <c r="Q124" s="21" t="s">
        <v>963</v>
      </c>
      <c r="R124" s="21">
        <v>2</v>
      </c>
      <c r="S124" s="21"/>
      <c r="T124" s="21"/>
      <c r="U124" s="21"/>
      <c r="V124" s="21"/>
      <c r="W124" s="38">
        <v>66641</v>
      </c>
      <c r="X124" s="128"/>
      <c r="Y124" s="21" t="str">
        <f t="shared" si="8"/>
        <v>VACANTE TEMPORAL</v>
      </c>
      <c r="Z124" s="23" t="s">
        <v>50</v>
      </c>
      <c r="AA124" s="24" t="s">
        <v>72</v>
      </c>
      <c r="AB124" s="25">
        <v>219</v>
      </c>
      <c r="AC124" s="27">
        <v>18</v>
      </c>
      <c r="AD124" s="28" t="str">
        <f t="shared" si="9"/>
        <v>219-18</v>
      </c>
      <c r="AE124" s="24" t="s">
        <v>33</v>
      </c>
      <c r="AF124" s="127" t="s">
        <v>33</v>
      </c>
      <c r="AG124" s="24" t="s">
        <v>77</v>
      </c>
      <c r="AH124" s="24" t="s">
        <v>78</v>
      </c>
      <c r="AI124" s="24" t="s">
        <v>80</v>
      </c>
      <c r="AJ124" s="24" t="s">
        <v>81</v>
      </c>
      <c r="AK124" s="93">
        <v>5951244.7700000005</v>
      </c>
      <c r="AL124" s="93">
        <v>0</v>
      </c>
      <c r="AM124" s="93">
        <f t="shared" si="39"/>
        <v>0</v>
      </c>
      <c r="AN124" s="93">
        <f>IFERROR(INT(($AK124*(VLOOKUP($D124,'PORCENTAJES FACTORES'!B:N,12,0))/100)),0)</f>
        <v>0</v>
      </c>
      <c r="AO124" s="93">
        <f t="shared" si="40"/>
        <v>0</v>
      </c>
      <c r="AP124" s="93">
        <f t="shared" si="13"/>
        <v>0</v>
      </c>
      <c r="AQ124" s="93">
        <f t="shared" si="14"/>
        <v>0</v>
      </c>
      <c r="AR124" s="95">
        <f t="shared" si="34"/>
        <v>5951244.7700000005</v>
      </c>
      <c r="AS124" s="96"/>
      <c r="AT124" s="97"/>
      <c r="AU124" s="43">
        <f t="shared" si="16"/>
        <v>6367831.9039000012</v>
      </c>
      <c r="AV124" s="43">
        <v>40</v>
      </c>
      <c r="AW124" s="43">
        <f t="shared" si="17"/>
        <v>2547132.7615600005</v>
      </c>
      <c r="AX124" s="43">
        <f t="shared" si="18"/>
        <v>28018460.377160005</v>
      </c>
      <c r="AY124" s="58"/>
      <c r="AZ124" s="58"/>
      <c r="BA124" s="58"/>
      <c r="BB124" s="58"/>
      <c r="BC124" s="48"/>
      <c r="BD124" s="48"/>
      <c r="BE124" s="48"/>
      <c r="BF124" s="48"/>
      <c r="BG124" s="48"/>
      <c r="BH124" s="48"/>
      <c r="BI124" s="48"/>
      <c r="BJ124" s="48"/>
      <c r="BK124" s="48"/>
      <c r="BL124" s="48"/>
      <c r="BM124" s="48"/>
      <c r="BN124" s="48"/>
      <c r="BO124" s="48"/>
      <c r="BP124" s="48"/>
      <c r="BQ124" s="48"/>
      <c r="BR124" s="48"/>
      <c r="BS124" s="48"/>
    </row>
    <row r="125" spans="1:71" ht="13.5" hidden="1" customHeight="1">
      <c r="A125" s="85">
        <v>121</v>
      </c>
      <c r="B125" s="86">
        <v>5112</v>
      </c>
      <c r="C125" s="29">
        <v>87</v>
      </c>
      <c r="D125" s="122"/>
      <c r="E125" s="18" t="str">
        <f>IF(D125&gt;0,VLOOKUP(D125,'PLANTA PERNO'!A:D,4,0)&amp;" "&amp;VLOOKUP(D125,'PLANTA PERNO'!A:D,2,0)&amp;" "&amp;VLOOKUP(D125,'PLANTA PERNO'!A:D,3,0),IF(O125="","VACANTE DEFINITIVA","VACANTE TEMPORAL"))</f>
        <v>VACANTE DEFINITIVA</v>
      </c>
      <c r="F125" s="20"/>
      <c r="G125" s="20" t="str">
        <f t="shared" si="0"/>
        <v>VACANTE DEFINITIVA</v>
      </c>
      <c r="H125" s="33" t="str">
        <f t="shared" si="35"/>
        <v xml:space="preserve"> </v>
      </c>
      <c r="I125" s="33" t="str">
        <f t="shared" si="36"/>
        <v/>
      </c>
      <c r="J125" s="31" t="str">
        <f t="shared" si="37"/>
        <v/>
      </c>
      <c r="K125" s="21" t="str">
        <f t="shared" ca="1" si="38"/>
        <v/>
      </c>
      <c r="L125" s="21" t="str">
        <f t="shared" ca="1" si="5"/>
        <v/>
      </c>
      <c r="M125" s="21" t="str">
        <f t="shared" si="6"/>
        <v/>
      </c>
      <c r="N125" s="21" t="str">
        <f t="shared" si="20"/>
        <v>VACANTE DEFINITIVA</v>
      </c>
      <c r="O125" s="21" t="s">
        <v>25</v>
      </c>
      <c r="P125" s="18" t="str">
        <f>IF(O125="","VACANTE DEFINITIVA",(VLOOKUP(O125,'PLANTA PERNO'!A:D,4,0)&amp;" "&amp;VLOOKUP(O125,'PLANTA PERNO'!A:D,2,0)&amp;" "&amp;VLOOKUP(O125,'PLANTA PERNO'!A:D,3,0)))</f>
        <v>VACANTE DEFINITIVA</v>
      </c>
      <c r="Q125" s="21"/>
      <c r="R125" s="21"/>
      <c r="S125" s="21"/>
      <c r="T125" s="21"/>
      <c r="U125" s="21"/>
      <c r="V125" s="21"/>
      <c r="W125" s="38">
        <v>66641</v>
      </c>
      <c r="X125" s="128"/>
      <c r="Y125" s="21" t="str">
        <f t="shared" si="8"/>
        <v>VACANTE DEFINITIVA</v>
      </c>
      <c r="Z125" s="23" t="s">
        <v>50</v>
      </c>
      <c r="AA125" s="24" t="s">
        <v>72</v>
      </c>
      <c r="AB125" s="25">
        <v>219</v>
      </c>
      <c r="AC125" s="27">
        <v>18</v>
      </c>
      <c r="AD125" s="28" t="str">
        <f t="shared" si="9"/>
        <v>219-18</v>
      </c>
      <c r="AE125" s="24" t="s">
        <v>33</v>
      </c>
      <c r="AF125" s="127" t="s">
        <v>33</v>
      </c>
      <c r="AG125" s="24" t="s">
        <v>77</v>
      </c>
      <c r="AH125" s="24" t="s">
        <v>78</v>
      </c>
      <c r="AI125" s="24" t="s">
        <v>80</v>
      </c>
      <c r="AJ125" s="24" t="s">
        <v>81</v>
      </c>
      <c r="AK125" s="93">
        <v>5951244.7700000005</v>
      </c>
      <c r="AL125" s="93">
        <v>0</v>
      </c>
      <c r="AM125" s="93">
        <f t="shared" si="39"/>
        <v>0</v>
      </c>
      <c r="AN125" s="93">
        <f>IFERROR(INT(($AK125*(VLOOKUP($D125,'PORCENTAJES FACTORES'!B:N,12,0))/100)),0)</f>
        <v>0</v>
      </c>
      <c r="AO125" s="93">
        <f t="shared" si="40"/>
        <v>0</v>
      </c>
      <c r="AP125" s="93">
        <f t="shared" si="13"/>
        <v>0</v>
      </c>
      <c r="AQ125" s="93">
        <f t="shared" si="14"/>
        <v>0</v>
      </c>
      <c r="AR125" s="95">
        <f t="shared" si="34"/>
        <v>5951244.7700000005</v>
      </c>
      <c r="AS125" s="96"/>
      <c r="AT125" s="97"/>
      <c r="AU125" s="43">
        <f t="shared" si="16"/>
        <v>6367831.9039000012</v>
      </c>
      <c r="AV125" s="43">
        <v>40</v>
      </c>
      <c r="AW125" s="43">
        <f t="shared" si="17"/>
        <v>2547132.7615600005</v>
      </c>
      <c r="AX125" s="43">
        <f t="shared" si="18"/>
        <v>28018460.377160005</v>
      </c>
      <c r="AY125" s="58"/>
      <c r="AZ125" s="58"/>
      <c r="BA125" s="58"/>
      <c r="BB125" s="58"/>
      <c r="BC125" s="48"/>
      <c r="BD125" s="48"/>
      <c r="BE125" s="48"/>
      <c r="BF125" s="48"/>
      <c r="BG125" s="48"/>
      <c r="BH125" s="48"/>
      <c r="BI125" s="48"/>
      <c r="BJ125" s="48"/>
      <c r="BK125" s="48"/>
      <c r="BL125" s="48"/>
      <c r="BM125" s="48"/>
      <c r="BN125" s="48"/>
      <c r="BO125" s="48"/>
      <c r="BP125" s="48"/>
      <c r="BQ125" s="48"/>
      <c r="BR125" s="48"/>
      <c r="BS125" s="48"/>
    </row>
    <row r="126" spans="1:71" ht="12.75" hidden="1" customHeight="1">
      <c r="A126" s="85">
        <v>122</v>
      </c>
      <c r="B126" s="86">
        <v>5122</v>
      </c>
      <c r="C126" s="29">
        <v>88</v>
      </c>
      <c r="D126" s="122">
        <v>11446004</v>
      </c>
      <c r="E126" s="18" t="str">
        <f>IF(D126&gt;0,VLOOKUP(D126,'PLANTA PERNO'!A:D,4,0)&amp;" "&amp;VLOOKUP(D126,'PLANTA PERNO'!A:D,2,0)&amp;" "&amp;VLOOKUP(D126,'PLANTA PERNO'!A:D,3,0),IF(O126="","VACANTE DEFINITIVA","VACANTE TEMPORAL"))</f>
        <v>OSCAR FRANCISCO CELIS BERNAL</v>
      </c>
      <c r="F126" s="20" t="s">
        <v>49</v>
      </c>
      <c r="G126" s="20" t="str">
        <f t="shared" si="0"/>
        <v>EN ENCARGO</v>
      </c>
      <c r="H126" s="33">
        <f t="shared" si="35"/>
        <v>45170</v>
      </c>
      <c r="I126" s="33">
        <f t="shared" si="36"/>
        <v>45170</v>
      </c>
      <c r="J126" s="31" t="str">
        <f t="shared" si="37"/>
        <v>HOMBRE</v>
      </c>
      <c r="K126" s="21">
        <f t="shared" ca="1" si="38"/>
        <v>45</v>
      </c>
      <c r="L126" s="21">
        <f t="shared" ca="1" si="5"/>
        <v>3</v>
      </c>
      <c r="M126" s="21" t="str">
        <f t="shared" si="6"/>
        <v>ENCARGO</v>
      </c>
      <c r="N126" s="21" t="str">
        <f t="shared" si="20"/>
        <v>VACANTE DEFINITIVA</v>
      </c>
      <c r="O126" s="21" t="s">
        <v>25</v>
      </c>
      <c r="P126" s="18" t="str">
        <f>IF(O126="","VACANTE DEFINITIVA",(VLOOKUP(O126,'PLANTA PERNO'!A:D,4,0)&amp;" "&amp;VLOOKUP(O126,'PLANTA PERNO'!A:D,2,0)&amp;" "&amp;VLOOKUP(O126,'PLANTA PERNO'!A:D,3,0)))</f>
        <v>VACANTE DEFINITIVA</v>
      </c>
      <c r="Q126" s="21" t="s">
        <v>1006</v>
      </c>
      <c r="R126" s="21">
        <v>1</v>
      </c>
      <c r="S126" s="21"/>
      <c r="T126" s="21"/>
      <c r="U126" s="21"/>
      <c r="V126" s="21"/>
      <c r="W126" s="38"/>
      <c r="X126" s="123">
        <v>220287</v>
      </c>
      <c r="Y126" s="21" t="str">
        <f t="shared" si="8"/>
        <v>OCUPADO</v>
      </c>
      <c r="Z126" s="23" t="s">
        <v>50</v>
      </c>
      <c r="AA126" s="24" t="s">
        <v>72</v>
      </c>
      <c r="AB126" s="25">
        <v>219</v>
      </c>
      <c r="AC126" s="27">
        <v>18</v>
      </c>
      <c r="AD126" s="28" t="str">
        <f t="shared" si="9"/>
        <v>219-18</v>
      </c>
      <c r="AE126" s="24" t="s">
        <v>150</v>
      </c>
      <c r="AF126" s="24" t="s">
        <v>150</v>
      </c>
      <c r="AG126" s="24" t="s">
        <v>2361</v>
      </c>
      <c r="AH126" s="24" t="s">
        <v>2362</v>
      </c>
      <c r="AI126" s="24" t="s">
        <v>2363</v>
      </c>
      <c r="AJ126" s="24" t="s">
        <v>2364</v>
      </c>
      <c r="AK126" s="93">
        <v>5951244.7700000005</v>
      </c>
      <c r="AL126" s="93">
        <v>0</v>
      </c>
      <c r="AM126" s="93">
        <f t="shared" si="39"/>
        <v>0</v>
      </c>
      <c r="AN126" s="93">
        <f>IFERROR(INT(($AK126*(VLOOKUP($D126,'PORCENTAJES FACTORES'!B:N,12,0))/100)),0)</f>
        <v>2380497</v>
      </c>
      <c r="AO126" s="93">
        <f t="shared" si="40"/>
        <v>0</v>
      </c>
      <c r="AP126" s="93">
        <f t="shared" si="13"/>
        <v>0</v>
      </c>
      <c r="AQ126" s="93">
        <f t="shared" si="14"/>
        <v>0</v>
      </c>
      <c r="AR126" s="95">
        <f t="shared" si="34"/>
        <v>8331741.7700000005</v>
      </c>
      <c r="AS126" s="96"/>
      <c r="AT126" s="97"/>
      <c r="AU126" s="43">
        <f t="shared" si="16"/>
        <v>6367831.9039000012</v>
      </c>
      <c r="AV126" s="43">
        <v>40</v>
      </c>
      <c r="AW126" s="43">
        <f t="shared" si="17"/>
        <v>2547132.7615600005</v>
      </c>
      <c r="AX126" s="43">
        <f t="shared" si="18"/>
        <v>28018460.377160005</v>
      </c>
      <c r="AY126" s="58"/>
      <c r="AZ126" s="58"/>
      <c r="BA126" s="58"/>
      <c r="BB126" s="58"/>
      <c r="BC126" s="48"/>
      <c r="BD126" s="48"/>
      <c r="BE126" s="48"/>
      <c r="BF126" s="48"/>
      <c r="BG126" s="48"/>
      <c r="BH126" s="48"/>
      <c r="BI126" s="48"/>
      <c r="BJ126" s="48"/>
      <c r="BK126" s="48"/>
      <c r="BL126" s="48"/>
      <c r="BM126" s="48"/>
      <c r="BN126" s="48"/>
      <c r="BO126" s="48"/>
      <c r="BP126" s="48"/>
      <c r="BQ126" s="48"/>
      <c r="BR126" s="48"/>
      <c r="BS126" s="48"/>
    </row>
    <row r="127" spans="1:71" ht="12.75" hidden="1" customHeight="1">
      <c r="A127" s="85">
        <v>123</v>
      </c>
      <c r="B127" s="86">
        <v>5113</v>
      </c>
      <c r="C127" s="29">
        <v>89</v>
      </c>
      <c r="D127" s="122">
        <v>1013608357</v>
      </c>
      <c r="E127" s="18" t="str">
        <f>IF(D127&gt;0,VLOOKUP(D127,'PLANTA PERNO'!A:D,4,0)&amp;" "&amp;VLOOKUP(D127,'PLANTA PERNO'!A:D,2,0)&amp;" "&amp;VLOOKUP(D127,'PLANTA PERNO'!A:D,3,0),IF(O127="","VACANTE DEFINITIVA","VACANTE TEMPORAL"))</f>
        <v>MONICA JULIANA SANMIGUEL ROJAS</v>
      </c>
      <c r="F127" s="20" t="s">
        <v>49</v>
      </c>
      <c r="G127" s="20" t="str">
        <f t="shared" si="0"/>
        <v>EN ENCARGO</v>
      </c>
      <c r="H127" s="33">
        <f t="shared" si="35"/>
        <v>44463</v>
      </c>
      <c r="I127" s="33">
        <f t="shared" si="36"/>
        <v>44463</v>
      </c>
      <c r="J127" s="31" t="str">
        <f t="shared" si="37"/>
        <v>MUJER</v>
      </c>
      <c r="K127" s="21">
        <f t="shared" ca="1" si="38"/>
        <v>36</v>
      </c>
      <c r="L127" s="21">
        <f t="shared" ca="1" si="5"/>
        <v>5</v>
      </c>
      <c r="M127" s="21" t="str">
        <f t="shared" si="6"/>
        <v>ENCARGO</v>
      </c>
      <c r="N127" s="21" t="str">
        <f t="shared" si="20"/>
        <v>VACANTE DEFINITIVA</v>
      </c>
      <c r="O127" s="21" t="s">
        <v>25</v>
      </c>
      <c r="P127" s="18" t="str">
        <f>IF(O127="","VACANTE DEFINITIVA",(VLOOKUP(O127,'PLANTA PERNO'!A:D,4,0)&amp;" "&amp;VLOOKUP(O127,'PLANTA PERNO'!A:D,2,0)&amp;" "&amp;VLOOKUP(O127,'PLANTA PERNO'!A:D,3,0)))</f>
        <v>VACANTE DEFINITIVA</v>
      </c>
      <c r="Q127" s="21" t="s">
        <v>2365</v>
      </c>
      <c r="R127" s="21">
        <v>1</v>
      </c>
      <c r="S127" s="21"/>
      <c r="T127" s="21"/>
      <c r="U127" s="21"/>
      <c r="V127" s="21"/>
      <c r="W127" s="38">
        <v>66620</v>
      </c>
      <c r="X127" s="128"/>
      <c r="Y127" s="21" t="str">
        <f t="shared" si="8"/>
        <v>OCUPADO</v>
      </c>
      <c r="Z127" s="23" t="s">
        <v>50</v>
      </c>
      <c r="AA127" s="24" t="s">
        <v>72</v>
      </c>
      <c r="AB127" s="25">
        <v>219</v>
      </c>
      <c r="AC127" s="27">
        <v>18</v>
      </c>
      <c r="AD127" s="28" t="str">
        <f t="shared" si="9"/>
        <v>219-18</v>
      </c>
      <c r="AE127" s="24" t="s">
        <v>150</v>
      </c>
      <c r="AF127" s="24" t="s">
        <v>150</v>
      </c>
      <c r="AG127" s="24" t="s">
        <v>2366</v>
      </c>
      <c r="AH127" s="24" t="s">
        <v>2367</v>
      </c>
      <c r="AI127" s="24" t="s">
        <v>92</v>
      </c>
      <c r="AJ127" s="24" t="s">
        <v>2368</v>
      </c>
      <c r="AK127" s="93">
        <v>5951244.7700000005</v>
      </c>
      <c r="AL127" s="93">
        <v>0</v>
      </c>
      <c r="AM127" s="93">
        <f>IFERROR(INT(($AK127*(VLOOKUP(#REF!,BASE_PORCENTAJES,10,0))/100)),0)</f>
        <v>0</v>
      </c>
      <c r="AN127" s="93">
        <f>IFERROR(INT(($AK127*(VLOOKUP($D127,'PORCENTAJES FACTORES'!B:N,12,0))/100)),0)</f>
        <v>2380497</v>
      </c>
      <c r="AO127" s="93">
        <f>IFERROR(INT(($AK127*(VLOOKUP(#REF!,BASE_PORCENTAJES,13,0))/100)),0)</f>
        <v>0</v>
      </c>
      <c r="AP127" s="93">
        <f t="shared" si="13"/>
        <v>0</v>
      </c>
      <c r="AQ127" s="93">
        <f t="shared" si="14"/>
        <v>0</v>
      </c>
      <c r="AR127" s="95">
        <f t="shared" si="34"/>
        <v>8331741.7700000005</v>
      </c>
      <c r="AS127" s="96"/>
      <c r="AT127" s="97"/>
      <c r="AU127" s="43">
        <f t="shared" si="16"/>
        <v>6367831.9039000012</v>
      </c>
      <c r="AV127" s="43">
        <v>40</v>
      </c>
      <c r="AW127" s="43">
        <f t="shared" si="17"/>
        <v>2547132.7615600005</v>
      </c>
      <c r="AX127" s="43">
        <f t="shared" si="18"/>
        <v>28018460.377160005</v>
      </c>
      <c r="AY127" s="58"/>
      <c r="AZ127" s="58"/>
      <c r="BA127" s="58"/>
      <c r="BB127" s="58"/>
      <c r="BC127" s="48"/>
      <c r="BD127" s="48"/>
      <c r="BE127" s="48"/>
      <c r="BF127" s="48"/>
      <c r="BG127" s="48"/>
      <c r="BH127" s="48"/>
      <c r="BI127" s="48"/>
      <c r="BJ127" s="48"/>
      <c r="BK127" s="48"/>
      <c r="BL127" s="48"/>
      <c r="BM127" s="48"/>
      <c r="BN127" s="48"/>
      <c r="BO127" s="48"/>
      <c r="BP127" s="48"/>
      <c r="BQ127" s="48"/>
      <c r="BR127" s="48"/>
      <c r="BS127" s="48"/>
    </row>
    <row r="128" spans="1:71" ht="12.75" hidden="1" customHeight="1">
      <c r="A128" s="85">
        <v>124</v>
      </c>
      <c r="B128" s="86">
        <v>5121</v>
      </c>
      <c r="C128" s="29">
        <v>90</v>
      </c>
      <c r="D128" s="122">
        <v>79584810</v>
      </c>
      <c r="E128" s="18" t="str">
        <f>IF(D128&gt;0,VLOOKUP(D128,'PLANTA PERNO'!A:D,4,0)&amp;" "&amp;VLOOKUP(D128,'PLANTA PERNO'!A:D,2,0)&amp;" "&amp;VLOOKUP(D128,'PLANTA PERNO'!A:D,3,0),IF(O128="","VACANTE DEFINITIVA","VACANTE TEMPORAL"))</f>
        <v>MIGUEL PINTO SEGURA</v>
      </c>
      <c r="F128" s="20" t="s">
        <v>49</v>
      </c>
      <c r="G128" s="20" t="str">
        <f t="shared" si="0"/>
        <v>CARRERA ADMINISTRATIVA</v>
      </c>
      <c r="H128" s="33">
        <f t="shared" si="35"/>
        <v>44139</v>
      </c>
      <c r="I128" s="33">
        <f t="shared" si="36"/>
        <v>44139</v>
      </c>
      <c r="J128" s="31" t="str">
        <f t="shared" si="37"/>
        <v>HOMBRE</v>
      </c>
      <c r="K128" s="21">
        <f t="shared" ca="1" si="38"/>
        <v>54</v>
      </c>
      <c r="L128" s="21">
        <f t="shared" ca="1" si="5"/>
        <v>5</v>
      </c>
      <c r="M128" s="21" t="str">
        <f t="shared" si="6"/>
        <v/>
      </c>
      <c r="N128" s="21" t="str">
        <f t="shared" si="20"/>
        <v>EN PROPIEDAD</v>
      </c>
      <c r="O128" s="21">
        <v>79584810</v>
      </c>
      <c r="P128" s="18" t="str">
        <f>IF(O128="","VACANTE DEFINITIVA",(VLOOKUP(O128,'PLANTA PERNO'!A:D,4,0)&amp;" "&amp;VLOOKUP(O128,'PLANTA PERNO'!A:D,2,0)&amp;" "&amp;VLOOKUP(O128,'PLANTA PERNO'!A:D,3,0)))</f>
        <v>MIGUEL PINTO SEGURA</v>
      </c>
      <c r="Q128" s="21"/>
      <c r="R128" s="21"/>
      <c r="S128" s="21"/>
      <c r="T128" s="21"/>
      <c r="U128" s="21"/>
      <c r="V128" s="21"/>
      <c r="W128" s="38">
        <v>66619</v>
      </c>
      <c r="X128" s="128"/>
      <c r="Y128" s="21" t="str">
        <f t="shared" si="8"/>
        <v>OCUPADO</v>
      </c>
      <c r="Z128" s="23" t="s">
        <v>50</v>
      </c>
      <c r="AA128" s="24" t="s">
        <v>72</v>
      </c>
      <c r="AB128" s="25">
        <v>219</v>
      </c>
      <c r="AC128" s="27">
        <v>18</v>
      </c>
      <c r="AD128" s="28" t="s">
        <v>73</v>
      </c>
      <c r="AE128" s="24" t="s">
        <v>150</v>
      </c>
      <c r="AF128" s="24" t="s">
        <v>150</v>
      </c>
      <c r="AG128" s="24" t="s">
        <v>2369</v>
      </c>
      <c r="AH128" s="24" t="s">
        <v>2370</v>
      </c>
      <c r="AI128" s="24" t="s">
        <v>2371</v>
      </c>
      <c r="AJ128" s="24" t="s">
        <v>2364</v>
      </c>
      <c r="AK128" s="93">
        <v>5951244.7700000005</v>
      </c>
      <c r="AL128" s="93">
        <v>0</v>
      </c>
      <c r="AM128" s="93">
        <f t="shared" ref="AM128:AM174" si="41">IFERROR(INT(($AK128*(VLOOKUP($D128,BASE_PORCENTAJES,10,0))/100)),0)</f>
        <v>178537</v>
      </c>
      <c r="AN128" s="93">
        <f>IFERROR(INT(($AK128*(VLOOKUP($D128,'PORCENTAJES FACTORES'!B:N,12,0))/100)),0)</f>
        <v>2380497</v>
      </c>
      <c r="AO128" s="93">
        <f t="shared" ref="AO128:AO174" si="42">IFERROR(INT(($AK128*(VLOOKUP($D128,BASE_PORCENTAJES,13,0))/100)),0)</f>
        <v>0</v>
      </c>
      <c r="AP128" s="93">
        <f t="shared" si="13"/>
        <v>0</v>
      </c>
      <c r="AQ128" s="93">
        <f t="shared" si="14"/>
        <v>0</v>
      </c>
      <c r="AR128" s="95">
        <f t="shared" si="34"/>
        <v>8510278.7699999996</v>
      </c>
      <c r="AS128" s="96"/>
      <c r="AT128" s="97"/>
      <c r="AU128" s="43">
        <f t="shared" si="16"/>
        <v>6367831.9039000012</v>
      </c>
      <c r="AV128" s="43">
        <v>40</v>
      </c>
      <c r="AW128" s="43">
        <f t="shared" si="17"/>
        <v>2547132.7615600005</v>
      </c>
      <c r="AX128" s="43">
        <f t="shared" si="18"/>
        <v>28018460.377160005</v>
      </c>
      <c r="AY128" s="58"/>
      <c r="AZ128" s="58"/>
      <c r="BA128" s="58"/>
      <c r="BB128" s="58"/>
      <c r="BC128" s="48"/>
      <c r="BD128" s="48"/>
      <c r="BE128" s="48"/>
      <c r="BF128" s="48"/>
      <c r="BG128" s="48"/>
      <c r="BH128" s="48"/>
      <c r="BI128" s="48"/>
      <c r="BJ128" s="48"/>
      <c r="BK128" s="48"/>
      <c r="BL128" s="48"/>
      <c r="BM128" s="48"/>
      <c r="BN128" s="48"/>
      <c r="BO128" s="48"/>
      <c r="BP128" s="48"/>
      <c r="BQ128" s="48"/>
      <c r="BR128" s="48"/>
      <c r="BS128" s="48"/>
    </row>
    <row r="129" spans="1:71" ht="12.75" hidden="1" customHeight="1">
      <c r="A129" s="85">
        <v>125</v>
      </c>
      <c r="B129" s="86">
        <v>5115</v>
      </c>
      <c r="C129" s="29">
        <v>91</v>
      </c>
      <c r="D129" s="122">
        <v>80154878</v>
      </c>
      <c r="E129" s="18" t="str">
        <f>IF(D129&gt;0,VLOOKUP(D129,'PLANTA PERNO'!A:D,4,0)&amp;" "&amp;VLOOKUP(D129,'PLANTA PERNO'!A:D,2,0)&amp;" "&amp;VLOOKUP(D129,'PLANTA PERNO'!A:D,3,0),IF(O129="","VACANTE DEFINITIVA","VACANTE TEMPORAL"))</f>
        <v>JUAN CAMILO RUIZ ZAMUDIO</v>
      </c>
      <c r="F129" s="20" t="s">
        <v>49</v>
      </c>
      <c r="G129" s="20" t="str">
        <f t="shared" si="0"/>
        <v>EN ENCARGO</v>
      </c>
      <c r="H129" s="33">
        <f t="shared" si="35"/>
        <v>44146</v>
      </c>
      <c r="I129" s="33">
        <f t="shared" si="36"/>
        <v>43843</v>
      </c>
      <c r="J129" s="31" t="str">
        <f t="shared" si="37"/>
        <v>HOMBRE</v>
      </c>
      <c r="K129" s="21">
        <f t="shared" ca="1" si="38"/>
        <v>45</v>
      </c>
      <c r="L129" s="21">
        <f t="shared" ca="1" si="5"/>
        <v>5</v>
      </c>
      <c r="M129" s="21" t="str">
        <f t="shared" si="6"/>
        <v>ENCARGO</v>
      </c>
      <c r="N129" s="21" t="str">
        <f t="shared" si="20"/>
        <v>EN ENCARGO</v>
      </c>
      <c r="O129" s="21">
        <v>73155098</v>
      </c>
      <c r="P129" s="18" t="str">
        <f>IF(O129="","VACANTE DEFINITIVA",(VLOOKUP(O129,'PLANTA PERNO'!A:D,4,0)&amp;" "&amp;VLOOKUP(O129,'PLANTA PERNO'!A:D,2,0)&amp;" "&amp;VLOOKUP(O129,'PLANTA PERNO'!A:D,3,0)))</f>
        <v>FERNAN ENRIQUE PEREZ FORTICH</v>
      </c>
      <c r="Q129" s="21" t="s">
        <v>2220</v>
      </c>
      <c r="R129" s="21">
        <v>3</v>
      </c>
      <c r="S129" s="21"/>
      <c r="T129" s="21"/>
      <c r="U129" s="21"/>
      <c r="V129" s="21"/>
      <c r="W129" s="38">
        <v>66620</v>
      </c>
      <c r="X129" s="128"/>
      <c r="Y129" s="21" t="str">
        <f t="shared" si="8"/>
        <v>OCUPADO</v>
      </c>
      <c r="Z129" s="23" t="s">
        <v>50</v>
      </c>
      <c r="AA129" s="24" t="s">
        <v>72</v>
      </c>
      <c r="AB129" s="25">
        <v>219</v>
      </c>
      <c r="AC129" s="27">
        <v>18</v>
      </c>
      <c r="AD129" s="28" t="str">
        <f t="shared" ref="AD129:AD174" si="43">AB129&amp;"-"&amp;AC129</f>
        <v>219-18</v>
      </c>
      <c r="AE129" s="24" t="s">
        <v>150</v>
      </c>
      <c r="AF129" s="24" t="s">
        <v>150</v>
      </c>
      <c r="AG129" s="24" t="s">
        <v>2366</v>
      </c>
      <c r="AH129" s="24" t="s">
        <v>2367</v>
      </c>
      <c r="AI129" s="24" t="s">
        <v>92</v>
      </c>
      <c r="AJ129" s="24" t="s">
        <v>2368</v>
      </c>
      <c r="AK129" s="93">
        <v>5951244.7700000005</v>
      </c>
      <c r="AL129" s="93">
        <v>0</v>
      </c>
      <c r="AM129" s="93">
        <f t="shared" si="41"/>
        <v>178537</v>
      </c>
      <c r="AN129" s="93">
        <f>IFERROR(INT(($AK129*(VLOOKUP($D129,'PORCENTAJES FACTORES'!B:N,12,0))/100)),0)</f>
        <v>2380497</v>
      </c>
      <c r="AO129" s="93">
        <f t="shared" si="42"/>
        <v>0</v>
      </c>
      <c r="AP129" s="93">
        <f t="shared" si="13"/>
        <v>0</v>
      </c>
      <c r="AQ129" s="93">
        <f t="shared" si="14"/>
        <v>0</v>
      </c>
      <c r="AR129" s="95">
        <f t="shared" si="34"/>
        <v>8510278.7699999996</v>
      </c>
      <c r="AS129" s="96"/>
      <c r="AT129" s="97"/>
      <c r="AU129" s="43">
        <f t="shared" si="16"/>
        <v>6367831.9039000012</v>
      </c>
      <c r="AV129" s="43">
        <v>40</v>
      </c>
      <c r="AW129" s="43">
        <f t="shared" si="17"/>
        <v>2547132.7615600005</v>
      </c>
      <c r="AX129" s="43">
        <f t="shared" si="18"/>
        <v>28018460.377160005</v>
      </c>
      <c r="AY129" s="58"/>
      <c r="AZ129" s="58"/>
      <c r="BA129" s="58"/>
      <c r="BB129" s="58"/>
      <c r="BC129" s="48"/>
      <c r="BD129" s="48"/>
      <c r="BE129" s="48"/>
      <c r="BF129" s="48"/>
      <c r="BG129" s="48"/>
      <c r="BH129" s="48"/>
      <c r="BI129" s="48"/>
      <c r="BJ129" s="48"/>
      <c r="BK129" s="48"/>
      <c r="BL129" s="48"/>
      <c r="BM129" s="48"/>
      <c r="BN129" s="48"/>
      <c r="BO129" s="48"/>
      <c r="BP129" s="48"/>
      <c r="BQ129" s="48"/>
      <c r="BR129" s="48"/>
      <c r="BS129" s="48"/>
    </row>
    <row r="130" spans="1:71" ht="12.75" hidden="1" customHeight="1">
      <c r="A130" s="85">
        <v>126</v>
      </c>
      <c r="B130" s="86">
        <v>5116</v>
      </c>
      <c r="C130" s="29">
        <v>92</v>
      </c>
      <c r="D130" s="122">
        <v>16077540</v>
      </c>
      <c r="E130" s="18" t="str">
        <f>IF(D130&gt;0,VLOOKUP(D130,'PLANTA PERNO'!A:D,4,0)&amp;" "&amp;VLOOKUP(D130,'PLANTA PERNO'!A:D,2,0)&amp;" "&amp;VLOOKUP(D130,'PLANTA PERNO'!A:D,3,0),IF(O130="","VACANTE DEFINITIVA","VACANTE TEMPORAL"))</f>
        <v>IVAN DAVID RAMIREZ VALENCIA</v>
      </c>
      <c r="F130" s="20" t="s">
        <v>49</v>
      </c>
      <c r="G130" s="20" t="str">
        <f t="shared" si="0"/>
        <v>CARRERA ADMINISTRATIVA</v>
      </c>
      <c r="H130" s="33">
        <f t="shared" si="35"/>
        <v>44166</v>
      </c>
      <c r="I130" s="33">
        <f t="shared" si="36"/>
        <v>44166</v>
      </c>
      <c r="J130" s="31" t="str">
        <f t="shared" si="37"/>
        <v>HOMBRE</v>
      </c>
      <c r="K130" s="21">
        <f t="shared" ca="1" si="38"/>
        <v>42</v>
      </c>
      <c r="L130" s="21">
        <f t="shared" ca="1" si="5"/>
        <v>5</v>
      </c>
      <c r="M130" s="21" t="str">
        <f t="shared" si="6"/>
        <v/>
      </c>
      <c r="N130" s="21" t="str">
        <f t="shared" si="20"/>
        <v>EN PROPIEDAD</v>
      </c>
      <c r="O130" s="21">
        <v>16077540</v>
      </c>
      <c r="P130" s="18" t="str">
        <f>IF(O130="","VACANTE DEFINITIVA",(VLOOKUP(O130,'PLANTA PERNO'!A:D,4,0)&amp;" "&amp;VLOOKUP(O130,'PLANTA PERNO'!A:D,2,0)&amp;" "&amp;VLOOKUP(O130,'PLANTA PERNO'!A:D,3,0)))</f>
        <v>IVAN DAVID RAMIREZ VALENCIA</v>
      </c>
      <c r="Q130" s="21"/>
      <c r="R130" s="21"/>
      <c r="S130" s="21"/>
      <c r="T130" s="21"/>
      <c r="U130" s="21"/>
      <c r="V130" s="21"/>
      <c r="W130" s="38">
        <v>66621</v>
      </c>
      <c r="X130" s="128"/>
      <c r="Y130" s="21" t="str">
        <f t="shared" si="8"/>
        <v>OCUPADO</v>
      </c>
      <c r="Z130" s="23" t="s">
        <v>50</v>
      </c>
      <c r="AA130" s="24" t="s">
        <v>72</v>
      </c>
      <c r="AB130" s="25">
        <v>219</v>
      </c>
      <c r="AC130" s="27">
        <v>18</v>
      </c>
      <c r="AD130" s="28" t="str">
        <f t="shared" si="43"/>
        <v>219-18</v>
      </c>
      <c r="AE130" s="24" t="s">
        <v>150</v>
      </c>
      <c r="AF130" s="24" t="s">
        <v>150</v>
      </c>
      <c r="AG130" s="24" t="s">
        <v>2372</v>
      </c>
      <c r="AH130" s="24" t="s">
        <v>2373</v>
      </c>
      <c r="AI130" s="24" t="s">
        <v>2374</v>
      </c>
      <c r="AJ130" s="24" t="s">
        <v>2375</v>
      </c>
      <c r="AK130" s="93">
        <v>5951244.7700000005</v>
      </c>
      <c r="AL130" s="93">
        <v>0</v>
      </c>
      <c r="AM130" s="93">
        <f t="shared" si="41"/>
        <v>178537</v>
      </c>
      <c r="AN130" s="93">
        <f>IFERROR(INT(($AK130*(VLOOKUP($D130,'PORCENTAJES FACTORES'!B:N,12,0))/100)),0)</f>
        <v>2380497</v>
      </c>
      <c r="AO130" s="93">
        <f t="shared" si="42"/>
        <v>0</v>
      </c>
      <c r="AP130" s="93">
        <f t="shared" si="13"/>
        <v>0</v>
      </c>
      <c r="AQ130" s="93">
        <f t="shared" si="14"/>
        <v>0</v>
      </c>
      <c r="AR130" s="95">
        <f t="shared" si="34"/>
        <v>8510278.7699999996</v>
      </c>
      <c r="AS130" s="96"/>
      <c r="AT130" s="97"/>
      <c r="AU130" s="43">
        <f t="shared" si="16"/>
        <v>6367831.9039000012</v>
      </c>
      <c r="AV130" s="43">
        <v>40</v>
      </c>
      <c r="AW130" s="43">
        <f t="shared" si="17"/>
        <v>2547132.7615600005</v>
      </c>
      <c r="AX130" s="43">
        <f t="shared" si="18"/>
        <v>28018460.377160005</v>
      </c>
      <c r="AY130" s="58"/>
      <c r="AZ130" s="58"/>
      <c r="BA130" s="58"/>
      <c r="BB130" s="58"/>
      <c r="BC130" s="48"/>
      <c r="BD130" s="48"/>
      <c r="BE130" s="48"/>
      <c r="BF130" s="48"/>
      <c r="BG130" s="48"/>
      <c r="BH130" s="48"/>
      <c r="BI130" s="48"/>
      <c r="BJ130" s="48"/>
      <c r="BK130" s="48"/>
      <c r="BL130" s="48"/>
      <c r="BM130" s="48"/>
      <c r="BN130" s="48"/>
      <c r="BO130" s="48"/>
      <c r="BP130" s="48"/>
      <c r="BQ130" s="48"/>
      <c r="BR130" s="48"/>
      <c r="BS130" s="48"/>
    </row>
    <row r="131" spans="1:71" ht="12.75" hidden="1" customHeight="1">
      <c r="A131" s="85">
        <v>127</v>
      </c>
      <c r="B131" s="86">
        <v>5117</v>
      </c>
      <c r="C131" s="29">
        <v>93</v>
      </c>
      <c r="D131" s="122"/>
      <c r="E131" s="18" t="str">
        <f>IF(D131&gt;0,VLOOKUP(D131,'PLANTA PERNO'!A:D,4,0)&amp;" "&amp;VLOOKUP(D131,'PLANTA PERNO'!A:D,2,0)&amp;" "&amp;VLOOKUP(D131,'PLANTA PERNO'!A:D,3,0),IF(O131="","VACANTE DEFINITIVA","VACANTE TEMPORAL"))</f>
        <v>VACANTE TEMPORAL</v>
      </c>
      <c r="F131" s="20"/>
      <c r="G131" s="20" t="str">
        <f t="shared" si="0"/>
        <v>VACANTE TEMPORAL</v>
      </c>
      <c r="H131" s="33" t="str">
        <f t="shared" si="35"/>
        <v xml:space="preserve"> </v>
      </c>
      <c r="I131" s="33" t="str">
        <f t="shared" si="36"/>
        <v/>
      </c>
      <c r="J131" s="31" t="str">
        <f t="shared" si="37"/>
        <v/>
      </c>
      <c r="K131" s="21" t="str">
        <f t="shared" ca="1" si="38"/>
        <v/>
      </c>
      <c r="L131" s="21" t="str">
        <f t="shared" ca="1" si="5"/>
        <v/>
      </c>
      <c r="M131" s="21" t="str">
        <f t="shared" si="6"/>
        <v/>
      </c>
      <c r="N131" s="21" t="str">
        <f t="shared" si="20"/>
        <v>EN ENCARGO</v>
      </c>
      <c r="O131" s="21">
        <v>52646082</v>
      </c>
      <c r="P131" s="18" t="str">
        <f>IF(O131="","VACANTE DEFINITIVA",(VLOOKUP(O131,'PLANTA PERNO'!A:D,4,0)&amp;" "&amp;VLOOKUP(O131,'PLANTA PERNO'!A:D,2,0)&amp;" "&amp;VLOOKUP(O131,'PLANTA PERNO'!A:D,3,0)))</f>
        <v>SANDRA NICOLASA ORGANISTA BUILES</v>
      </c>
      <c r="Q131" s="21" t="s">
        <v>2349</v>
      </c>
      <c r="R131" s="21">
        <v>2</v>
      </c>
      <c r="S131" s="21"/>
      <c r="T131" s="21"/>
      <c r="U131" s="21"/>
      <c r="V131" s="21"/>
      <c r="W131" s="38">
        <v>66620</v>
      </c>
      <c r="X131" s="128">
        <v>220280</v>
      </c>
      <c r="Y131" s="21" t="str">
        <f t="shared" si="8"/>
        <v>VACANTE TEMPORAL</v>
      </c>
      <c r="Z131" s="23" t="s">
        <v>50</v>
      </c>
      <c r="AA131" s="24" t="s">
        <v>72</v>
      </c>
      <c r="AB131" s="25">
        <v>219</v>
      </c>
      <c r="AC131" s="27">
        <v>18</v>
      </c>
      <c r="AD131" s="28" t="str">
        <f t="shared" si="43"/>
        <v>219-18</v>
      </c>
      <c r="AE131" s="24" t="s">
        <v>150</v>
      </c>
      <c r="AF131" s="24" t="s">
        <v>150</v>
      </c>
      <c r="AG131" s="24" t="s">
        <v>2366</v>
      </c>
      <c r="AH131" s="24" t="s">
        <v>2367</v>
      </c>
      <c r="AI131" s="24" t="s">
        <v>92</v>
      </c>
      <c r="AJ131" s="24" t="s">
        <v>2368</v>
      </c>
      <c r="AK131" s="93">
        <v>5951244.7700000005</v>
      </c>
      <c r="AL131" s="93">
        <v>0</v>
      </c>
      <c r="AM131" s="93">
        <f t="shared" si="41"/>
        <v>0</v>
      </c>
      <c r="AN131" s="93">
        <f>IFERROR(INT(($AK131*(VLOOKUP($D131,'PORCENTAJES FACTORES'!B:N,12,0))/100)),0)</f>
        <v>0</v>
      </c>
      <c r="AO131" s="93">
        <f t="shared" si="42"/>
        <v>0</v>
      </c>
      <c r="AP131" s="93">
        <f t="shared" si="13"/>
        <v>0</v>
      </c>
      <c r="AQ131" s="93">
        <f t="shared" si="14"/>
        <v>0</v>
      </c>
      <c r="AR131" s="95">
        <f t="shared" si="34"/>
        <v>5951244.7700000005</v>
      </c>
      <c r="AS131" s="96"/>
      <c r="AT131" s="97"/>
      <c r="AU131" s="43">
        <f t="shared" si="16"/>
        <v>6367831.9039000012</v>
      </c>
      <c r="AV131" s="43">
        <v>40</v>
      </c>
      <c r="AW131" s="43">
        <f t="shared" si="17"/>
        <v>2547132.7615600005</v>
      </c>
      <c r="AX131" s="43">
        <f t="shared" si="18"/>
        <v>28018460.377160005</v>
      </c>
      <c r="AY131" s="58"/>
      <c r="AZ131" s="58"/>
      <c r="BA131" s="58"/>
      <c r="BB131" s="58"/>
      <c r="BC131" s="48"/>
      <c r="BD131" s="48"/>
      <c r="BE131" s="48"/>
      <c r="BF131" s="48"/>
      <c r="BG131" s="48"/>
      <c r="BH131" s="48"/>
      <c r="BI131" s="48"/>
      <c r="BJ131" s="48"/>
      <c r="BK131" s="48"/>
      <c r="BL131" s="48"/>
      <c r="BM131" s="48"/>
      <c r="BN131" s="48"/>
      <c r="BO131" s="48"/>
      <c r="BP131" s="48"/>
      <c r="BQ131" s="48"/>
      <c r="BR131" s="48"/>
      <c r="BS131" s="48"/>
    </row>
    <row r="132" spans="1:71" ht="12.75" hidden="1" customHeight="1">
      <c r="A132" s="85">
        <v>128</v>
      </c>
      <c r="B132" s="86">
        <v>5114</v>
      </c>
      <c r="C132" s="29">
        <v>94</v>
      </c>
      <c r="D132" s="122">
        <v>51937185</v>
      </c>
      <c r="E132" s="18" t="str">
        <f>IF(D132&gt;0,VLOOKUP(D132,'PLANTA PERNO'!A:D,4,0)&amp;" "&amp;VLOOKUP(D132,'PLANTA PERNO'!A:D,2,0)&amp;" "&amp;VLOOKUP(D132,'PLANTA PERNO'!A:D,3,0),IF(O132="","VACANTE DEFINITIVA","VACANTE TEMPORAL"))</f>
        <v>MARTHA LILIANA BARRERA DIAZ</v>
      </c>
      <c r="F132" s="20" t="s">
        <v>49</v>
      </c>
      <c r="G132" s="20" t="str">
        <f t="shared" si="0"/>
        <v>EN ENCARGO</v>
      </c>
      <c r="H132" s="33">
        <f t="shared" si="35"/>
        <v>42585</v>
      </c>
      <c r="I132" s="33">
        <f t="shared" si="36"/>
        <v>35499</v>
      </c>
      <c r="J132" s="31" t="str">
        <f t="shared" si="37"/>
        <v>MUJER</v>
      </c>
      <c r="K132" s="21">
        <f t="shared" ca="1" si="38"/>
        <v>57</v>
      </c>
      <c r="L132" s="21">
        <f t="shared" ca="1" si="5"/>
        <v>10</v>
      </c>
      <c r="M132" s="21" t="str">
        <f t="shared" si="6"/>
        <v>ENCARGO</v>
      </c>
      <c r="N132" s="21" t="str">
        <f t="shared" si="20"/>
        <v>VACANTE DEFINITIVA</v>
      </c>
      <c r="O132" s="21"/>
      <c r="P132" s="18" t="str">
        <f>IF(O132="","VACANTE DEFINITIVA",(VLOOKUP(O132,'PLANTA PERNO'!A:D,4,0)&amp;" "&amp;VLOOKUP(O132,'PLANTA PERNO'!A:D,2,0)&amp;" "&amp;VLOOKUP(O132,'PLANTA PERNO'!A:D,3,0)))</f>
        <v>VACANTE DEFINITIVA</v>
      </c>
      <c r="Q132" s="21" t="s">
        <v>333</v>
      </c>
      <c r="R132" s="21">
        <v>1</v>
      </c>
      <c r="S132" s="21"/>
      <c r="T132" s="21" t="s">
        <v>370</v>
      </c>
      <c r="U132" s="21"/>
      <c r="V132" s="21"/>
      <c r="W132" s="38">
        <v>66619</v>
      </c>
      <c r="X132" s="128"/>
      <c r="Y132" s="21" t="str">
        <f t="shared" si="8"/>
        <v>OCUPADO</v>
      </c>
      <c r="Z132" s="23" t="s">
        <v>50</v>
      </c>
      <c r="AA132" s="24" t="s">
        <v>72</v>
      </c>
      <c r="AB132" s="25">
        <v>219</v>
      </c>
      <c r="AC132" s="27">
        <v>18</v>
      </c>
      <c r="AD132" s="28" t="str">
        <f t="shared" si="43"/>
        <v>219-18</v>
      </c>
      <c r="AE132" s="24" t="s">
        <v>150</v>
      </c>
      <c r="AF132" s="24" t="s">
        <v>150</v>
      </c>
      <c r="AG132" s="24" t="s">
        <v>2369</v>
      </c>
      <c r="AH132" s="24" t="s">
        <v>2370</v>
      </c>
      <c r="AI132" s="24" t="s">
        <v>2371</v>
      </c>
      <c r="AJ132" s="24" t="s">
        <v>2364</v>
      </c>
      <c r="AK132" s="93">
        <v>5951244.7700000005</v>
      </c>
      <c r="AL132" s="93">
        <v>0</v>
      </c>
      <c r="AM132" s="93">
        <f t="shared" si="41"/>
        <v>416587</v>
      </c>
      <c r="AN132" s="93">
        <f>IFERROR(INT(($AK132*(VLOOKUP($D132,'PORCENTAJES FACTORES'!B:N,12,0))/100)),0)</f>
        <v>2380497</v>
      </c>
      <c r="AO132" s="93">
        <f t="shared" si="42"/>
        <v>0</v>
      </c>
      <c r="AP132" s="93">
        <f t="shared" si="13"/>
        <v>0</v>
      </c>
      <c r="AQ132" s="93">
        <f t="shared" si="14"/>
        <v>0</v>
      </c>
      <c r="AR132" s="95">
        <f t="shared" si="34"/>
        <v>8748328.7699999996</v>
      </c>
      <c r="AS132" s="96"/>
      <c r="AT132" s="97"/>
      <c r="AU132" s="43">
        <f t="shared" si="16"/>
        <v>6367831.9039000012</v>
      </c>
      <c r="AV132" s="43">
        <v>40</v>
      </c>
      <c r="AW132" s="43">
        <f t="shared" si="17"/>
        <v>2547132.7615600005</v>
      </c>
      <c r="AX132" s="43">
        <f t="shared" si="18"/>
        <v>28018460.377160005</v>
      </c>
      <c r="AY132" s="58"/>
      <c r="AZ132" s="58"/>
      <c r="BA132" s="58"/>
      <c r="BB132" s="58"/>
      <c r="BC132" s="48"/>
      <c r="BD132" s="48"/>
      <c r="BE132" s="48"/>
      <c r="BF132" s="48"/>
      <c r="BG132" s="48"/>
      <c r="BH132" s="48"/>
      <c r="BI132" s="48"/>
      <c r="BJ132" s="48"/>
      <c r="BK132" s="48"/>
      <c r="BL132" s="48"/>
      <c r="BM132" s="48"/>
      <c r="BN132" s="48"/>
      <c r="BO132" s="48"/>
      <c r="BP132" s="48"/>
      <c r="BQ132" s="48"/>
      <c r="BR132" s="48"/>
      <c r="BS132" s="48"/>
    </row>
    <row r="133" spans="1:71" ht="12.75" hidden="1" customHeight="1">
      <c r="A133" s="85">
        <v>129</v>
      </c>
      <c r="B133" s="206">
        <v>5126</v>
      </c>
      <c r="C133" s="207">
        <v>95</v>
      </c>
      <c r="D133" s="122">
        <v>1018482333</v>
      </c>
      <c r="E133" s="18" t="str">
        <f>IF(D133&gt;0,VLOOKUP(D133,'PLANTA PERNO'!A:D,4,0)&amp;" "&amp;VLOOKUP(D133,'PLANTA PERNO'!A:D,2,0)&amp;" "&amp;VLOOKUP(D133,'PLANTA PERNO'!A:D,3,0),IF(O133="","VACANTE DEFINITIVA","VACANTE TEMPORAL"))</f>
        <v>DANIELA RODRIGUEZ NARVAEZ</v>
      </c>
      <c r="F133" s="20" t="s">
        <v>49</v>
      </c>
      <c r="G133" s="20" t="str">
        <f t="shared" si="0"/>
        <v>EN ENCARGO</v>
      </c>
      <c r="H133" s="33">
        <f t="shared" ref="H133:H164" si="44">IFERROR(VLOOKUP($D133,PLANTA_PERNO,16,0)," ")</f>
        <v>44154</v>
      </c>
      <c r="I133" s="33">
        <f t="shared" ref="I133:I164" si="45">IFERROR(VLOOKUP($D133,PLANTA_PERNO,17,0),"")</f>
        <v>44154</v>
      </c>
      <c r="J133" s="31" t="str">
        <f t="shared" ref="J133:J164" si="46">IF(IFERROR((VLOOKUP($D133,PLANTA_PERNO,9,0)),"")="F","MUJER",IF(IFERROR((VLOOKUP($D133,PLANTA_PERNO,9,0)),"")="M","HOMBRE",""))</f>
        <v>MUJER</v>
      </c>
      <c r="K133" s="21">
        <f t="shared" ref="K133:K164" ca="1" si="47">IFERROR(DATEDIF((VLOOKUP($D133,PLANTA_PERNO,6,0)),$K$3,"Y"),"")</f>
        <v>30</v>
      </c>
      <c r="L133" s="21">
        <f t="shared" ca="1" si="5"/>
        <v>5</v>
      </c>
      <c r="M133" s="21" t="str">
        <f t="shared" si="6"/>
        <v>ENCARGO</v>
      </c>
      <c r="N133" s="208" t="str">
        <f t="shared" si="20"/>
        <v>VACANTE DEFINITIVA</v>
      </c>
      <c r="O133" s="21" t="s">
        <v>25</v>
      </c>
      <c r="P133" s="18" t="str">
        <f>IF(O133="","VACANTE DEFINITIVA",(VLOOKUP(O133,'PLANTA PERNO'!A:D,4,0)&amp;" "&amp;VLOOKUP(O133,'PLANTA PERNO'!A:D,2,0)&amp;" "&amp;VLOOKUP(O133,'PLANTA PERNO'!A:D,3,0)))</f>
        <v>VACANTE DEFINITIVA</v>
      </c>
      <c r="Q133" s="208" t="s">
        <v>2376</v>
      </c>
      <c r="R133" s="208">
        <v>5</v>
      </c>
      <c r="S133" s="208"/>
      <c r="T133" s="208"/>
      <c r="U133" s="208"/>
      <c r="V133" s="208"/>
      <c r="W133" s="205">
        <v>66661</v>
      </c>
      <c r="X133" s="128"/>
      <c r="Y133" s="208" t="str">
        <f t="shared" si="8"/>
        <v>OCUPADO</v>
      </c>
      <c r="Z133" s="209" t="s">
        <v>50</v>
      </c>
      <c r="AA133" s="63" t="s">
        <v>72</v>
      </c>
      <c r="AB133" s="25">
        <v>219</v>
      </c>
      <c r="AC133" s="27">
        <v>15</v>
      </c>
      <c r="AD133" s="211" t="str">
        <f t="shared" si="43"/>
        <v>219-15</v>
      </c>
      <c r="AE133" s="63" t="s">
        <v>68</v>
      </c>
      <c r="AF133" s="63" t="s">
        <v>68</v>
      </c>
      <c r="AG133" s="63" t="s">
        <v>2377</v>
      </c>
      <c r="AH133" s="63" t="s">
        <v>2378</v>
      </c>
      <c r="AI133" s="63" t="s">
        <v>2379</v>
      </c>
      <c r="AJ133" s="63" t="s">
        <v>2380</v>
      </c>
      <c r="AK133" s="212">
        <v>5771485.8400000008</v>
      </c>
      <c r="AL133" s="212">
        <v>0</v>
      </c>
      <c r="AM133" s="212">
        <f t="shared" si="41"/>
        <v>173144</v>
      </c>
      <c r="AN133" s="212">
        <f>IFERROR(INT(($AK133*(VLOOKUP($D133,'PORCENTAJES FACTORES'!B:N,12,0))/100)),0)</f>
        <v>2308594</v>
      </c>
      <c r="AO133" s="212">
        <f t="shared" si="42"/>
        <v>0</v>
      </c>
      <c r="AP133" s="93">
        <f t="shared" si="13"/>
        <v>0</v>
      </c>
      <c r="AQ133" s="93">
        <f t="shared" si="14"/>
        <v>0</v>
      </c>
      <c r="AR133" s="95">
        <f t="shared" si="34"/>
        <v>8253223.8400000008</v>
      </c>
      <c r="AS133" s="96"/>
      <c r="AT133" s="97"/>
      <c r="AU133" s="43">
        <f t="shared" si="16"/>
        <v>6175489.8488000007</v>
      </c>
      <c r="AV133" s="43">
        <v>40</v>
      </c>
      <c r="AW133" s="43">
        <f t="shared" si="17"/>
        <v>2470195.93952</v>
      </c>
      <c r="AX133" s="43">
        <f t="shared" si="18"/>
        <v>27172155.334720001</v>
      </c>
      <c r="AY133" s="58"/>
      <c r="AZ133" s="58"/>
      <c r="BA133" s="58"/>
      <c r="BB133" s="58"/>
      <c r="BC133" s="48"/>
      <c r="BD133" s="48"/>
      <c r="BE133" s="48"/>
      <c r="BF133" s="48"/>
      <c r="BG133" s="48"/>
      <c r="BH133" s="48"/>
      <c r="BI133" s="48"/>
      <c r="BJ133" s="48"/>
      <c r="BK133" s="48"/>
      <c r="BL133" s="48"/>
      <c r="BM133" s="48"/>
      <c r="BN133" s="48"/>
      <c r="BO133" s="48"/>
      <c r="BP133" s="48"/>
      <c r="BQ133" s="48"/>
      <c r="BR133" s="48"/>
      <c r="BS133" s="48"/>
    </row>
    <row r="134" spans="1:71" ht="12.75" hidden="1" customHeight="1">
      <c r="A134" s="85">
        <v>130</v>
      </c>
      <c r="B134" s="86">
        <v>5130</v>
      </c>
      <c r="C134" s="29">
        <v>96</v>
      </c>
      <c r="D134" s="122">
        <v>1015419295</v>
      </c>
      <c r="E134" s="18" t="str">
        <f>IF(D134&gt;0,VLOOKUP(D134,'PLANTA PERNO'!A:D,4,0)&amp;" "&amp;VLOOKUP(D134,'PLANTA PERNO'!A:D,2,0)&amp;" "&amp;VLOOKUP(D134,'PLANTA PERNO'!A:D,3,0),IF(O134="","VACANTE DEFINITIVA","VACANTE TEMPORAL"))</f>
        <v>HELVER MANUEL MORA MONTOYA</v>
      </c>
      <c r="F134" s="20" t="s">
        <v>49</v>
      </c>
      <c r="G134" s="20" t="str">
        <f t="shared" si="0"/>
        <v>EN ENCARGO</v>
      </c>
      <c r="H134" s="33">
        <f t="shared" si="44"/>
        <v>42828</v>
      </c>
      <c r="I134" s="33">
        <f t="shared" si="45"/>
        <v>42828</v>
      </c>
      <c r="J134" s="31" t="str">
        <f t="shared" si="46"/>
        <v>HOMBRE</v>
      </c>
      <c r="K134" s="21">
        <f t="shared" ca="1" si="47"/>
        <v>36</v>
      </c>
      <c r="L134" s="21">
        <f t="shared" ca="1" si="5"/>
        <v>9</v>
      </c>
      <c r="M134" s="21" t="str">
        <f t="shared" si="6"/>
        <v>ENCARGO</v>
      </c>
      <c r="N134" s="21" t="str">
        <f t="shared" si="20"/>
        <v>VACANTE DEFINITIVA</v>
      </c>
      <c r="O134" s="21"/>
      <c r="P134" s="18" t="str">
        <f>IF(O134="","VACANTE DEFINITIVA",(VLOOKUP(O134,'PLANTA PERNO'!A:D,4,0)&amp;" "&amp;VLOOKUP(O134,'PLANTA PERNO'!A:D,2,0)&amp;" "&amp;VLOOKUP(O134,'PLANTA PERNO'!A:D,3,0)))</f>
        <v>VACANTE DEFINITIVA</v>
      </c>
      <c r="Q134" s="21" t="s">
        <v>2381</v>
      </c>
      <c r="R134" s="21">
        <v>1</v>
      </c>
      <c r="S134" s="21"/>
      <c r="T134" s="21"/>
      <c r="U134" s="21"/>
      <c r="V134" s="21"/>
      <c r="W134" s="38">
        <v>66623</v>
      </c>
      <c r="X134" s="128"/>
      <c r="Y134" s="21" t="str">
        <f t="shared" si="8"/>
        <v>OCUPADO</v>
      </c>
      <c r="Z134" s="23" t="s">
        <v>50</v>
      </c>
      <c r="AA134" s="24" t="s">
        <v>72</v>
      </c>
      <c r="AB134" s="25">
        <v>219</v>
      </c>
      <c r="AC134" s="27">
        <v>15</v>
      </c>
      <c r="AD134" s="28" t="str">
        <f t="shared" si="43"/>
        <v>219-15</v>
      </c>
      <c r="AE134" s="24" t="s">
        <v>150</v>
      </c>
      <c r="AF134" s="24" t="s">
        <v>150</v>
      </c>
      <c r="AG134" s="24" t="s">
        <v>2382</v>
      </c>
      <c r="AH134" s="24" t="s">
        <v>2383</v>
      </c>
      <c r="AI134" s="24" t="s">
        <v>92</v>
      </c>
      <c r="AJ134" s="24" t="s">
        <v>2384</v>
      </c>
      <c r="AK134" s="212">
        <v>5771485.8400000008</v>
      </c>
      <c r="AL134" s="93">
        <v>0</v>
      </c>
      <c r="AM134" s="93">
        <f t="shared" si="41"/>
        <v>173144</v>
      </c>
      <c r="AN134" s="93">
        <f>IFERROR(INT(($AK134*(VLOOKUP($D134,'PORCENTAJES FACTORES'!B:N,12,0))/100)),0)</f>
        <v>1754531</v>
      </c>
      <c r="AO134" s="93">
        <f t="shared" si="42"/>
        <v>0</v>
      </c>
      <c r="AP134" s="93">
        <f t="shared" si="13"/>
        <v>0</v>
      </c>
      <c r="AQ134" s="93">
        <f t="shared" si="14"/>
        <v>0</v>
      </c>
      <c r="AR134" s="95">
        <f t="shared" si="34"/>
        <v>7699160.8400000008</v>
      </c>
      <c r="AS134" s="96"/>
      <c r="AT134" s="97"/>
      <c r="AU134" s="43">
        <f t="shared" si="16"/>
        <v>6175489.8488000007</v>
      </c>
      <c r="AV134" s="43">
        <v>40</v>
      </c>
      <c r="AW134" s="43">
        <f t="shared" si="17"/>
        <v>2470195.93952</v>
      </c>
      <c r="AX134" s="43">
        <f t="shared" si="18"/>
        <v>27172155.334720001</v>
      </c>
      <c r="AY134" s="58"/>
      <c r="AZ134" s="58"/>
      <c r="BA134" s="58"/>
      <c r="BB134" s="58"/>
      <c r="BC134" s="48"/>
      <c r="BD134" s="48"/>
      <c r="BE134" s="48"/>
      <c r="BF134" s="48"/>
      <c r="BG134" s="48"/>
      <c r="BH134" s="48"/>
      <c r="BI134" s="48"/>
      <c r="BJ134" s="48"/>
      <c r="BK134" s="48"/>
      <c r="BL134" s="48"/>
      <c r="BM134" s="48"/>
      <c r="BN134" s="48"/>
      <c r="BO134" s="48"/>
      <c r="BP134" s="48"/>
      <c r="BQ134" s="48"/>
      <c r="BR134" s="48"/>
      <c r="BS134" s="48"/>
    </row>
    <row r="135" spans="1:71" ht="12.75" hidden="1" customHeight="1">
      <c r="A135" s="85">
        <v>131</v>
      </c>
      <c r="B135" s="86">
        <v>5129</v>
      </c>
      <c r="C135" s="29">
        <v>97</v>
      </c>
      <c r="D135" s="122"/>
      <c r="E135" s="18" t="str">
        <f>IF(D135&gt;0,VLOOKUP(D135,'PLANTA PERNO'!A:D,4,0)&amp;" "&amp;VLOOKUP(D135,'PLANTA PERNO'!A:D,2,0)&amp;" "&amp;VLOOKUP(D135,'PLANTA PERNO'!A:D,3,0),IF(O135="","VACANTE DEFINITIVA","VACANTE TEMPORAL"))</f>
        <v>VACANTE TEMPORAL</v>
      </c>
      <c r="F135" s="20"/>
      <c r="G135" s="20" t="str">
        <f t="shared" si="0"/>
        <v>VACANTE TEMPORAL</v>
      </c>
      <c r="H135" s="33" t="str">
        <f t="shared" si="44"/>
        <v xml:space="preserve"> </v>
      </c>
      <c r="I135" s="33" t="str">
        <f t="shared" si="45"/>
        <v/>
      </c>
      <c r="J135" s="31" t="str">
        <f t="shared" si="46"/>
        <v/>
      </c>
      <c r="K135" s="21" t="str">
        <f t="shared" ca="1" si="47"/>
        <v/>
      </c>
      <c r="L135" s="21" t="str">
        <f t="shared" ca="1" si="5"/>
        <v/>
      </c>
      <c r="M135" s="21" t="str">
        <f t="shared" si="6"/>
        <v/>
      </c>
      <c r="N135" s="21" t="str">
        <f t="shared" si="20"/>
        <v>EN ENCARGO</v>
      </c>
      <c r="O135" s="21">
        <v>80154878</v>
      </c>
      <c r="P135" s="18" t="str">
        <f>IF(O135="","VACANTE DEFINITIVA",(VLOOKUP(O135,'PLANTA PERNO'!A:D,4,0)&amp;" "&amp;VLOOKUP(O135,'PLANTA PERNO'!A:D,2,0)&amp;" "&amp;VLOOKUP(O135,'PLANTA PERNO'!A:D,3,0)))</f>
        <v>JUAN CAMILO RUIZ ZAMUDIO</v>
      </c>
      <c r="Q135" s="21" t="s">
        <v>2220</v>
      </c>
      <c r="R135" s="21">
        <v>4</v>
      </c>
      <c r="S135" s="21"/>
      <c r="T135" s="21"/>
      <c r="U135" s="21"/>
      <c r="V135" s="21"/>
      <c r="W135" s="38">
        <v>66623</v>
      </c>
      <c r="X135" s="128"/>
      <c r="Y135" s="21" t="str">
        <f t="shared" si="8"/>
        <v>VACANTE TEMPORAL</v>
      </c>
      <c r="Z135" s="23" t="s">
        <v>50</v>
      </c>
      <c r="AA135" s="24" t="s">
        <v>72</v>
      </c>
      <c r="AB135" s="25">
        <v>219</v>
      </c>
      <c r="AC135" s="27">
        <v>15</v>
      </c>
      <c r="AD135" s="28" t="str">
        <f t="shared" si="43"/>
        <v>219-15</v>
      </c>
      <c r="AE135" s="24" t="s">
        <v>150</v>
      </c>
      <c r="AF135" s="24" t="s">
        <v>150</v>
      </c>
      <c r="AG135" s="24" t="s">
        <v>2382</v>
      </c>
      <c r="AH135" s="24" t="s">
        <v>2383</v>
      </c>
      <c r="AI135" s="24" t="s">
        <v>92</v>
      </c>
      <c r="AJ135" s="24" t="s">
        <v>2384</v>
      </c>
      <c r="AK135" s="212">
        <v>5771485.8400000008</v>
      </c>
      <c r="AL135" s="93">
        <v>0</v>
      </c>
      <c r="AM135" s="93">
        <f t="shared" si="41"/>
        <v>0</v>
      </c>
      <c r="AN135" s="93">
        <f>IFERROR(INT(($AK135*(VLOOKUP($D135,'PORCENTAJES FACTORES'!B:N,12,0))/100)),0)</f>
        <v>0</v>
      </c>
      <c r="AO135" s="93">
        <f t="shared" si="42"/>
        <v>0</v>
      </c>
      <c r="AP135" s="93">
        <f t="shared" si="13"/>
        <v>0</v>
      </c>
      <c r="AQ135" s="93">
        <f t="shared" si="14"/>
        <v>0</v>
      </c>
      <c r="AR135" s="95">
        <f t="shared" si="34"/>
        <v>5771485.8400000008</v>
      </c>
      <c r="AS135" s="96"/>
      <c r="AT135" s="97"/>
      <c r="AU135" s="43">
        <f t="shared" si="16"/>
        <v>6175489.8488000007</v>
      </c>
      <c r="AV135" s="43">
        <v>40</v>
      </c>
      <c r="AW135" s="43">
        <f t="shared" si="17"/>
        <v>2470195.93952</v>
      </c>
      <c r="AX135" s="43">
        <f t="shared" si="18"/>
        <v>27172155.334720001</v>
      </c>
      <c r="AY135" s="58"/>
      <c r="AZ135" s="58"/>
      <c r="BA135" s="58"/>
      <c r="BB135" s="58"/>
      <c r="BC135" s="48"/>
      <c r="BD135" s="48"/>
      <c r="BE135" s="48"/>
      <c r="BF135" s="48"/>
      <c r="BG135" s="48"/>
      <c r="BH135" s="48"/>
      <c r="BI135" s="48"/>
      <c r="BJ135" s="48"/>
      <c r="BK135" s="48"/>
      <c r="BL135" s="48"/>
      <c r="BM135" s="48"/>
      <c r="BN135" s="48"/>
      <c r="BO135" s="48"/>
      <c r="BP135" s="48"/>
      <c r="BQ135" s="48"/>
      <c r="BR135" s="48"/>
      <c r="BS135" s="48"/>
    </row>
    <row r="136" spans="1:71" ht="12.75" hidden="1" customHeight="1">
      <c r="A136" s="85">
        <v>132</v>
      </c>
      <c r="B136" s="86">
        <v>5127</v>
      </c>
      <c r="C136" s="29">
        <v>98</v>
      </c>
      <c r="D136" s="122"/>
      <c r="E136" s="18" t="str">
        <f>IF(D136&gt;0,VLOOKUP(D136,'PLANTA PERNO'!A:D,4,0)&amp;" "&amp;VLOOKUP(D136,'PLANTA PERNO'!A:D,2,0)&amp;" "&amp;VLOOKUP(D136,'PLANTA PERNO'!A:D,3,0),IF(O136="","VACANTE DEFINITIVA","VACANTE TEMPORAL"))</f>
        <v>VACANTE DEFINITIVA</v>
      </c>
      <c r="F136" s="20"/>
      <c r="G136" s="20" t="str">
        <f t="shared" si="0"/>
        <v>VACANTE DEFINITIVA</v>
      </c>
      <c r="H136" s="33" t="str">
        <f t="shared" si="44"/>
        <v xml:space="preserve"> </v>
      </c>
      <c r="I136" s="33" t="str">
        <f t="shared" si="45"/>
        <v/>
      </c>
      <c r="J136" s="31" t="str">
        <f t="shared" si="46"/>
        <v/>
      </c>
      <c r="K136" s="21" t="str">
        <f t="shared" ca="1" si="47"/>
        <v/>
      </c>
      <c r="L136" s="21" t="str">
        <f t="shared" ca="1" si="5"/>
        <v/>
      </c>
      <c r="M136" s="21" t="str">
        <f t="shared" si="6"/>
        <v/>
      </c>
      <c r="N136" s="21" t="str">
        <f t="shared" si="20"/>
        <v>VACANTE DEFINITIVA</v>
      </c>
      <c r="O136" s="21" t="s">
        <v>25</v>
      </c>
      <c r="P136" s="18" t="str">
        <f>IF(O136="","VACANTE DEFINITIVA",(VLOOKUP(O136,'PLANTA PERNO'!A:D,4,0)&amp;" "&amp;VLOOKUP(O136,'PLANTA PERNO'!A:D,2,0)&amp;" "&amp;VLOOKUP(O136,'PLANTA PERNO'!A:D,3,0)))</f>
        <v>VACANTE DEFINITIVA</v>
      </c>
      <c r="Q136" s="21"/>
      <c r="R136" s="21"/>
      <c r="S136" s="21"/>
      <c r="T136" s="21"/>
      <c r="U136" s="21"/>
      <c r="V136" s="21"/>
      <c r="W136" s="38">
        <v>66622</v>
      </c>
      <c r="X136" s="128">
        <v>203195</v>
      </c>
      <c r="Y136" s="21" t="str">
        <f t="shared" si="8"/>
        <v>VACANTE DEFINITIVA</v>
      </c>
      <c r="Z136" s="23" t="s">
        <v>50</v>
      </c>
      <c r="AA136" s="24" t="s">
        <v>72</v>
      </c>
      <c r="AB136" s="25">
        <v>219</v>
      </c>
      <c r="AC136" s="27">
        <v>15</v>
      </c>
      <c r="AD136" s="28" t="str">
        <f t="shared" si="43"/>
        <v>219-15</v>
      </c>
      <c r="AE136" s="24" t="s">
        <v>150</v>
      </c>
      <c r="AF136" s="24" t="s">
        <v>150</v>
      </c>
      <c r="AG136" s="24" t="s">
        <v>2385</v>
      </c>
      <c r="AH136" s="24" t="s">
        <v>2386</v>
      </c>
      <c r="AI136" s="24" t="s">
        <v>2387</v>
      </c>
      <c r="AJ136" s="24" t="s">
        <v>2388</v>
      </c>
      <c r="AK136" s="212">
        <v>5771485.8400000008</v>
      </c>
      <c r="AL136" s="93">
        <v>0</v>
      </c>
      <c r="AM136" s="93">
        <f t="shared" si="41"/>
        <v>0</v>
      </c>
      <c r="AN136" s="93">
        <f>IFERROR(INT(($AK136*(VLOOKUP($D136,'PORCENTAJES FACTORES'!B:N,12,0))/100)),0)</f>
        <v>0</v>
      </c>
      <c r="AO136" s="93">
        <f t="shared" si="42"/>
        <v>0</v>
      </c>
      <c r="AP136" s="93">
        <f t="shared" si="13"/>
        <v>0</v>
      </c>
      <c r="AQ136" s="93">
        <f t="shared" si="14"/>
        <v>0</v>
      </c>
      <c r="AR136" s="95">
        <f t="shared" si="34"/>
        <v>5771485.8400000008</v>
      </c>
      <c r="AS136" s="96"/>
      <c r="AT136" s="97"/>
      <c r="AU136" s="43">
        <f t="shared" si="16"/>
        <v>6175489.8488000007</v>
      </c>
      <c r="AV136" s="43">
        <v>40</v>
      </c>
      <c r="AW136" s="43">
        <f t="shared" si="17"/>
        <v>2470195.93952</v>
      </c>
      <c r="AX136" s="43">
        <f t="shared" si="18"/>
        <v>27172155.334720001</v>
      </c>
      <c r="AY136" s="58"/>
      <c r="AZ136" s="58"/>
      <c r="BA136" s="58"/>
      <c r="BB136" s="58"/>
      <c r="BC136" s="48"/>
      <c r="BD136" s="48"/>
      <c r="BE136" s="48"/>
      <c r="BF136" s="48"/>
      <c r="BG136" s="48"/>
      <c r="BH136" s="48"/>
      <c r="BI136" s="48"/>
      <c r="BJ136" s="48"/>
      <c r="BK136" s="48"/>
      <c r="BL136" s="48"/>
      <c r="BM136" s="48"/>
      <c r="BN136" s="48"/>
      <c r="BO136" s="48"/>
      <c r="BP136" s="48"/>
      <c r="BQ136" s="48"/>
      <c r="BR136" s="48"/>
      <c r="BS136" s="48"/>
    </row>
    <row r="137" spans="1:71" ht="12.75" hidden="1" customHeight="1">
      <c r="A137" s="85">
        <v>133</v>
      </c>
      <c r="B137" s="86">
        <v>5128</v>
      </c>
      <c r="C137" s="29">
        <v>99</v>
      </c>
      <c r="D137" s="122">
        <v>52151785</v>
      </c>
      <c r="E137" s="18" t="str">
        <f>IF(D137&gt;0,VLOOKUP(D137,'PLANTA PERNO'!A:D,4,0)&amp;" "&amp;VLOOKUP(D137,'PLANTA PERNO'!A:D,2,0)&amp;" "&amp;VLOOKUP(D137,'PLANTA PERNO'!A:D,3,0),IF(O137="","VACANTE DEFINITIVA","VACANTE TEMPORAL"))</f>
        <v>DALIDA VILLANUEVA SANCHEZ</v>
      </c>
      <c r="F137" s="20" t="s">
        <v>49</v>
      </c>
      <c r="G137" s="20" t="str">
        <f t="shared" si="0"/>
        <v>EN ENCARGO</v>
      </c>
      <c r="H137" s="33">
        <f t="shared" si="44"/>
        <v>44138</v>
      </c>
      <c r="I137" s="33">
        <f t="shared" si="45"/>
        <v>44138</v>
      </c>
      <c r="J137" s="31" t="str">
        <f t="shared" si="46"/>
        <v>MUJER</v>
      </c>
      <c r="K137" s="21">
        <f t="shared" ca="1" si="47"/>
        <v>51</v>
      </c>
      <c r="L137" s="21">
        <f t="shared" ca="1" si="5"/>
        <v>5</v>
      </c>
      <c r="M137" s="21" t="str">
        <f t="shared" si="6"/>
        <v>ENCARGO</v>
      </c>
      <c r="N137" s="21" t="str">
        <f t="shared" si="20"/>
        <v>VACANTE DEFINITIVA</v>
      </c>
      <c r="O137" s="21"/>
      <c r="P137" s="18" t="str">
        <f>IF(O137="","VACANTE DEFINITIVA",(VLOOKUP(O137,'PLANTA PERNO'!A:D,4,0)&amp;" "&amp;VLOOKUP(O137,'PLANTA PERNO'!A:D,2,0)&amp;" "&amp;VLOOKUP(O137,'PLANTA PERNO'!A:D,3,0)))</f>
        <v>VACANTE DEFINITIVA</v>
      </c>
      <c r="Q137" s="21" t="s">
        <v>352</v>
      </c>
      <c r="R137" s="21">
        <v>1</v>
      </c>
      <c r="S137" s="21"/>
      <c r="T137" s="21"/>
      <c r="U137" s="21"/>
      <c r="V137" s="21"/>
      <c r="W137" s="38">
        <v>66622</v>
      </c>
      <c r="X137" s="128"/>
      <c r="Y137" s="21" t="str">
        <f t="shared" si="8"/>
        <v>OCUPADO</v>
      </c>
      <c r="Z137" s="23" t="s">
        <v>50</v>
      </c>
      <c r="AA137" s="24" t="s">
        <v>72</v>
      </c>
      <c r="AB137" s="25">
        <v>219</v>
      </c>
      <c r="AC137" s="27">
        <v>15</v>
      </c>
      <c r="AD137" s="28" t="str">
        <f t="shared" si="43"/>
        <v>219-15</v>
      </c>
      <c r="AE137" s="24" t="s">
        <v>150</v>
      </c>
      <c r="AF137" s="24" t="s">
        <v>150</v>
      </c>
      <c r="AG137" s="24" t="s">
        <v>2389</v>
      </c>
      <c r="AH137" s="24" t="s">
        <v>2386</v>
      </c>
      <c r="AI137" s="24" t="s">
        <v>2387</v>
      </c>
      <c r="AJ137" s="24" t="s">
        <v>2388</v>
      </c>
      <c r="AK137" s="212">
        <v>5771485.8400000008</v>
      </c>
      <c r="AL137" s="93">
        <v>0</v>
      </c>
      <c r="AM137" s="93">
        <f t="shared" si="41"/>
        <v>173144</v>
      </c>
      <c r="AN137" s="93">
        <f>IFERROR(INT(($AK137*(VLOOKUP($D137,'PORCENTAJES FACTORES'!B:N,12,0))/100)),0)</f>
        <v>2308594</v>
      </c>
      <c r="AO137" s="93">
        <f t="shared" si="42"/>
        <v>0</v>
      </c>
      <c r="AP137" s="93">
        <f t="shared" si="13"/>
        <v>0</v>
      </c>
      <c r="AQ137" s="93">
        <f t="shared" si="14"/>
        <v>0</v>
      </c>
      <c r="AR137" s="95">
        <f t="shared" si="34"/>
        <v>8253223.8400000008</v>
      </c>
      <c r="AS137" s="96"/>
      <c r="AT137" s="97"/>
      <c r="AU137" s="43">
        <f t="shared" si="16"/>
        <v>6175489.8488000007</v>
      </c>
      <c r="AV137" s="43">
        <v>40</v>
      </c>
      <c r="AW137" s="43">
        <f t="shared" si="17"/>
        <v>2470195.93952</v>
      </c>
      <c r="AX137" s="43">
        <f t="shared" si="18"/>
        <v>27172155.334720001</v>
      </c>
      <c r="AY137" s="58"/>
      <c r="AZ137" s="58"/>
      <c r="BA137" s="58"/>
      <c r="BB137" s="58"/>
      <c r="BC137" s="48"/>
      <c r="BD137" s="48"/>
      <c r="BE137" s="48"/>
      <c r="BF137" s="48"/>
      <c r="BG137" s="48"/>
      <c r="BH137" s="48"/>
      <c r="BI137" s="48"/>
      <c r="BJ137" s="48"/>
      <c r="BK137" s="48"/>
      <c r="BL137" s="48"/>
      <c r="BM137" s="48"/>
      <c r="BN137" s="48"/>
      <c r="BO137" s="48"/>
      <c r="BP137" s="48"/>
      <c r="BQ137" s="48"/>
      <c r="BR137" s="48"/>
      <c r="BS137" s="48"/>
    </row>
    <row r="138" spans="1:71" ht="12.75" hidden="1" customHeight="1">
      <c r="A138" s="85">
        <v>134</v>
      </c>
      <c r="B138" s="86">
        <v>5133</v>
      </c>
      <c r="C138" s="29">
        <v>100</v>
      </c>
      <c r="D138" s="122">
        <v>79361343</v>
      </c>
      <c r="E138" s="18" t="str">
        <f>IF(D138&gt;0,VLOOKUP(D138,'PLANTA PERNO'!A:D,4,0)&amp;" "&amp;VLOOKUP(D138,'PLANTA PERNO'!A:D,2,0)&amp;" "&amp;VLOOKUP(D138,'PLANTA PERNO'!A:D,3,0),IF(O138="","VACANTE DEFINITIVA","VACANTE TEMPORAL"))</f>
        <v>VICTOR HERNANDO MURILLO HURTADO</v>
      </c>
      <c r="F138" s="20" t="s">
        <v>49</v>
      </c>
      <c r="G138" s="20" t="str">
        <f t="shared" si="0"/>
        <v>EN ENCARGO</v>
      </c>
      <c r="H138" s="33">
        <f t="shared" si="44"/>
        <v>42585</v>
      </c>
      <c r="I138" s="33">
        <f t="shared" si="45"/>
        <v>34785</v>
      </c>
      <c r="J138" s="31" t="str">
        <f t="shared" si="46"/>
        <v>HOMBRE</v>
      </c>
      <c r="K138" s="21">
        <f t="shared" ca="1" si="47"/>
        <v>60</v>
      </c>
      <c r="L138" s="21">
        <f t="shared" ca="1" si="5"/>
        <v>10</v>
      </c>
      <c r="M138" s="21" t="str">
        <f t="shared" si="6"/>
        <v>ENCARGO</v>
      </c>
      <c r="N138" s="21" t="str">
        <f t="shared" si="20"/>
        <v>VACANTE DEFINITIVA</v>
      </c>
      <c r="O138" s="21" t="s">
        <v>25</v>
      </c>
      <c r="P138" s="18" t="str">
        <f>IF(O138="","VACANTE DEFINITIVA",(VLOOKUP(O138,'PLANTA PERNO'!A:D,4,0)&amp;" "&amp;VLOOKUP(O138,'PLANTA PERNO'!A:D,2,0)&amp;" "&amp;VLOOKUP(O138,'PLANTA PERNO'!A:D,3,0)))</f>
        <v>VACANTE DEFINITIVA</v>
      </c>
      <c r="Q138" s="21" t="s">
        <v>2390</v>
      </c>
      <c r="R138" s="21">
        <v>1</v>
      </c>
      <c r="S138" s="21"/>
      <c r="T138" s="21"/>
      <c r="U138" s="21"/>
      <c r="V138" s="21"/>
      <c r="W138" s="38">
        <v>66662</v>
      </c>
      <c r="X138" s="128"/>
      <c r="Y138" s="21" t="str">
        <f t="shared" si="8"/>
        <v>OCUPADO</v>
      </c>
      <c r="Z138" s="23" t="s">
        <v>50</v>
      </c>
      <c r="AA138" s="24" t="s">
        <v>72</v>
      </c>
      <c r="AB138" s="25">
        <v>219</v>
      </c>
      <c r="AC138" s="27">
        <v>13</v>
      </c>
      <c r="AD138" s="28" t="str">
        <f t="shared" si="43"/>
        <v>219-13</v>
      </c>
      <c r="AE138" s="24" t="s">
        <v>138</v>
      </c>
      <c r="AF138" s="24" t="s">
        <v>138</v>
      </c>
      <c r="AG138" s="24" t="s">
        <v>2391</v>
      </c>
      <c r="AH138" s="24" t="s">
        <v>2392</v>
      </c>
      <c r="AI138" s="24" t="s">
        <v>2393</v>
      </c>
      <c r="AJ138" s="24" t="s">
        <v>2394</v>
      </c>
      <c r="AK138" s="93">
        <v>5471097.25</v>
      </c>
      <c r="AL138" s="93">
        <v>0</v>
      </c>
      <c r="AM138" s="93">
        <f t="shared" si="41"/>
        <v>382976</v>
      </c>
      <c r="AN138" s="93">
        <f>IFERROR(INT(($AK138*(VLOOKUP($D138,'PORCENTAJES FACTORES'!B:N,12,0))/100)),0)</f>
        <v>2188438</v>
      </c>
      <c r="AO138" s="93">
        <f t="shared" si="42"/>
        <v>0</v>
      </c>
      <c r="AP138" s="93">
        <f t="shared" si="13"/>
        <v>0</v>
      </c>
      <c r="AQ138" s="93">
        <f t="shared" si="14"/>
        <v>0</v>
      </c>
      <c r="AR138" s="95">
        <f t="shared" si="34"/>
        <v>8042511.25</v>
      </c>
      <c r="AS138" s="96"/>
      <c r="AT138" s="97"/>
      <c r="AU138" s="43">
        <f t="shared" si="16"/>
        <v>5854074.0575000001</v>
      </c>
      <c r="AV138" s="43">
        <v>40</v>
      </c>
      <c r="AW138" s="43">
        <f t="shared" si="17"/>
        <v>2341629.6230000001</v>
      </c>
      <c r="AX138" s="43">
        <f t="shared" si="18"/>
        <v>25757925.853</v>
      </c>
      <c r="AY138" s="58"/>
      <c r="AZ138" s="58"/>
      <c r="BA138" s="58"/>
      <c r="BB138" s="58"/>
      <c r="BC138" s="48"/>
      <c r="BD138" s="48"/>
      <c r="BE138" s="48"/>
      <c r="BF138" s="48"/>
      <c r="BG138" s="48"/>
      <c r="BH138" s="48"/>
      <c r="BI138" s="48"/>
      <c r="BJ138" s="48"/>
      <c r="BK138" s="48"/>
      <c r="BL138" s="48"/>
      <c r="BM138" s="48"/>
      <c r="BN138" s="48"/>
      <c r="BO138" s="48"/>
      <c r="BP138" s="48"/>
      <c r="BQ138" s="48"/>
      <c r="BR138" s="48"/>
      <c r="BS138" s="48"/>
    </row>
    <row r="139" spans="1:71" ht="12.75" hidden="1" customHeight="1">
      <c r="A139" s="85">
        <v>135</v>
      </c>
      <c r="B139" s="86">
        <v>5131</v>
      </c>
      <c r="C139" s="29">
        <v>102</v>
      </c>
      <c r="D139" s="122">
        <v>37625914</v>
      </c>
      <c r="E139" s="18" t="str">
        <f>IF(D139&gt;0,VLOOKUP(D139,'PLANTA PERNO'!A:D,4,0)&amp;" "&amp;VLOOKUP(D139,'PLANTA PERNO'!A:D,2,0)&amp;" "&amp;VLOOKUP(D139,'PLANTA PERNO'!A:D,3,0),IF(O139="","VACANTE DEFINITIVA","VACANTE TEMPORAL"))</f>
        <v>MARY DAYANA SANCHEZ ROJAS</v>
      </c>
      <c r="F139" s="20" t="s">
        <v>49</v>
      </c>
      <c r="G139" s="20" t="str">
        <f t="shared" si="0"/>
        <v>EN ENCARGO</v>
      </c>
      <c r="H139" s="33">
        <f t="shared" si="44"/>
        <v>44147</v>
      </c>
      <c r="I139" s="33">
        <f t="shared" si="45"/>
        <v>44147</v>
      </c>
      <c r="J139" s="31" t="str">
        <f t="shared" si="46"/>
        <v>MUJER</v>
      </c>
      <c r="K139" s="21">
        <f t="shared" ca="1" si="47"/>
        <v>50</v>
      </c>
      <c r="L139" s="21">
        <f t="shared" ca="1" si="5"/>
        <v>5</v>
      </c>
      <c r="M139" s="21" t="str">
        <f t="shared" si="6"/>
        <v>ENCARGO</v>
      </c>
      <c r="N139" s="21" t="str">
        <f t="shared" si="20"/>
        <v>EN ENCARGO</v>
      </c>
      <c r="O139" s="21">
        <v>52486713</v>
      </c>
      <c r="P139" s="18" t="str">
        <f>IF(O139="","VACANTE DEFINITIVA",(VLOOKUP(O139,'PLANTA PERNO'!A:D,4,0)&amp;" "&amp;VLOOKUP(O139,'PLANTA PERNO'!A:D,2,0)&amp;" "&amp;VLOOKUP(O139,'PLANTA PERNO'!A:D,3,0)))</f>
        <v>CLAUDIA MARCELA CAMARGO CASTRO</v>
      </c>
      <c r="Q139" s="21" t="s">
        <v>2354</v>
      </c>
      <c r="R139" s="21">
        <v>2</v>
      </c>
      <c r="S139" s="21"/>
      <c r="T139" s="21"/>
      <c r="U139" s="21"/>
      <c r="V139" s="21"/>
      <c r="W139" s="38">
        <v>66624</v>
      </c>
      <c r="X139" s="128"/>
      <c r="Y139" s="21" t="str">
        <f t="shared" si="8"/>
        <v>OCUPADO</v>
      </c>
      <c r="Z139" s="23" t="s">
        <v>50</v>
      </c>
      <c r="AA139" s="24" t="s">
        <v>72</v>
      </c>
      <c r="AB139" s="25">
        <v>219</v>
      </c>
      <c r="AC139" s="27">
        <v>13</v>
      </c>
      <c r="AD139" s="28" t="str">
        <f t="shared" si="43"/>
        <v>219-13</v>
      </c>
      <c r="AE139" s="24" t="s">
        <v>33</v>
      </c>
      <c r="AF139" s="24" t="s">
        <v>33</v>
      </c>
      <c r="AG139" s="24" t="s">
        <v>90</v>
      </c>
      <c r="AH139" s="24" t="s">
        <v>91</v>
      </c>
      <c r="AI139" s="24" t="s">
        <v>92</v>
      </c>
      <c r="AJ139" s="24" t="s">
        <v>93</v>
      </c>
      <c r="AK139" s="93">
        <v>5471097.25</v>
      </c>
      <c r="AL139" s="93">
        <v>0</v>
      </c>
      <c r="AM139" s="93">
        <f t="shared" si="41"/>
        <v>164132</v>
      </c>
      <c r="AN139" s="93">
        <f>IFERROR(INT(($AK139*(VLOOKUP($D139,'PORCENTAJES FACTORES'!B:N,12,0))/100)),0)</f>
        <v>2188438</v>
      </c>
      <c r="AO139" s="93">
        <f t="shared" si="42"/>
        <v>0</v>
      </c>
      <c r="AP139" s="93">
        <f t="shared" si="13"/>
        <v>0</v>
      </c>
      <c r="AQ139" s="93">
        <f t="shared" si="14"/>
        <v>0</v>
      </c>
      <c r="AR139" s="95">
        <f t="shared" si="34"/>
        <v>7823667.25</v>
      </c>
      <c r="AS139" s="96"/>
      <c r="AT139" s="97"/>
      <c r="AU139" s="43">
        <f t="shared" si="16"/>
        <v>5854074.0575000001</v>
      </c>
      <c r="AV139" s="43">
        <v>40</v>
      </c>
      <c r="AW139" s="43">
        <f t="shared" si="17"/>
        <v>2341629.6230000001</v>
      </c>
      <c r="AX139" s="43">
        <f t="shared" si="18"/>
        <v>25757925.853</v>
      </c>
      <c r="AY139" s="58"/>
      <c r="AZ139" s="58"/>
      <c r="BA139" s="58"/>
      <c r="BB139" s="58"/>
      <c r="BC139" s="48"/>
      <c r="BD139" s="48"/>
      <c r="BE139" s="48"/>
      <c r="BF139" s="48"/>
      <c r="BG139" s="48"/>
      <c r="BH139" s="48"/>
      <c r="BI139" s="48"/>
      <c r="BJ139" s="48"/>
      <c r="BK139" s="48"/>
      <c r="BL139" s="48"/>
      <c r="BM139" s="48"/>
      <c r="BN139" s="48"/>
      <c r="BO139" s="48"/>
      <c r="BP139" s="48"/>
      <c r="BQ139" s="48"/>
      <c r="BR139" s="48"/>
      <c r="BS139" s="48"/>
    </row>
    <row r="140" spans="1:71" ht="12.75" hidden="1" customHeight="1">
      <c r="A140" s="85">
        <v>136</v>
      </c>
      <c r="B140" s="86">
        <v>5132</v>
      </c>
      <c r="C140" s="29">
        <v>101</v>
      </c>
      <c r="D140" s="122"/>
      <c r="E140" s="18" t="str">
        <f>IF(D140&gt;0,VLOOKUP(D140,'PLANTA PERNO'!A:D,4,0)&amp;" "&amp;VLOOKUP(D140,'PLANTA PERNO'!A:D,2,0)&amp;" "&amp;VLOOKUP(D140,'PLANTA PERNO'!A:D,3,0),IF(O140="","VACANTE DEFINITIVA","VACANTE TEMPORAL"))</f>
        <v>VACANTE TEMPORAL</v>
      </c>
      <c r="F140" s="20"/>
      <c r="G140" s="20" t="str">
        <f t="shared" si="0"/>
        <v>VACANTE TEMPORAL</v>
      </c>
      <c r="H140" s="33" t="str">
        <f t="shared" si="44"/>
        <v xml:space="preserve"> </v>
      </c>
      <c r="I140" s="33" t="str">
        <f t="shared" si="45"/>
        <v/>
      </c>
      <c r="J140" s="31" t="str">
        <f t="shared" si="46"/>
        <v/>
      </c>
      <c r="K140" s="21" t="str">
        <f t="shared" ca="1" si="47"/>
        <v/>
      </c>
      <c r="L140" s="21" t="str">
        <f t="shared" ca="1" si="5"/>
        <v/>
      </c>
      <c r="M140" s="21" t="str">
        <f t="shared" si="6"/>
        <v/>
      </c>
      <c r="N140" s="21" t="str">
        <f t="shared" si="20"/>
        <v>EN ENCARGO</v>
      </c>
      <c r="O140" s="21">
        <v>86058268</v>
      </c>
      <c r="P140" s="18" t="str">
        <f>IF(O140="","VACANTE DEFINITIVA",(VLOOKUP(O140,'PLANTA PERNO'!A:D,4,0)&amp;" "&amp;VLOOKUP(O140,'PLANTA PERNO'!A:D,2,0)&amp;" "&amp;VLOOKUP(O140,'PLANTA PERNO'!A:D,3,0)))</f>
        <v>IAM ALEXANDER OJEDA CARDENAS</v>
      </c>
      <c r="Q140" s="21" t="s">
        <v>82</v>
      </c>
      <c r="R140" s="21">
        <v>2</v>
      </c>
      <c r="S140" s="21"/>
      <c r="T140" s="21"/>
      <c r="U140" s="21"/>
      <c r="V140" s="21"/>
      <c r="W140" s="38">
        <v>66625</v>
      </c>
      <c r="X140" s="128"/>
      <c r="Y140" s="21" t="str">
        <f t="shared" si="8"/>
        <v>VACANTE TEMPORAL</v>
      </c>
      <c r="Z140" s="23" t="s">
        <v>50</v>
      </c>
      <c r="AA140" s="24" t="s">
        <v>72</v>
      </c>
      <c r="AB140" s="25">
        <v>219</v>
      </c>
      <c r="AC140" s="27">
        <v>13</v>
      </c>
      <c r="AD140" s="28" t="str">
        <f t="shared" si="43"/>
        <v>219-13</v>
      </c>
      <c r="AE140" s="24" t="s">
        <v>33</v>
      </c>
      <c r="AF140" s="24" t="s">
        <v>33</v>
      </c>
      <c r="AG140" s="24" t="s">
        <v>97</v>
      </c>
      <c r="AH140" s="24" t="s">
        <v>99</v>
      </c>
      <c r="AI140" s="24" t="s">
        <v>100</v>
      </c>
      <c r="AJ140" s="24" t="s">
        <v>101</v>
      </c>
      <c r="AK140" s="93">
        <v>5471097.25</v>
      </c>
      <c r="AL140" s="93">
        <v>0</v>
      </c>
      <c r="AM140" s="93">
        <f t="shared" si="41"/>
        <v>0</v>
      </c>
      <c r="AN140" s="93">
        <f>IFERROR(INT(($AK140*(VLOOKUP($D140,'PORCENTAJES FACTORES'!B:N,12,0))/100)),0)</f>
        <v>0</v>
      </c>
      <c r="AO140" s="93">
        <f t="shared" si="42"/>
        <v>0</v>
      </c>
      <c r="AP140" s="93">
        <f t="shared" si="13"/>
        <v>0</v>
      </c>
      <c r="AQ140" s="93">
        <f t="shared" si="14"/>
        <v>0</v>
      </c>
      <c r="AR140" s="95">
        <f t="shared" si="34"/>
        <v>5471097.25</v>
      </c>
      <c r="AS140" s="96"/>
      <c r="AT140" s="97"/>
      <c r="AU140" s="43">
        <f t="shared" si="16"/>
        <v>5854074.0575000001</v>
      </c>
      <c r="AV140" s="43">
        <v>40</v>
      </c>
      <c r="AW140" s="43">
        <f t="shared" si="17"/>
        <v>2341629.6230000001</v>
      </c>
      <c r="AX140" s="43">
        <f t="shared" si="18"/>
        <v>25757925.853</v>
      </c>
      <c r="AY140" s="58"/>
      <c r="AZ140" s="58"/>
      <c r="BA140" s="58"/>
      <c r="BB140" s="58"/>
      <c r="BC140" s="48"/>
      <c r="BD140" s="48"/>
      <c r="BE140" s="48"/>
      <c r="BF140" s="48"/>
      <c r="BG140" s="48"/>
      <c r="BH140" s="48"/>
      <c r="BI140" s="48"/>
      <c r="BJ140" s="48"/>
      <c r="BK140" s="48"/>
      <c r="BL140" s="48"/>
      <c r="BM140" s="48"/>
      <c r="BN140" s="48"/>
      <c r="BO140" s="48"/>
      <c r="BP140" s="48"/>
      <c r="BQ140" s="48"/>
      <c r="BR140" s="48"/>
      <c r="BS140" s="48"/>
    </row>
    <row r="141" spans="1:71" ht="12.75" hidden="1" customHeight="1">
      <c r="A141" s="85">
        <v>137</v>
      </c>
      <c r="B141" s="86">
        <v>5134</v>
      </c>
      <c r="C141" s="29">
        <v>103</v>
      </c>
      <c r="D141" s="122"/>
      <c r="E141" s="18" t="str">
        <f>IF(D141&gt;0,VLOOKUP(D141,'PLANTA PERNO'!A:D,4,0)&amp;" "&amp;VLOOKUP(D141,'PLANTA PERNO'!A:D,2,0)&amp;" "&amp;VLOOKUP(D141,'PLANTA PERNO'!A:D,3,0),IF(O141="","VACANTE DEFINITIVA","VACANTE TEMPORAL"))</f>
        <v>VACANTE TEMPORAL</v>
      </c>
      <c r="F141" s="20"/>
      <c r="G141" s="20" t="str">
        <f t="shared" si="0"/>
        <v>VACANTE TEMPORAL</v>
      </c>
      <c r="H141" s="33" t="str">
        <f t="shared" si="44"/>
        <v xml:space="preserve"> </v>
      </c>
      <c r="I141" s="33" t="str">
        <f t="shared" si="45"/>
        <v/>
      </c>
      <c r="J141" s="31" t="str">
        <f t="shared" si="46"/>
        <v/>
      </c>
      <c r="K141" s="21" t="str">
        <f t="shared" ca="1" si="47"/>
        <v/>
      </c>
      <c r="L141" s="21" t="str">
        <f t="shared" ca="1" si="5"/>
        <v/>
      </c>
      <c r="M141" s="21" t="str">
        <f t="shared" si="6"/>
        <v/>
      </c>
      <c r="N141" s="21" t="str">
        <f t="shared" si="20"/>
        <v>EN ENCARGO</v>
      </c>
      <c r="O141" s="21">
        <v>11446004</v>
      </c>
      <c r="P141" s="18" t="str">
        <f>IF(O141="","VACANTE DEFINITIVA",(VLOOKUP(O141,'PLANTA PERNO'!A:D,4,0)&amp;" "&amp;VLOOKUP(O141,'PLANTA PERNO'!A:D,2,0)&amp;" "&amp;VLOOKUP(O141,'PLANTA PERNO'!A:D,3,0)))</f>
        <v>OSCAR FRANCISCO CELIS BERNAL</v>
      </c>
      <c r="Q141" s="21" t="s">
        <v>1006</v>
      </c>
      <c r="R141" s="21">
        <v>2</v>
      </c>
      <c r="S141" s="21"/>
      <c r="T141" s="21"/>
      <c r="U141" s="21"/>
      <c r="V141" s="21"/>
      <c r="W141" s="38">
        <v>66666</v>
      </c>
      <c r="X141" s="123">
        <v>220287</v>
      </c>
      <c r="Y141" s="21" t="str">
        <f t="shared" si="8"/>
        <v>VACANTE TEMPORAL</v>
      </c>
      <c r="Z141" s="23" t="s">
        <v>50</v>
      </c>
      <c r="AA141" s="24" t="s">
        <v>72</v>
      </c>
      <c r="AB141" s="25">
        <v>219</v>
      </c>
      <c r="AC141" s="27">
        <v>10</v>
      </c>
      <c r="AD141" s="28" t="str">
        <f t="shared" si="43"/>
        <v>219-10</v>
      </c>
      <c r="AE141" s="24" t="s">
        <v>138</v>
      </c>
      <c r="AF141" s="24" t="s">
        <v>138</v>
      </c>
      <c r="AG141" s="24" t="s">
        <v>2395</v>
      </c>
      <c r="AH141" s="24" t="s">
        <v>2396</v>
      </c>
      <c r="AI141" s="24" t="s">
        <v>2397</v>
      </c>
      <c r="AJ141" s="24" t="s">
        <v>2398</v>
      </c>
      <c r="AK141" s="93">
        <v>4938934.8900000006</v>
      </c>
      <c r="AL141" s="93">
        <v>0</v>
      </c>
      <c r="AM141" s="93">
        <f t="shared" si="41"/>
        <v>0</v>
      </c>
      <c r="AN141" s="93">
        <f>IFERROR(INT(($AK141*(VLOOKUP($D141,'PORCENTAJES FACTORES'!B:N,12,0))/100)),0)</f>
        <v>0</v>
      </c>
      <c r="AO141" s="93">
        <f t="shared" si="42"/>
        <v>0</v>
      </c>
      <c r="AP141" s="93">
        <f t="shared" si="13"/>
        <v>0</v>
      </c>
      <c r="AQ141" s="93">
        <f t="shared" si="14"/>
        <v>0</v>
      </c>
      <c r="AR141" s="95">
        <f t="shared" si="34"/>
        <v>4938934.8900000006</v>
      </c>
      <c r="AS141" s="96"/>
      <c r="AT141" s="97"/>
      <c r="AU141" s="43">
        <f t="shared" si="16"/>
        <v>5284660.3323000008</v>
      </c>
      <c r="AV141" s="43">
        <v>40</v>
      </c>
      <c r="AW141" s="43">
        <f t="shared" si="17"/>
        <v>2113864.1329200002</v>
      </c>
      <c r="AX141" s="43">
        <f t="shared" si="18"/>
        <v>23252505.462120004</v>
      </c>
      <c r="AY141" s="58"/>
      <c r="AZ141" s="58"/>
      <c r="BA141" s="58"/>
      <c r="BB141" s="58"/>
      <c r="BC141" s="48"/>
      <c r="BD141" s="48"/>
      <c r="BE141" s="48"/>
      <c r="BF141" s="48"/>
      <c r="BG141" s="48"/>
      <c r="BH141" s="48"/>
      <c r="BI141" s="48"/>
      <c r="BJ141" s="48"/>
      <c r="BK141" s="48"/>
      <c r="BL141" s="48"/>
      <c r="BM141" s="48"/>
      <c r="BN141" s="48"/>
      <c r="BO141" s="48"/>
      <c r="BP141" s="48"/>
      <c r="BQ141" s="48"/>
      <c r="BR141" s="48"/>
      <c r="BS141" s="48"/>
    </row>
    <row r="142" spans="1:71" ht="12.75" customHeight="1">
      <c r="A142" s="85">
        <v>138</v>
      </c>
      <c r="B142" s="86">
        <v>5135</v>
      </c>
      <c r="C142" s="29">
        <v>104</v>
      </c>
      <c r="D142" s="122">
        <v>52171949</v>
      </c>
      <c r="E142" s="18" t="str">
        <f>IF(D142&gt;0,VLOOKUP(D142,'PLANTA PERNO'!A:D,4,0)&amp;" "&amp;VLOOKUP(D142,'PLANTA PERNO'!A:D,2,0)&amp;" "&amp;VLOOKUP(D142,'PLANTA PERNO'!A:D,3,0),IF(O142="","VACANTE DEFINITIVA","VACANTE TEMPORAL"))</f>
        <v>GLORIA INES MARTINEZ ORTIZ</v>
      </c>
      <c r="F142" s="20" t="s">
        <v>49</v>
      </c>
      <c r="G142" s="20" t="str">
        <f t="shared" si="0"/>
        <v>EN ENCARGO</v>
      </c>
      <c r="H142" s="33">
        <f t="shared" si="44"/>
        <v>44389</v>
      </c>
      <c r="I142" s="33">
        <f t="shared" si="45"/>
        <v>44389</v>
      </c>
      <c r="J142" s="31" t="str">
        <f t="shared" si="46"/>
        <v>MUJER</v>
      </c>
      <c r="K142" s="21">
        <f t="shared" ca="1" si="47"/>
        <v>53</v>
      </c>
      <c r="L142" s="21">
        <f t="shared" ca="1" si="5"/>
        <v>5</v>
      </c>
      <c r="M142" s="21" t="str">
        <f t="shared" si="6"/>
        <v>ENCARGO</v>
      </c>
      <c r="N142" s="21" t="str">
        <f t="shared" si="20"/>
        <v>EN ENCARGO</v>
      </c>
      <c r="O142" s="21">
        <v>1032448684</v>
      </c>
      <c r="P142" s="18" t="str">
        <f>IF(O142="","VACANTE DEFINITIVA",(VLOOKUP(O142,'PLANTA PERNO'!A:D,4,0)&amp;" "&amp;VLOOKUP(O142,'PLANTA PERNO'!A:D,2,0)&amp;" "&amp;VLOOKUP(O142,'PLANTA PERNO'!A:D,3,0)))</f>
        <v>JUAN CARLOS MARTINEZ BERNAL</v>
      </c>
      <c r="Q142" s="21" t="s">
        <v>323</v>
      </c>
      <c r="R142" s="21">
        <v>3</v>
      </c>
      <c r="S142" s="21"/>
      <c r="T142" s="21"/>
      <c r="U142" s="21"/>
      <c r="V142" s="21"/>
      <c r="W142" s="38">
        <v>66626</v>
      </c>
      <c r="X142" s="128"/>
      <c r="Y142" s="21" t="str">
        <f t="shared" si="8"/>
        <v>OCUPADO</v>
      </c>
      <c r="Z142" s="23" t="s">
        <v>50</v>
      </c>
      <c r="AA142" s="24" t="s">
        <v>72</v>
      </c>
      <c r="AB142" s="25">
        <v>219</v>
      </c>
      <c r="AC142" s="27">
        <v>10</v>
      </c>
      <c r="AD142" s="28" t="str">
        <f t="shared" si="43"/>
        <v>219-10</v>
      </c>
      <c r="AE142" s="24" t="s">
        <v>147</v>
      </c>
      <c r="AF142" s="24" t="s">
        <v>147</v>
      </c>
      <c r="AG142" s="24" t="s">
        <v>2399</v>
      </c>
      <c r="AH142" s="24" t="s">
        <v>2400</v>
      </c>
      <c r="AI142" s="24" t="s">
        <v>2401</v>
      </c>
      <c r="AJ142" s="24" t="s">
        <v>2402</v>
      </c>
      <c r="AK142" s="93">
        <v>4938934.8900000006</v>
      </c>
      <c r="AL142" s="93">
        <v>0</v>
      </c>
      <c r="AM142" s="93">
        <f t="shared" si="41"/>
        <v>148168</v>
      </c>
      <c r="AN142" s="93">
        <f>IFERROR(INT(($AK142*(VLOOKUP($D142,'PORCENTAJES FACTORES'!B:N,12,0))/100)),0)</f>
        <v>1975573</v>
      </c>
      <c r="AO142" s="93">
        <f t="shared" si="42"/>
        <v>0</v>
      </c>
      <c r="AP142" s="93">
        <f t="shared" si="13"/>
        <v>0</v>
      </c>
      <c r="AQ142" s="93">
        <f t="shared" si="14"/>
        <v>0</v>
      </c>
      <c r="AR142" s="95">
        <f t="shared" si="34"/>
        <v>7062675.8900000006</v>
      </c>
      <c r="AS142" s="96"/>
      <c r="AT142" s="97"/>
      <c r="AU142" s="43">
        <f t="shared" si="16"/>
        <v>5284660.3323000008</v>
      </c>
      <c r="AV142" s="43">
        <v>40</v>
      </c>
      <c r="AW142" s="43">
        <f t="shared" si="17"/>
        <v>2113864.1329200002</v>
      </c>
      <c r="AX142" s="43">
        <f t="shared" si="18"/>
        <v>23252505.462120004</v>
      </c>
      <c r="AY142" s="58"/>
      <c r="AZ142" s="58"/>
      <c r="BA142" s="58"/>
      <c r="BB142" s="58"/>
      <c r="BC142" s="48"/>
      <c r="BD142" s="48"/>
      <c r="BE142" s="48"/>
      <c r="BF142" s="48"/>
      <c r="BG142" s="48"/>
      <c r="BH142" s="48"/>
      <c r="BI142" s="48"/>
      <c r="BJ142" s="48"/>
      <c r="BK142" s="48"/>
      <c r="BL142" s="48"/>
      <c r="BM142" s="48"/>
      <c r="BN142" s="48"/>
      <c r="BO142" s="48"/>
      <c r="BP142" s="48"/>
      <c r="BQ142" s="48"/>
      <c r="BR142" s="48"/>
      <c r="BS142" s="48"/>
    </row>
    <row r="143" spans="1:71" ht="12.75" hidden="1" customHeight="1">
      <c r="A143" s="85">
        <v>139</v>
      </c>
      <c r="B143" s="86">
        <v>5136</v>
      </c>
      <c r="C143" s="29">
        <v>105</v>
      </c>
      <c r="D143" s="122">
        <v>1015425376</v>
      </c>
      <c r="E143" s="18" t="str">
        <f>IF(D143&gt;0,VLOOKUP(D143,'PLANTA PERNO'!A:D,4,0)&amp;" "&amp;VLOOKUP(D143,'PLANTA PERNO'!A:D,2,0)&amp;" "&amp;VLOOKUP(D143,'PLANTA PERNO'!A:D,3,0),IF(O143="","VACANTE DEFINITIVA","VACANTE TEMPORAL"))</f>
        <v>ALEJANDRA NATALY CASALLAS MARTINEZ</v>
      </c>
      <c r="F143" s="20" t="s">
        <v>49</v>
      </c>
      <c r="G143" s="20" t="str">
        <f t="shared" si="0"/>
        <v>EN ENCARGO</v>
      </c>
      <c r="H143" s="33">
        <f t="shared" si="44"/>
        <v>44147</v>
      </c>
      <c r="I143" s="33">
        <f t="shared" si="45"/>
        <v>44147</v>
      </c>
      <c r="J143" s="31" t="str">
        <f t="shared" si="46"/>
        <v>MUJER</v>
      </c>
      <c r="K143" s="21">
        <f t="shared" ca="1" si="47"/>
        <v>35</v>
      </c>
      <c r="L143" s="21">
        <f t="shared" ca="1" si="5"/>
        <v>5</v>
      </c>
      <c r="M143" s="21" t="str">
        <f t="shared" si="6"/>
        <v>ENCARGO</v>
      </c>
      <c r="N143" s="21" t="str">
        <f t="shared" si="20"/>
        <v>EN ENCARGO</v>
      </c>
      <c r="O143" s="21">
        <v>1018482333</v>
      </c>
      <c r="P143" s="18" t="str">
        <f>IF(O143="","VACANTE DEFINITIVA",(VLOOKUP(O143,'PLANTA PERNO'!A:D,4,0)&amp;" "&amp;VLOOKUP(O143,'PLANTA PERNO'!A:D,2,0)&amp;" "&amp;VLOOKUP(O143,'PLANTA PERNO'!A:D,3,0)))</f>
        <v>DANIELA RODRIGUEZ NARVAEZ</v>
      </c>
      <c r="Q143" s="21" t="s">
        <v>2376</v>
      </c>
      <c r="R143" s="21">
        <v>6</v>
      </c>
      <c r="S143" s="21"/>
      <c r="T143" s="21"/>
      <c r="U143" s="21"/>
      <c r="V143" s="21"/>
      <c r="W143" s="38">
        <v>66627</v>
      </c>
      <c r="X143" s="128"/>
      <c r="Y143" s="21" t="str">
        <f t="shared" si="8"/>
        <v>OCUPADO</v>
      </c>
      <c r="Z143" s="23" t="s">
        <v>50</v>
      </c>
      <c r="AA143" s="24" t="s">
        <v>72</v>
      </c>
      <c r="AB143" s="25">
        <v>219</v>
      </c>
      <c r="AC143" s="27">
        <v>10</v>
      </c>
      <c r="AD143" s="28" t="str">
        <f t="shared" si="43"/>
        <v>219-10</v>
      </c>
      <c r="AE143" s="24" t="s">
        <v>147</v>
      </c>
      <c r="AF143" s="24" t="s">
        <v>147</v>
      </c>
      <c r="AG143" s="24" t="s">
        <v>2403</v>
      </c>
      <c r="AH143" s="24" t="s">
        <v>2404</v>
      </c>
      <c r="AI143" s="24" t="s">
        <v>92</v>
      </c>
      <c r="AJ143" s="24" t="s">
        <v>2405</v>
      </c>
      <c r="AK143" s="93">
        <v>4938934.8900000006</v>
      </c>
      <c r="AL143" s="93">
        <v>0</v>
      </c>
      <c r="AM143" s="93">
        <f t="shared" si="41"/>
        <v>148168</v>
      </c>
      <c r="AN143" s="93">
        <f>IFERROR(INT(($AK143*(VLOOKUP($D143,'PORCENTAJES FACTORES'!B:N,12,0))/100)),0)</f>
        <v>1659482</v>
      </c>
      <c r="AO143" s="93">
        <f t="shared" si="42"/>
        <v>0</v>
      </c>
      <c r="AP143" s="93">
        <f t="shared" si="13"/>
        <v>0</v>
      </c>
      <c r="AQ143" s="93">
        <f t="shared" si="14"/>
        <v>0</v>
      </c>
      <c r="AR143" s="95">
        <f t="shared" si="34"/>
        <v>6746584.8900000006</v>
      </c>
      <c r="AS143" s="96"/>
      <c r="AT143" s="97"/>
      <c r="AU143" s="43">
        <f t="shared" si="16"/>
        <v>5284660.3323000008</v>
      </c>
      <c r="AV143" s="43">
        <v>40</v>
      </c>
      <c r="AW143" s="43">
        <f t="shared" si="17"/>
        <v>2113864.1329200002</v>
      </c>
      <c r="AX143" s="43">
        <f t="shared" si="18"/>
        <v>23252505.462120004</v>
      </c>
      <c r="AY143" s="58"/>
      <c r="AZ143" s="58"/>
      <c r="BA143" s="58"/>
      <c r="BB143" s="58"/>
      <c r="BC143" s="48"/>
      <c r="BD143" s="48"/>
      <c r="BE143" s="48"/>
      <c r="BF143" s="48"/>
      <c r="BG143" s="48"/>
      <c r="BH143" s="48"/>
      <c r="BI143" s="48"/>
      <c r="BJ143" s="48"/>
      <c r="BK143" s="48"/>
      <c r="BL143" s="48"/>
      <c r="BM143" s="48"/>
      <c r="BN143" s="48"/>
      <c r="BO143" s="48"/>
      <c r="BP143" s="48"/>
      <c r="BQ143" s="48"/>
      <c r="BR143" s="48"/>
      <c r="BS143" s="48"/>
    </row>
    <row r="144" spans="1:71" ht="12.75" hidden="1" customHeight="1">
      <c r="A144" s="85">
        <v>140</v>
      </c>
      <c r="B144" s="86">
        <v>5137</v>
      </c>
      <c r="C144" s="29">
        <v>106</v>
      </c>
      <c r="D144" s="122">
        <v>1130593147</v>
      </c>
      <c r="E144" s="18" t="str">
        <f>IF(D144&gt;0,VLOOKUP(D144,'PLANTA PERNO'!A:D,4,0)&amp;" "&amp;VLOOKUP(D144,'PLANTA PERNO'!A:D,2,0)&amp;" "&amp;VLOOKUP(D144,'PLANTA PERNO'!A:D,3,0),IF(O144="","VACANTE DEFINITIVA","VACANTE TEMPORAL"))</f>
        <v>DIANA CAROLINA CASTILLO OTALORA</v>
      </c>
      <c r="F144" s="20" t="s">
        <v>24</v>
      </c>
      <c r="G144" s="20" t="str">
        <f t="shared" si="0"/>
        <v>EN PROVISIONALIDAD</v>
      </c>
      <c r="H144" s="33">
        <f t="shared" si="44"/>
        <v>45691</v>
      </c>
      <c r="I144" s="33">
        <f t="shared" si="45"/>
        <v>45691</v>
      </c>
      <c r="J144" s="31" t="str">
        <f t="shared" si="46"/>
        <v>MUJER</v>
      </c>
      <c r="K144" s="21">
        <f t="shared" ca="1" si="47"/>
        <v>39</v>
      </c>
      <c r="L144" s="21">
        <f t="shared" ca="1" si="5"/>
        <v>1</v>
      </c>
      <c r="M144" s="21" t="str">
        <f t="shared" si="6"/>
        <v>PROVISIONALIDAD</v>
      </c>
      <c r="N144" s="21" t="str">
        <f t="shared" si="20"/>
        <v>EN ENCARGO</v>
      </c>
      <c r="O144" s="21">
        <v>79361343</v>
      </c>
      <c r="P144" s="18" t="str">
        <f>IF(O144="","VACANTE DEFINITIVA",(VLOOKUP(O144,'PLANTA PERNO'!A:D,4,0)&amp;" "&amp;VLOOKUP(O144,'PLANTA PERNO'!A:D,2,0)&amp;" "&amp;VLOOKUP(O144,'PLANTA PERNO'!A:D,3,0)))</f>
        <v>VICTOR HERNANDO MURILLO HURTADO</v>
      </c>
      <c r="Q144" s="21" t="s">
        <v>2390</v>
      </c>
      <c r="R144" s="21">
        <v>2</v>
      </c>
      <c r="S144" s="21" t="s">
        <v>166</v>
      </c>
      <c r="T144" s="21"/>
      <c r="U144" s="21"/>
      <c r="V144" s="21"/>
      <c r="W144" s="38"/>
      <c r="X144" s="128"/>
      <c r="Y144" s="21" t="str">
        <f t="shared" si="8"/>
        <v>OCUPADO</v>
      </c>
      <c r="Z144" s="23" t="s">
        <v>50</v>
      </c>
      <c r="AA144" s="24" t="s">
        <v>72</v>
      </c>
      <c r="AB144" s="25">
        <v>219</v>
      </c>
      <c r="AC144" s="27">
        <v>9</v>
      </c>
      <c r="AD144" s="19" t="str">
        <f t="shared" si="43"/>
        <v>219-9</v>
      </c>
      <c r="AE144" s="24" t="s">
        <v>32</v>
      </c>
      <c r="AF144" s="24" t="s">
        <v>32</v>
      </c>
      <c r="AG144" s="24" t="s">
        <v>2406</v>
      </c>
      <c r="AH144" s="24" t="s">
        <v>2407</v>
      </c>
      <c r="AI144" s="24" t="s">
        <v>2408</v>
      </c>
      <c r="AJ144" s="24" t="s">
        <v>2409</v>
      </c>
      <c r="AK144" s="93">
        <v>4897423.17</v>
      </c>
      <c r="AL144" s="93">
        <v>0</v>
      </c>
      <c r="AM144" s="93">
        <f t="shared" si="41"/>
        <v>0</v>
      </c>
      <c r="AN144" s="93">
        <f>IFERROR(INT(($AK144*(VLOOKUP($D144,'PORCENTAJES FACTORES'!B:N,12,0))/100)),0)</f>
        <v>1346791</v>
      </c>
      <c r="AO144" s="93">
        <f t="shared" si="42"/>
        <v>0</v>
      </c>
      <c r="AP144" s="93">
        <f t="shared" si="13"/>
        <v>0</v>
      </c>
      <c r="AQ144" s="93">
        <f t="shared" si="14"/>
        <v>0</v>
      </c>
      <c r="AR144" s="95">
        <f t="shared" si="34"/>
        <v>6244214.1699999999</v>
      </c>
      <c r="AS144" s="96"/>
      <c r="AT144" s="97"/>
      <c r="AU144" s="43">
        <f t="shared" si="16"/>
        <v>5240242.7919000005</v>
      </c>
      <c r="AV144" s="43">
        <v>40</v>
      </c>
      <c r="AW144" s="43">
        <f t="shared" si="17"/>
        <v>2096097.1167600004</v>
      </c>
      <c r="AX144" s="43">
        <f t="shared" si="18"/>
        <v>23057068.284360003</v>
      </c>
      <c r="AY144" s="58"/>
      <c r="AZ144" s="58"/>
      <c r="BA144" s="58"/>
      <c r="BB144" s="58"/>
      <c r="BC144" s="48"/>
      <c r="BD144" s="48"/>
      <c r="BE144" s="48"/>
      <c r="BF144" s="48"/>
      <c r="BG144" s="48"/>
      <c r="BH144" s="48"/>
      <c r="BI144" s="48"/>
      <c r="BJ144" s="48"/>
      <c r="BK144" s="48"/>
      <c r="BL144" s="48"/>
      <c r="BM144" s="48"/>
      <c r="BN144" s="48"/>
      <c r="BO144" s="48"/>
      <c r="BP144" s="48"/>
      <c r="BQ144" s="48"/>
      <c r="BR144" s="48"/>
      <c r="BS144" s="48"/>
    </row>
    <row r="145" spans="1:71" ht="12.75" hidden="1" customHeight="1">
      <c r="A145" s="85">
        <v>141</v>
      </c>
      <c r="B145" s="86">
        <v>5138</v>
      </c>
      <c r="C145" s="29">
        <v>107</v>
      </c>
      <c r="D145" s="122">
        <v>1136880003</v>
      </c>
      <c r="E145" s="18" t="str">
        <f>IF(D145&gt;0,VLOOKUP(D145,'PLANTA PERNO'!A:D,4,0)&amp;" "&amp;VLOOKUP(D145,'PLANTA PERNO'!A:D,2,0)&amp;" "&amp;VLOOKUP(D145,'PLANTA PERNO'!A:D,3,0),IF(O145="","VACANTE DEFINITIVA","VACANTE TEMPORAL"))</f>
        <v>JEIMMY JOHANNA PAEZ GIL</v>
      </c>
      <c r="F145" s="20" t="s">
        <v>24</v>
      </c>
      <c r="G145" s="20" t="str">
        <f t="shared" si="0"/>
        <v>EN PROVISIONALIDAD</v>
      </c>
      <c r="H145" s="33">
        <f t="shared" si="44"/>
        <v>45426</v>
      </c>
      <c r="I145" s="33">
        <f t="shared" si="45"/>
        <v>45426</v>
      </c>
      <c r="J145" s="31" t="str">
        <f t="shared" si="46"/>
        <v>MUJER</v>
      </c>
      <c r="K145" s="21">
        <f t="shared" ca="1" si="47"/>
        <v>38</v>
      </c>
      <c r="L145" s="21">
        <f t="shared" ca="1" si="5"/>
        <v>2</v>
      </c>
      <c r="M145" s="21" t="str">
        <f t="shared" si="6"/>
        <v>PROVISIONALIDAD</v>
      </c>
      <c r="N145" s="21" t="str">
        <f t="shared" si="20"/>
        <v>VACANTE DEFINITIVA</v>
      </c>
      <c r="O145" s="21" t="s">
        <v>25</v>
      </c>
      <c r="P145" s="18" t="str">
        <f>IF(O145="","VACANTE DEFINITIVA",(VLOOKUP(O145,'PLANTA PERNO'!A:D,4,0)&amp;" "&amp;VLOOKUP(O145,'PLANTA PERNO'!A:D,2,0)&amp;" "&amp;VLOOKUP(O145,'PLANTA PERNO'!A:D,3,0)))</f>
        <v>VACANTE DEFINITIVA</v>
      </c>
      <c r="Q145" s="21"/>
      <c r="R145" s="21"/>
      <c r="S145" s="21" t="s">
        <v>166</v>
      </c>
      <c r="T145" s="21"/>
      <c r="U145" s="21"/>
      <c r="V145" s="21"/>
      <c r="W145" s="38">
        <v>66668</v>
      </c>
      <c r="X145" s="128"/>
      <c r="Y145" s="21" t="str">
        <f t="shared" si="8"/>
        <v>OCUPADO</v>
      </c>
      <c r="Z145" s="23" t="s">
        <v>50</v>
      </c>
      <c r="AA145" s="24" t="s">
        <v>72</v>
      </c>
      <c r="AB145" s="25">
        <v>219</v>
      </c>
      <c r="AC145" s="27">
        <v>8</v>
      </c>
      <c r="AD145" s="28" t="str">
        <f t="shared" si="43"/>
        <v>219-8</v>
      </c>
      <c r="AE145" s="24" t="s">
        <v>75</v>
      </c>
      <c r="AF145" s="24" t="s">
        <v>75</v>
      </c>
      <c r="AG145" s="24" t="s">
        <v>2410</v>
      </c>
      <c r="AH145" s="24" t="s">
        <v>2411</v>
      </c>
      <c r="AI145" s="24" t="s">
        <v>2412</v>
      </c>
      <c r="AJ145" s="24" t="s">
        <v>2413</v>
      </c>
      <c r="AK145" s="93">
        <v>4802488.49</v>
      </c>
      <c r="AL145" s="93">
        <v>0</v>
      </c>
      <c r="AM145" s="93">
        <f t="shared" si="41"/>
        <v>0</v>
      </c>
      <c r="AN145" s="93">
        <f>IFERROR(INT(($AK145*(VLOOKUP($D145,'PORCENTAJES FACTORES'!B:N,12,0))/100)),0)</f>
        <v>1152597</v>
      </c>
      <c r="AO145" s="93">
        <f t="shared" si="42"/>
        <v>0</v>
      </c>
      <c r="AP145" s="93">
        <f t="shared" si="13"/>
        <v>0</v>
      </c>
      <c r="AQ145" s="93">
        <f t="shared" si="14"/>
        <v>0</v>
      </c>
      <c r="AR145" s="95">
        <f t="shared" si="34"/>
        <v>5955085.4900000002</v>
      </c>
      <c r="AS145" s="96"/>
      <c r="AT145" s="97"/>
      <c r="AU145" s="43">
        <f t="shared" si="16"/>
        <v>5138662.6843000008</v>
      </c>
      <c r="AV145" s="43">
        <v>40</v>
      </c>
      <c r="AW145" s="43">
        <f t="shared" si="17"/>
        <v>2055465.0737200005</v>
      </c>
      <c r="AX145" s="43">
        <f t="shared" si="18"/>
        <v>22610115.810920004</v>
      </c>
      <c r="AY145" s="58"/>
      <c r="AZ145" s="58"/>
      <c r="BA145" s="58"/>
      <c r="BB145" s="58"/>
      <c r="BC145" s="48"/>
      <c r="BD145" s="48"/>
      <c r="BE145" s="48"/>
      <c r="BF145" s="48"/>
      <c r="BG145" s="48"/>
      <c r="BH145" s="48"/>
      <c r="BI145" s="48"/>
      <c r="BJ145" s="48"/>
      <c r="BK145" s="48"/>
      <c r="BL145" s="48"/>
      <c r="BM145" s="48"/>
      <c r="BN145" s="48"/>
      <c r="BO145" s="48"/>
      <c r="BP145" s="48"/>
      <c r="BQ145" s="48"/>
      <c r="BR145" s="48"/>
      <c r="BS145" s="48"/>
    </row>
    <row r="146" spans="1:71" ht="12.75" hidden="1" customHeight="1">
      <c r="A146" s="85">
        <v>142</v>
      </c>
      <c r="B146" s="86">
        <v>5139</v>
      </c>
      <c r="C146" s="29">
        <v>108</v>
      </c>
      <c r="D146" s="122">
        <v>1022362951</v>
      </c>
      <c r="E146" s="18" t="str">
        <f>IF(D146&gt;0,VLOOKUP(D146,'PLANTA PERNO'!A:D,4,0)&amp;" "&amp;VLOOKUP(D146,'PLANTA PERNO'!A:D,2,0)&amp;" "&amp;VLOOKUP(D146,'PLANTA PERNO'!A:D,3,0),IF(O146="","VACANTE DEFINITIVA","VACANTE TEMPORAL"))</f>
        <v>LUIS CARLOS GAONA FARIAS</v>
      </c>
      <c r="F146" s="20" t="s">
        <v>49</v>
      </c>
      <c r="G146" s="20" t="str">
        <f t="shared" si="0"/>
        <v>EN ENCARGO</v>
      </c>
      <c r="H146" s="33">
        <f t="shared" si="44"/>
        <v>44145</v>
      </c>
      <c r="I146" s="33">
        <f t="shared" si="45"/>
        <v>44145</v>
      </c>
      <c r="J146" s="31" t="str">
        <f t="shared" si="46"/>
        <v>HOMBRE</v>
      </c>
      <c r="K146" s="21">
        <f t="shared" ca="1" si="47"/>
        <v>36</v>
      </c>
      <c r="L146" s="21">
        <f t="shared" ca="1" si="5"/>
        <v>5</v>
      </c>
      <c r="M146" s="21" t="str">
        <f t="shared" si="6"/>
        <v>ENCARGO</v>
      </c>
      <c r="N146" s="21" t="str">
        <f t="shared" si="20"/>
        <v>EN ENCARGO</v>
      </c>
      <c r="O146" s="21">
        <v>51937185</v>
      </c>
      <c r="P146" s="18" t="str">
        <f>IF(O146="","VACANTE DEFINITIVA",(VLOOKUP(O146,'PLANTA PERNO'!A:D,4,0)&amp;" "&amp;VLOOKUP(O146,'PLANTA PERNO'!A:D,2,0)&amp;" "&amp;VLOOKUP(O146,'PLANTA PERNO'!A:D,3,0)))</f>
        <v>MARTHA LILIANA BARRERA DIAZ</v>
      </c>
      <c r="Q146" s="21" t="s">
        <v>333</v>
      </c>
      <c r="R146" s="21">
        <v>2</v>
      </c>
      <c r="S146" s="21"/>
      <c r="T146" s="21"/>
      <c r="U146" s="21"/>
      <c r="V146" s="21"/>
      <c r="W146" s="38"/>
      <c r="X146" s="128"/>
      <c r="Y146" s="21" t="str">
        <f t="shared" si="8"/>
        <v>OCUPADO</v>
      </c>
      <c r="Z146" s="23" t="s">
        <v>50</v>
      </c>
      <c r="AA146" s="24" t="s">
        <v>72</v>
      </c>
      <c r="AB146" s="25">
        <v>219</v>
      </c>
      <c r="AC146" s="27">
        <v>8</v>
      </c>
      <c r="AD146" s="28" t="str">
        <f t="shared" si="43"/>
        <v>219-8</v>
      </c>
      <c r="AE146" s="24" t="s">
        <v>147</v>
      </c>
      <c r="AF146" s="24" t="s">
        <v>147</v>
      </c>
      <c r="AG146" s="24" t="s">
        <v>2414</v>
      </c>
      <c r="AH146" s="24" t="s">
        <v>2415</v>
      </c>
      <c r="AI146" s="24" t="s">
        <v>2416</v>
      </c>
      <c r="AJ146" s="24" t="s">
        <v>2417</v>
      </c>
      <c r="AK146" s="93">
        <v>4802488.49</v>
      </c>
      <c r="AL146" s="93">
        <v>0</v>
      </c>
      <c r="AM146" s="93">
        <f t="shared" si="41"/>
        <v>144074</v>
      </c>
      <c r="AN146" s="93">
        <f>IFERROR(INT(($AK146*(VLOOKUP($D146,'PORCENTAJES FACTORES'!B:N,12,0))/100)),0)</f>
        <v>1613636</v>
      </c>
      <c r="AO146" s="93">
        <f t="shared" si="42"/>
        <v>0</v>
      </c>
      <c r="AP146" s="93">
        <f t="shared" si="13"/>
        <v>0</v>
      </c>
      <c r="AQ146" s="93">
        <f t="shared" si="14"/>
        <v>0</v>
      </c>
      <c r="AR146" s="95">
        <f t="shared" si="34"/>
        <v>6560198.4900000002</v>
      </c>
      <c r="AS146" s="96"/>
      <c r="AT146" s="97"/>
      <c r="AU146" s="43">
        <f t="shared" si="16"/>
        <v>5138662.6843000008</v>
      </c>
      <c r="AV146" s="43">
        <v>40</v>
      </c>
      <c r="AW146" s="43">
        <f t="shared" si="17"/>
        <v>2055465.0737200005</v>
      </c>
      <c r="AX146" s="43">
        <f t="shared" si="18"/>
        <v>22610115.810920004</v>
      </c>
      <c r="AY146" s="58"/>
      <c r="AZ146" s="58"/>
      <c r="BA146" s="58"/>
      <c r="BB146" s="58"/>
      <c r="BC146" s="48"/>
      <c r="BD146" s="48"/>
      <c r="BE146" s="48"/>
      <c r="BF146" s="48"/>
      <c r="BG146" s="48"/>
      <c r="BH146" s="48"/>
      <c r="BI146" s="48"/>
      <c r="BJ146" s="48"/>
      <c r="BK146" s="48"/>
      <c r="BL146" s="48"/>
      <c r="BM146" s="48"/>
      <c r="BN146" s="48"/>
      <c r="BO146" s="48"/>
      <c r="BP146" s="48"/>
      <c r="BQ146" s="48"/>
      <c r="BR146" s="48"/>
      <c r="BS146" s="48"/>
    </row>
    <row r="147" spans="1:71" ht="12.75" hidden="1" customHeight="1">
      <c r="A147" s="85">
        <v>143</v>
      </c>
      <c r="B147" s="86">
        <v>5140</v>
      </c>
      <c r="C147" s="29">
        <v>109</v>
      </c>
      <c r="D147" s="122">
        <v>22446641</v>
      </c>
      <c r="E147" s="18" t="str">
        <f>IF(D147&gt;0,VLOOKUP(D147,'PLANTA PERNO'!A:D,4,0)&amp;" "&amp;VLOOKUP(D147,'PLANTA PERNO'!A:D,2,0)&amp;" "&amp;VLOOKUP(D147,'PLANTA PERNO'!A:D,3,0),IF(O147="","VACANTE DEFINITIVA","VACANTE TEMPORAL"))</f>
        <v>ROSA ISABEL SIERRA LABORDE</v>
      </c>
      <c r="F147" s="20" t="s">
        <v>49</v>
      </c>
      <c r="G147" s="20" t="str">
        <f t="shared" si="0"/>
        <v>EN ENCARGO</v>
      </c>
      <c r="H147" s="33">
        <f t="shared" si="44"/>
        <v>44525</v>
      </c>
      <c r="I147" s="33">
        <f t="shared" si="45"/>
        <v>44525</v>
      </c>
      <c r="J147" s="31" t="str">
        <f t="shared" si="46"/>
        <v>MUJER</v>
      </c>
      <c r="K147" s="21">
        <f t="shared" ca="1" si="47"/>
        <v>58</v>
      </c>
      <c r="L147" s="21">
        <f t="shared" ca="1" si="5"/>
        <v>4</v>
      </c>
      <c r="M147" s="21" t="str">
        <f t="shared" si="6"/>
        <v>ENCARGO</v>
      </c>
      <c r="N147" s="21" t="str">
        <f t="shared" si="20"/>
        <v>EN ENCARGO</v>
      </c>
      <c r="O147" s="21">
        <v>1013608357</v>
      </c>
      <c r="P147" s="18" t="str">
        <f>IF(O147="","VACANTE DEFINITIVA",(VLOOKUP(O147,'PLANTA PERNO'!A:D,4,0)&amp;" "&amp;VLOOKUP(O147,'PLANTA PERNO'!A:D,2,0)&amp;" "&amp;VLOOKUP(O147,'PLANTA PERNO'!A:D,3,0)))</f>
        <v>MONICA JULIANA SANMIGUEL ROJAS</v>
      </c>
      <c r="Q147" s="21" t="s">
        <v>2365</v>
      </c>
      <c r="R147" s="21">
        <v>2</v>
      </c>
      <c r="S147" s="21"/>
      <c r="T147" s="21"/>
      <c r="U147" s="21"/>
      <c r="V147" s="21"/>
      <c r="W147" s="38">
        <v>66628</v>
      </c>
      <c r="X147" s="128"/>
      <c r="Y147" s="21" t="str">
        <f t="shared" si="8"/>
        <v>OCUPADO</v>
      </c>
      <c r="Z147" s="23" t="s">
        <v>50</v>
      </c>
      <c r="AA147" s="24" t="s">
        <v>72</v>
      </c>
      <c r="AB147" s="25">
        <v>219</v>
      </c>
      <c r="AC147" s="27">
        <v>3</v>
      </c>
      <c r="AD147" s="28" t="str">
        <f t="shared" si="43"/>
        <v>219-3</v>
      </c>
      <c r="AE147" s="24" t="s">
        <v>33</v>
      </c>
      <c r="AF147" s="24" t="s">
        <v>33</v>
      </c>
      <c r="AG147" s="24" t="s">
        <v>105</v>
      </c>
      <c r="AH147" s="24" t="s">
        <v>106</v>
      </c>
      <c r="AI147" s="24" t="s">
        <v>92</v>
      </c>
      <c r="AJ147" s="24" t="s">
        <v>108</v>
      </c>
      <c r="AK147" s="93">
        <v>4244467.4400000004</v>
      </c>
      <c r="AL147" s="93">
        <v>0</v>
      </c>
      <c r="AM147" s="93">
        <f t="shared" si="41"/>
        <v>0</v>
      </c>
      <c r="AN147" s="93">
        <f>IFERROR(INT(($AK147*(VLOOKUP($D147,'PORCENTAJES FACTORES'!B:N,12,0))/100)),0)</f>
        <v>887093</v>
      </c>
      <c r="AO147" s="93">
        <f t="shared" si="42"/>
        <v>0</v>
      </c>
      <c r="AP147" s="93">
        <f t="shared" si="13"/>
        <v>0</v>
      </c>
      <c r="AQ147" s="93">
        <f t="shared" si="14"/>
        <v>0</v>
      </c>
      <c r="AR147" s="95">
        <f t="shared" si="34"/>
        <v>5131560.4400000004</v>
      </c>
      <c r="AS147" s="96"/>
      <c r="AT147" s="97"/>
      <c r="AU147" s="43">
        <f t="shared" si="16"/>
        <v>4541580.1608000007</v>
      </c>
      <c r="AV147" s="43">
        <v>40</v>
      </c>
      <c r="AW147" s="43">
        <f t="shared" si="17"/>
        <v>1816632.0643200004</v>
      </c>
      <c r="AX147" s="43">
        <f t="shared" si="18"/>
        <v>19982952.707520004</v>
      </c>
      <c r="AY147" s="58"/>
      <c r="AZ147" s="58"/>
      <c r="BA147" s="58"/>
      <c r="BB147" s="58"/>
      <c r="BC147" s="48"/>
      <c r="BD147" s="48"/>
      <c r="BE147" s="48"/>
      <c r="BF147" s="48"/>
      <c r="BG147" s="48"/>
      <c r="BH147" s="48"/>
      <c r="BI147" s="48"/>
      <c r="BJ147" s="48"/>
      <c r="BK147" s="48"/>
      <c r="BL147" s="48"/>
      <c r="BM147" s="48"/>
      <c r="BN147" s="48"/>
      <c r="BO147" s="48"/>
      <c r="BP147" s="48"/>
      <c r="BQ147" s="48"/>
      <c r="BR147" s="48"/>
      <c r="BS147" s="48"/>
    </row>
    <row r="148" spans="1:71" ht="12.75" hidden="1" customHeight="1">
      <c r="A148" s="85">
        <v>144</v>
      </c>
      <c r="B148" s="86">
        <v>5141</v>
      </c>
      <c r="C148" s="29">
        <v>110</v>
      </c>
      <c r="D148" s="122">
        <v>79894605</v>
      </c>
      <c r="E148" s="18" t="str">
        <f>IF(D148&gt;0,VLOOKUP(D148,'PLANTA PERNO'!A:D,4,0)&amp;" "&amp;VLOOKUP(D148,'PLANTA PERNO'!A:D,2,0)&amp;" "&amp;VLOOKUP(D148,'PLANTA PERNO'!A:D,3,0),IF(O148="","VACANTE DEFINITIVA","VACANTE TEMPORAL"))</f>
        <v>JHON ALEXANDER TIBADUIZA CASTAÃ‘EDA</v>
      </c>
      <c r="F148" s="20" t="s">
        <v>24</v>
      </c>
      <c r="G148" s="20" t="str">
        <f t="shared" si="0"/>
        <v>EN PROVISIONALIDAD</v>
      </c>
      <c r="H148" s="33">
        <f t="shared" si="44"/>
        <v>45968</v>
      </c>
      <c r="I148" s="33">
        <f t="shared" si="45"/>
        <v>45968</v>
      </c>
      <c r="J148" s="31" t="str">
        <f t="shared" si="46"/>
        <v>HOMBRE</v>
      </c>
      <c r="K148" s="21">
        <f t="shared" ca="1" si="47"/>
        <v>48</v>
      </c>
      <c r="L148" s="21">
        <f t="shared" ca="1" si="5"/>
        <v>0</v>
      </c>
      <c r="M148" s="21" t="str">
        <f t="shared" si="6"/>
        <v>PROVISIONALIDAD</v>
      </c>
      <c r="N148" s="21" t="str">
        <f t="shared" si="20"/>
        <v>EN ENCARGO</v>
      </c>
      <c r="O148" s="21">
        <v>1032489040</v>
      </c>
      <c r="P148" s="18" t="str">
        <f>IF(O148="","VACANTE DEFINITIVA",(VLOOKUP(O148,'PLANTA PERNO'!A:D,4,0)&amp;" "&amp;VLOOKUP(O148,'PLANTA PERNO'!A:D,2,0)&amp;" "&amp;VLOOKUP(O148,'PLANTA PERNO'!A:D,3,0)))</f>
        <v>LEIDY JOHANNA ALONSO GUTIERREZ</v>
      </c>
      <c r="Q148" s="21" t="s">
        <v>1602</v>
      </c>
      <c r="R148" s="21">
        <v>5</v>
      </c>
      <c r="S148" s="21" t="s">
        <v>166</v>
      </c>
      <c r="T148" s="21"/>
      <c r="U148" s="21"/>
      <c r="V148" s="21"/>
      <c r="W148" s="38">
        <v>66633</v>
      </c>
      <c r="X148" s="123">
        <v>203198</v>
      </c>
      <c r="Y148" s="21" t="str">
        <f t="shared" si="8"/>
        <v>OCUPADO</v>
      </c>
      <c r="Z148" s="23" t="s">
        <v>50</v>
      </c>
      <c r="AA148" s="24" t="s">
        <v>72</v>
      </c>
      <c r="AB148" s="25">
        <v>219</v>
      </c>
      <c r="AC148" s="27">
        <v>1</v>
      </c>
      <c r="AD148" s="28" t="str">
        <f t="shared" si="43"/>
        <v>219-1</v>
      </c>
      <c r="AE148" s="24" t="s">
        <v>33</v>
      </c>
      <c r="AF148" s="24" t="s">
        <v>33</v>
      </c>
      <c r="AG148" s="41" t="s">
        <v>112</v>
      </c>
      <c r="AH148" s="41" t="s">
        <v>114</v>
      </c>
      <c r="AI148" s="41" t="s">
        <v>92</v>
      </c>
      <c r="AJ148" s="41" t="s">
        <v>116</v>
      </c>
      <c r="AK148" s="93">
        <v>3989529.24</v>
      </c>
      <c r="AL148" s="93">
        <v>0</v>
      </c>
      <c r="AM148" s="93">
        <f t="shared" si="41"/>
        <v>0</v>
      </c>
      <c r="AN148" s="93">
        <f>IFERROR(INT(($AK148*(VLOOKUP($D148,'PORCENTAJES FACTORES'!B:N,12,0))/100)),0)</f>
        <v>0</v>
      </c>
      <c r="AO148" s="93">
        <f t="shared" si="42"/>
        <v>0</v>
      </c>
      <c r="AP148" s="93">
        <f t="shared" si="13"/>
        <v>0</v>
      </c>
      <c r="AQ148" s="93">
        <f t="shared" si="14"/>
        <v>0</v>
      </c>
      <c r="AR148" s="95">
        <f t="shared" si="34"/>
        <v>3989529.24</v>
      </c>
      <c r="AS148" s="96" t="s">
        <v>2418</v>
      </c>
      <c r="AT148" s="97"/>
      <c r="AU148" s="43">
        <f t="shared" si="16"/>
        <v>4268796.2868000008</v>
      </c>
      <c r="AV148" s="43">
        <v>40</v>
      </c>
      <c r="AW148" s="43">
        <f t="shared" si="17"/>
        <v>1707518.5147200003</v>
      </c>
      <c r="AX148" s="43">
        <f t="shared" si="18"/>
        <v>18782703.661920004</v>
      </c>
      <c r="AY148" s="58"/>
      <c r="AZ148" s="58"/>
      <c r="BA148" s="58"/>
      <c r="BB148" s="58"/>
      <c r="BC148" s="48"/>
      <c r="BD148" s="48"/>
      <c r="BE148" s="48"/>
      <c r="BF148" s="48"/>
      <c r="BG148" s="48"/>
      <c r="BH148" s="48"/>
      <c r="BI148" s="48"/>
      <c r="BJ148" s="48"/>
      <c r="BK148" s="48"/>
      <c r="BL148" s="48"/>
      <c r="BM148" s="48"/>
      <c r="BN148" s="48"/>
      <c r="BO148" s="48"/>
      <c r="BP148" s="48"/>
      <c r="BQ148" s="48"/>
      <c r="BR148" s="48"/>
      <c r="BS148" s="48"/>
    </row>
    <row r="149" spans="1:71" ht="12.75" hidden="1" customHeight="1">
      <c r="A149" s="85">
        <v>145</v>
      </c>
      <c r="B149" s="86">
        <v>5142</v>
      </c>
      <c r="C149" s="29">
        <v>111</v>
      </c>
      <c r="D149" s="122">
        <v>30333406</v>
      </c>
      <c r="E149" s="18" t="str">
        <f>IF(D149&gt;0,VLOOKUP(D149,'PLANTA PERNO'!A:D,4,0)&amp;" "&amp;VLOOKUP(D149,'PLANTA PERNO'!A:D,2,0)&amp;" "&amp;VLOOKUP(D149,'PLANTA PERNO'!A:D,3,0),IF(O149="","VACANTE DEFINITIVA","VACANTE TEMPORAL"))</f>
        <v>ALEXANDRA AVILA MARIN</v>
      </c>
      <c r="F149" s="20" t="s">
        <v>49</v>
      </c>
      <c r="G149" s="20" t="str">
        <f t="shared" si="0"/>
        <v>CARRERA ADMINISTRATIVA</v>
      </c>
      <c r="H149" s="33">
        <f t="shared" si="44"/>
        <v>44396</v>
      </c>
      <c r="I149" s="33">
        <f t="shared" si="45"/>
        <v>44396</v>
      </c>
      <c r="J149" s="31" t="str">
        <f t="shared" si="46"/>
        <v>MUJER</v>
      </c>
      <c r="K149" s="21">
        <f t="shared" ca="1" si="47"/>
        <v>51</v>
      </c>
      <c r="L149" s="21">
        <f t="shared" ca="1" si="5"/>
        <v>5</v>
      </c>
      <c r="M149" s="21" t="str">
        <f t="shared" si="6"/>
        <v/>
      </c>
      <c r="N149" s="21" t="str">
        <f t="shared" si="20"/>
        <v>EN PROPIEDAD</v>
      </c>
      <c r="O149" s="21">
        <v>30333406</v>
      </c>
      <c r="P149" s="18" t="str">
        <f>IF(O149="","VACANTE DEFINITIVA",(VLOOKUP(O149,'PLANTA PERNO'!A:D,4,0)&amp;" "&amp;VLOOKUP(O149,'PLANTA PERNO'!A:D,2,0)&amp;" "&amp;VLOOKUP(O149,'PLANTA PERNO'!A:D,3,0)))</f>
        <v>ALEXANDRA AVILA MARIN</v>
      </c>
      <c r="Q149" s="21"/>
      <c r="R149" s="21"/>
      <c r="S149" s="21"/>
      <c r="T149" s="21"/>
      <c r="U149" s="21"/>
      <c r="V149" s="21"/>
      <c r="W149" s="38">
        <v>66631</v>
      </c>
      <c r="X149" s="128"/>
      <c r="Y149" s="21" t="str">
        <f t="shared" si="8"/>
        <v>OCUPADO</v>
      </c>
      <c r="Z149" s="23" t="s">
        <v>50</v>
      </c>
      <c r="AA149" s="24" t="s">
        <v>72</v>
      </c>
      <c r="AB149" s="25">
        <v>219</v>
      </c>
      <c r="AC149" s="27">
        <v>1</v>
      </c>
      <c r="AD149" s="28" t="str">
        <f t="shared" si="43"/>
        <v>219-1</v>
      </c>
      <c r="AE149" s="24" t="s">
        <v>33</v>
      </c>
      <c r="AF149" s="24" t="s">
        <v>33</v>
      </c>
      <c r="AG149" s="24" t="s">
        <v>120</v>
      </c>
      <c r="AH149" s="24" t="s">
        <v>121</v>
      </c>
      <c r="AI149" s="24" t="s">
        <v>122</v>
      </c>
      <c r="AJ149" s="24" t="s">
        <v>116</v>
      </c>
      <c r="AK149" s="93">
        <v>3989529.24</v>
      </c>
      <c r="AL149" s="93">
        <v>0</v>
      </c>
      <c r="AM149" s="93">
        <f t="shared" si="41"/>
        <v>119685</v>
      </c>
      <c r="AN149" s="93">
        <f>IFERROR(INT(($AK149*(VLOOKUP($D149,'PORCENTAJES FACTORES'!B:N,12,0))/100)),0)</f>
        <v>1468146</v>
      </c>
      <c r="AO149" s="93">
        <f t="shared" si="42"/>
        <v>0</v>
      </c>
      <c r="AP149" s="93">
        <f t="shared" si="13"/>
        <v>0</v>
      </c>
      <c r="AQ149" s="93">
        <f t="shared" si="14"/>
        <v>0</v>
      </c>
      <c r="AR149" s="95">
        <f t="shared" si="34"/>
        <v>5577360.2400000002</v>
      </c>
      <c r="AS149" s="96"/>
      <c r="AT149" s="97"/>
      <c r="AU149" s="43">
        <f t="shared" si="16"/>
        <v>4268796.2868000008</v>
      </c>
      <c r="AV149" s="43">
        <v>40</v>
      </c>
      <c r="AW149" s="43">
        <f t="shared" si="17"/>
        <v>1707518.5147200003</v>
      </c>
      <c r="AX149" s="43">
        <f t="shared" si="18"/>
        <v>18782703.661920004</v>
      </c>
      <c r="AY149" s="58"/>
      <c r="AZ149" s="58"/>
      <c r="BA149" s="58"/>
      <c r="BB149" s="58"/>
      <c r="BC149" s="48"/>
      <c r="BD149" s="48"/>
      <c r="BE149" s="48"/>
      <c r="BF149" s="48"/>
      <c r="BG149" s="48"/>
      <c r="BH149" s="48"/>
      <c r="BI149" s="48"/>
      <c r="BJ149" s="48"/>
      <c r="BK149" s="48"/>
      <c r="BL149" s="48"/>
      <c r="BM149" s="48"/>
      <c r="BN149" s="48"/>
      <c r="BO149" s="48"/>
      <c r="BP149" s="48"/>
      <c r="BQ149" s="48"/>
      <c r="BR149" s="48"/>
      <c r="BS149" s="48"/>
    </row>
    <row r="150" spans="1:71" ht="12.75" hidden="1" customHeight="1">
      <c r="A150" s="85">
        <v>146</v>
      </c>
      <c r="B150" s="86">
        <v>5143</v>
      </c>
      <c r="C150" s="29">
        <v>112</v>
      </c>
      <c r="D150" s="122">
        <v>28488940</v>
      </c>
      <c r="E150" s="18" t="str">
        <f>IF(D150&gt;0,VLOOKUP(D150,'PLANTA PERNO'!A:D,4,0)&amp;" "&amp;VLOOKUP(D150,'PLANTA PERNO'!A:D,2,0)&amp;" "&amp;VLOOKUP(D150,'PLANTA PERNO'!A:D,3,0),IF(O150="","VACANTE DEFINITIVA","VACANTE TEMPORAL"))</f>
        <v>CAROLINA ANAYA SARMIENTO</v>
      </c>
      <c r="F150" s="20" t="s">
        <v>49</v>
      </c>
      <c r="G150" s="20" t="str">
        <f t="shared" si="0"/>
        <v>EN ENCARGO</v>
      </c>
      <c r="H150" s="33">
        <f t="shared" si="44"/>
        <v>44138</v>
      </c>
      <c r="I150" s="33">
        <f t="shared" si="45"/>
        <v>44138</v>
      </c>
      <c r="J150" s="31" t="str">
        <f t="shared" si="46"/>
        <v>MUJER</v>
      </c>
      <c r="K150" s="21">
        <f t="shared" ca="1" si="47"/>
        <v>44</v>
      </c>
      <c r="L150" s="21">
        <f t="shared" ca="1" si="5"/>
        <v>5</v>
      </c>
      <c r="M150" s="21" t="str">
        <f t="shared" si="6"/>
        <v>ENCARGO</v>
      </c>
      <c r="N150" s="21" t="str">
        <f t="shared" si="20"/>
        <v>VACANTE DEFINITIVA</v>
      </c>
      <c r="O150" s="21" t="s">
        <v>25</v>
      </c>
      <c r="P150" s="18" t="str">
        <f>IF(O150="","VACANTE DEFINITIVA",(VLOOKUP(O150,'PLANTA PERNO'!A:D,4,0)&amp;" "&amp;VLOOKUP(O150,'PLANTA PERNO'!A:D,2,0)&amp;" "&amp;VLOOKUP(O150,'PLANTA PERNO'!A:D,3,0)))</f>
        <v>VACANTE DEFINITIVA</v>
      </c>
      <c r="Q150" s="21" t="s">
        <v>2419</v>
      </c>
      <c r="R150" s="21">
        <v>1</v>
      </c>
      <c r="S150" s="21"/>
      <c r="T150" s="21"/>
      <c r="U150" s="21"/>
      <c r="V150" s="21"/>
      <c r="W150" s="38">
        <v>66632</v>
      </c>
      <c r="X150" s="128"/>
      <c r="Y150" s="21" t="str">
        <f t="shared" si="8"/>
        <v>OCUPADO</v>
      </c>
      <c r="Z150" s="23" t="s">
        <v>50</v>
      </c>
      <c r="AA150" s="24" t="s">
        <v>72</v>
      </c>
      <c r="AB150" s="25">
        <v>219</v>
      </c>
      <c r="AC150" s="27">
        <v>1</v>
      </c>
      <c r="AD150" s="28" t="str">
        <f t="shared" si="43"/>
        <v>219-1</v>
      </c>
      <c r="AE150" s="24" t="s">
        <v>153</v>
      </c>
      <c r="AF150" s="24" t="s">
        <v>153</v>
      </c>
      <c r="AG150" s="41" t="s">
        <v>2420</v>
      </c>
      <c r="AH150" s="41" t="s">
        <v>2421</v>
      </c>
      <c r="AI150" s="41" t="s">
        <v>80</v>
      </c>
      <c r="AJ150" s="41" t="s">
        <v>2422</v>
      </c>
      <c r="AK150" s="93">
        <v>3989529.24</v>
      </c>
      <c r="AL150" s="93">
        <v>0</v>
      </c>
      <c r="AM150" s="93">
        <f t="shared" si="41"/>
        <v>119685</v>
      </c>
      <c r="AN150" s="93">
        <f>IFERROR(INT(($AK150*(VLOOKUP($D150,'PORCENTAJES FACTORES'!B:N,12,0))/100)),0)</f>
        <v>1468146</v>
      </c>
      <c r="AO150" s="93">
        <f t="shared" si="42"/>
        <v>0</v>
      </c>
      <c r="AP150" s="93">
        <f t="shared" si="13"/>
        <v>0</v>
      </c>
      <c r="AQ150" s="93">
        <f t="shared" si="14"/>
        <v>0</v>
      </c>
      <c r="AR150" s="95">
        <f t="shared" si="34"/>
        <v>5577360.2400000002</v>
      </c>
      <c r="AS150" s="96" t="s">
        <v>2423</v>
      </c>
      <c r="AT150" s="97"/>
      <c r="AU150" s="43">
        <f t="shared" si="16"/>
        <v>4268796.2868000008</v>
      </c>
      <c r="AV150" s="43">
        <v>40</v>
      </c>
      <c r="AW150" s="43">
        <f t="shared" si="17"/>
        <v>1707518.5147200003</v>
      </c>
      <c r="AX150" s="43">
        <f t="shared" si="18"/>
        <v>18782703.661920004</v>
      </c>
      <c r="AY150" s="58"/>
      <c r="AZ150" s="58"/>
      <c r="BA150" s="58"/>
      <c r="BB150" s="58"/>
      <c r="BC150" s="48"/>
      <c r="BD150" s="48"/>
      <c r="BE150" s="48"/>
      <c r="BF150" s="48"/>
      <c r="BG150" s="48"/>
      <c r="BH150" s="48"/>
      <c r="BI150" s="48"/>
      <c r="BJ150" s="48"/>
      <c r="BK150" s="48"/>
      <c r="BL150" s="48"/>
      <c r="BM150" s="48"/>
      <c r="BN150" s="48"/>
      <c r="BO150" s="48"/>
      <c r="BP150" s="48"/>
      <c r="BQ150" s="48"/>
      <c r="BR150" s="48"/>
      <c r="BS150" s="48"/>
    </row>
    <row r="151" spans="1:71" ht="12.75" hidden="1" customHeight="1">
      <c r="A151" s="85">
        <v>147</v>
      </c>
      <c r="B151" s="86">
        <v>5144</v>
      </c>
      <c r="C151" s="29">
        <v>113</v>
      </c>
      <c r="D151" s="122">
        <v>52277284</v>
      </c>
      <c r="E151" s="18" t="str">
        <f>IF(D151&gt;0,VLOOKUP(D151,'PLANTA PERNO'!A:D,4,0)&amp;" "&amp;VLOOKUP(D151,'PLANTA PERNO'!A:D,2,0)&amp;" "&amp;VLOOKUP(D151,'PLANTA PERNO'!A:D,3,0),IF(O151="","VACANTE DEFINITIVA","VACANTE TEMPORAL"))</f>
        <v>MARTHA RUBIELA CRUZ PARDO</v>
      </c>
      <c r="F151" s="20" t="s">
        <v>49</v>
      </c>
      <c r="G151" s="20" t="str">
        <f t="shared" si="0"/>
        <v>EN ENCARGO</v>
      </c>
      <c r="H151" s="33">
        <f t="shared" si="44"/>
        <v>44200</v>
      </c>
      <c r="I151" s="33">
        <f t="shared" si="45"/>
        <v>44200</v>
      </c>
      <c r="J151" s="31" t="str">
        <f t="shared" si="46"/>
        <v>MUJER</v>
      </c>
      <c r="K151" s="21">
        <f t="shared" ca="1" si="47"/>
        <v>50</v>
      </c>
      <c r="L151" s="21">
        <f t="shared" ca="1" si="5"/>
        <v>5</v>
      </c>
      <c r="M151" s="21" t="str">
        <f t="shared" si="6"/>
        <v>ENCARGO</v>
      </c>
      <c r="N151" s="21" t="str">
        <f t="shared" si="20"/>
        <v>EN ENCARGO</v>
      </c>
      <c r="O151" s="21">
        <v>1032479676</v>
      </c>
      <c r="P151" s="18" t="str">
        <f>IF(O151="","VACANTE DEFINITIVA",(VLOOKUP(O151,'PLANTA PERNO'!A:D,4,0)&amp;" "&amp;VLOOKUP(O151,'PLANTA PERNO'!A:D,2,0)&amp;" "&amp;VLOOKUP(O151,'PLANTA PERNO'!A:D,3,0)))</f>
        <v>DAVID ALEJANDRO MORA BERMUDEZ</v>
      </c>
      <c r="Q151" s="21" t="s">
        <v>1260</v>
      </c>
      <c r="R151" s="21">
        <v>3</v>
      </c>
      <c r="S151" s="21"/>
      <c r="T151" s="21"/>
      <c r="U151" s="21"/>
      <c r="V151" s="21"/>
      <c r="W151" s="38">
        <v>66630</v>
      </c>
      <c r="X151" s="128"/>
      <c r="Y151" s="21" t="str">
        <f t="shared" si="8"/>
        <v>OCUPADO</v>
      </c>
      <c r="Z151" s="23" t="s">
        <v>50</v>
      </c>
      <c r="AA151" s="24" t="s">
        <v>72</v>
      </c>
      <c r="AB151" s="25">
        <v>219</v>
      </c>
      <c r="AC151" s="27">
        <v>1</v>
      </c>
      <c r="AD151" s="28" t="str">
        <f t="shared" si="43"/>
        <v>219-1</v>
      </c>
      <c r="AE151" s="24" t="s">
        <v>150</v>
      </c>
      <c r="AF151" s="24" t="s">
        <v>150</v>
      </c>
      <c r="AG151" s="24" t="s">
        <v>2424</v>
      </c>
      <c r="AH151" s="24" t="s">
        <v>2425</v>
      </c>
      <c r="AI151" s="24" t="s">
        <v>2426</v>
      </c>
      <c r="AJ151" s="24" t="s">
        <v>2427</v>
      </c>
      <c r="AK151" s="93">
        <v>3989529.24</v>
      </c>
      <c r="AL151" s="93">
        <v>0</v>
      </c>
      <c r="AM151" s="93">
        <f t="shared" si="41"/>
        <v>119685</v>
      </c>
      <c r="AN151" s="93">
        <f>IFERROR(INT(($AK151*(VLOOKUP($D151,'PORCENTAJES FACTORES'!B:N,12,0))/100)),0)</f>
        <v>1340481</v>
      </c>
      <c r="AO151" s="93">
        <f t="shared" si="42"/>
        <v>0</v>
      </c>
      <c r="AP151" s="93">
        <f t="shared" si="13"/>
        <v>0</v>
      </c>
      <c r="AQ151" s="93">
        <f t="shared" si="14"/>
        <v>0</v>
      </c>
      <c r="AR151" s="95">
        <f t="shared" si="34"/>
        <v>5449695.2400000002</v>
      </c>
      <c r="AS151" s="96"/>
      <c r="AT151" s="97"/>
      <c r="AU151" s="43">
        <f t="shared" si="16"/>
        <v>4268796.2868000008</v>
      </c>
      <c r="AV151" s="43">
        <v>40</v>
      </c>
      <c r="AW151" s="43">
        <f t="shared" si="17"/>
        <v>1707518.5147200003</v>
      </c>
      <c r="AX151" s="43">
        <f t="shared" si="18"/>
        <v>18782703.661920004</v>
      </c>
      <c r="AY151" s="58"/>
      <c r="AZ151" s="58"/>
      <c r="BA151" s="58"/>
      <c r="BB151" s="58"/>
      <c r="BC151" s="48"/>
      <c r="BD151" s="48"/>
      <c r="BE151" s="48"/>
      <c r="BF151" s="48"/>
      <c r="BG151" s="48"/>
      <c r="BH151" s="48"/>
      <c r="BI151" s="48"/>
      <c r="BJ151" s="48"/>
      <c r="BK151" s="48"/>
      <c r="BL151" s="48"/>
      <c r="BM151" s="48"/>
      <c r="BN151" s="48"/>
      <c r="BO151" s="48"/>
      <c r="BP151" s="48"/>
      <c r="BQ151" s="48"/>
      <c r="BR151" s="48"/>
      <c r="BS151" s="48"/>
    </row>
    <row r="152" spans="1:71" ht="12.75" hidden="1" customHeight="1">
      <c r="A152" s="85">
        <v>148</v>
      </c>
      <c r="B152" s="86">
        <v>5145</v>
      </c>
      <c r="C152" s="29">
        <v>114</v>
      </c>
      <c r="D152" s="122">
        <v>79296576</v>
      </c>
      <c r="E152" s="18" t="str">
        <f>IF(D152&gt;0,VLOOKUP(D152,'PLANTA PERNO'!A:D,4,0)&amp;" "&amp;VLOOKUP(D152,'PLANTA PERNO'!A:D,2,0)&amp;" "&amp;VLOOKUP(D152,'PLANTA PERNO'!A:D,3,0),IF(O152="","VACANTE DEFINITIVA","VACANTE TEMPORAL"))</f>
        <v>JOSE JAVIER PINTO CASTAÃ‘EDA</v>
      </c>
      <c r="F152" s="20" t="s">
        <v>24</v>
      </c>
      <c r="G152" s="20" t="str">
        <f t="shared" si="0"/>
        <v>EN PROVISIONALIDAD</v>
      </c>
      <c r="H152" s="33">
        <f t="shared" si="44"/>
        <v>45954</v>
      </c>
      <c r="I152" s="33">
        <f t="shared" si="45"/>
        <v>45954</v>
      </c>
      <c r="J152" s="31" t="str">
        <f t="shared" si="46"/>
        <v>HOMBRE</v>
      </c>
      <c r="K152" s="21">
        <f t="shared" ca="1" si="47"/>
        <v>62</v>
      </c>
      <c r="L152" s="21">
        <f t="shared" ca="1" si="5"/>
        <v>0</v>
      </c>
      <c r="M152" s="21" t="str">
        <f t="shared" si="6"/>
        <v>PROVISIONALIDAD</v>
      </c>
      <c r="N152" s="21" t="str">
        <f t="shared" si="20"/>
        <v>EN ENCARGO</v>
      </c>
      <c r="O152" s="21">
        <v>1110573560</v>
      </c>
      <c r="P152" s="18" t="str">
        <f>IF(O152="","VACANTE DEFINITIVA",(VLOOKUP(O152,'PLANTA PERNO'!A:D,4,0)&amp;" "&amp;VLOOKUP(O152,'PLANTA PERNO'!A:D,2,0)&amp;" "&amp;VLOOKUP(O152,'PLANTA PERNO'!A:D,3,0)))</f>
        <v>CRISTHIAM DAVID JIMENEZ VASQUEZ</v>
      </c>
      <c r="Q152" s="21" t="s">
        <v>2342</v>
      </c>
      <c r="R152" s="21">
        <v>3</v>
      </c>
      <c r="S152" s="21" t="s">
        <v>166</v>
      </c>
      <c r="T152" s="21"/>
      <c r="U152" s="21"/>
      <c r="V152" s="21"/>
      <c r="W152" s="38">
        <v>66629</v>
      </c>
      <c r="X152" s="128"/>
      <c r="Y152" s="21" t="str">
        <f t="shared" si="8"/>
        <v>OCUPADO</v>
      </c>
      <c r="Z152" s="23" t="s">
        <v>50</v>
      </c>
      <c r="AA152" s="24" t="s">
        <v>72</v>
      </c>
      <c r="AB152" s="25">
        <v>219</v>
      </c>
      <c r="AC152" s="27">
        <v>1</v>
      </c>
      <c r="AD152" s="28" t="str">
        <f t="shared" si="43"/>
        <v>219-1</v>
      </c>
      <c r="AE152" s="24" t="s">
        <v>150</v>
      </c>
      <c r="AF152" s="24" t="s">
        <v>150</v>
      </c>
      <c r="AG152" s="24" t="s">
        <v>2428</v>
      </c>
      <c r="AH152" s="24" t="s">
        <v>2429</v>
      </c>
      <c r="AI152" s="24" t="s">
        <v>92</v>
      </c>
      <c r="AJ152" s="24" t="s">
        <v>2430</v>
      </c>
      <c r="AK152" s="93">
        <v>3989529.24</v>
      </c>
      <c r="AL152" s="93">
        <v>0</v>
      </c>
      <c r="AM152" s="93">
        <f t="shared" si="41"/>
        <v>0</v>
      </c>
      <c r="AN152" s="93">
        <f>IFERROR(INT(($AK152*(VLOOKUP($D152,'PORCENTAJES FACTORES'!B:N,12,0))/100)),0)</f>
        <v>0</v>
      </c>
      <c r="AO152" s="93">
        <f t="shared" si="42"/>
        <v>0</v>
      </c>
      <c r="AP152" s="93">
        <f t="shared" si="13"/>
        <v>0</v>
      </c>
      <c r="AQ152" s="93">
        <f t="shared" si="14"/>
        <v>0</v>
      </c>
      <c r="AR152" s="95">
        <f t="shared" si="34"/>
        <v>3989529.24</v>
      </c>
      <c r="AS152" s="96"/>
      <c r="AT152" s="97"/>
      <c r="AU152" s="43">
        <f t="shared" si="16"/>
        <v>4268796.2868000008</v>
      </c>
      <c r="AV152" s="43">
        <v>40</v>
      </c>
      <c r="AW152" s="43">
        <f t="shared" si="17"/>
        <v>1707518.5147200003</v>
      </c>
      <c r="AX152" s="43">
        <f t="shared" si="18"/>
        <v>18782703.661920004</v>
      </c>
      <c r="AY152" s="58"/>
      <c r="AZ152" s="58"/>
      <c r="BA152" s="58"/>
      <c r="BB152" s="58"/>
      <c r="BC152" s="48"/>
      <c r="BD152" s="48"/>
      <c r="BE152" s="48"/>
      <c r="BF152" s="48"/>
      <c r="BG152" s="48"/>
      <c r="BH152" s="48"/>
      <c r="BI152" s="48"/>
      <c r="BJ152" s="48"/>
      <c r="BK152" s="48"/>
      <c r="BL152" s="48"/>
      <c r="BM152" s="48"/>
      <c r="BN152" s="48"/>
      <c r="BO152" s="48"/>
      <c r="BP152" s="48"/>
      <c r="BQ152" s="48"/>
      <c r="BR152" s="48"/>
      <c r="BS152" s="48"/>
    </row>
    <row r="153" spans="1:71" ht="12.75" hidden="1" customHeight="1">
      <c r="A153" s="85">
        <v>149</v>
      </c>
      <c r="B153" s="86">
        <v>5147</v>
      </c>
      <c r="C153" s="29">
        <v>116</v>
      </c>
      <c r="D153" s="122">
        <v>1020837889</v>
      </c>
      <c r="E153" s="18" t="str">
        <f>IF(D153&gt;0,VLOOKUP(D153,'PLANTA PERNO'!A:D,4,0)&amp;" "&amp;VLOOKUP(D153,'PLANTA PERNO'!A:D,2,0)&amp;" "&amp;VLOOKUP(D153,'PLANTA PERNO'!A:D,3,0),IF(O153="","VACANTE DEFINITIVA","VACANTE TEMPORAL"))</f>
        <v>NICOLAS SANTIAGO SOTO ALBA</v>
      </c>
      <c r="F153" s="20" t="s">
        <v>24</v>
      </c>
      <c r="G153" s="20" t="str">
        <f t="shared" si="0"/>
        <v>EN PROVISIONALIDAD</v>
      </c>
      <c r="H153" s="33">
        <f t="shared" si="44"/>
        <v>45799</v>
      </c>
      <c r="I153" s="33">
        <f t="shared" si="45"/>
        <v>45799</v>
      </c>
      <c r="J153" s="31" t="str">
        <f t="shared" si="46"/>
        <v>HOMBRE</v>
      </c>
      <c r="K153" s="21">
        <f t="shared" ca="1" si="47"/>
        <v>27</v>
      </c>
      <c r="L153" s="21">
        <f t="shared" ca="1" si="5"/>
        <v>1</v>
      </c>
      <c r="M153" s="21" t="str">
        <f t="shared" si="6"/>
        <v>PROVISIONALIDAD</v>
      </c>
      <c r="N153" s="21" t="str">
        <f t="shared" si="20"/>
        <v>EN ENCARGO</v>
      </c>
      <c r="O153" s="21">
        <v>1015393324</v>
      </c>
      <c r="P153" s="18" t="str">
        <f>IF(O153="","VACANTE DEFINITIVA",(VLOOKUP(O153,'PLANTA PERNO'!A:D,4,0)&amp;" "&amp;VLOOKUP(O153,'PLANTA PERNO'!A:D,2,0)&amp;" "&amp;VLOOKUP(O153,'PLANTA PERNO'!A:D,3,0)))</f>
        <v>JORGE ANDRES ROJAS PEÃ‘A</v>
      </c>
      <c r="Q153" s="21" t="s">
        <v>1205</v>
      </c>
      <c r="R153" s="21">
        <v>3</v>
      </c>
      <c r="S153" s="21" t="s">
        <v>166</v>
      </c>
      <c r="T153" s="21"/>
      <c r="U153" s="21"/>
      <c r="V153" s="21"/>
      <c r="W153" s="38">
        <v>66629</v>
      </c>
      <c r="X153" s="123">
        <v>203199</v>
      </c>
      <c r="Y153" s="21" t="str">
        <f t="shared" si="8"/>
        <v>OCUPADO</v>
      </c>
      <c r="Z153" s="23" t="s">
        <v>50</v>
      </c>
      <c r="AA153" s="24" t="s">
        <v>72</v>
      </c>
      <c r="AB153" s="25">
        <v>219</v>
      </c>
      <c r="AC153" s="27">
        <v>1</v>
      </c>
      <c r="AD153" s="28" t="str">
        <f t="shared" si="43"/>
        <v>219-1</v>
      </c>
      <c r="AE153" s="24" t="s">
        <v>150</v>
      </c>
      <c r="AF153" s="24" t="s">
        <v>150</v>
      </c>
      <c r="AG153" s="24" t="s">
        <v>2428</v>
      </c>
      <c r="AH153" s="24" t="s">
        <v>2429</v>
      </c>
      <c r="AI153" s="24" t="s">
        <v>92</v>
      </c>
      <c r="AJ153" s="24" t="s">
        <v>2430</v>
      </c>
      <c r="AK153" s="93">
        <v>3989529.24</v>
      </c>
      <c r="AL153" s="93">
        <v>0</v>
      </c>
      <c r="AM153" s="93">
        <f t="shared" si="41"/>
        <v>0</v>
      </c>
      <c r="AN153" s="93">
        <f>IFERROR(INT(($AK153*(VLOOKUP($D153,'PORCENTAJES FACTORES'!B:N,12,0))/100)),0)</f>
        <v>458795</v>
      </c>
      <c r="AO153" s="93">
        <f t="shared" si="42"/>
        <v>0</v>
      </c>
      <c r="AP153" s="93">
        <f t="shared" si="13"/>
        <v>0</v>
      </c>
      <c r="AQ153" s="93">
        <f t="shared" si="14"/>
        <v>0</v>
      </c>
      <c r="AR153" s="95">
        <f t="shared" si="34"/>
        <v>4448324.24</v>
      </c>
      <c r="AS153" s="96"/>
      <c r="AT153" s="97"/>
      <c r="AU153" s="43">
        <f t="shared" si="16"/>
        <v>4268796.2868000008</v>
      </c>
      <c r="AV153" s="43">
        <v>40</v>
      </c>
      <c r="AW153" s="43">
        <f t="shared" si="17"/>
        <v>1707518.5147200003</v>
      </c>
      <c r="AX153" s="43">
        <f t="shared" si="18"/>
        <v>18782703.661920004</v>
      </c>
      <c r="AY153" s="58"/>
      <c r="AZ153" s="58"/>
      <c r="BA153" s="58"/>
      <c r="BB153" s="58"/>
      <c r="BC153" s="48"/>
      <c r="BD153" s="48"/>
      <c r="BE153" s="48"/>
      <c r="BF153" s="48"/>
      <c r="BG153" s="48"/>
      <c r="BH153" s="48"/>
      <c r="BI153" s="48"/>
      <c r="BJ153" s="48"/>
      <c r="BK153" s="48"/>
      <c r="BL153" s="48"/>
      <c r="BM153" s="48"/>
      <c r="BN153" s="48"/>
      <c r="BO153" s="48"/>
      <c r="BP153" s="48"/>
      <c r="BQ153" s="48"/>
      <c r="BR153" s="48"/>
      <c r="BS153" s="48"/>
    </row>
    <row r="154" spans="1:71" ht="12.75" hidden="1" customHeight="1">
      <c r="A154" s="85">
        <v>150</v>
      </c>
      <c r="B154" s="86">
        <v>5146</v>
      </c>
      <c r="C154" s="29">
        <v>115</v>
      </c>
      <c r="D154" s="122"/>
      <c r="E154" s="18" t="str">
        <f>IF(D154&gt;0,VLOOKUP(D154,'PLANTA PERNO'!A:D,4,0)&amp;" "&amp;VLOOKUP(D154,'PLANTA PERNO'!A:D,2,0)&amp;" "&amp;VLOOKUP(D154,'PLANTA PERNO'!A:D,3,0),IF(O154="","VACANTE DEFINITIVA","VACANTE TEMPORAL"))</f>
        <v>VACANTE TEMPORAL</v>
      </c>
      <c r="F154" s="20"/>
      <c r="G154" s="20" t="str">
        <f t="shared" si="0"/>
        <v>VACANTE TEMPORAL</v>
      </c>
      <c r="H154" s="33" t="str">
        <f t="shared" si="44"/>
        <v xml:space="preserve"> </v>
      </c>
      <c r="I154" s="33" t="str">
        <f t="shared" si="45"/>
        <v/>
      </c>
      <c r="J154" s="31" t="str">
        <f t="shared" si="46"/>
        <v/>
      </c>
      <c r="K154" s="21" t="str">
        <f t="shared" ca="1" si="47"/>
        <v/>
      </c>
      <c r="L154" s="21" t="str">
        <f t="shared" ca="1" si="5"/>
        <v/>
      </c>
      <c r="M154" s="21" t="str">
        <f t="shared" si="6"/>
        <v/>
      </c>
      <c r="N154" s="21" t="str">
        <f t="shared" si="20"/>
        <v>EN ENCARGO</v>
      </c>
      <c r="O154" s="21">
        <v>52151785</v>
      </c>
      <c r="P154" s="18" t="str">
        <f>IF(O154="","VACANTE DEFINITIVA",(VLOOKUP(O154,'PLANTA PERNO'!A:D,4,0)&amp;" "&amp;VLOOKUP(O154,'PLANTA PERNO'!A:D,2,0)&amp;" "&amp;VLOOKUP(O154,'PLANTA PERNO'!A:D,3,0)))</f>
        <v>DALIDA VILLANUEVA SANCHEZ</v>
      </c>
      <c r="Q154" s="21" t="s">
        <v>352</v>
      </c>
      <c r="R154" s="21">
        <v>2</v>
      </c>
      <c r="S154" s="21"/>
      <c r="T154" s="21"/>
      <c r="U154" s="21"/>
      <c r="V154" s="21"/>
      <c r="W154" s="38">
        <v>66630</v>
      </c>
      <c r="X154" s="128"/>
      <c r="Y154" s="21" t="str">
        <f t="shared" si="8"/>
        <v>VACANTE TEMPORAL</v>
      </c>
      <c r="Z154" s="23" t="s">
        <v>50</v>
      </c>
      <c r="AA154" s="24" t="s">
        <v>72</v>
      </c>
      <c r="AB154" s="25">
        <v>219</v>
      </c>
      <c r="AC154" s="27">
        <v>1</v>
      </c>
      <c r="AD154" s="28" t="str">
        <f t="shared" si="43"/>
        <v>219-1</v>
      </c>
      <c r="AE154" s="24" t="s">
        <v>150</v>
      </c>
      <c r="AF154" s="24" t="s">
        <v>150</v>
      </c>
      <c r="AG154" s="24" t="s">
        <v>2424</v>
      </c>
      <c r="AH154" s="24" t="s">
        <v>2425</v>
      </c>
      <c r="AI154" s="24" t="s">
        <v>2426</v>
      </c>
      <c r="AJ154" s="24" t="s">
        <v>2427</v>
      </c>
      <c r="AK154" s="93">
        <v>3989529.24</v>
      </c>
      <c r="AL154" s="93">
        <v>0</v>
      </c>
      <c r="AM154" s="93">
        <f t="shared" si="41"/>
        <v>0</v>
      </c>
      <c r="AN154" s="93">
        <f>IFERROR(INT(($AK154*(VLOOKUP($D154,'PORCENTAJES FACTORES'!B:N,12,0))/100)),0)</f>
        <v>0</v>
      </c>
      <c r="AO154" s="93">
        <f t="shared" si="42"/>
        <v>0</v>
      </c>
      <c r="AP154" s="93">
        <f t="shared" si="13"/>
        <v>0</v>
      </c>
      <c r="AQ154" s="93">
        <f t="shared" si="14"/>
        <v>0</v>
      </c>
      <c r="AR154" s="95">
        <f t="shared" si="34"/>
        <v>3989529.24</v>
      </c>
      <c r="AS154" s="96"/>
      <c r="AT154" s="97"/>
      <c r="AU154" s="43">
        <f t="shared" si="16"/>
        <v>4268796.2868000008</v>
      </c>
      <c r="AV154" s="43">
        <v>40</v>
      </c>
      <c r="AW154" s="43">
        <f t="shared" si="17"/>
        <v>1707518.5147200003</v>
      </c>
      <c r="AX154" s="43">
        <f t="shared" si="18"/>
        <v>18782703.661920004</v>
      </c>
      <c r="AY154" s="58"/>
      <c r="AZ154" s="58"/>
      <c r="BA154" s="58"/>
      <c r="BB154" s="58"/>
      <c r="BC154" s="48"/>
      <c r="BD154" s="48"/>
      <c r="BE154" s="48"/>
      <c r="BF154" s="48"/>
      <c r="BG154" s="48"/>
      <c r="BH154" s="48"/>
      <c r="BI154" s="48"/>
      <c r="BJ154" s="48"/>
      <c r="BK154" s="48"/>
      <c r="BL154" s="48"/>
      <c r="BM154" s="48"/>
      <c r="BN154" s="48"/>
      <c r="BO154" s="48"/>
      <c r="BP154" s="48"/>
      <c r="BQ154" s="48"/>
      <c r="BR154" s="48"/>
      <c r="BS154" s="48"/>
    </row>
    <row r="155" spans="1:71" ht="12.75" customHeight="1">
      <c r="A155" s="85">
        <v>151</v>
      </c>
      <c r="B155" s="86">
        <v>5148</v>
      </c>
      <c r="C155" s="29">
        <v>117</v>
      </c>
      <c r="D155" s="122">
        <v>1072493406</v>
      </c>
      <c r="E155" s="18" t="str">
        <f>IF(D155&gt;0,VLOOKUP(D155,'PLANTA PERNO'!A:D,4,0)&amp;" "&amp;VLOOKUP(D155,'PLANTA PERNO'!A:D,2,0)&amp;" "&amp;VLOOKUP(D155,'PLANTA PERNO'!A:D,3,0),IF(O155="","VACANTE DEFINITIVA","VACANTE TEMPORAL"))</f>
        <v>DANIEL FERNANDO BUITRAGO DIAZ</v>
      </c>
      <c r="F155" s="20" t="s">
        <v>49</v>
      </c>
      <c r="G155" s="20" t="str">
        <f t="shared" si="0"/>
        <v>EN ENCARGO</v>
      </c>
      <c r="H155" s="33">
        <f t="shared" si="44"/>
        <v>44146</v>
      </c>
      <c r="I155" s="33">
        <f t="shared" si="45"/>
        <v>44146</v>
      </c>
      <c r="J155" s="31" t="str">
        <f t="shared" si="46"/>
        <v>HOMBRE</v>
      </c>
      <c r="K155" s="21">
        <f t="shared" ca="1" si="47"/>
        <v>37</v>
      </c>
      <c r="L155" s="21">
        <f t="shared" ca="1" si="5"/>
        <v>5</v>
      </c>
      <c r="M155" s="21" t="str">
        <f t="shared" si="6"/>
        <v>ENCARGO</v>
      </c>
      <c r="N155" s="21" t="str">
        <f t="shared" si="20"/>
        <v>EN ENCARGO</v>
      </c>
      <c r="O155" s="21">
        <v>52171949</v>
      </c>
      <c r="P155" s="18" t="str">
        <f>IF(O155="","VACANTE DEFINITIVA",(VLOOKUP(O155,'PLANTA PERNO'!A:D,4,0)&amp;" "&amp;VLOOKUP(O155,'PLANTA PERNO'!A:D,2,0)&amp;" "&amp;VLOOKUP(O155,'PLANTA PERNO'!A:D,3,0)))</f>
        <v>GLORIA INES MARTINEZ ORTIZ</v>
      </c>
      <c r="Q155" s="21" t="s">
        <v>323</v>
      </c>
      <c r="R155" s="21">
        <v>4</v>
      </c>
      <c r="S155" s="21"/>
      <c r="T155" s="21"/>
      <c r="U155" s="21"/>
      <c r="V155" s="21"/>
      <c r="W155" s="38">
        <v>66222</v>
      </c>
      <c r="X155" s="128"/>
      <c r="Y155" s="21" t="str">
        <f t="shared" si="8"/>
        <v>OCUPADO</v>
      </c>
      <c r="Z155" s="23" t="s">
        <v>124</v>
      </c>
      <c r="AA155" s="24" t="s">
        <v>124</v>
      </c>
      <c r="AB155" s="25">
        <v>314</v>
      </c>
      <c r="AC155" s="27">
        <v>21</v>
      </c>
      <c r="AD155" s="28" t="str">
        <f t="shared" si="43"/>
        <v>314-21</v>
      </c>
      <c r="AE155" s="24" t="s">
        <v>98</v>
      </c>
      <c r="AF155" s="24" t="s">
        <v>98</v>
      </c>
      <c r="AG155" s="24" t="s">
        <v>2431</v>
      </c>
      <c r="AH155" s="24" t="s">
        <v>2432</v>
      </c>
      <c r="AI155" s="24" t="s">
        <v>2433</v>
      </c>
      <c r="AJ155" s="24" t="s">
        <v>2434</v>
      </c>
      <c r="AK155" s="93">
        <v>4789388.4800000004</v>
      </c>
      <c r="AL155" s="93">
        <v>0</v>
      </c>
      <c r="AM155" s="93">
        <f t="shared" si="41"/>
        <v>143681</v>
      </c>
      <c r="AN155" s="93">
        <f>IFERROR(INT(($AK155*(VLOOKUP($D155,'PORCENTAJES FACTORES'!B:N,12,0))/100)),0)</f>
        <v>0</v>
      </c>
      <c r="AO155" s="93">
        <f t="shared" si="42"/>
        <v>0</v>
      </c>
      <c r="AP155" s="93">
        <f t="shared" si="13"/>
        <v>0</v>
      </c>
      <c r="AQ155" s="93">
        <f t="shared" si="14"/>
        <v>0</v>
      </c>
      <c r="AR155" s="95">
        <f t="shared" si="34"/>
        <v>4933069.4800000004</v>
      </c>
      <c r="AS155" s="96"/>
      <c r="AT155" s="97"/>
      <c r="AU155" s="43">
        <f t="shared" si="16"/>
        <v>5124645.6736000003</v>
      </c>
      <c r="AV155" s="58"/>
      <c r="AW155" s="43">
        <f t="shared" si="17"/>
        <v>0</v>
      </c>
      <c r="AX155" s="43">
        <f t="shared" si="18"/>
        <v>0</v>
      </c>
      <c r="AY155" s="58"/>
      <c r="AZ155" s="58"/>
      <c r="BA155" s="58">
        <f>AZ155*0.92</f>
        <v>0</v>
      </c>
      <c r="BB155" s="58"/>
      <c r="BC155" s="48"/>
      <c r="BD155" s="48"/>
      <c r="BE155" s="48"/>
      <c r="BF155" s="48"/>
      <c r="BG155" s="48"/>
      <c r="BH155" s="48"/>
      <c r="BI155" s="48"/>
      <c r="BJ155" s="48"/>
      <c r="BK155" s="48"/>
      <c r="BL155" s="48"/>
      <c r="BM155" s="48"/>
      <c r="BN155" s="48"/>
      <c r="BO155" s="48"/>
      <c r="BP155" s="48"/>
      <c r="BQ155" s="48"/>
      <c r="BR155" s="48"/>
      <c r="BS155" s="48"/>
    </row>
    <row r="156" spans="1:71" ht="12.75" hidden="1" customHeight="1">
      <c r="A156" s="85">
        <v>152</v>
      </c>
      <c r="B156" s="86">
        <v>5149</v>
      </c>
      <c r="C156" s="29">
        <v>118</v>
      </c>
      <c r="D156" s="122">
        <v>1030602070</v>
      </c>
      <c r="E156" s="18" t="str">
        <f>IF(D156&gt;0,VLOOKUP(D156,'PLANTA PERNO'!A:D,4,0)&amp;" "&amp;VLOOKUP(D156,'PLANTA PERNO'!A:D,2,0)&amp;" "&amp;VLOOKUP(D156,'PLANTA PERNO'!A:D,3,0),IF(O156="","VACANTE DEFINITIVA","VACANTE TEMPORAL"))</f>
        <v>FAVER PEREZ GUTIERREZ</v>
      </c>
      <c r="F156" s="20" t="s">
        <v>24</v>
      </c>
      <c r="G156" s="20" t="str">
        <f t="shared" si="0"/>
        <v>EN PROVISIONALIDAD</v>
      </c>
      <c r="H156" s="33">
        <f t="shared" si="44"/>
        <v>44740</v>
      </c>
      <c r="I156" s="33">
        <f t="shared" si="45"/>
        <v>44740</v>
      </c>
      <c r="J156" s="31" t="str">
        <f t="shared" si="46"/>
        <v>HOMBRE</v>
      </c>
      <c r="K156" s="21">
        <f t="shared" ca="1" si="47"/>
        <v>34</v>
      </c>
      <c r="L156" s="21">
        <f t="shared" ca="1" si="5"/>
        <v>4</v>
      </c>
      <c r="M156" s="21" t="str">
        <f t="shared" si="6"/>
        <v>PROVISIONALIDAD</v>
      </c>
      <c r="N156" s="21" t="str">
        <f t="shared" si="20"/>
        <v>VACANTE DEFINITIVA</v>
      </c>
      <c r="O156" s="21" t="s">
        <v>25</v>
      </c>
      <c r="P156" s="18" t="str">
        <f>IF(O156="","VACANTE DEFINITIVA",(VLOOKUP(O156,'PLANTA PERNO'!A:D,4,0)&amp;" "&amp;VLOOKUP(O156,'PLANTA PERNO'!A:D,2,0)&amp;" "&amp;VLOOKUP(O156,'PLANTA PERNO'!A:D,3,0)))</f>
        <v>VACANTE DEFINITIVA</v>
      </c>
      <c r="Q156" s="21"/>
      <c r="R156" s="21"/>
      <c r="S156" s="21" t="s">
        <v>166</v>
      </c>
      <c r="T156" s="21"/>
      <c r="U156" s="21"/>
      <c r="V156" s="21"/>
      <c r="W156" s="38">
        <v>66214</v>
      </c>
      <c r="X156" s="128">
        <v>203201</v>
      </c>
      <c r="Y156" s="21" t="str">
        <f t="shared" si="8"/>
        <v>OCUPADO</v>
      </c>
      <c r="Z156" s="23" t="s">
        <v>124</v>
      </c>
      <c r="AA156" s="24" t="s">
        <v>124</v>
      </c>
      <c r="AB156" s="25">
        <v>314</v>
      </c>
      <c r="AC156" s="27">
        <v>20</v>
      </c>
      <c r="AD156" s="28" t="str">
        <f t="shared" si="43"/>
        <v>314-20</v>
      </c>
      <c r="AE156" s="24" t="s">
        <v>75</v>
      </c>
      <c r="AF156" s="24" t="s">
        <v>75</v>
      </c>
      <c r="AG156" s="24" t="s">
        <v>2435</v>
      </c>
      <c r="AH156" s="24" t="s">
        <v>2436</v>
      </c>
      <c r="AI156" s="24" t="s">
        <v>2437</v>
      </c>
      <c r="AJ156" s="24" t="s">
        <v>2438</v>
      </c>
      <c r="AK156" s="93">
        <v>4789273.99</v>
      </c>
      <c r="AL156" s="93">
        <v>0</v>
      </c>
      <c r="AM156" s="93">
        <f t="shared" si="41"/>
        <v>0</v>
      </c>
      <c r="AN156" s="93">
        <f>IFERROR(INT(($AK156*(VLOOKUP($D156,'PORCENTAJES FACTORES'!B:N,12,0))/100)),0)</f>
        <v>0</v>
      </c>
      <c r="AO156" s="93">
        <f t="shared" si="42"/>
        <v>0</v>
      </c>
      <c r="AP156" s="93">
        <f t="shared" si="13"/>
        <v>0</v>
      </c>
      <c r="AQ156" s="93">
        <f t="shared" si="14"/>
        <v>0</v>
      </c>
      <c r="AR156" s="95">
        <f t="shared" si="34"/>
        <v>4789273.99</v>
      </c>
      <c r="AS156" s="96"/>
      <c r="AT156" s="97"/>
      <c r="AU156" s="43">
        <f t="shared" si="16"/>
        <v>5124523.1693000002</v>
      </c>
      <c r="AV156" s="58"/>
      <c r="AW156" s="43">
        <f t="shared" si="17"/>
        <v>0</v>
      </c>
      <c r="AX156" s="43">
        <f t="shared" si="18"/>
        <v>0</v>
      </c>
      <c r="AY156" s="58"/>
      <c r="AZ156" s="58"/>
      <c r="BA156" s="213">
        <f>BA155/2</f>
        <v>0</v>
      </c>
      <c r="BB156" s="58"/>
      <c r="BC156" s="48"/>
      <c r="BD156" s="48"/>
      <c r="BE156" s="48"/>
      <c r="BF156" s="48"/>
      <c r="BG156" s="48"/>
      <c r="BH156" s="48"/>
      <c r="BI156" s="48"/>
      <c r="BJ156" s="48"/>
      <c r="BK156" s="48"/>
      <c r="BL156" s="48"/>
      <c r="BM156" s="48"/>
      <c r="BN156" s="48"/>
      <c r="BO156" s="48"/>
      <c r="BP156" s="48"/>
      <c r="BQ156" s="48"/>
      <c r="BR156" s="48"/>
      <c r="BS156" s="48"/>
    </row>
    <row r="157" spans="1:71" ht="12.75" hidden="1" customHeight="1">
      <c r="A157" s="85">
        <v>153</v>
      </c>
      <c r="B157" s="86">
        <v>5157</v>
      </c>
      <c r="C157" s="29">
        <v>121</v>
      </c>
      <c r="D157" s="122">
        <v>79538698</v>
      </c>
      <c r="E157" s="18" t="str">
        <f>IF(D157&gt;0,VLOOKUP(D157,'PLANTA PERNO'!A:D,4,0)&amp;" "&amp;VLOOKUP(D157,'PLANTA PERNO'!A:D,2,0)&amp;" "&amp;VLOOKUP(D157,'PLANTA PERNO'!A:D,3,0),IF(O157="","VACANTE DEFINITIVA","VACANTE TEMPORAL"))</f>
        <v>WILLIAM FONSECA APERADOR</v>
      </c>
      <c r="F157" s="20" t="s">
        <v>49</v>
      </c>
      <c r="G157" s="20" t="str">
        <f t="shared" si="0"/>
        <v>CARRERA ADMINISTRATIVA</v>
      </c>
      <c r="H157" s="33">
        <f t="shared" si="44"/>
        <v>44228</v>
      </c>
      <c r="I157" s="33">
        <f t="shared" si="45"/>
        <v>43049</v>
      </c>
      <c r="J157" s="31" t="str">
        <f t="shared" si="46"/>
        <v>HOMBRE</v>
      </c>
      <c r="K157" s="21">
        <f t="shared" ca="1" si="47"/>
        <v>56</v>
      </c>
      <c r="L157" s="21">
        <f t="shared" ca="1" si="5"/>
        <v>5</v>
      </c>
      <c r="M157" s="21" t="str">
        <f t="shared" si="6"/>
        <v/>
      </c>
      <c r="N157" s="21" t="str">
        <f t="shared" si="20"/>
        <v>EN PROPIEDAD</v>
      </c>
      <c r="O157" s="21">
        <v>79538698</v>
      </c>
      <c r="P157" s="18" t="str">
        <f>IF(O157="","VACANTE DEFINITIVA",(VLOOKUP(O157,'PLANTA PERNO'!A:D,4,0)&amp;" "&amp;VLOOKUP(O157,'PLANTA PERNO'!A:D,2,0)&amp;" "&amp;VLOOKUP(O157,'PLANTA PERNO'!A:D,3,0)))</f>
        <v>WILLIAM FONSECA APERADOR</v>
      </c>
      <c r="Q157" s="21"/>
      <c r="R157" s="21"/>
      <c r="S157" s="21"/>
      <c r="T157" s="21"/>
      <c r="U157" s="21"/>
      <c r="V157" s="21"/>
      <c r="W157" s="38">
        <v>66214</v>
      </c>
      <c r="X157" s="128"/>
      <c r="Y157" s="21" t="str">
        <f t="shared" si="8"/>
        <v>OCUPADO</v>
      </c>
      <c r="Z157" s="23" t="s">
        <v>124</v>
      </c>
      <c r="AA157" s="24" t="s">
        <v>124</v>
      </c>
      <c r="AB157" s="25">
        <v>314</v>
      </c>
      <c r="AC157" s="27">
        <v>20</v>
      </c>
      <c r="AD157" s="28" t="str">
        <f t="shared" si="43"/>
        <v>314-20</v>
      </c>
      <c r="AE157" s="24" t="s">
        <v>75</v>
      </c>
      <c r="AF157" s="24" t="s">
        <v>75</v>
      </c>
      <c r="AG157" s="24" t="s">
        <v>2435</v>
      </c>
      <c r="AH157" s="24" t="s">
        <v>2436</v>
      </c>
      <c r="AI157" s="24" t="s">
        <v>2437</v>
      </c>
      <c r="AJ157" s="24" t="s">
        <v>2438</v>
      </c>
      <c r="AK157" s="93">
        <v>4789273.99</v>
      </c>
      <c r="AL157" s="93">
        <v>0</v>
      </c>
      <c r="AM157" s="93">
        <f t="shared" si="41"/>
        <v>143678</v>
      </c>
      <c r="AN157" s="93">
        <f>IFERROR(INT(($AK157*(VLOOKUP($D157,'PORCENTAJES FACTORES'!B:N,12,0))/100)),0)</f>
        <v>0</v>
      </c>
      <c r="AO157" s="93">
        <f t="shared" si="42"/>
        <v>0</v>
      </c>
      <c r="AP157" s="93">
        <f t="shared" si="13"/>
        <v>0</v>
      </c>
      <c r="AQ157" s="93">
        <f t="shared" si="14"/>
        <v>0</v>
      </c>
      <c r="AR157" s="95">
        <f t="shared" si="34"/>
        <v>4932951.99</v>
      </c>
      <c r="AS157" s="96"/>
      <c r="AT157" s="97"/>
      <c r="AU157" s="43">
        <f t="shared" si="16"/>
        <v>5124523.1693000002</v>
      </c>
      <c r="AV157" s="58"/>
      <c r="AW157" s="43">
        <f t="shared" si="17"/>
        <v>0</v>
      </c>
      <c r="AX157" s="43">
        <f t="shared" si="18"/>
        <v>0</v>
      </c>
      <c r="AY157" s="58"/>
      <c r="AZ157" s="58"/>
      <c r="BA157" s="58"/>
      <c r="BB157" s="58"/>
      <c r="BC157" s="48"/>
      <c r="BD157" s="48"/>
      <c r="BE157" s="48"/>
      <c r="BF157" s="48"/>
      <c r="BG157" s="48"/>
      <c r="BH157" s="48"/>
      <c r="BI157" s="48"/>
      <c r="BJ157" s="48"/>
      <c r="BK157" s="48"/>
      <c r="BL157" s="48"/>
      <c r="BM157" s="48"/>
      <c r="BN157" s="48"/>
      <c r="BO157" s="48"/>
      <c r="BP157" s="48"/>
      <c r="BQ157" s="48"/>
      <c r="BR157" s="48"/>
      <c r="BS157" s="48"/>
    </row>
    <row r="158" spans="1:71" ht="12.75" hidden="1" customHeight="1">
      <c r="A158" s="85">
        <v>154</v>
      </c>
      <c r="B158" s="86">
        <v>5156</v>
      </c>
      <c r="C158" s="29">
        <v>119</v>
      </c>
      <c r="D158" s="122">
        <v>1030618681</v>
      </c>
      <c r="E158" s="18" t="str">
        <f>IF(D158&gt;0,VLOOKUP(D158,'PLANTA PERNO'!A:D,4,0)&amp;" "&amp;VLOOKUP(D158,'PLANTA PERNO'!A:D,2,0)&amp;" "&amp;VLOOKUP(D158,'PLANTA PERNO'!A:D,3,0),IF(O158="","VACANTE DEFINITIVA","VACANTE TEMPORAL"))</f>
        <v>JENNIFER LIZBETH GOMEZ AREVALO</v>
      </c>
      <c r="F158" s="20" t="s">
        <v>49</v>
      </c>
      <c r="G158" s="20" t="str">
        <f t="shared" si="0"/>
        <v>EN ENCARGO</v>
      </c>
      <c r="H158" s="33">
        <f t="shared" si="44"/>
        <v>44489</v>
      </c>
      <c r="I158" s="33">
        <f t="shared" si="45"/>
        <v>44489</v>
      </c>
      <c r="J158" s="31" t="str">
        <f t="shared" si="46"/>
        <v>MUJER</v>
      </c>
      <c r="K158" s="21">
        <f t="shared" ca="1" si="47"/>
        <v>33</v>
      </c>
      <c r="L158" s="21">
        <f t="shared" ca="1" si="5"/>
        <v>4</v>
      </c>
      <c r="M158" s="21" t="str">
        <f t="shared" si="6"/>
        <v>ENCARGO</v>
      </c>
      <c r="N158" s="21" t="str">
        <f t="shared" si="20"/>
        <v>EN ENCARGO</v>
      </c>
      <c r="O158" s="21">
        <v>52277284</v>
      </c>
      <c r="P158" s="18" t="str">
        <f>IF(O158="","VACANTE DEFINITIVA",(VLOOKUP(O158,'PLANTA PERNO'!A:D,4,0)&amp;" "&amp;VLOOKUP(O158,'PLANTA PERNO'!A:D,2,0)&amp;" "&amp;VLOOKUP(O158,'PLANTA PERNO'!A:D,3,0)))</f>
        <v>MARTHA RUBIELA CRUZ PARDO</v>
      </c>
      <c r="Q158" s="21" t="s">
        <v>1260</v>
      </c>
      <c r="R158" s="21">
        <v>4</v>
      </c>
      <c r="S158" s="21"/>
      <c r="T158" s="21"/>
      <c r="U158" s="21"/>
      <c r="V158" s="21"/>
      <c r="W158" s="38">
        <v>66220</v>
      </c>
      <c r="X158" s="128"/>
      <c r="Y158" s="21" t="str">
        <f t="shared" si="8"/>
        <v>OCUPADO</v>
      </c>
      <c r="Z158" s="23" t="s">
        <v>124</v>
      </c>
      <c r="AA158" s="24" t="s">
        <v>124</v>
      </c>
      <c r="AB158" s="25">
        <v>314</v>
      </c>
      <c r="AC158" s="27">
        <v>20</v>
      </c>
      <c r="AD158" s="28" t="str">
        <f t="shared" si="43"/>
        <v>314-20</v>
      </c>
      <c r="AE158" s="24" t="s">
        <v>147</v>
      </c>
      <c r="AF158" s="24" t="s">
        <v>147</v>
      </c>
      <c r="AG158" s="24" t="s">
        <v>2439</v>
      </c>
      <c r="AH158" s="24" t="s">
        <v>2440</v>
      </c>
      <c r="AI158" s="24" t="s">
        <v>2441</v>
      </c>
      <c r="AJ158" s="24" t="s">
        <v>2442</v>
      </c>
      <c r="AK158" s="93">
        <v>4789273.99</v>
      </c>
      <c r="AL158" s="93">
        <v>0</v>
      </c>
      <c r="AM158" s="93">
        <f t="shared" si="41"/>
        <v>0</v>
      </c>
      <c r="AN158" s="93">
        <f>IFERROR(INT(($AK158*(VLOOKUP($D158,'PORCENTAJES FACTORES'!B:N,12,0))/100)),0)</f>
        <v>0</v>
      </c>
      <c r="AO158" s="93">
        <f t="shared" si="42"/>
        <v>0</v>
      </c>
      <c r="AP158" s="93">
        <f t="shared" si="13"/>
        <v>0</v>
      </c>
      <c r="AQ158" s="93">
        <f t="shared" si="14"/>
        <v>0</v>
      </c>
      <c r="AR158" s="95">
        <f t="shared" si="34"/>
        <v>4789273.99</v>
      </c>
      <c r="AS158" s="96"/>
      <c r="AT158" s="97"/>
      <c r="AU158" s="43">
        <f t="shared" si="16"/>
        <v>5124523.1693000002</v>
      </c>
      <c r="AV158" s="58"/>
      <c r="AW158" s="43">
        <f t="shared" si="17"/>
        <v>0</v>
      </c>
      <c r="AX158" s="43">
        <f t="shared" si="18"/>
        <v>0</v>
      </c>
      <c r="AY158" s="58"/>
      <c r="AZ158" s="58"/>
      <c r="BA158" s="58"/>
      <c r="BB158" s="58"/>
      <c r="BC158" s="48"/>
      <c r="BD158" s="48"/>
      <c r="BE158" s="48"/>
      <c r="BF158" s="48"/>
      <c r="BG158" s="48"/>
      <c r="BH158" s="48"/>
      <c r="BI158" s="48"/>
      <c r="BJ158" s="48"/>
      <c r="BK158" s="48"/>
      <c r="BL158" s="48"/>
      <c r="BM158" s="48"/>
      <c r="BN158" s="48"/>
      <c r="BO158" s="48"/>
      <c r="BP158" s="48"/>
      <c r="BQ158" s="48"/>
      <c r="BR158" s="48"/>
      <c r="BS158" s="48"/>
    </row>
    <row r="159" spans="1:71" ht="12.75" hidden="1" customHeight="1">
      <c r="A159" s="85">
        <v>155</v>
      </c>
      <c r="B159" s="86">
        <v>5151</v>
      </c>
      <c r="C159" s="29">
        <v>120</v>
      </c>
      <c r="D159" s="122">
        <v>51961579</v>
      </c>
      <c r="E159" s="18" t="str">
        <f>IF(D159&gt;0,VLOOKUP(D159,'PLANTA PERNO'!A:D,4,0)&amp;" "&amp;VLOOKUP(D159,'PLANTA PERNO'!A:D,2,0)&amp;" "&amp;VLOOKUP(D159,'PLANTA PERNO'!A:D,3,0),IF(O159="","VACANTE DEFINITIVA","VACANTE TEMPORAL"))</f>
        <v>AZULA URIBE CABALLERO</v>
      </c>
      <c r="F159" s="20" t="s">
        <v>49</v>
      </c>
      <c r="G159" s="20" t="str">
        <f t="shared" si="0"/>
        <v>EN ENCARGO</v>
      </c>
      <c r="H159" s="33">
        <f t="shared" si="44"/>
        <v>44482</v>
      </c>
      <c r="I159" s="33">
        <f t="shared" si="45"/>
        <v>44482</v>
      </c>
      <c r="J159" s="31" t="str">
        <f t="shared" si="46"/>
        <v>MUJER</v>
      </c>
      <c r="K159" s="21">
        <f t="shared" ca="1" si="47"/>
        <v>57</v>
      </c>
      <c r="L159" s="21">
        <f t="shared" ca="1" si="5"/>
        <v>4</v>
      </c>
      <c r="M159" s="21" t="str">
        <f t="shared" si="6"/>
        <v>ENCARGO</v>
      </c>
      <c r="N159" s="21" t="str">
        <f t="shared" si="20"/>
        <v>VACANTE DEFINITIVA</v>
      </c>
      <c r="O159" s="21" t="s">
        <v>25</v>
      </c>
      <c r="P159" s="18" t="str">
        <f>IF(O159="","VACANTE DEFINITIVA",(VLOOKUP(O159,'PLANTA PERNO'!A:D,4,0)&amp;" "&amp;VLOOKUP(O159,'PLANTA PERNO'!A:D,2,0)&amp;" "&amp;VLOOKUP(O159,'PLANTA PERNO'!A:D,3,0)))</f>
        <v>VACANTE DEFINITIVA</v>
      </c>
      <c r="Q159" s="21" t="s">
        <v>340</v>
      </c>
      <c r="R159" s="21">
        <v>1</v>
      </c>
      <c r="S159" s="21"/>
      <c r="T159" s="21"/>
      <c r="U159" s="21"/>
      <c r="V159" s="21"/>
      <c r="W159" s="38">
        <v>66219</v>
      </c>
      <c r="X159" s="129">
        <v>220285</v>
      </c>
      <c r="Y159" s="21" t="str">
        <f t="shared" si="8"/>
        <v>OCUPADO</v>
      </c>
      <c r="Z159" s="23" t="s">
        <v>124</v>
      </c>
      <c r="AA159" s="24" t="s">
        <v>124</v>
      </c>
      <c r="AB159" s="25">
        <v>314</v>
      </c>
      <c r="AC159" s="27">
        <v>20</v>
      </c>
      <c r="AD159" s="28" t="str">
        <f t="shared" si="43"/>
        <v>314-20</v>
      </c>
      <c r="AE159" s="24" t="s">
        <v>147</v>
      </c>
      <c r="AF159" s="24" t="s">
        <v>147</v>
      </c>
      <c r="AG159" s="24" t="s">
        <v>2443</v>
      </c>
      <c r="AH159" s="24" t="s">
        <v>2444</v>
      </c>
      <c r="AI159" s="24" t="s">
        <v>2445</v>
      </c>
      <c r="AJ159" s="24" t="s">
        <v>2446</v>
      </c>
      <c r="AK159" s="93">
        <v>4789273.99</v>
      </c>
      <c r="AL159" s="93">
        <v>0</v>
      </c>
      <c r="AM159" s="93">
        <f t="shared" si="41"/>
        <v>0</v>
      </c>
      <c r="AN159" s="93">
        <f>IFERROR(INT(($AK159*(VLOOKUP($D159,'PORCENTAJES FACTORES'!B:N,12,0))/100)),0)</f>
        <v>0</v>
      </c>
      <c r="AO159" s="93">
        <f t="shared" si="42"/>
        <v>0</v>
      </c>
      <c r="AP159" s="93">
        <f t="shared" si="13"/>
        <v>0</v>
      </c>
      <c r="AQ159" s="93">
        <f t="shared" si="14"/>
        <v>0</v>
      </c>
      <c r="AR159" s="95">
        <f t="shared" si="34"/>
        <v>4789273.99</v>
      </c>
      <c r="AS159" s="96"/>
      <c r="AT159" s="97"/>
      <c r="AU159" s="43">
        <f t="shared" si="16"/>
        <v>5124523.1693000002</v>
      </c>
      <c r="AV159" s="58"/>
      <c r="AW159" s="43">
        <f t="shared" si="17"/>
        <v>0</v>
      </c>
      <c r="AX159" s="43">
        <f t="shared" si="18"/>
        <v>0</v>
      </c>
      <c r="AY159" s="58"/>
      <c r="AZ159" s="58"/>
      <c r="BA159" s="58"/>
      <c r="BB159" s="58"/>
      <c r="BC159" s="48"/>
      <c r="BD159" s="48"/>
      <c r="BE159" s="48"/>
      <c r="BF159" s="48"/>
      <c r="BG159" s="48"/>
      <c r="BH159" s="48"/>
      <c r="BI159" s="48"/>
      <c r="BJ159" s="48"/>
      <c r="BK159" s="48"/>
      <c r="BL159" s="48"/>
      <c r="BM159" s="48"/>
      <c r="BN159" s="48"/>
      <c r="BO159" s="48"/>
      <c r="BP159" s="48"/>
      <c r="BQ159" s="48"/>
      <c r="BR159" s="48"/>
      <c r="BS159" s="48"/>
    </row>
    <row r="160" spans="1:71" ht="12.75" hidden="1" customHeight="1">
      <c r="A160" s="85">
        <v>156</v>
      </c>
      <c r="B160" s="86">
        <v>5150</v>
      </c>
      <c r="C160" s="29">
        <v>123</v>
      </c>
      <c r="D160" s="122">
        <v>52781142</v>
      </c>
      <c r="E160" s="18" t="str">
        <f>IF(D160&gt;0,VLOOKUP(D160,'PLANTA PERNO'!A:D,4,0)&amp;" "&amp;VLOOKUP(D160,'PLANTA PERNO'!A:D,2,0)&amp;" "&amp;VLOOKUP(D160,'PLANTA PERNO'!A:D,3,0),IF(O160="","VACANTE DEFINITIVA","VACANTE TEMPORAL"))</f>
        <v>JENIFER CELIS ORTEGA</v>
      </c>
      <c r="F160" s="20" t="s">
        <v>49</v>
      </c>
      <c r="G160" s="20" t="str">
        <f t="shared" si="0"/>
        <v>EN ENCARGO</v>
      </c>
      <c r="H160" s="33">
        <f t="shared" si="44"/>
        <v>45170</v>
      </c>
      <c r="I160" s="33">
        <f t="shared" si="45"/>
        <v>45170</v>
      </c>
      <c r="J160" s="31" t="str">
        <f t="shared" si="46"/>
        <v>MUJER</v>
      </c>
      <c r="K160" s="21">
        <f t="shared" ca="1" si="47"/>
        <v>45</v>
      </c>
      <c r="L160" s="21">
        <f t="shared" ca="1" si="5"/>
        <v>3</v>
      </c>
      <c r="M160" s="21" t="str">
        <f t="shared" si="6"/>
        <v>ENCARGO</v>
      </c>
      <c r="N160" s="21" t="str">
        <f t="shared" si="20"/>
        <v>EN ENCARGO</v>
      </c>
      <c r="O160" s="21">
        <v>41059054</v>
      </c>
      <c r="P160" s="18" t="str">
        <f>IF(O160="","VACANTE DEFINITIVA",(VLOOKUP(O160,'PLANTA PERNO'!A:D,4,0)&amp;" "&amp;VLOOKUP(O160,'PLANTA PERNO'!A:D,2,0)&amp;" "&amp;VLOOKUP(O160,'PLANTA PERNO'!A:D,3,0)))</f>
        <v>MARIA TERESA VALDERRAMA PEREIRA</v>
      </c>
      <c r="Q160" s="21" t="s">
        <v>489</v>
      </c>
      <c r="R160" s="21">
        <v>2</v>
      </c>
      <c r="S160" s="21"/>
      <c r="T160" s="21"/>
      <c r="U160" s="21"/>
      <c r="V160" s="21"/>
      <c r="W160" s="38">
        <v>66221</v>
      </c>
      <c r="X160" s="38"/>
      <c r="Y160" s="21" t="str">
        <f t="shared" si="8"/>
        <v>OCUPADO</v>
      </c>
      <c r="Z160" s="23" t="s">
        <v>124</v>
      </c>
      <c r="AA160" s="24" t="s">
        <v>124</v>
      </c>
      <c r="AB160" s="25">
        <v>314</v>
      </c>
      <c r="AC160" s="27">
        <v>20</v>
      </c>
      <c r="AD160" s="28" t="str">
        <f t="shared" si="43"/>
        <v>314-20</v>
      </c>
      <c r="AE160" s="24" t="s">
        <v>150</v>
      </c>
      <c r="AF160" s="24" t="s">
        <v>150</v>
      </c>
      <c r="AG160" s="24" t="s">
        <v>2447</v>
      </c>
      <c r="AH160" s="24" t="s">
        <v>2448</v>
      </c>
      <c r="AI160" s="24" t="s">
        <v>2449</v>
      </c>
      <c r="AJ160" s="24" t="s">
        <v>2450</v>
      </c>
      <c r="AK160" s="93">
        <v>4789273.99</v>
      </c>
      <c r="AL160" s="93">
        <v>0</v>
      </c>
      <c r="AM160" s="93">
        <f t="shared" si="41"/>
        <v>0</v>
      </c>
      <c r="AN160" s="93">
        <f>IFERROR(INT(($AK160*(VLOOKUP($D160,'PORCENTAJES FACTORES'!B:N,12,0))/100)),0)</f>
        <v>0</v>
      </c>
      <c r="AO160" s="93">
        <f t="shared" si="42"/>
        <v>0</v>
      </c>
      <c r="AP160" s="93">
        <f t="shared" si="13"/>
        <v>0</v>
      </c>
      <c r="AQ160" s="93">
        <f t="shared" si="14"/>
        <v>0</v>
      </c>
      <c r="AR160" s="95">
        <f t="shared" si="34"/>
        <v>4789273.99</v>
      </c>
      <c r="AS160" s="96"/>
      <c r="AT160" s="97"/>
      <c r="AU160" s="43">
        <f t="shared" si="16"/>
        <v>5124523.1693000002</v>
      </c>
      <c r="AV160" s="58"/>
      <c r="AW160" s="43">
        <f t="shared" si="17"/>
        <v>0</v>
      </c>
      <c r="AX160" s="43">
        <f t="shared" si="18"/>
        <v>0</v>
      </c>
      <c r="AY160" s="58"/>
      <c r="AZ160" s="58"/>
      <c r="BA160" s="58"/>
      <c r="BB160" s="58"/>
      <c r="BC160" s="48"/>
      <c r="BD160" s="48"/>
      <c r="BE160" s="48"/>
      <c r="BF160" s="48"/>
      <c r="BG160" s="48"/>
      <c r="BH160" s="48"/>
      <c r="BI160" s="48"/>
      <c r="BJ160" s="48"/>
      <c r="BK160" s="48"/>
      <c r="BL160" s="48"/>
      <c r="BM160" s="48"/>
      <c r="BN160" s="48"/>
      <c r="BO160" s="48"/>
      <c r="BP160" s="48"/>
      <c r="BQ160" s="48"/>
      <c r="BR160" s="48"/>
      <c r="BS160" s="48"/>
    </row>
    <row r="161" spans="1:71" ht="12.75" hidden="1" customHeight="1">
      <c r="A161" s="85">
        <v>157</v>
      </c>
      <c r="B161" s="86">
        <v>5153</v>
      </c>
      <c r="C161" s="29">
        <v>122</v>
      </c>
      <c r="D161" s="122">
        <v>52557124</v>
      </c>
      <c r="E161" s="18" t="str">
        <f>IF(D161&gt;0,VLOOKUP(D161,'PLANTA PERNO'!A:D,4,0)&amp;" "&amp;VLOOKUP(D161,'PLANTA PERNO'!A:D,2,0)&amp;" "&amp;VLOOKUP(D161,'PLANTA PERNO'!A:D,3,0),IF(O161="","VACANTE DEFINITIVA","VACANTE TEMPORAL"))</f>
        <v>DORIS SILVA GARCIA</v>
      </c>
      <c r="F161" s="20" t="s">
        <v>49</v>
      </c>
      <c r="G161" s="20" t="str">
        <f t="shared" si="0"/>
        <v>EN ENCARGO</v>
      </c>
      <c r="H161" s="33">
        <f t="shared" si="44"/>
        <v>42585</v>
      </c>
      <c r="I161" s="33">
        <f t="shared" si="45"/>
        <v>36307</v>
      </c>
      <c r="J161" s="31" t="str">
        <f t="shared" si="46"/>
        <v>MUJER</v>
      </c>
      <c r="K161" s="21">
        <f t="shared" ca="1" si="47"/>
        <v>55</v>
      </c>
      <c r="L161" s="21">
        <f t="shared" ca="1" si="5"/>
        <v>10</v>
      </c>
      <c r="M161" s="21" t="str">
        <f t="shared" si="6"/>
        <v>ENCARGO</v>
      </c>
      <c r="N161" s="21" t="str">
        <f t="shared" si="20"/>
        <v>VACANTE DEFINITIVA</v>
      </c>
      <c r="O161" s="21" t="s">
        <v>25</v>
      </c>
      <c r="P161" s="18" t="str">
        <f>IF(O161="","VACANTE DEFINITIVA",(VLOOKUP(O161,'PLANTA PERNO'!A:D,4,0)&amp;" "&amp;VLOOKUP(O161,'PLANTA PERNO'!A:D,2,0)&amp;" "&amp;VLOOKUP(O161,'PLANTA PERNO'!A:D,3,0)))</f>
        <v>VACANTE DEFINITIVA</v>
      </c>
      <c r="Q161" s="21" t="s">
        <v>369</v>
      </c>
      <c r="R161" s="21">
        <v>1</v>
      </c>
      <c r="S161" s="21"/>
      <c r="T161" s="21"/>
      <c r="U161" s="21"/>
      <c r="V161" s="21"/>
      <c r="W161" s="38">
        <v>66221</v>
      </c>
      <c r="X161" s="38"/>
      <c r="Y161" s="21" t="str">
        <f t="shared" si="8"/>
        <v>OCUPADO</v>
      </c>
      <c r="Z161" s="23" t="s">
        <v>124</v>
      </c>
      <c r="AA161" s="24" t="s">
        <v>124</v>
      </c>
      <c r="AB161" s="25">
        <v>314</v>
      </c>
      <c r="AC161" s="27">
        <v>20</v>
      </c>
      <c r="AD161" s="28" t="str">
        <f t="shared" si="43"/>
        <v>314-20</v>
      </c>
      <c r="AE161" s="24" t="s">
        <v>150</v>
      </c>
      <c r="AF161" s="24" t="s">
        <v>150</v>
      </c>
      <c r="AG161" s="24" t="s">
        <v>2447</v>
      </c>
      <c r="AH161" s="24" t="s">
        <v>2448</v>
      </c>
      <c r="AI161" s="24" t="s">
        <v>2449</v>
      </c>
      <c r="AJ161" s="24" t="s">
        <v>2450</v>
      </c>
      <c r="AK161" s="93">
        <v>4789273.99</v>
      </c>
      <c r="AL161" s="93">
        <v>0</v>
      </c>
      <c r="AM161" s="93">
        <f t="shared" si="41"/>
        <v>335249</v>
      </c>
      <c r="AN161" s="93">
        <f>IFERROR(INT(($AK161*(VLOOKUP($D161,'PORCENTAJES FACTORES'!B:N,12,0))/100)),0)</f>
        <v>0</v>
      </c>
      <c r="AO161" s="93">
        <f t="shared" si="42"/>
        <v>0</v>
      </c>
      <c r="AP161" s="93">
        <f t="shared" si="13"/>
        <v>0</v>
      </c>
      <c r="AQ161" s="93">
        <f t="shared" si="14"/>
        <v>0</v>
      </c>
      <c r="AR161" s="95">
        <f t="shared" si="34"/>
        <v>5124522.99</v>
      </c>
      <c r="AS161" s="96"/>
      <c r="AT161" s="97"/>
      <c r="AU161" s="43">
        <f t="shared" si="16"/>
        <v>5124523.1693000002</v>
      </c>
      <c r="AV161" s="43"/>
      <c r="AW161" s="43">
        <f t="shared" si="17"/>
        <v>0</v>
      </c>
      <c r="AX161" s="43">
        <f t="shared" si="18"/>
        <v>0</v>
      </c>
      <c r="AY161" s="58"/>
      <c r="AZ161" s="58"/>
      <c r="BA161" s="58"/>
      <c r="BB161" s="58"/>
      <c r="BC161" s="48"/>
      <c r="BD161" s="48"/>
      <c r="BE161" s="48"/>
      <c r="BF161" s="48"/>
      <c r="BG161" s="48"/>
      <c r="BH161" s="48"/>
      <c r="BI161" s="48"/>
      <c r="BJ161" s="48"/>
      <c r="BK161" s="48"/>
      <c r="BL161" s="48"/>
      <c r="BM161" s="48"/>
      <c r="BN161" s="48"/>
      <c r="BO161" s="48"/>
      <c r="BP161" s="48"/>
      <c r="BQ161" s="48"/>
      <c r="BR161" s="48"/>
      <c r="BS161" s="48"/>
    </row>
    <row r="162" spans="1:71" ht="12.75" hidden="1" customHeight="1">
      <c r="A162" s="85">
        <v>158</v>
      </c>
      <c r="B162" s="86">
        <v>5152</v>
      </c>
      <c r="C162" s="29">
        <v>126</v>
      </c>
      <c r="D162" s="122">
        <v>52281297</v>
      </c>
      <c r="E162" s="18" t="str">
        <f>IF(D162&gt;0,VLOOKUP(D162,'PLANTA PERNO'!A:D,4,0)&amp;" "&amp;VLOOKUP(D162,'PLANTA PERNO'!A:D,2,0)&amp;" "&amp;VLOOKUP(D162,'PLANTA PERNO'!A:D,3,0),IF(O162="","VACANTE DEFINITIVA","VACANTE TEMPORAL"))</f>
        <v>ANA JULIETH GIL HERRERA</v>
      </c>
      <c r="F162" s="20" t="s">
        <v>49</v>
      </c>
      <c r="G162" s="20" t="str">
        <f t="shared" si="0"/>
        <v>EN ENCARGO</v>
      </c>
      <c r="H162" s="33">
        <f t="shared" si="44"/>
        <v>44138</v>
      </c>
      <c r="I162" s="33">
        <f t="shared" si="45"/>
        <v>44138</v>
      </c>
      <c r="J162" s="31" t="str">
        <f t="shared" si="46"/>
        <v>MUJER</v>
      </c>
      <c r="K162" s="21">
        <f t="shared" ca="1" si="47"/>
        <v>49</v>
      </c>
      <c r="L162" s="21">
        <f t="shared" ca="1" si="5"/>
        <v>5</v>
      </c>
      <c r="M162" s="21" t="str">
        <f t="shared" si="6"/>
        <v>ENCARGO</v>
      </c>
      <c r="N162" s="21" t="str">
        <f t="shared" si="20"/>
        <v>EN ENCARGO</v>
      </c>
      <c r="O162" s="21">
        <v>1022362951</v>
      </c>
      <c r="P162" s="18" t="str">
        <f>IF(O162="","VACANTE DEFINITIVA",(VLOOKUP(O162,'PLANTA PERNO'!A:D,4,0)&amp;" "&amp;VLOOKUP(O162,'PLANTA PERNO'!A:D,2,0)&amp;" "&amp;VLOOKUP(O162,'PLANTA PERNO'!A:D,3,0)))</f>
        <v>LUIS CARLOS GAONA FARIAS</v>
      </c>
      <c r="Q162" s="21" t="s">
        <v>333</v>
      </c>
      <c r="R162" s="21">
        <v>3</v>
      </c>
      <c r="S162" s="21"/>
      <c r="T162" s="21"/>
      <c r="U162" s="21"/>
      <c r="V162" s="21"/>
      <c r="W162" s="38">
        <v>66221</v>
      </c>
      <c r="X162" s="38"/>
      <c r="Y162" s="21" t="str">
        <f t="shared" si="8"/>
        <v>OCUPADO</v>
      </c>
      <c r="Z162" s="23" t="s">
        <v>124</v>
      </c>
      <c r="AA162" s="24" t="s">
        <v>124</v>
      </c>
      <c r="AB162" s="25">
        <v>314</v>
      </c>
      <c r="AC162" s="27">
        <v>20</v>
      </c>
      <c r="AD162" s="28" t="str">
        <f t="shared" si="43"/>
        <v>314-20</v>
      </c>
      <c r="AE162" s="24" t="s">
        <v>150</v>
      </c>
      <c r="AF162" s="24" t="s">
        <v>150</v>
      </c>
      <c r="AG162" s="24" t="s">
        <v>2447</v>
      </c>
      <c r="AH162" s="24" t="s">
        <v>2448</v>
      </c>
      <c r="AI162" s="24" t="s">
        <v>2449</v>
      </c>
      <c r="AJ162" s="24" t="s">
        <v>2450</v>
      </c>
      <c r="AK162" s="93">
        <v>4789273.99</v>
      </c>
      <c r="AL162" s="93">
        <v>0</v>
      </c>
      <c r="AM162" s="93">
        <f t="shared" si="41"/>
        <v>143678</v>
      </c>
      <c r="AN162" s="93">
        <f>IFERROR(INT(($AK162*(VLOOKUP($D162,'PORCENTAJES FACTORES'!B:N,12,0))/100)),0)</f>
        <v>0</v>
      </c>
      <c r="AO162" s="93">
        <f t="shared" si="42"/>
        <v>0</v>
      </c>
      <c r="AP162" s="93">
        <f t="shared" si="13"/>
        <v>0</v>
      </c>
      <c r="AQ162" s="93">
        <f t="shared" si="14"/>
        <v>0</v>
      </c>
      <c r="AR162" s="95">
        <f t="shared" si="34"/>
        <v>4932951.99</v>
      </c>
      <c r="AS162" s="96"/>
      <c r="AT162" s="97"/>
      <c r="AU162" s="43">
        <f t="shared" si="16"/>
        <v>5124523.1693000002</v>
      </c>
      <c r="AV162" s="58"/>
      <c r="AW162" s="43">
        <f t="shared" si="17"/>
        <v>0</v>
      </c>
      <c r="AX162" s="43">
        <f t="shared" si="18"/>
        <v>0</v>
      </c>
      <c r="AY162" s="58"/>
      <c r="AZ162" s="58"/>
      <c r="BA162" s="58"/>
      <c r="BB162" s="58"/>
      <c r="BC162" s="48"/>
      <c r="BD162" s="48"/>
      <c r="BE162" s="48"/>
      <c r="BF162" s="48"/>
      <c r="BG162" s="48"/>
      <c r="BH162" s="48"/>
      <c r="BI162" s="48"/>
      <c r="BJ162" s="48"/>
      <c r="BK162" s="48"/>
      <c r="BL162" s="48"/>
      <c r="BM162" s="48"/>
      <c r="BN162" s="48"/>
      <c r="BO162" s="48"/>
      <c r="BP162" s="48"/>
      <c r="BQ162" s="48"/>
      <c r="BR162" s="48"/>
      <c r="BS162" s="48"/>
    </row>
    <row r="163" spans="1:71" ht="12.75" hidden="1" customHeight="1">
      <c r="A163" s="85">
        <v>159</v>
      </c>
      <c r="B163" s="86">
        <v>5155</v>
      </c>
      <c r="C163" s="29">
        <v>124</v>
      </c>
      <c r="D163" s="122">
        <v>53100696</v>
      </c>
      <c r="E163" s="18" t="str">
        <f>IF(D163&gt;0,VLOOKUP(D163,'PLANTA PERNO'!A:D,4,0)&amp;" "&amp;VLOOKUP(D163,'PLANTA PERNO'!A:D,2,0)&amp;" "&amp;VLOOKUP(D163,'PLANTA PERNO'!A:D,3,0),IF(O163="","VACANTE DEFINITIVA","VACANTE TEMPORAL"))</f>
        <v>MARIA VICTORIA TORRES BECERRA</v>
      </c>
      <c r="F163" s="20" t="s">
        <v>49</v>
      </c>
      <c r="G163" s="20" t="str">
        <f t="shared" si="0"/>
        <v>CARRERA ADMINISTRATIVA</v>
      </c>
      <c r="H163" s="33">
        <f t="shared" si="44"/>
        <v>44378</v>
      </c>
      <c r="I163" s="33">
        <f t="shared" si="45"/>
        <v>43374</v>
      </c>
      <c r="J163" s="31" t="str">
        <f t="shared" si="46"/>
        <v>MUJER</v>
      </c>
      <c r="K163" s="21">
        <f t="shared" ca="1" si="47"/>
        <v>41</v>
      </c>
      <c r="L163" s="21">
        <f t="shared" ca="1" si="5"/>
        <v>5</v>
      </c>
      <c r="M163" s="21" t="str">
        <f t="shared" si="6"/>
        <v/>
      </c>
      <c r="N163" s="21" t="str">
        <f t="shared" si="20"/>
        <v>EN PROPIEDAD</v>
      </c>
      <c r="O163" s="21">
        <v>53100696</v>
      </c>
      <c r="P163" s="18" t="str">
        <f>IF(O163="","VACANTE DEFINITIVA",(VLOOKUP(O163,'PLANTA PERNO'!A:D,4,0)&amp;" "&amp;VLOOKUP(O163,'PLANTA PERNO'!A:D,2,0)&amp;" "&amp;VLOOKUP(O163,'PLANTA PERNO'!A:D,3,0)))</f>
        <v>MARIA VICTORIA TORRES BECERRA</v>
      </c>
      <c r="Q163" s="21"/>
      <c r="R163" s="21"/>
      <c r="S163" s="21"/>
      <c r="T163" s="21"/>
      <c r="U163" s="21"/>
      <c r="V163" s="21"/>
      <c r="W163" s="38">
        <v>66221</v>
      </c>
      <c r="X163" s="38"/>
      <c r="Y163" s="21" t="str">
        <f t="shared" si="8"/>
        <v>OCUPADO</v>
      </c>
      <c r="Z163" s="23" t="s">
        <v>124</v>
      </c>
      <c r="AA163" s="24" t="s">
        <v>124</v>
      </c>
      <c r="AB163" s="25">
        <v>314</v>
      </c>
      <c r="AC163" s="27">
        <v>20</v>
      </c>
      <c r="AD163" s="28" t="str">
        <f t="shared" si="43"/>
        <v>314-20</v>
      </c>
      <c r="AE163" s="24" t="s">
        <v>150</v>
      </c>
      <c r="AF163" s="24" t="s">
        <v>150</v>
      </c>
      <c r="AG163" s="24" t="s">
        <v>2447</v>
      </c>
      <c r="AH163" s="24" t="s">
        <v>2448</v>
      </c>
      <c r="AI163" s="24" t="s">
        <v>2449</v>
      </c>
      <c r="AJ163" s="24" t="s">
        <v>2450</v>
      </c>
      <c r="AK163" s="93">
        <v>4789273.99</v>
      </c>
      <c r="AL163" s="93">
        <v>0</v>
      </c>
      <c r="AM163" s="93">
        <f t="shared" si="41"/>
        <v>143678</v>
      </c>
      <c r="AN163" s="93">
        <f>IFERROR(INT(($AK163*(VLOOKUP($D163,'PORCENTAJES FACTORES'!B:N,12,0))/100)),0)</f>
        <v>0</v>
      </c>
      <c r="AO163" s="93">
        <f t="shared" si="42"/>
        <v>0</v>
      </c>
      <c r="AP163" s="93">
        <f t="shared" si="13"/>
        <v>0</v>
      </c>
      <c r="AQ163" s="93">
        <f t="shared" si="14"/>
        <v>0</v>
      </c>
      <c r="AR163" s="95">
        <f t="shared" si="34"/>
        <v>4932951.99</v>
      </c>
      <c r="AS163" s="96"/>
      <c r="AT163" s="97"/>
      <c r="AU163" s="43">
        <f t="shared" si="16"/>
        <v>5124523.1693000002</v>
      </c>
      <c r="AV163" s="58"/>
      <c r="AW163" s="43">
        <f t="shared" si="17"/>
        <v>0</v>
      </c>
      <c r="AX163" s="43">
        <f t="shared" si="18"/>
        <v>0</v>
      </c>
      <c r="AY163" s="58"/>
      <c r="AZ163" s="58"/>
      <c r="BA163" s="58"/>
      <c r="BB163" s="58"/>
      <c r="BC163" s="48"/>
      <c r="BD163" s="48"/>
      <c r="BE163" s="48"/>
      <c r="BF163" s="48"/>
      <c r="BG163" s="48"/>
      <c r="BH163" s="48"/>
      <c r="BI163" s="48"/>
      <c r="BJ163" s="48"/>
      <c r="BK163" s="48"/>
      <c r="BL163" s="48"/>
      <c r="BM163" s="48"/>
      <c r="BN163" s="48"/>
      <c r="BO163" s="48"/>
      <c r="BP163" s="48"/>
      <c r="BQ163" s="48"/>
      <c r="BR163" s="48"/>
      <c r="BS163" s="48"/>
    </row>
    <row r="164" spans="1:71" ht="12.75" hidden="1" customHeight="1">
      <c r="A164" s="85">
        <v>160</v>
      </c>
      <c r="B164" s="86">
        <v>5154</v>
      </c>
      <c r="C164" s="29">
        <v>125</v>
      </c>
      <c r="D164" s="122">
        <v>1073159399</v>
      </c>
      <c r="E164" s="18" t="str">
        <f>IF(D164&gt;0,VLOOKUP(D164,'PLANTA PERNO'!A:D,4,0)&amp;" "&amp;VLOOKUP(D164,'PLANTA PERNO'!A:D,2,0)&amp;" "&amp;VLOOKUP(D164,'PLANTA PERNO'!A:D,3,0),IF(O164="","VACANTE DEFINITIVA","VACANTE TEMPORAL"))</f>
        <v>WENDY PAOLA LEON CITA</v>
      </c>
      <c r="F164" s="20" t="s">
        <v>49</v>
      </c>
      <c r="G164" s="20" t="str">
        <f t="shared" si="0"/>
        <v>CARRERA ADMINISTRATIVA</v>
      </c>
      <c r="H164" s="33">
        <f t="shared" si="44"/>
        <v>44145</v>
      </c>
      <c r="I164" s="33">
        <f t="shared" si="45"/>
        <v>44145</v>
      </c>
      <c r="J164" s="31" t="str">
        <f t="shared" si="46"/>
        <v>MUJER</v>
      </c>
      <c r="K164" s="21">
        <f t="shared" ca="1" si="47"/>
        <v>36</v>
      </c>
      <c r="L164" s="21">
        <f t="shared" ca="1" si="5"/>
        <v>5</v>
      </c>
      <c r="M164" s="21" t="str">
        <f t="shared" si="6"/>
        <v/>
      </c>
      <c r="N164" s="21" t="str">
        <f t="shared" si="20"/>
        <v>EN PROPIEDAD</v>
      </c>
      <c r="O164" s="21">
        <v>1073159399</v>
      </c>
      <c r="P164" s="18" t="str">
        <f>IF(O164="","VACANTE DEFINITIVA",(VLOOKUP(O164,'PLANTA PERNO'!A:D,4,0)&amp;" "&amp;VLOOKUP(O164,'PLANTA PERNO'!A:D,2,0)&amp;" "&amp;VLOOKUP(O164,'PLANTA PERNO'!A:D,3,0)))</f>
        <v>WENDY PAOLA LEON CITA</v>
      </c>
      <c r="Q164" s="21"/>
      <c r="R164" s="21"/>
      <c r="S164" s="21"/>
      <c r="T164" s="21"/>
      <c r="U164" s="21"/>
      <c r="V164" s="21"/>
      <c r="W164" s="38">
        <v>66221</v>
      </c>
      <c r="X164" s="38"/>
      <c r="Y164" s="21" t="str">
        <f t="shared" si="8"/>
        <v>OCUPADO</v>
      </c>
      <c r="Z164" s="23" t="s">
        <v>124</v>
      </c>
      <c r="AA164" s="24" t="s">
        <v>124</v>
      </c>
      <c r="AB164" s="25">
        <v>314</v>
      </c>
      <c r="AC164" s="27">
        <v>20</v>
      </c>
      <c r="AD164" s="28" t="str">
        <f t="shared" si="43"/>
        <v>314-20</v>
      </c>
      <c r="AE164" s="24" t="s">
        <v>150</v>
      </c>
      <c r="AF164" s="24" t="s">
        <v>150</v>
      </c>
      <c r="AG164" s="24" t="s">
        <v>2447</v>
      </c>
      <c r="AH164" s="24" t="s">
        <v>2448</v>
      </c>
      <c r="AI164" s="24" t="s">
        <v>2449</v>
      </c>
      <c r="AJ164" s="24" t="s">
        <v>2450</v>
      </c>
      <c r="AK164" s="93">
        <v>4789273.99</v>
      </c>
      <c r="AL164" s="93">
        <v>0</v>
      </c>
      <c r="AM164" s="93">
        <f t="shared" si="41"/>
        <v>143678</v>
      </c>
      <c r="AN164" s="93">
        <f>IFERROR(INT(($AK164*(VLOOKUP($D164,'PORCENTAJES FACTORES'!B:N,12,0))/100)),0)</f>
        <v>0</v>
      </c>
      <c r="AO164" s="93">
        <f t="shared" si="42"/>
        <v>0</v>
      </c>
      <c r="AP164" s="93">
        <f t="shared" si="13"/>
        <v>0</v>
      </c>
      <c r="AQ164" s="93">
        <f t="shared" si="14"/>
        <v>0</v>
      </c>
      <c r="AR164" s="95">
        <f t="shared" si="34"/>
        <v>4932951.99</v>
      </c>
      <c r="AS164" s="96"/>
      <c r="AT164" s="97"/>
      <c r="AU164" s="43">
        <f t="shared" si="16"/>
        <v>5124523.1693000002</v>
      </c>
      <c r="AV164" s="58"/>
      <c r="AW164" s="43">
        <f t="shared" si="17"/>
        <v>0</v>
      </c>
      <c r="AX164" s="43">
        <f t="shared" si="18"/>
        <v>0</v>
      </c>
      <c r="AY164" s="58"/>
      <c r="AZ164" s="58"/>
      <c r="BA164" s="58"/>
      <c r="BB164" s="58"/>
      <c r="BC164" s="48"/>
      <c r="BD164" s="48"/>
      <c r="BE164" s="48"/>
      <c r="BF164" s="48"/>
      <c r="BG164" s="48"/>
      <c r="BH164" s="48"/>
      <c r="BI164" s="48"/>
      <c r="BJ164" s="48"/>
      <c r="BK164" s="48"/>
      <c r="BL164" s="48"/>
      <c r="BM164" s="48"/>
      <c r="BN164" s="48"/>
      <c r="BO164" s="48"/>
      <c r="BP164" s="48"/>
      <c r="BQ164" s="48"/>
      <c r="BR164" s="48"/>
      <c r="BS164" s="48"/>
    </row>
    <row r="165" spans="1:71" ht="12.75" hidden="1" customHeight="1">
      <c r="A165" s="85">
        <v>161</v>
      </c>
      <c r="B165" s="86">
        <v>5158</v>
      </c>
      <c r="C165" s="29">
        <v>127</v>
      </c>
      <c r="D165" s="122">
        <v>1015409873</v>
      </c>
      <c r="E165" s="18" t="str">
        <f>IF(D165&gt;0,VLOOKUP(D165,'PLANTA PERNO'!A:D,4,0)&amp;" "&amp;VLOOKUP(D165,'PLANTA PERNO'!A:D,2,0)&amp;" "&amp;VLOOKUP(D165,'PLANTA PERNO'!A:D,3,0),IF(O165="","VACANTE DEFINITIVA","VACANTE TEMPORAL"))</f>
        <v>LIZETH MAYERLY VILLARRAGA ROJAS</v>
      </c>
      <c r="F165" s="20" t="s">
        <v>49</v>
      </c>
      <c r="G165" s="20" t="str">
        <f t="shared" si="0"/>
        <v>EN ENCARGO</v>
      </c>
      <c r="H165" s="33">
        <f t="shared" ref="H165:H174" si="48">IFERROR(VLOOKUP($D165,PLANTA_PERNO,16,0)," ")</f>
        <v>44566</v>
      </c>
      <c r="I165" s="33">
        <f t="shared" ref="I165:I174" si="49">IFERROR(VLOOKUP($D165,PLANTA_PERNO,17,0),"")</f>
        <v>44566</v>
      </c>
      <c r="J165" s="31" t="str">
        <f t="shared" ref="J165:J174" si="50">IF(IFERROR((VLOOKUP($D165,PLANTA_PERNO,9,0)),"")="F","MUJER",IF(IFERROR((VLOOKUP($D165,PLANTA_PERNO,9,0)),"")="M","HOMBRE",""))</f>
        <v>MUJER</v>
      </c>
      <c r="K165" s="21">
        <f t="shared" ref="K165:K174" ca="1" si="51">IFERROR(DATEDIF((VLOOKUP($D165,PLANTA_PERNO,6,0)),$K$3,"Y"),"")</f>
        <v>37</v>
      </c>
      <c r="L165" s="21">
        <f t="shared" ca="1" si="5"/>
        <v>4</v>
      </c>
      <c r="M165" s="21" t="str">
        <f t="shared" si="6"/>
        <v>ENCARGO</v>
      </c>
      <c r="N165" s="21" t="str">
        <f t="shared" si="20"/>
        <v>EN ENCARGO</v>
      </c>
      <c r="O165" s="21">
        <v>1030618681</v>
      </c>
      <c r="P165" s="18" t="str">
        <f>IF(O165="","VACANTE DEFINITIVA",(VLOOKUP(O165,'PLANTA PERNO'!A:D,4,0)&amp;" "&amp;VLOOKUP(O165,'PLANTA PERNO'!A:D,2,0)&amp;" "&amp;VLOOKUP(O165,'PLANTA PERNO'!A:D,3,0)))</f>
        <v>JENNIFER LIZBETH GOMEZ AREVALO</v>
      </c>
      <c r="Q165" s="21" t="s">
        <v>1260</v>
      </c>
      <c r="R165" s="21">
        <v>5</v>
      </c>
      <c r="S165" s="21"/>
      <c r="T165" s="21"/>
      <c r="U165" s="21"/>
      <c r="V165" s="21"/>
      <c r="W165" s="38">
        <v>66208</v>
      </c>
      <c r="X165" s="38"/>
      <c r="Y165" s="21" t="str">
        <f t="shared" si="8"/>
        <v>OCUPADO</v>
      </c>
      <c r="Z165" s="23" t="s">
        <v>124</v>
      </c>
      <c r="AA165" s="24" t="s">
        <v>124</v>
      </c>
      <c r="AB165" s="25">
        <v>314</v>
      </c>
      <c r="AC165" s="27">
        <v>15</v>
      </c>
      <c r="AD165" s="28" t="str">
        <f t="shared" si="43"/>
        <v>314-15</v>
      </c>
      <c r="AE165" s="24" t="s">
        <v>174</v>
      </c>
      <c r="AF165" s="24" t="s">
        <v>174</v>
      </c>
      <c r="AG165" s="24" t="s">
        <v>2431</v>
      </c>
      <c r="AH165" s="24" t="s">
        <v>2432</v>
      </c>
      <c r="AI165" s="24" t="s">
        <v>2451</v>
      </c>
      <c r="AJ165" s="24" t="s">
        <v>2452</v>
      </c>
      <c r="AK165" s="93">
        <v>4226649.8</v>
      </c>
      <c r="AL165" s="93">
        <v>0</v>
      </c>
      <c r="AM165" s="93">
        <f t="shared" si="41"/>
        <v>0</v>
      </c>
      <c r="AN165" s="93">
        <f>IFERROR(INT(($AK165*(VLOOKUP($D165,'PORCENTAJES FACTORES'!B:N,12,0))/100)),0)</f>
        <v>0</v>
      </c>
      <c r="AO165" s="93">
        <f t="shared" si="42"/>
        <v>0</v>
      </c>
      <c r="AP165" s="93">
        <f t="shared" si="13"/>
        <v>0</v>
      </c>
      <c r="AQ165" s="93">
        <f t="shared" si="14"/>
        <v>0</v>
      </c>
      <c r="AR165" s="95">
        <f t="shared" si="34"/>
        <v>4226649.8</v>
      </c>
      <c r="AS165" s="96"/>
      <c r="AT165" s="97"/>
      <c r="AU165" s="43">
        <f t="shared" si="16"/>
        <v>4522515.2860000003</v>
      </c>
      <c r="AV165" s="58"/>
      <c r="AW165" s="43">
        <f t="shared" si="17"/>
        <v>0</v>
      </c>
      <c r="AX165" s="43">
        <f t="shared" si="18"/>
        <v>0</v>
      </c>
      <c r="AY165" s="58"/>
      <c r="AZ165" s="58"/>
      <c r="BA165" s="58"/>
      <c r="BB165" s="58"/>
      <c r="BC165" s="48"/>
      <c r="BD165" s="48"/>
      <c r="BE165" s="48"/>
      <c r="BF165" s="48"/>
      <c r="BG165" s="48"/>
      <c r="BH165" s="48"/>
      <c r="BI165" s="48"/>
      <c r="BJ165" s="48"/>
      <c r="BK165" s="48"/>
      <c r="BL165" s="48"/>
      <c r="BM165" s="48"/>
      <c r="BN165" s="48"/>
      <c r="BO165" s="48"/>
      <c r="BP165" s="48"/>
      <c r="BQ165" s="48"/>
      <c r="BR165" s="48"/>
      <c r="BS165" s="48"/>
    </row>
    <row r="166" spans="1:71" ht="12.75" hidden="1" customHeight="1">
      <c r="A166" s="85">
        <v>162</v>
      </c>
      <c r="B166" s="86">
        <v>5159</v>
      </c>
      <c r="C166" s="29">
        <v>131</v>
      </c>
      <c r="D166" s="122">
        <v>1085338624</v>
      </c>
      <c r="E166" s="18" t="str">
        <f>IF(D166&gt;0,VLOOKUP(D166,'PLANTA PERNO'!A:D,4,0)&amp;" "&amp;VLOOKUP(D166,'PLANTA PERNO'!A:D,2,0)&amp;" "&amp;VLOOKUP(D166,'PLANTA PERNO'!A:D,3,0),IF(O166="","VACANTE DEFINITIVA","VACANTE TEMPORAL"))</f>
        <v>JUAN DIEGO ACOSTA TORRES</v>
      </c>
      <c r="F166" s="20" t="s">
        <v>24</v>
      </c>
      <c r="G166" s="20" t="str">
        <f t="shared" si="0"/>
        <v>EN PROVISIONALIDAD</v>
      </c>
      <c r="H166" s="33">
        <f t="shared" si="48"/>
        <v>45873</v>
      </c>
      <c r="I166" s="33">
        <f t="shared" si="49"/>
        <v>45873</v>
      </c>
      <c r="J166" s="31" t="str">
        <f t="shared" si="50"/>
        <v>HOMBRE</v>
      </c>
      <c r="K166" s="21">
        <f t="shared" ca="1" si="51"/>
        <v>28</v>
      </c>
      <c r="L166" s="21">
        <f t="shared" ca="1" si="5"/>
        <v>1</v>
      </c>
      <c r="M166" s="21" t="str">
        <f t="shared" si="6"/>
        <v>PROVISIONALIDAD</v>
      </c>
      <c r="N166" s="21" t="str">
        <f t="shared" si="20"/>
        <v>VACANTE DEFINITIVA</v>
      </c>
      <c r="O166" s="21"/>
      <c r="P166" s="18" t="str">
        <f>IF(O166="","VACANTE DEFINITIVA",(VLOOKUP(O166,'PLANTA PERNO'!A:D,4,0)&amp;" "&amp;VLOOKUP(O166,'PLANTA PERNO'!A:D,2,0)&amp;" "&amp;VLOOKUP(O166,'PLANTA PERNO'!A:D,3,0)))</f>
        <v>VACANTE DEFINITIVA</v>
      </c>
      <c r="Q166" s="21"/>
      <c r="R166" s="21"/>
      <c r="S166" s="21"/>
      <c r="T166" s="21"/>
      <c r="U166" s="21"/>
      <c r="V166" s="21"/>
      <c r="W166" s="38">
        <v>66210</v>
      </c>
      <c r="X166" s="38"/>
      <c r="Y166" s="21" t="str">
        <f t="shared" si="8"/>
        <v>OCUPADO</v>
      </c>
      <c r="Z166" s="23" t="s">
        <v>124</v>
      </c>
      <c r="AA166" s="24" t="s">
        <v>124</v>
      </c>
      <c r="AB166" s="25">
        <v>314</v>
      </c>
      <c r="AC166" s="27">
        <v>15</v>
      </c>
      <c r="AD166" s="28" t="str">
        <f t="shared" si="43"/>
        <v>314-15</v>
      </c>
      <c r="AE166" s="24" t="s">
        <v>153</v>
      </c>
      <c r="AF166" s="24" t="s">
        <v>153</v>
      </c>
      <c r="AG166" s="24" t="s">
        <v>2453</v>
      </c>
      <c r="AH166" s="24" t="s">
        <v>2454</v>
      </c>
      <c r="AI166" s="24" t="s">
        <v>2455</v>
      </c>
      <c r="AJ166" s="24" t="s">
        <v>2456</v>
      </c>
      <c r="AK166" s="93">
        <v>4226649.8</v>
      </c>
      <c r="AL166" s="93">
        <v>0</v>
      </c>
      <c r="AM166" s="93">
        <f t="shared" si="41"/>
        <v>0</v>
      </c>
      <c r="AN166" s="93">
        <f>IFERROR(INT(($AK166*(VLOOKUP($D166,'PORCENTAJES FACTORES'!B:N,12,0))/100)),0)</f>
        <v>0</v>
      </c>
      <c r="AO166" s="93">
        <f t="shared" si="42"/>
        <v>0</v>
      </c>
      <c r="AP166" s="93">
        <f t="shared" si="13"/>
        <v>0</v>
      </c>
      <c r="AQ166" s="93">
        <f t="shared" si="14"/>
        <v>0</v>
      </c>
      <c r="AR166" s="95">
        <f t="shared" si="34"/>
        <v>4226649.8</v>
      </c>
      <c r="AS166" s="96"/>
      <c r="AT166" s="97"/>
      <c r="AU166" s="43">
        <f t="shared" si="16"/>
        <v>4522515.2860000003</v>
      </c>
      <c r="AV166" s="58"/>
      <c r="AW166" s="43">
        <f t="shared" si="17"/>
        <v>0</v>
      </c>
      <c r="AX166" s="43">
        <f t="shared" si="18"/>
        <v>0</v>
      </c>
      <c r="AY166" s="58"/>
      <c r="AZ166" s="58"/>
      <c r="BA166" s="58"/>
      <c r="BB166" s="58"/>
      <c r="BC166" s="48"/>
      <c r="BD166" s="48"/>
      <c r="BE166" s="48"/>
      <c r="BF166" s="48"/>
      <c r="BG166" s="48"/>
      <c r="BH166" s="48"/>
      <c r="BI166" s="48"/>
      <c r="BJ166" s="48"/>
      <c r="BK166" s="48"/>
      <c r="BL166" s="48"/>
      <c r="BM166" s="48"/>
      <c r="BN166" s="48"/>
      <c r="BO166" s="48"/>
      <c r="BP166" s="48"/>
      <c r="BQ166" s="48"/>
      <c r="BR166" s="48"/>
      <c r="BS166" s="48"/>
    </row>
    <row r="167" spans="1:71" ht="12.75" hidden="1" customHeight="1">
      <c r="A167" s="85">
        <v>163</v>
      </c>
      <c r="B167" s="86">
        <v>5160</v>
      </c>
      <c r="C167" s="29">
        <v>128</v>
      </c>
      <c r="D167" s="122">
        <v>1005488395</v>
      </c>
      <c r="E167" s="18" t="str">
        <f>IF(D167&gt;0,VLOOKUP(D167,'PLANTA PERNO'!A:D,4,0)&amp;" "&amp;VLOOKUP(D167,'PLANTA PERNO'!A:D,2,0)&amp;" "&amp;VLOOKUP(D167,'PLANTA PERNO'!A:D,3,0),IF(O167="","VACANTE DEFINITIVA","VACANTE TEMPORAL"))</f>
        <v>JEFFERSON JOSE OSUNA BERRIO</v>
      </c>
      <c r="F167" s="20" t="s">
        <v>24</v>
      </c>
      <c r="G167" s="20" t="str">
        <f t="shared" si="0"/>
        <v>EN PROVISIONALIDAD</v>
      </c>
      <c r="H167" s="33">
        <f t="shared" si="48"/>
        <v>45901</v>
      </c>
      <c r="I167" s="33">
        <f t="shared" si="49"/>
        <v>45901</v>
      </c>
      <c r="J167" s="31" t="str">
        <f t="shared" si="50"/>
        <v>HOMBRE</v>
      </c>
      <c r="K167" s="21">
        <f t="shared" ca="1" si="51"/>
        <v>25</v>
      </c>
      <c r="L167" s="21">
        <f t="shared" ca="1" si="5"/>
        <v>1</v>
      </c>
      <c r="M167" s="21" t="str">
        <f t="shared" si="6"/>
        <v>PROVISIONALIDAD</v>
      </c>
      <c r="N167" s="21" t="str">
        <f t="shared" si="20"/>
        <v>EN ENCARGO</v>
      </c>
      <c r="O167" s="21">
        <v>1015419295</v>
      </c>
      <c r="P167" s="18" t="str">
        <f>IF(O167="","VACANTE DEFINITIVA",(VLOOKUP(O167,'PLANTA PERNO'!A:D,4,0)&amp;" "&amp;VLOOKUP(O167,'PLANTA PERNO'!A:D,2,0)&amp;" "&amp;VLOOKUP(O167,'PLANTA PERNO'!A:D,3,0)))</f>
        <v>HELVER MANUEL MORA MONTOYA</v>
      </c>
      <c r="Q167" s="21" t="s">
        <v>2381</v>
      </c>
      <c r="R167" s="21">
        <v>2</v>
      </c>
      <c r="S167" s="21" t="s">
        <v>166</v>
      </c>
      <c r="T167" s="21"/>
      <c r="U167" s="21"/>
      <c r="V167" s="21"/>
      <c r="W167" s="38">
        <v>66210</v>
      </c>
      <c r="X167" s="38"/>
      <c r="Y167" s="21" t="str">
        <f t="shared" si="8"/>
        <v>OCUPADO</v>
      </c>
      <c r="Z167" s="23" t="s">
        <v>124</v>
      </c>
      <c r="AA167" s="24" t="s">
        <v>124</v>
      </c>
      <c r="AB167" s="25">
        <v>314</v>
      </c>
      <c r="AC167" s="27">
        <v>15</v>
      </c>
      <c r="AD167" s="28" t="str">
        <f t="shared" si="43"/>
        <v>314-15</v>
      </c>
      <c r="AE167" s="24" t="s">
        <v>153</v>
      </c>
      <c r="AF167" s="24" t="s">
        <v>153</v>
      </c>
      <c r="AG167" s="24" t="s">
        <v>2453</v>
      </c>
      <c r="AH167" s="24" t="s">
        <v>2454</v>
      </c>
      <c r="AI167" s="24" t="s">
        <v>2455</v>
      </c>
      <c r="AJ167" s="24" t="s">
        <v>2456</v>
      </c>
      <c r="AK167" s="93">
        <v>4226649.8</v>
      </c>
      <c r="AL167" s="93">
        <v>0</v>
      </c>
      <c r="AM167" s="93">
        <f t="shared" si="41"/>
        <v>0</v>
      </c>
      <c r="AN167" s="93">
        <f>IFERROR(INT(($AK167*(VLOOKUP($D167,'PORCENTAJES FACTORES'!B:N,12,0))/100)),0)</f>
        <v>0</v>
      </c>
      <c r="AO167" s="93">
        <f t="shared" si="42"/>
        <v>0</v>
      </c>
      <c r="AP167" s="93">
        <f t="shared" si="13"/>
        <v>0</v>
      </c>
      <c r="AQ167" s="93">
        <f t="shared" si="14"/>
        <v>0</v>
      </c>
      <c r="AR167" s="95">
        <f t="shared" si="34"/>
        <v>4226649.8</v>
      </c>
      <c r="AS167" s="96"/>
      <c r="AT167" s="97"/>
      <c r="AU167" s="43">
        <f t="shared" si="16"/>
        <v>4522515.2860000003</v>
      </c>
      <c r="AV167" s="58"/>
      <c r="AW167" s="43">
        <f t="shared" si="17"/>
        <v>0</v>
      </c>
      <c r="AX167" s="43">
        <f t="shared" si="18"/>
        <v>0</v>
      </c>
      <c r="AY167" s="58"/>
      <c r="AZ167" s="58"/>
      <c r="BA167" s="58"/>
      <c r="BB167" s="58"/>
      <c r="BC167" s="48"/>
      <c r="BD167" s="48"/>
      <c r="BE167" s="48"/>
      <c r="BF167" s="48"/>
      <c r="BG167" s="48"/>
      <c r="BH167" s="48"/>
      <c r="BI167" s="48"/>
      <c r="BJ167" s="48"/>
      <c r="BK167" s="48"/>
      <c r="BL167" s="48"/>
      <c r="BM167" s="48"/>
      <c r="BN167" s="48"/>
      <c r="BO167" s="48"/>
      <c r="BP167" s="48"/>
      <c r="BQ167" s="48"/>
      <c r="BR167" s="48"/>
      <c r="BS167" s="48"/>
    </row>
    <row r="168" spans="1:71" ht="12.75" hidden="1" customHeight="1">
      <c r="A168" s="85">
        <v>164</v>
      </c>
      <c r="B168" s="86">
        <v>5163</v>
      </c>
      <c r="C168" s="29">
        <v>129</v>
      </c>
      <c r="D168" s="122">
        <v>1015438831</v>
      </c>
      <c r="E168" s="18" t="str">
        <f>IF(D168&gt;0,VLOOKUP(D168,'PLANTA PERNO'!A:D,4,0)&amp;" "&amp;VLOOKUP(D168,'PLANTA PERNO'!A:D,2,0)&amp;" "&amp;VLOOKUP(D168,'PLANTA PERNO'!A:D,3,0),IF(O168="","VACANTE DEFINITIVA","VACANTE TEMPORAL"))</f>
        <v>ESTEBAN RAMIREZ CARDENAS</v>
      </c>
      <c r="F168" s="20" t="s">
        <v>24</v>
      </c>
      <c r="G168" s="20" t="str">
        <f t="shared" si="0"/>
        <v>EN PROVISIONALIDAD</v>
      </c>
      <c r="H168" s="33">
        <f t="shared" si="48"/>
        <v>45489</v>
      </c>
      <c r="I168" s="33">
        <f t="shared" si="49"/>
        <v>45489</v>
      </c>
      <c r="J168" s="31" t="str">
        <f t="shared" si="50"/>
        <v>HOMBRE</v>
      </c>
      <c r="K168" s="21">
        <f t="shared" ca="1" si="51"/>
        <v>33</v>
      </c>
      <c r="L168" s="21">
        <f t="shared" ca="1" si="5"/>
        <v>2</v>
      </c>
      <c r="M168" s="21" t="str">
        <f t="shared" si="6"/>
        <v>PROVISIONALIDAD</v>
      </c>
      <c r="N168" s="21" t="str">
        <f t="shared" si="20"/>
        <v>EN ENCARGO</v>
      </c>
      <c r="O168" s="21">
        <v>1015425376</v>
      </c>
      <c r="P168" s="18" t="str">
        <f>IF(O168="","VACANTE DEFINITIVA",(VLOOKUP(O168,'PLANTA PERNO'!A:D,4,0)&amp;" "&amp;VLOOKUP(O168,'PLANTA PERNO'!A:D,2,0)&amp;" "&amp;VLOOKUP(O168,'PLANTA PERNO'!A:D,3,0)))</f>
        <v>ALEJANDRA NATALY CASALLAS MARTINEZ</v>
      </c>
      <c r="Q168" s="21" t="s">
        <v>2376</v>
      </c>
      <c r="R168" s="21">
        <v>7</v>
      </c>
      <c r="S168" s="21" t="s">
        <v>166</v>
      </c>
      <c r="T168" s="21"/>
      <c r="U168" s="21"/>
      <c r="V168" s="21"/>
      <c r="W168" s="38">
        <v>66210</v>
      </c>
      <c r="X168" s="38"/>
      <c r="Y168" s="21" t="str">
        <f t="shared" si="8"/>
        <v>OCUPADO</v>
      </c>
      <c r="Z168" s="23" t="s">
        <v>124</v>
      </c>
      <c r="AA168" s="24" t="s">
        <v>124</v>
      </c>
      <c r="AB168" s="25">
        <v>314</v>
      </c>
      <c r="AC168" s="27">
        <v>15</v>
      </c>
      <c r="AD168" s="28" t="str">
        <f t="shared" si="43"/>
        <v>314-15</v>
      </c>
      <c r="AE168" s="24" t="s">
        <v>153</v>
      </c>
      <c r="AF168" s="24" t="s">
        <v>153</v>
      </c>
      <c r="AG168" s="24" t="s">
        <v>2453</v>
      </c>
      <c r="AH168" s="24" t="s">
        <v>2454</v>
      </c>
      <c r="AI168" s="24" t="s">
        <v>2455</v>
      </c>
      <c r="AJ168" s="24" t="s">
        <v>2456</v>
      </c>
      <c r="AK168" s="93">
        <v>4226649.8</v>
      </c>
      <c r="AL168" s="93">
        <v>0</v>
      </c>
      <c r="AM168" s="93">
        <f t="shared" si="41"/>
        <v>0</v>
      </c>
      <c r="AN168" s="93">
        <f>IFERROR(INT(($AK168*(VLOOKUP($D168,'PORCENTAJES FACTORES'!B:N,12,0))/100)),0)</f>
        <v>0</v>
      </c>
      <c r="AO168" s="93">
        <f t="shared" si="42"/>
        <v>0</v>
      </c>
      <c r="AP168" s="93">
        <f t="shared" si="13"/>
        <v>0</v>
      </c>
      <c r="AQ168" s="93">
        <f t="shared" si="14"/>
        <v>0</v>
      </c>
      <c r="AR168" s="95">
        <f t="shared" si="34"/>
        <v>4226649.8</v>
      </c>
      <c r="AS168" s="96"/>
      <c r="AT168" s="97"/>
      <c r="AU168" s="43">
        <f t="shared" si="16"/>
        <v>4522515.2860000003</v>
      </c>
      <c r="AV168" s="58"/>
      <c r="AW168" s="43">
        <f t="shared" si="17"/>
        <v>0</v>
      </c>
      <c r="AX168" s="43">
        <f t="shared" si="18"/>
        <v>0</v>
      </c>
      <c r="AY168" s="58"/>
      <c r="AZ168" s="58"/>
      <c r="BA168" s="58"/>
      <c r="BB168" s="58"/>
      <c r="BC168" s="48"/>
      <c r="BD168" s="48"/>
      <c r="BE168" s="48"/>
      <c r="BF168" s="48"/>
      <c r="BG168" s="48"/>
      <c r="BH168" s="48"/>
      <c r="BI168" s="48"/>
      <c r="BJ168" s="48"/>
      <c r="BK168" s="48"/>
      <c r="BL168" s="48"/>
      <c r="BM168" s="48"/>
      <c r="BN168" s="48"/>
      <c r="BO168" s="48"/>
      <c r="BP168" s="48"/>
      <c r="BQ168" s="48"/>
      <c r="BR168" s="48"/>
      <c r="BS168" s="48"/>
    </row>
    <row r="169" spans="1:71" ht="12.75" hidden="1" customHeight="1">
      <c r="A169" s="85">
        <v>165</v>
      </c>
      <c r="B169" s="86">
        <v>5161</v>
      </c>
      <c r="C169" s="29">
        <v>130</v>
      </c>
      <c r="D169" s="122">
        <v>1001170136</v>
      </c>
      <c r="E169" s="18" t="str">
        <f>IF(D169&gt;0,VLOOKUP(D169,'PLANTA PERNO'!A:D,4,0)&amp;" "&amp;VLOOKUP(D169,'PLANTA PERNO'!A:D,2,0)&amp;" "&amp;VLOOKUP(D169,'PLANTA PERNO'!A:D,3,0),IF(O169="","VACANTE DEFINITIVA","VACANTE TEMPORAL"))</f>
        <v>DIANA YURANY MARTINEZ MARTINEZ</v>
      </c>
      <c r="F169" s="20" t="s">
        <v>24</v>
      </c>
      <c r="G169" s="20" t="str">
        <f t="shared" si="0"/>
        <v>EN PROVISIONALIDAD</v>
      </c>
      <c r="H169" s="33">
        <f t="shared" si="48"/>
        <v>45462</v>
      </c>
      <c r="I169" s="33">
        <f t="shared" si="49"/>
        <v>45462</v>
      </c>
      <c r="J169" s="31" t="str">
        <f t="shared" si="50"/>
        <v>MUJER</v>
      </c>
      <c r="K169" s="21">
        <f t="shared" ca="1" si="51"/>
        <v>25</v>
      </c>
      <c r="L169" s="21">
        <f t="shared" ca="1" si="5"/>
        <v>2</v>
      </c>
      <c r="M169" s="21" t="str">
        <f t="shared" si="6"/>
        <v>PROVISIONALIDAD</v>
      </c>
      <c r="N169" s="21" t="str">
        <f t="shared" si="20"/>
        <v>EN ENCARGO</v>
      </c>
      <c r="O169" s="21">
        <v>37625914</v>
      </c>
      <c r="P169" s="18" t="str">
        <f>IF(O169="","VACANTE DEFINITIVA",(VLOOKUP(O169,'PLANTA PERNO'!A:D,4,0)&amp;" "&amp;VLOOKUP(O169,'PLANTA PERNO'!A:D,2,0)&amp;" "&amp;VLOOKUP(O169,'PLANTA PERNO'!A:D,3,0)))</f>
        <v>MARY DAYANA SANCHEZ ROJAS</v>
      </c>
      <c r="Q169" s="21" t="s">
        <v>2354</v>
      </c>
      <c r="R169" s="21">
        <v>3</v>
      </c>
      <c r="S169" s="21" t="s">
        <v>166</v>
      </c>
      <c r="T169" s="21"/>
      <c r="U169" s="21"/>
      <c r="V169" s="21"/>
      <c r="W169" s="38">
        <v>66210</v>
      </c>
      <c r="X169" s="38"/>
      <c r="Y169" s="21" t="str">
        <f t="shared" si="8"/>
        <v>OCUPADO</v>
      </c>
      <c r="Z169" s="23" t="s">
        <v>124</v>
      </c>
      <c r="AA169" s="24" t="s">
        <v>124</v>
      </c>
      <c r="AB169" s="25">
        <v>314</v>
      </c>
      <c r="AC169" s="27">
        <v>15</v>
      </c>
      <c r="AD169" s="28" t="str">
        <f t="shared" si="43"/>
        <v>314-15</v>
      </c>
      <c r="AE169" s="24" t="s">
        <v>153</v>
      </c>
      <c r="AF169" s="24" t="s">
        <v>153</v>
      </c>
      <c r="AG169" s="24" t="s">
        <v>2453</v>
      </c>
      <c r="AH169" s="24" t="s">
        <v>2454</v>
      </c>
      <c r="AI169" s="24" t="s">
        <v>2455</v>
      </c>
      <c r="AJ169" s="24" t="s">
        <v>2456</v>
      </c>
      <c r="AK169" s="93">
        <v>4226649.8</v>
      </c>
      <c r="AL169" s="93">
        <v>0</v>
      </c>
      <c r="AM169" s="93">
        <f t="shared" si="41"/>
        <v>0</v>
      </c>
      <c r="AN169" s="93">
        <f>IFERROR(INT(($AK169*(VLOOKUP($D169,'PORCENTAJES FACTORES'!B:N,12,0))/100)),0)</f>
        <v>0</v>
      </c>
      <c r="AO169" s="93">
        <f t="shared" si="42"/>
        <v>0</v>
      </c>
      <c r="AP169" s="93">
        <f t="shared" si="13"/>
        <v>0</v>
      </c>
      <c r="AQ169" s="93">
        <f t="shared" si="14"/>
        <v>0</v>
      </c>
      <c r="AR169" s="95">
        <f t="shared" si="34"/>
        <v>4226649.8</v>
      </c>
      <c r="AS169" s="96"/>
      <c r="AT169" s="97"/>
      <c r="AU169" s="43">
        <f t="shared" si="16"/>
        <v>4522515.2860000003</v>
      </c>
      <c r="AV169" s="58"/>
      <c r="AW169" s="43">
        <f t="shared" si="17"/>
        <v>0</v>
      </c>
      <c r="AX169" s="43">
        <f t="shared" si="18"/>
        <v>0</v>
      </c>
      <c r="AY169" s="58"/>
      <c r="AZ169" s="58"/>
      <c r="BA169" s="58"/>
      <c r="BB169" s="58"/>
      <c r="BC169" s="48"/>
      <c r="BD169" s="48"/>
      <c r="BE169" s="48"/>
      <c r="BF169" s="48"/>
      <c r="BG169" s="48"/>
      <c r="BH169" s="48"/>
      <c r="BI169" s="48"/>
      <c r="BJ169" s="48"/>
      <c r="BK169" s="48"/>
      <c r="BL169" s="48"/>
      <c r="BM169" s="48"/>
      <c r="BN169" s="48"/>
      <c r="BO169" s="48"/>
      <c r="BP169" s="48"/>
      <c r="BQ169" s="48"/>
      <c r="BR169" s="48"/>
      <c r="BS169" s="48"/>
    </row>
    <row r="170" spans="1:71" ht="12.75" hidden="1" customHeight="1">
      <c r="A170" s="85">
        <v>166</v>
      </c>
      <c r="B170" s="86">
        <v>5164</v>
      </c>
      <c r="C170" s="29">
        <v>132</v>
      </c>
      <c r="D170" s="122"/>
      <c r="E170" s="18" t="str">
        <f>IF(D170&gt;0,VLOOKUP(D170,'PLANTA PERNO'!A:D,4,0)&amp;" "&amp;VLOOKUP(D170,'PLANTA PERNO'!A:D,2,0)&amp;" "&amp;VLOOKUP(D170,'PLANTA PERNO'!A:D,3,0),IF(O170="","VACANTE DEFINITIVA","VACANTE TEMPORAL"))</f>
        <v>VACANTE TEMPORAL</v>
      </c>
      <c r="F170" s="20"/>
      <c r="G170" s="20" t="str">
        <f t="shared" si="0"/>
        <v>VACANTE TEMPORAL</v>
      </c>
      <c r="H170" s="33" t="str">
        <f t="shared" si="48"/>
        <v xml:space="preserve"> </v>
      </c>
      <c r="I170" s="33" t="str">
        <f t="shared" si="49"/>
        <v/>
      </c>
      <c r="J170" s="31" t="str">
        <f t="shared" si="50"/>
        <v/>
      </c>
      <c r="K170" s="21" t="str">
        <f t="shared" ca="1" si="51"/>
        <v/>
      </c>
      <c r="L170" s="21" t="str">
        <f t="shared" ca="1" si="5"/>
        <v/>
      </c>
      <c r="M170" s="21" t="str">
        <f t="shared" si="6"/>
        <v/>
      </c>
      <c r="N170" s="21" t="str">
        <f t="shared" si="20"/>
        <v>EN ENCARGO</v>
      </c>
      <c r="O170" s="21">
        <v>1030577699</v>
      </c>
      <c r="P170" s="18" t="str">
        <f>IF(O170="","VACANTE DEFINITIVA",(VLOOKUP(O170,'PLANTA PERNO'!A:D,4,0)&amp;" "&amp;VLOOKUP(O170,'PLANTA PERNO'!A:D,2,0)&amp;" "&amp;VLOOKUP(O170,'PLANTA PERNO'!A:D,3,0)))</f>
        <v>KATHERINE PAOLA ARAGON CASTIBLANCO</v>
      </c>
      <c r="Q170" s="21" t="s">
        <v>1823</v>
      </c>
      <c r="R170" s="21">
        <v>5</v>
      </c>
      <c r="S170" s="21"/>
      <c r="T170" s="21"/>
      <c r="U170" s="21"/>
      <c r="V170" s="21"/>
      <c r="W170" s="38">
        <v>66211</v>
      </c>
      <c r="X170" s="38"/>
      <c r="Y170" s="21" t="str">
        <f t="shared" si="8"/>
        <v>VACANTE TEMPORAL</v>
      </c>
      <c r="Z170" s="23" t="s">
        <v>124</v>
      </c>
      <c r="AA170" s="24" t="s">
        <v>124</v>
      </c>
      <c r="AB170" s="25">
        <v>314</v>
      </c>
      <c r="AC170" s="27">
        <v>15</v>
      </c>
      <c r="AD170" s="28" t="str">
        <f t="shared" si="43"/>
        <v>314-15</v>
      </c>
      <c r="AE170" s="24" t="s">
        <v>213</v>
      </c>
      <c r="AF170" s="24" t="s">
        <v>213</v>
      </c>
      <c r="AG170" s="24" t="s">
        <v>2457</v>
      </c>
      <c r="AH170" s="24" t="s">
        <v>2458</v>
      </c>
      <c r="AI170" s="24" t="s">
        <v>128</v>
      </c>
      <c r="AJ170" s="24" t="s">
        <v>2459</v>
      </c>
      <c r="AK170" s="93">
        <v>4226649.8</v>
      </c>
      <c r="AL170" s="93">
        <v>0</v>
      </c>
      <c r="AM170" s="93">
        <f t="shared" si="41"/>
        <v>0</v>
      </c>
      <c r="AN170" s="93">
        <f>IFERROR(INT(($AK170*(VLOOKUP($D170,'PORCENTAJES FACTORES'!B:N,12,0))/100)),0)</f>
        <v>0</v>
      </c>
      <c r="AO170" s="93">
        <f t="shared" si="42"/>
        <v>0</v>
      </c>
      <c r="AP170" s="93">
        <f t="shared" si="13"/>
        <v>0</v>
      </c>
      <c r="AQ170" s="93">
        <f t="shared" si="14"/>
        <v>0</v>
      </c>
      <c r="AR170" s="95">
        <f t="shared" si="34"/>
        <v>4226649.8</v>
      </c>
      <c r="AS170" s="96"/>
      <c r="AT170" s="97"/>
      <c r="AU170" s="43">
        <f t="shared" si="16"/>
        <v>4522515.2860000003</v>
      </c>
      <c r="AV170" s="58"/>
      <c r="AW170" s="43">
        <f t="shared" si="17"/>
        <v>0</v>
      </c>
      <c r="AX170" s="43">
        <f t="shared" si="18"/>
        <v>0</v>
      </c>
      <c r="AY170" s="58"/>
      <c r="AZ170" s="58"/>
      <c r="BA170" s="58"/>
      <c r="BB170" s="58"/>
      <c r="BC170" s="48"/>
      <c r="BD170" s="48"/>
      <c r="BE170" s="48"/>
      <c r="BF170" s="48"/>
      <c r="BG170" s="48"/>
      <c r="BH170" s="48"/>
      <c r="BI170" s="48"/>
      <c r="BJ170" s="48"/>
      <c r="BK170" s="48"/>
      <c r="BL170" s="48"/>
      <c r="BM170" s="48"/>
      <c r="BN170" s="48"/>
      <c r="BO170" s="48"/>
      <c r="BP170" s="48"/>
      <c r="BQ170" s="48"/>
      <c r="BR170" s="48"/>
      <c r="BS170" s="48"/>
    </row>
    <row r="171" spans="1:71" ht="12.75" hidden="1" customHeight="1">
      <c r="A171" s="85">
        <v>167</v>
      </c>
      <c r="B171" s="86">
        <v>5162</v>
      </c>
      <c r="C171" s="29">
        <v>133</v>
      </c>
      <c r="D171" s="122">
        <v>1018499480</v>
      </c>
      <c r="E171" s="18" t="str">
        <f>IF(D171&gt;0,VLOOKUP(D171,'PLANTA PERNO'!A:D,4,0)&amp;" "&amp;VLOOKUP(D171,'PLANTA PERNO'!A:D,2,0)&amp;" "&amp;VLOOKUP(D171,'PLANTA PERNO'!A:D,3,0),IF(O171="","VACANTE DEFINITIVA","VACANTE TEMPORAL"))</f>
        <v>DAYANNA LORENA VELASQUEZ FLOREZ</v>
      </c>
      <c r="F171" s="20" t="s">
        <v>24</v>
      </c>
      <c r="G171" s="20" t="str">
        <f t="shared" si="0"/>
        <v>EN PROVISIONALIDAD</v>
      </c>
      <c r="H171" s="33">
        <f t="shared" si="48"/>
        <v>45791</v>
      </c>
      <c r="I171" s="33">
        <f t="shared" si="49"/>
        <v>45791</v>
      </c>
      <c r="J171" s="31" t="str">
        <f t="shared" si="50"/>
        <v>MUJER</v>
      </c>
      <c r="K171" s="21">
        <f t="shared" ca="1" si="51"/>
        <v>28</v>
      </c>
      <c r="L171" s="21">
        <f t="shared" ca="1" si="5"/>
        <v>1</v>
      </c>
      <c r="M171" s="21" t="str">
        <f t="shared" si="6"/>
        <v>PROVISIONALIDAD</v>
      </c>
      <c r="N171" s="21" t="str">
        <f t="shared" si="20"/>
        <v>EN ENCARGO</v>
      </c>
      <c r="O171" s="21">
        <v>22446641</v>
      </c>
      <c r="P171" s="18" t="str">
        <f>IF(O171="","VACANTE DEFINITIVA",(VLOOKUP(O171,'PLANTA PERNO'!A:D,4,0)&amp;" "&amp;VLOOKUP(O171,'PLANTA PERNO'!A:D,2,0)&amp;" "&amp;VLOOKUP(O171,'PLANTA PERNO'!A:D,3,0)))</f>
        <v>ROSA ISABEL SIERRA LABORDE</v>
      </c>
      <c r="Q171" s="21" t="s">
        <v>2365</v>
      </c>
      <c r="R171" s="21">
        <v>3</v>
      </c>
      <c r="S171" s="21" t="s">
        <v>166</v>
      </c>
      <c r="T171" s="21"/>
      <c r="U171" s="21"/>
      <c r="V171" s="21"/>
      <c r="W171" s="38">
        <v>66213</v>
      </c>
      <c r="X171" s="38"/>
      <c r="Y171" s="21" t="str">
        <f t="shared" si="8"/>
        <v>OCUPADO</v>
      </c>
      <c r="Z171" s="23" t="s">
        <v>124</v>
      </c>
      <c r="AA171" s="24" t="s">
        <v>124</v>
      </c>
      <c r="AB171" s="25">
        <v>314</v>
      </c>
      <c r="AC171" s="27">
        <v>15</v>
      </c>
      <c r="AD171" s="28" t="str">
        <f t="shared" si="43"/>
        <v>314-15</v>
      </c>
      <c r="AE171" s="24" t="s">
        <v>33</v>
      </c>
      <c r="AF171" s="24" t="s">
        <v>33</v>
      </c>
      <c r="AG171" s="24" t="s">
        <v>126</v>
      </c>
      <c r="AH171" s="24" t="s">
        <v>127</v>
      </c>
      <c r="AI171" s="24" t="s">
        <v>128</v>
      </c>
      <c r="AJ171" s="24" t="s">
        <v>130</v>
      </c>
      <c r="AK171" s="93">
        <v>4226649.8</v>
      </c>
      <c r="AL171" s="93">
        <v>0</v>
      </c>
      <c r="AM171" s="93">
        <f t="shared" si="41"/>
        <v>0</v>
      </c>
      <c r="AN171" s="93">
        <f>IFERROR(INT(($AK171*(VLOOKUP($D171,'PORCENTAJES FACTORES'!B:N,12,0))/100)),0)</f>
        <v>0</v>
      </c>
      <c r="AO171" s="93">
        <f t="shared" si="42"/>
        <v>0</v>
      </c>
      <c r="AP171" s="93">
        <f t="shared" si="13"/>
        <v>0</v>
      </c>
      <c r="AQ171" s="93">
        <f t="shared" si="14"/>
        <v>0</v>
      </c>
      <c r="AR171" s="95">
        <f t="shared" si="34"/>
        <v>4226649.8</v>
      </c>
      <c r="AS171" s="96"/>
      <c r="AT171" s="97"/>
      <c r="AU171" s="43">
        <f t="shared" si="16"/>
        <v>4522515.2860000003</v>
      </c>
      <c r="AV171" s="58"/>
      <c r="AW171" s="43">
        <f t="shared" si="17"/>
        <v>0</v>
      </c>
      <c r="AX171" s="43">
        <f t="shared" si="18"/>
        <v>0</v>
      </c>
      <c r="AY171" s="58"/>
      <c r="AZ171" s="58"/>
      <c r="BA171" s="58"/>
      <c r="BB171" s="58"/>
      <c r="BC171" s="48"/>
      <c r="BD171" s="48"/>
      <c r="BE171" s="48"/>
      <c r="BF171" s="48"/>
      <c r="BG171" s="48"/>
      <c r="BH171" s="48"/>
      <c r="BI171" s="48"/>
      <c r="BJ171" s="48"/>
      <c r="BK171" s="48"/>
      <c r="BL171" s="48"/>
      <c r="BM171" s="48"/>
      <c r="BN171" s="48"/>
      <c r="BO171" s="48"/>
      <c r="BP171" s="48"/>
      <c r="BQ171" s="48"/>
      <c r="BR171" s="48"/>
      <c r="BS171" s="48"/>
    </row>
    <row r="172" spans="1:71" ht="12.75" hidden="1" customHeight="1">
      <c r="A172" s="85">
        <v>168</v>
      </c>
      <c r="B172" s="86">
        <v>5165</v>
      </c>
      <c r="C172" s="29">
        <v>134</v>
      </c>
      <c r="D172" s="122">
        <v>1010176886</v>
      </c>
      <c r="E172" s="18" t="str">
        <f>IF(D172&gt;0,VLOOKUP(D172,'PLANTA PERNO'!A:D,4,0)&amp;" "&amp;VLOOKUP(D172,'PLANTA PERNO'!A:D,2,0)&amp;" "&amp;VLOOKUP(D172,'PLANTA PERNO'!A:D,3,0),IF(O172="","VACANTE DEFINITIVA","VACANTE TEMPORAL"))</f>
        <v>JOAN SEBASTIAN FLECHAS ALONSO</v>
      </c>
      <c r="F172" s="20" t="s">
        <v>49</v>
      </c>
      <c r="G172" s="20" t="str">
        <f t="shared" si="0"/>
        <v>CARRERA ADMINISTRATIVA</v>
      </c>
      <c r="H172" s="33">
        <f t="shared" si="48"/>
        <v>44144</v>
      </c>
      <c r="I172" s="33">
        <f t="shared" si="49"/>
        <v>44144</v>
      </c>
      <c r="J172" s="31" t="str">
        <f t="shared" si="50"/>
        <v>HOMBRE</v>
      </c>
      <c r="K172" s="21">
        <f t="shared" ca="1" si="51"/>
        <v>38</v>
      </c>
      <c r="L172" s="21">
        <f t="shared" ca="1" si="5"/>
        <v>5</v>
      </c>
      <c r="M172" s="21" t="str">
        <f t="shared" si="6"/>
        <v/>
      </c>
      <c r="N172" s="21" t="str">
        <f t="shared" si="20"/>
        <v>EN PROPIEDAD</v>
      </c>
      <c r="O172" s="21">
        <v>1010176886</v>
      </c>
      <c r="P172" s="18" t="str">
        <f>IF(O172="","VACANTE DEFINITIVA",(VLOOKUP(O172,'PLANTA PERNO'!A:D,4,0)&amp;" "&amp;VLOOKUP(O172,'PLANTA PERNO'!A:D,2,0)&amp;" "&amp;VLOOKUP(O172,'PLANTA PERNO'!A:D,3,0)))</f>
        <v>JOAN SEBASTIAN FLECHAS ALONSO</v>
      </c>
      <c r="Q172" s="21"/>
      <c r="R172" s="21"/>
      <c r="S172" s="21"/>
      <c r="T172" s="21"/>
      <c r="U172" s="21"/>
      <c r="V172" s="21"/>
      <c r="W172" s="38">
        <v>66213</v>
      </c>
      <c r="X172" s="38"/>
      <c r="Y172" s="21" t="str">
        <f t="shared" si="8"/>
        <v>OCUPADO</v>
      </c>
      <c r="Z172" s="23" t="s">
        <v>124</v>
      </c>
      <c r="AA172" s="24" t="s">
        <v>124</v>
      </c>
      <c r="AB172" s="25">
        <v>314</v>
      </c>
      <c r="AC172" s="27">
        <v>15</v>
      </c>
      <c r="AD172" s="28" t="str">
        <f t="shared" si="43"/>
        <v>314-15</v>
      </c>
      <c r="AE172" s="24" t="s">
        <v>33</v>
      </c>
      <c r="AF172" s="24" t="s">
        <v>33</v>
      </c>
      <c r="AG172" s="24" t="s">
        <v>126</v>
      </c>
      <c r="AH172" s="24" t="s">
        <v>127</v>
      </c>
      <c r="AI172" s="24" t="s">
        <v>128</v>
      </c>
      <c r="AJ172" s="24" t="s">
        <v>130</v>
      </c>
      <c r="AK172" s="93">
        <v>4226649.8</v>
      </c>
      <c r="AL172" s="93">
        <v>0</v>
      </c>
      <c r="AM172" s="93">
        <f t="shared" si="41"/>
        <v>126799</v>
      </c>
      <c r="AN172" s="93">
        <f>IFERROR(INT(($AK172*(VLOOKUP($D172,'PORCENTAJES FACTORES'!B:N,12,0))/100)),0)</f>
        <v>0</v>
      </c>
      <c r="AO172" s="93">
        <f t="shared" si="42"/>
        <v>0</v>
      </c>
      <c r="AP172" s="93">
        <f t="shared" si="13"/>
        <v>0</v>
      </c>
      <c r="AQ172" s="93">
        <f t="shared" si="14"/>
        <v>0</v>
      </c>
      <c r="AR172" s="95">
        <f t="shared" si="34"/>
        <v>4353448.8</v>
      </c>
      <c r="AS172" s="96"/>
      <c r="AT172" s="97"/>
      <c r="AU172" s="43">
        <f t="shared" si="16"/>
        <v>4522515.2860000003</v>
      </c>
      <c r="AV172" s="58"/>
      <c r="AW172" s="43">
        <f t="shared" si="17"/>
        <v>0</v>
      </c>
      <c r="AX172" s="43">
        <f t="shared" si="18"/>
        <v>0</v>
      </c>
      <c r="AY172" s="58"/>
      <c r="AZ172" s="58"/>
      <c r="BA172" s="58"/>
      <c r="BB172" s="58"/>
      <c r="BC172" s="48"/>
      <c r="BD172" s="48"/>
      <c r="BE172" s="48"/>
      <c r="BF172" s="48"/>
      <c r="BG172" s="48"/>
      <c r="BH172" s="48"/>
      <c r="BI172" s="48"/>
      <c r="BJ172" s="48"/>
      <c r="BK172" s="48"/>
      <c r="BL172" s="48"/>
      <c r="BM172" s="48"/>
      <c r="BN172" s="48"/>
      <c r="BO172" s="48"/>
      <c r="BP172" s="48"/>
      <c r="BQ172" s="48"/>
      <c r="BR172" s="48"/>
      <c r="BS172" s="48"/>
    </row>
    <row r="173" spans="1:71" ht="12.75" hidden="1" customHeight="1">
      <c r="A173" s="85">
        <v>169</v>
      </c>
      <c r="B173" s="86">
        <v>5166</v>
      </c>
      <c r="C173" s="29">
        <v>135</v>
      </c>
      <c r="D173" s="122">
        <v>1024566898</v>
      </c>
      <c r="E173" s="18" t="str">
        <f>IF(D173&gt;0,VLOOKUP(D173,'PLANTA PERNO'!A:D,4,0)&amp;" "&amp;VLOOKUP(D173,'PLANTA PERNO'!A:D,2,0)&amp;" "&amp;VLOOKUP(D173,'PLANTA PERNO'!A:D,3,0),IF(O173="","VACANTE DEFINITIVA","VACANTE TEMPORAL"))</f>
        <v>ALVARO FELIPE ALEJO CASTIBLANCO</v>
      </c>
      <c r="F173" s="20" t="s">
        <v>24</v>
      </c>
      <c r="G173" s="20" t="str">
        <f t="shared" si="0"/>
        <v>EN PROVISIONALIDAD</v>
      </c>
      <c r="H173" s="33">
        <f t="shared" si="48"/>
        <v>44820</v>
      </c>
      <c r="I173" s="33">
        <f t="shared" si="49"/>
        <v>44820</v>
      </c>
      <c r="J173" s="31" t="str">
        <f t="shared" si="50"/>
        <v>HOMBRE</v>
      </c>
      <c r="K173" s="21">
        <f t="shared" ca="1" si="51"/>
        <v>30</v>
      </c>
      <c r="L173" s="21">
        <f t="shared" ca="1" si="5"/>
        <v>4</v>
      </c>
      <c r="M173" s="21" t="str">
        <f t="shared" si="6"/>
        <v>PROVISIONALIDAD</v>
      </c>
      <c r="N173" s="21" t="str">
        <f t="shared" si="20"/>
        <v>VACANTE DEFINITIVA</v>
      </c>
      <c r="O173" s="21" t="s">
        <v>25</v>
      </c>
      <c r="P173" s="18" t="str">
        <f>IF(O173="","VACANTE DEFINITIVA",(VLOOKUP(O173,'PLANTA PERNO'!A:D,4,0)&amp;" "&amp;VLOOKUP(O173,'PLANTA PERNO'!A:D,2,0)&amp;" "&amp;VLOOKUP(O173,'PLANTA PERNO'!A:D,3,0)))</f>
        <v>VACANTE DEFINITIVA</v>
      </c>
      <c r="Q173" s="21"/>
      <c r="R173" s="21"/>
      <c r="S173" s="21" t="s">
        <v>166</v>
      </c>
      <c r="T173" s="21"/>
      <c r="U173" s="21"/>
      <c r="V173" s="21"/>
      <c r="W173" s="38">
        <v>66207</v>
      </c>
      <c r="X173" s="38"/>
      <c r="Y173" s="21" t="str">
        <f t="shared" si="8"/>
        <v>OCUPADO</v>
      </c>
      <c r="Z173" s="23" t="s">
        <v>124</v>
      </c>
      <c r="AA173" s="24" t="s">
        <v>124</v>
      </c>
      <c r="AB173" s="25">
        <v>314</v>
      </c>
      <c r="AC173" s="27">
        <v>9</v>
      </c>
      <c r="AD173" s="28" t="str">
        <f t="shared" si="43"/>
        <v>314-9</v>
      </c>
      <c r="AE173" s="24" t="s">
        <v>153</v>
      </c>
      <c r="AF173" s="24" t="s">
        <v>153</v>
      </c>
      <c r="AG173" s="24" t="s">
        <v>2460</v>
      </c>
      <c r="AH173" s="24" t="s">
        <v>2461</v>
      </c>
      <c r="AI173" s="24" t="s">
        <v>2462</v>
      </c>
      <c r="AJ173" s="24" t="s">
        <v>2463</v>
      </c>
      <c r="AK173" s="93">
        <v>3687784.9600000004</v>
      </c>
      <c r="AL173" s="93">
        <v>0</v>
      </c>
      <c r="AM173" s="93">
        <f t="shared" si="41"/>
        <v>0</v>
      </c>
      <c r="AN173" s="93">
        <f>IFERROR(INT(($AK173*(VLOOKUP($D173,'PORCENTAJES FACTORES'!B:N,12,0))/100)),0)</f>
        <v>0</v>
      </c>
      <c r="AO173" s="93">
        <f t="shared" si="42"/>
        <v>0</v>
      </c>
      <c r="AP173" s="93">
        <f t="shared" si="13"/>
        <v>0</v>
      </c>
      <c r="AQ173" s="93">
        <f t="shared" si="14"/>
        <v>0</v>
      </c>
      <c r="AR173" s="95">
        <f t="shared" si="34"/>
        <v>3687784.9600000004</v>
      </c>
      <c r="AS173" s="96"/>
      <c r="AT173" s="97"/>
      <c r="AU173" s="43">
        <f t="shared" si="16"/>
        <v>3945929.9072000007</v>
      </c>
      <c r="AV173" s="58"/>
      <c r="AW173" s="43">
        <f t="shared" si="17"/>
        <v>0</v>
      </c>
      <c r="AX173" s="43">
        <f t="shared" si="18"/>
        <v>0</v>
      </c>
      <c r="AY173" s="58"/>
      <c r="AZ173" s="58"/>
      <c r="BA173" s="58"/>
      <c r="BB173" s="58"/>
      <c r="BC173" s="48"/>
      <c r="BD173" s="48"/>
      <c r="BE173" s="48"/>
      <c r="BF173" s="48"/>
      <c r="BG173" s="48"/>
      <c r="BH173" s="48"/>
      <c r="BI173" s="48"/>
      <c r="BJ173" s="48"/>
      <c r="BK173" s="48"/>
      <c r="BL173" s="48"/>
      <c r="BM173" s="48"/>
      <c r="BN173" s="48"/>
      <c r="BO173" s="48"/>
      <c r="BP173" s="48"/>
      <c r="BQ173" s="48"/>
      <c r="BR173" s="48"/>
      <c r="BS173" s="48"/>
    </row>
    <row r="174" spans="1:71" ht="12.75" hidden="1" customHeight="1">
      <c r="A174" s="85">
        <v>170</v>
      </c>
      <c r="B174" s="86">
        <v>5167</v>
      </c>
      <c r="C174" s="29">
        <v>136</v>
      </c>
      <c r="D174" s="122">
        <v>1010220018</v>
      </c>
      <c r="E174" s="18" t="str">
        <f>IF(D174&gt;0,VLOOKUP(D174,'PLANTA PERNO'!A:D,4,0)&amp;" "&amp;VLOOKUP(D174,'PLANTA PERNO'!A:D,2,0)&amp;" "&amp;VLOOKUP(D174,'PLANTA PERNO'!A:D,3,0),IF(O174="","VACANTE DEFINITIVA","VACANTE TEMPORAL"))</f>
        <v>ANGIE GERALDINE MURILLO FULA</v>
      </c>
      <c r="F174" s="20" t="s">
        <v>24</v>
      </c>
      <c r="G174" s="20" t="str">
        <f t="shared" si="0"/>
        <v>EN PROVISIONALIDAD</v>
      </c>
      <c r="H174" s="33">
        <f t="shared" si="48"/>
        <v>45170</v>
      </c>
      <c r="I174" s="33">
        <f t="shared" si="49"/>
        <v>45170</v>
      </c>
      <c r="J174" s="31" t="str">
        <f t="shared" si="50"/>
        <v>MUJER</v>
      </c>
      <c r="K174" s="21">
        <f t="shared" ca="1" si="51"/>
        <v>31</v>
      </c>
      <c r="L174" s="21">
        <f t="shared" ca="1" si="5"/>
        <v>3</v>
      </c>
      <c r="M174" s="21" t="str">
        <f t="shared" si="6"/>
        <v>PROVISIONALIDAD</v>
      </c>
      <c r="N174" s="21" t="str">
        <f t="shared" si="20"/>
        <v>EN ENCARGO</v>
      </c>
      <c r="O174" s="21">
        <v>28488940</v>
      </c>
      <c r="P174" s="18" t="str">
        <f>IF(O174="","VACANTE DEFINITIVA",(VLOOKUP(O174,'PLANTA PERNO'!A:D,4,0)&amp;" "&amp;VLOOKUP(O174,'PLANTA PERNO'!A:D,2,0)&amp;" "&amp;VLOOKUP(O174,'PLANTA PERNO'!A:D,3,0)))</f>
        <v>CAROLINA ANAYA SARMIENTO</v>
      </c>
      <c r="Q174" s="21" t="s">
        <v>2419</v>
      </c>
      <c r="R174" s="21">
        <v>2</v>
      </c>
      <c r="S174" s="21" t="s">
        <v>166</v>
      </c>
      <c r="T174" s="21"/>
      <c r="U174" s="21"/>
      <c r="V174" s="21"/>
      <c r="W174" s="38">
        <v>74346</v>
      </c>
      <c r="X174" s="38"/>
      <c r="Y174" s="21" t="str">
        <f t="shared" si="8"/>
        <v>OCUPADO</v>
      </c>
      <c r="Z174" s="23" t="s">
        <v>124</v>
      </c>
      <c r="AA174" s="24" t="s">
        <v>124</v>
      </c>
      <c r="AB174" s="25">
        <v>314</v>
      </c>
      <c r="AC174" s="27">
        <v>9</v>
      </c>
      <c r="AD174" s="28" t="str">
        <f t="shared" si="43"/>
        <v>314-9</v>
      </c>
      <c r="AE174" s="24" t="s">
        <v>213</v>
      </c>
      <c r="AF174" s="24" t="s">
        <v>213</v>
      </c>
      <c r="AG174" s="24" t="s">
        <v>2464</v>
      </c>
      <c r="AH174" s="24" t="s">
        <v>2465</v>
      </c>
      <c r="AI174" s="24" t="s">
        <v>2466</v>
      </c>
      <c r="AJ174" s="24" t="s">
        <v>2467</v>
      </c>
      <c r="AK174" s="93">
        <v>3687784.9600000004</v>
      </c>
      <c r="AL174" s="93">
        <v>0</v>
      </c>
      <c r="AM174" s="93">
        <f t="shared" si="41"/>
        <v>0</v>
      </c>
      <c r="AN174" s="93">
        <f>IFERROR(INT(($AK174*(VLOOKUP($D174,'PORCENTAJES FACTORES'!B:N,12,0))/100)),0)</f>
        <v>0</v>
      </c>
      <c r="AO174" s="93">
        <f t="shared" si="42"/>
        <v>0</v>
      </c>
      <c r="AP174" s="93">
        <f t="shared" si="13"/>
        <v>0</v>
      </c>
      <c r="AQ174" s="93">
        <f t="shared" si="14"/>
        <v>0</v>
      </c>
      <c r="AR174" s="95">
        <f t="shared" si="34"/>
        <v>3687784.9600000004</v>
      </c>
      <c r="AS174" s="96"/>
      <c r="AT174" s="97"/>
      <c r="AU174" s="43">
        <f t="shared" si="16"/>
        <v>3945929.9072000007</v>
      </c>
      <c r="AV174" s="58"/>
      <c r="AW174" s="43">
        <f t="shared" si="17"/>
        <v>0</v>
      </c>
      <c r="AX174" s="43">
        <f t="shared" si="18"/>
        <v>0</v>
      </c>
      <c r="AY174" s="58"/>
      <c r="AZ174" s="58"/>
      <c r="BA174" s="58"/>
      <c r="BB174" s="58"/>
      <c r="BC174" s="48"/>
      <c r="BD174" s="48"/>
      <c r="BE174" s="48"/>
      <c r="BF174" s="48"/>
      <c r="BG174" s="48"/>
      <c r="BH174" s="48"/>
      <c r="BI174" s="48"/>
      <c r="BJ174" s="48"/>
      <c r="BK174" s="48"/>
      <c r="BL174" s="48"/>
      <c r="BM174" s="48"/>
      <c r="BN174" s="48"/>
      <c r="BO174" s="48"/>
      <c r="BP174" s="48"/>
      <c r="BQ174" s="48"/>
      <c r="BR174" s="48"/>
      <c r="BS174" s="48"/>
    </row>
    <row r="175" spans="1:71" ht="25.5" hidden="1" customHeight="1">
      <c r="A175" s="214"/>
      <c r="B175" s="215"/>
      <c r="C175" s="216"/>
      <c r="D175" s="246"/>
      <c r="E175" s="218"/>
      <c r="F175" s="219"/>
      <c r="G175" s="219"/>
      <c r="H175" s="220"/>
      <c r="I175" s="220"/>
      <c r="J175" s="221"/>
      <c r="K175" s="222"/>
      <c r="L175" s="222"/>
      <c r="M175" s="222"/>
      <c r="N175" s="222"/>
      <c r="O175" s="222"/>
      <c r="P175" s="218"/>
      <c r="Q175" s="222"/>
      <c r="R175" s="222"/>
      <c r="S175" s="222"/>
      <c r="T175" s="222"/>
      <c r="U175" s="222"/>
      <c r="V175" s="222"/>
      <c r="W175" s="223"/>
      <c r="X175" s="223"/>
      <c r="Y175" s="222"/>
      <c r="Z175" s="224"/>
      <c r="AA175" s="225"/>
      <c r="AB175" s="226"/>
      <c r="AC175" s="227"/>
      <c r="AD175" s="228"/>
      <c r="AE175" s="225"/>
      <c r="AF175" s="225"/>
      <c r="AG175" s="225"/>
      <c r="AH175" s="225"/>
      <c r="AI175" s="225"/>
      <c r="AJ175" s="225"/>
      <c r="AK175" s="46"/>
      <c r="AL175" s="46">
        <f>SUM(AL5:AL174)</f>
        <v>73355487.741999999</v>
      </c>
      <c r="AM175" s="46"/>
      <c r="AN175" s="46"/>
      <c r="AO175" s="46"/>
      <c r="AP175" s="46"/>
      <c r="AQ175" s="46"/>
      <c r="AR175" s="229"/>
      <c r="AS175" s="229"/>
      <c r="AT175" s="229"/>
      <c r="AU175" s="43">
        <f>SUM(AU5:AU174)</f>
        <v>1061940598.6653991</v>
      </c>
      <c r="AV175" s="230"/>
      <c r="AW175" s="43">
        <f>SUM(AW5:AW174)</f>
        <v>355815103.38386059</v>
      </c>
      <c r="AX175" s="43">
        <f t="shared" si="18"/>
        <v>3913966137.2224665</v>
      </c>
      <c r="AY175" s="230"/>
      <c r="AZ175" s="230"/>
      <c r="BA175" s="230"/>
      <c r="BB175" s="230"/>
      <c r="BC175" s="232"/>
      <c r="BD175" s="232"/>
      <c r="BE175" s="232"/>
      <c r="BF175" s="232"/>
      <c r="BG175" s="232"/>
      <c r="BH175" s="232"/>
      <c r="BI175" s="232"/>
      <c r="BJ175" s="232"/>
      <c r="BK175" s="232"/>
      <c r="BL175" s="232"/>
      <c r="BM175" s="232"/>
      <c r="BN175" s="232"/>
      <c r="BO175" s="232"/>
      <c r="BP175" s="232"/>
      <c r="BQ175" s="232"/>
      <c r="BR175" s="232"/>
      <c r="BS175" s="232"/>
    </row>
    <row r="176" spans="1:71" ht="15.75" hidden="1" customHeight="1">
      <c r="A176" s="2"/>
      <c r="B176" s="2"/>
      <c r="C176" s="2"/>
      <c r="D176" s="2"/>
      <c r="E176" s="233"/>
      <c r="F176" s="234"/>
      <c r="G176" s="234"/>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46"/>
      <c r="AK176" s="46"/>
      <c r="AL176" s="46">
        <f>AL175*1.07</f>
        <v>78490371.883939996</v>
      </c>
      <c r="AM176" s="235" t="s">
        <v>2009</v>
      </c>
      <c r="AN176" s="235" t="s">
        <v>148</v>
      </c>
      <c r="AO176" s="46"/>
      <c r="AP176" s="46"/>
      <c r="AQ176" s="46"/>
      <c r="AR176" s="46"/>
      <c r="AS176" s="46"/>
      <c r="AT176" s="46"/>
      <c r="AU176" s="43">
        <f>AU175*11</f>
        <v>11681346585.319389</v>
      </c>
      <c r="AV176" s="46"/>
      <c r="AW176" s="46">
        <f>AW175*10</f>
        <v>3558151033.8386059</v>
      </c>
      <c r="AX176" s="46"/>
      <c r="AY176" s="232"/>
      <c r="AZ176" s="232"/>
      <c r="BA176" s="232"/>
      <c r="BB176" s="232"/>
      <c r="BC176" s="232"/>
      <c r="BD176" s="232"/>
      <c r="BE176" s="232"/>
      <c r="BF176" s="232"/>
      <c r="BG176" s="232"/>
      <c r="BH176" s="232"/>
      <c r="BI176" s="232"/>
      <c r="BJ176" s="232"/>
      <c r="BK176" s="232"/>
      <c r="BL176" s="232"/>
      <c r="BM176" s="232"/>
      <c r="BN176" s="232"/>
      <c r="BO176" s="232"/>
      <c r="BP176" s="232"/>
      <c r="BQ176" s="232"/>
      <c r="BR176" s="232"/>
      <c r="BS176" s="232"/>
    </row>
    <row r="177" spans="1:71" ht="15.75" hidden="1" customHeight="1">
      <c r="A177" s="2"/>
      <c r="B177" s="2"/>
      <c r="C177" s="2"/>
      <c r="D177" s="2"/>
      <c r="E177" s="233"/>
      <c r="F177" s="234"/>
      <c r="G177" s="234"/>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46"/>
      <c r="AK177" s="46"/>
      <c r="AL177" s="46">
        <f>AL176*11</f>
        <v>863394090.72333992</v>
      </c>
      <c r="AM177" s="93" t="s">
        <v>2468</v>
      </c>
      <c r="AN177" s="236">
        <v>6877240</v>
      </c>
      <c r="AO177" s="46"/>
      <c r="AP177" s="46"/>
      <c r="AQ177" s="46"/>
      <c r="AR177" s="46"/>
      <c r="AS177" s="46"/>
      <c r="AT177" s="46"/>
      <c r="AU177" s="43">
        <f t="shared" ref="AU177:AU178" si="52">AK177*1.07</f>
        <v>0</v>
      </c>
      <c r="AV177" s="46"/>
      <c r="AW177" s="46">
        <v>3624905022</v>
      </c>
      <c r="AX177" s="46"/>
      <c r="AY177" s="232"/>
      <c r="AZ177" s="232"/>
      <c r="BA177" s="232"/>
      <c r="BB177" s="232"/>
      <c r="BC177" s="232"/>
      <c r="BD177" s="232"/>
      <c r="BE177" s="232"/>
      <c r="BF177" s="232"/>
      <c r="BG177" s="232"/>
      <c r="BH177" s="232"/>
      <c r="BI177" s="232"/>
      <c r="BJ177" s="232"/>
      <c r="BK177" s="232"/>
      <c r="BL177" s="232"/>
      <c r="BM177" s="232"/>
      <c r="BN177" s="232"/>
      <c r="BO177" s="232"/>
      <c r="BP177" s="232"/>
      <c r="BQ177" s="232"/>
      <c r="BR177" s="232"/>
      <c r="BS177" s="232"/>
    </row>
    <row r="178" spans="1:71" ht="15.75" hidden="1" customHeight="1">
      <c r="A178" s="2"/>
      <c r="B178" s="2"/>
      <c r="C178" s="2"/>
      <c r="D178" s="2"/>
      <c r="E178" s="233"/>
      <c r="F178" s="237"/>
      <c r="G178" s="234"/>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46"/>
      <c r="AK178" s="46"/>
      <c r="AL178" s="46"/>
      <c r="AM178" s="93" t="s">
        <v>610</v>
      </c>
      <c r="AN178" s="236">
        <v>2750896</v>
      </c>
      <c r="AP178" s="46"/>
      <c r="AQ178" s="46"/>
      <c r="AR178" s="46"/>
      <c r="AS178" s="46"/>
      <c r="AT178" s="46"/>
      <c r="AU178" s="43">
        <f t="shared" si="52"/>
        <v>0</v>
      </c>
      <c r="AV178" s="46"/>
      <c r="AW178" s="46">
        <f>AW177-AW176</f>
        <v>66753988.161394119</v>
      </c>
      <c r="AX178" s="46"/>
      <c r="AY178" s="232"/>
      <c r="AZ178" s="232"/>
      <c r="BA178" s="232"/>
      <c r="BB178" s="232"/>
      <c r="BC178" s="232"/>
      <c r="BD178" s="232"/>
      <c r="BE178" s="232"/>
      <c r="BF178" s="232"/>
      <c r="BG178" s="232"/>
      <c r="BH178" s="232"/>
      <c r="BI178" s="232"/>
      <c r="BJ178" s="232"/>
      <c r="BK178" s="232"/>
      <c r="BL178" s="232"/>
      <c r="BM178" s="232"/>
      <c r="BN178" s="232"/>
      <c r="BO178" s="232"/>
      <c r="BP178" s="232"/>
      <c r="BQ178" s="232"/>
      <c r="BR178" s="232"/>
      <c r="BS178" s="232"/>
    </row>
    <row r="179" spans="1:71" ht="15.75" customHeight="1">
      <c r="A179" s="2"/>
      <c r="B179" s="2"/>
      <c r="C179" s="2"/>
      <c r="D179" s="2"/>
      <c r="E179" s="233"/>
      <c r="F179" s="237"/>
      <c r="G179" s="234"/>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38" t="s">
        <v>2469</v>
      </c>
      <c r="AN179" s="239">
        <f>SUBTOTAL(9,AN177:AN178)</f>
        <v>0</v>
      </c>
      <c r="AO179" s="46"/>
      <c r="AP179" s="46"/>
      <c r="AQ179" s="46"/>
      <c r="AR179" s="46"/>
      <c r="AS179" s="46"/>
      <c r="AT179" s="46"/>
      <c r="AU179" s="46"/>
      <c r="AV179" s="46"/>
      <c r="AW179" s="46"/>
      <c r="AX179" s="46"/>
      <c r="AY179" s="232"/>
      <c r="AZ179" s="232"/>
      <c r="BA179" s="232"/>
      <c r="BB179" s="232"/>
      <c r="BC179" s="232"/>
      <c r="BD179" s="232"/>
      <c r="BE179" s="232"/>
      <c r="BF179" s="232"/>
      <c r="BG179" s="232"/>
      <c r="BH179" s="232"/>
      <c r="BI179" s="232"/>
      <c r="BJ179" s="232"/>
      <c r="BK179" s="232"/>
      <c r="BL179" s="232"/>
      <c r="BM179" s="232"/>
      <c r="BN179" s="232"/>
      <c r="BO179" s="232"/>
      <c r="BP179" s="232"/>
      <c r="BQ179" s="232"/>
      <c r="BR179" s="232"/>
      <c r="BS179" s="232"/>
    </row>
    <row r="180" spans="1:71" ht="15.75" customHeight="1">
      <c r="A180" s="2"/>
      <c r="B180" s="2"/>
      <c r="C180" s="2"/>
      <c r="D180" s="2"/>
      <c r="E180" s="233"/>
      <c r="F180" s="237"/>
      <c r="G180" s="234"/>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46"/>
      <c r="AL180" s="46"/>
      <c r="AM180" s="2"/>
      <c r="AN180" s="240"/>
      <c r="AO180" s="46"/>
      <c r="AP180" s="46"/>
      <c r="AQ180" s="46"/>
      <c r="AR180" s="46"/>
      <c r="AS180" s="46"/>
      <c r="AT180" s="46"/>
      <c r="AU180" s="46"/>
      <c r="AV180" s="46"/>
      <c r="AW180" s="46"/>
      <c r="AX180" s="46"/>
      <c r="AY180" s="232"/>
      <c r="AZ180" s="232"/>
      <c r="BA180" s="232"/>
      <c r="BB180" s="232"/>
      <c r="BC180" s="232"/>
      <c r="BD180" s="232"/>
      <c r="BE180" s="232"/>
      <c r="BF180" s="232"/>
      <c r="BG180" s="232"/>
      <c r="BH180" s="232"/>
      <c r="BI180" s="232"/>
      <c r="BJ180" s="232"/>
      <c r="BK180" s="232"/>
      <c r="BL180" s="232"/>
      <c r="BM180" s="232"/>
      <c r="BN180" s="232"/>
      <c r="BO180" s="232"/>
      <c r="BP180" s="232"/>
      <c r="BQ180" s="232"/>
      <c r="BR180" s="232"/>
      <c r="BS180" s="232"/>
    </row>
    <row r="181" spans="1:71" ht="15.75" customHeight="1">
      <c r="A181" s="2"/>
      <c r="B181" s="2"/>
      <c r="C181" s="2"/>
      <c r="D181" s="2"/>
      <c r="E181" s="233"/>
      <c r="F181" s="237"/>
      <c r="G181" s="234"/>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46"/>
      <c r="AL181" s="46"/>
      <c r="AM181" s="2"/>
      <c r="AN181" s="240"/>
      <c r="AO181" s="46"/>
      <c r="AP181" s="46"/>
      <c r="AQ181" s="46"/>
      <c r="AR181" s="46"/>
      <c r="AS181" s="46"/>
      <c r="AT181" s="46"/>
      <c r="AU181" s="46"/>
      <c r="AV181" s="46"/>
      <c r="AW181" s="46"/>
      <c r="AX181" s="46"/>
      <c r="AY181" s="232"/>
      <c r="AZ181" s="232"/>
      <c r="BA181" s="232"/>
      <c r="BB181" s="232"/>
      <c r="BC181" s="232"/>
      <c r="BD181" s="232"/>
      <c r="BE181" s="232"/>
      <c r="BF181" s="232"/>
      <c r="BG181" s="232"/>
      <c r="BH181" s="232"/>
      <c r="BI181" s="232"/>
      <c r="BJ181" s="232"/>
      <c r="BK181" s="232"/>
      <c r="BL181" s="232"/>
      <c r="BM181" s="232"/>
      <c r="BN181" s="232"/>
      <c r="BO181" s="232"/>
      <c r="BP181" s="232"/>
      <c r="BQ181" s="232"/>
      <c r="BR181" s="232"/>
      <c r="BS181" s="232"/>
    </row>
    <row r="182" spans="1:71" ht="15.75" customHeight="1">
      <c r="A182" s="2"/>
      <c r="B182" s="2"/>
      <c r="C182" s="2"/>
      <c r="D182" s="2"/>
      <c r="E182" s="233"/>
      <c r="F182" s="237"/>
      <c r="G182" s="234"/>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46"/>
      <c r="AL182" s="46"/>
      <c r="AM182" s="2"/>
      <c r="AN182" s="240"/>
      <c r="AO182" s="46"/>
      <c r="AP182" s="46"/>
      <c r="AQ182" s="46"/>
      <c r="AR182" s="46"/>
      <c r="AS182" s="46"/>
      <c r="AT182" s="46"/>
      <c r="AU182" s="46"/>
      <c r="AV182" s="46"/>
      <c r="AW182" s="46"/>
      <c r="AX182" s="46"/>
      <c r="AY182" s="232"/>
      <c r="AZ182" s="232"/>
      <c r="BA182" s="232"/>
      <c r="BB182" s="232"/>
      <c r="BC182" s="232"/>
      <c r="BD182" s="232"/>
      <c r="BE182" s="232"/>
      <c r="BF182" s="232"/>
      <c r="BG182" s="232"/>
      <c r="BH182" s="232"/>
      <c r="BI182" s="232"/>
      <c r="BJ182" s="232"/>
      <c r="BK182" s="232"/>
      <c r="BL182" s="232"/>
      <c r="BM182" s="232"/>
      <c r="BN182" s="232"/>
      <c r="BO182" s="232"/>
      <c r="BP182" s="232"/>
      <c r="BQ182" s="232"/>
      <c r="BR182" s="232"/>
      <c r="BS182" s="232"/>
    </row>
    <row r="183" spans="1:71" ht="15.75" customHeight="1">
      <c r="A183" s="2"/>
      <c r="B183" s="2"/>
      <c r="C183" s="2"/>
      <c r="D183" s="2"/>
      <c r="E183" s="233"/>
      <c r="F183" s="234"/>
      <c r="G183" s="234"/>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46"/>
      <c r="AL183" s="46"/>
      <c r="AM183" s="46" t="s">
        <v>2476</v>
      </c>
      <c r="AN183" s="240"/>
      <c r="AO183" s="229"/>
      <c r="AP183" s="46"/>
      <c r="AQ183" s="46"/>
      <c r="AR183" s="46"/>
      <c r="AS183" s="46"/>
      <c r="AT183" s="46"/>
      <c r="AU183" s="46"/>
      <c r="AV183" s="46"/>
      <c r="AW183" s="46"/>
      <c r="AX183" s="46"/>
      <c r="AY183" s="232"/>
      <c r="AZ183" s="232"/>
      <c r="BA183" s="232"/>
      <c r="BB183" s="232"/>
      <c r="BC183" s="232"/>
      <c r="BD183" s="232"/>
      <c r="BE183" s="232"/>
      <c r="BF183" s="232"/>
      <c r="BG183" s="232"/>
      <c r="BH183" s="232"/>
      <c r="BI183" s="232"/>
      <c r="BJ183" s="232"/>
      <c r="BK183" s="232"/>
      <c r="BL183" s="232"/>
      <c r="BM183" s="232"/>
      <c r="BN183" s="232"/>
      <c r="BO183" s="232"/>
      <c r="BP183" s="232"/>
      <c r="BQ183" s="232"/>
      <c r="BR183" s="232"/>
      <c r="BS183" s="232"/>
    </row>
    <row r="184" spans="1:71" ht="15.75" customHeight="1">
      <c r="A184" s="2"/>
      <c r="B184" s="2"/>
      <c r="C184" s="2"/>
      <c r="D184" s="2"/>
      <c r="E184" s="233"/>
      <c r="F184" s="234"/>
      <c r="G184" s="234"/>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40"/>
      <c r="AO184" s="46"/>
      <c r="AP184" s="46"/>
      <c r="AQ184" s="46"/>
      <c r="AR184" s="46"/>
      <c r="AS184" s="46"/>
      <c r="AT184" s="46"/>
      <c r="AU184" s="46"/>
      <c r="AV184" s="46"/>
      <c r="AW184" s="46"/>
      <c r="AX184" s="46"/>
      <c r="AY184" s="232"/>
      <c r="AZ184" s="232"/>
      <c r="BA184" s="232"/>
      <c r="BB184" s="232"/>
      <c r="BC184" s="232"/>
      <c r="BD184" s="232"/>
      <c r="BE184" s="232"/>
      <c r="BF184" s="232"/>
      <c r="BG184" s="232"/>
      <c r="BH184" s="232"/>
      <c r="BI184" s="232"/>
      <c r="BJ184" s="232"/>
      <c r="BK184" s="232"/>
      <c r="BL184" s="232"/>
      <c r="BM184" s="232"/>
      <c r="BN184" s="232"/>
      <c r="BO184" s="232"/>
      <c r="BP184" s="232"/>
      <c r="BQ184" s="232"/>
      <c r="BR184" s="232"/>
      <c r="BS184" s="232"/>
    </row>
    <row r="185" spans="1:71" ht="15.75" customHeight="1">
      <c r="A185" s="2"/>
      <c r="B185" s="2"/>
      <c r="C185" s="2"/>
      <c r="D185" s="2"/>
      <c r="E185" s="233"/>
      <c r="F185" s="234"/>
      <c r="G185" s="234"/>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40"/>
      <c r="AO185" s="46"/>
      <c r="AP185" s="46"/>
      <c r="AQ185" s="46"/>
      <c r="AR185" s="46"/>
      <c r="AS185" s="46"/>
      <c r="AT185" s="46"/>
      <c r="AU185" s="46"/>
      <c r="AV185" s="46"/>
      <c r="AW185" s="46"/>
      <c r="AX185" s="46"/>
      <c r="AY185" s="232"/>
      <c r="AZ185" s="232"/>
      <c r="BA185" s="232"/>
      <c r="BB185" s="232"/>
      <c r="BC185" s="232"/>
      <c r="BD185" s="232"/>
      <c r="BE185" s="232"/>
      <c r="BF185" s="232"/>
      <c r="BG185" s="232"/>
      <c r="BH185" s="232"/>
      <c r="BI185" s="232"/>
      <c r="BJ185" s="232"/>
      <c r="BK185" s="232"/>
      <c r="BL185" s="232"/>
      <c r="BM185" s="232"/>
      <c r="BN185" s="232"/>
      <c r="BO185" s="232"/>
      <c r="BP185" s="232"/>
      <c r="BQ185" s="232"/>
      <c r="BR185" s="232"/>
      <c r="BS185" s="232"/>
    </row>
    <row r="186" spans="1:71" ht="15.75" customHeight="1">
      <c r="A186" s="2"/>
      <c r="B186" s="2"/>
      <c r="C186" s="2"/>
      <c r="D186" s="2"/>
      <c r="E186" s="233"/>
      <c r="F186" s="234"/>
      <c r="G186" s="234"/>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40"/>
      <c r="AO186" s="46"/>
      <c r="AP186" s="46"/>
      <c r="AQ186" s="46"/>
      <c r="AR186" s="46"/>
      <c r="AS186" s="46"/>
      <c r="AT186" s="46"/>
      <c r="AU186" s="46"/>
      <c r="AV186" s="46"/>
      <c r="AW186" s="46"/>
      <c r="AX186" s="46"/>
      <c r="AY186" s="232"/>
      <c r="AZ186" s="232"/>
      <c r="BA186" s="232"/>
      <c r="BB186" s="232"/>
      <c r="BC186" s="232"/>
      <c r="BD186" s="232"/>
      <c r="BE186" s="232"/>
      <c r="BF186" s="232"/>
      <c r="BG186" s="232"/>
      <c r="BH186" s="232"/>
      <c r="BI186" s="232"/>
      <c r="BJ186" s="232"/>
      <c r="BK186" s="232"/>
      <c r="BL186" s="232"/>
      <c r="BM186" s="232"/>
      <c r="BN186" s="232"/>
      <c r="BO186" s="232"/>
      <c r="BP186" s="232"/>
      <c r="BQ186" s="232"/>
      <c r="BR186" s="232"/>
      <c r="BS186" s="232"/>
    </row>
    <row r="187" spans="1:71" ht="15.75" customHeight="1">
      <c r="A187" s="2"/>
      <c r="B187" s="2"/>
      <c r="C187" s="2"/>
      <c r="D187" s="2"/>
      <c r="E187" s="233"/>
      <c r="F187" s="234"/>
      <c r="G187" s="234"/>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40"/>
      <c r="AO187" s="2"/>
      <c r="AP187" s="2"/>
      <c r="AQ187" s="2"/>
      <c r="AR187" s="2"/>
      <c r="AS187" s="46"/>
      <c r="AT187" s="46"/>
      <c r="AU187" s="46"/>
      <c r="AV187" s="46"/>
      <c r="AW187" s="46"/>
      <c r="AX187" s="46"/>
      <c r="AY187" s="232"/>
      <c r="AZ187" s="232"/>
      <c r="BA187" s="232"/>
      <c r="BB187" s="232"/>
      <c r="BC187" s="232"/>
      <c r="BD187" s="232"/>
      <c r="BE187" s="232"/>
      <c r="BF187" s="232"/>
      <c r="BG187" s="232"/>
      <c r="BH187" s="232"/>
      <c r="BI187" s="232"/>
      <c r="BJ187" s="232"/>
      <c r="BK187" s="232"/>
      <c r="BL187" s="232"/>
      <c r="BM187" s="232"/>
      <c r="BN187" s="232"/>
      <c r="BO187" s="232"/>
      <c r="BP187" s="232"/>
      <c r="BQ187" s="232"/>
      <c r="BR187" s="232"/>
      <c r="BS187" s="232"/>
    </row>
    <row r="188" spans="1:71" ht="15.75" customHeight="1">
      <c r="A188" s="2"/>
      <c r="B188" s="2"/>
      <c r="C188" s="2"/>
      <c r="D188" s="2"/>
      <c r="E188" s="233"/>
      <c r="F188" s="234"/>
      <c r="G188" s="234"/>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46"/>
      <c r="AV188" s="46"/>
      <c r="AW188" s="46"/>
      <c r="AX188" s="46"/>
      <c r="AY188" s="232"/>
      <c r="AZ188" s="232"/>
      <c r="BA188" s="232"/>
      <c r="BB188" s="232"/>
      <c r="BC188" s="232"/>
      <c r="BD188" s="232"/>
      <c r="BE188" s="232"/>
      <c r="BF188" s="232"/>
      <c r="BG188" s="232"/>
      <c r="BH188" s="232"/>
      <c r="BI188" s="232"/>
      <c r="BJ188" s="232"/>
      <c r="BK188" s="232"/>
      <c r="BL188" s="232"/>
      <c r="BM188" s="232"/>
      <c r="BN188" s="232"/>
      <c r="BO188" s="232"/>
      <c r="BP188" s="232"/>
      <c r="BQ188" s="232"/>
      <c r="BR188" s="232"/>
      <c r="BS188" s="232"/>
    </row>
    <row r="189" spans="1:71" ht="15.75" customHeight="1">
      <c r="A189" s="2"/>
      <c r="B189" s="2"/>
      <c r="C189" s="2"/>
      <c r="D189" s="2"/>
      <c r="E189" s="233"/>
      <c r="F189" s="234"/>
      <c r="G189" s="234"/>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t="s">
        <v>2477</v>
      </c>
      <c r="AP189" s="2" t="s">
        <v>2478</v>
      </c>
      <c r="AQ189" s="2"/>
      <c r="AR189" s="2"/>
      <c r="AS189" s="2"/>
      <c r="AT189" s="2"/>
      <c r="AU189" s="46"/>
      <c r="AV189" s="46"/>
      <c r="AW189" s="46"/>
      <c r="AX189" s="46"/>
      <c r="AY189" s="232"/>
      <c r="AZ189" s="232"/>
      <c r="BA189" s="232"/>
      <c r="BB189" s="232"/>
      <c r="BC189" s="232"/>
      <c r="BD189" s="232"/>
      <c r="BE189" s="232"/>
      <c r="BF189" s="232"/>
      <c r="BG189" s="232"/>
      <c r="BH189" s="232"/>
      <c r="BI189" s="232"/>
      <c r="BJ189" s="232"/>
      <c r="BK189" s="232"/>
      <c r="BL189" s="232"/>
      <c r="BM189" s="232"/>
      <c r="BN189" s="232"/>
      <c r="BO189" s="232"/>
      <c r="BP189" s="232"/>
      <c r="BQ189" s="232"/>
      <c r="BR189" s="232"/>
      <c r="BS189" s="232"/>
    </row>
    <row r="190" spans="1:71" ht="15.75" customHeight="1">
      <c r="A190" s="2"/>
      <c r="B190" s="2"/>
      <c r="C190" s="2"/>
      <c r="D190" s="2"/>
      <c r="E190" s="233"/>
      <c r="F190" s="234"/>
      <c r="G190" s="234"/>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46"/>
      <c r="AV190" s="46"/>
      <c r="AW190" s="46"/>
      <c r="AX190" s="46"/>
      <c r="AY190" s="232"/>
      <c r="AZ190" s="232"/>
      <c r="BA190" s="232"/>
      <c r="BB190" s="232"/>
      <c r="BC190" s="232"/>
      <c r="BD190" s="232"/>
      <c r="BE190" s="232"/>
      <c r="BF190" s="232"/>
      <c r="BG190" s="232"/>
      <c r="BH190" s="232"/>
      <c r="BI190" s="232"/>
      <c r="BJ190" s="232"/>
      <c r="BK190" s="232"/>
      <c r="BL190" s="232"/>
      <c r="BM190" s="232"/>
      <c r="BN190" s="232"/>
      <c r="BO190" s="232"/>
      <c r="BP190" s="232"/>
      <c r="BQ190" s="232"/>
      <c r="BR190" s="232"/>
      <c r="BS190" s="232"/>
    </row>
    <row r="191" spans="1:71" ht="15.75" customHeight="1">
      <c r="A191" s="2"/>
      <c r="B191" s="2"/>
      <c r="C191" s="2"/>
      <c r="D191" s="2"/>
      <c r="E191" s="233"/>
      <c r="F191" s="234"/>
      <c r="G191" s="234"/>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46"/>
      <c r="AV191" s="46"/>
      <c r="AW191" s="46"/>
      <c r="AX191" s="46"/>
      <c r="AY191" s="232"/>
      <c r="AZ191" s="232"/>
      <c r="BA191" s="232"/>
      <c r="BB191" s="232"/>
      <c r="BC191" s="232"/>
      <c r="BD191" s="232"/>
      <c r="BE191" s="232"/>
      <c r="BF191" s="232"/>
      <c r="BG191" s="232"/>
      <c r="BH191" s="232"/>
      <c r="BI191" s="232"/>
      <c r="BJ191" s="232"/>
      <c r="BK191" s="232"/>
      <c r="BL191" s="232"/>
      <c r="BM191" s="232"/>
      <c r="BN191" s="232"/>
      <c r="BO191" s="232"/>
      <c r="BP191" s="232"/>
      <c r="BQ191" s="232"/>
      <c r="BR191" s="232"/>
      <c r="BS191" s="232"/>
    </row>
    <row r="192" spans="1:71" ht="15.75" customHeight="1">
      <c r="A192" s="2"/>
      <c r="B192" s="2"/>
      <c r="C192" s="2"/>
      <c r="D192" s="2"/>
      <c r="E192" s="233"/>
      <c r="F192" s="234"/>
      <c r="G192" s="234"/>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46"/>
      <c r="AV192" s="46"/>
      <c r="AW192" s="46"/>
      <c r="AX192" s="46"/>
      <c r="AY192" s="232"/>
      <c r="AZ192" s="232"/>
      <c r="BA192" s="232"/>
      <c r="BB192" s="232"/>
      <c r="BC192" s="232"/>
      <c r="BD192" s="232"/>
      <c r="BE192" s="232"/>
      <c r="BF192" s="232"/>
      <c r="BG192" s="232"/>
      <c r="BH192" s="232"/>
      <c r="BI192" s="232"/>
      <c r="BJ192" s="232"/>
      <c r="BK192" s="232"/>
      <c r="BL192" s="232"/>
      <c r="BM192" s="232"/>
      <c r="BN192" s="232"/>
      <c r="BO192" s="232"/>
      <c r="BP192" s="232"/>
      <c r="BQ192" s="232"/>
      <c r="BR192" s="232"/>
      <c r="BS192" s="232"/>
    </row>
    <row r="193" spans="1:71" ht="15.75" customHeight="1">
      <c r="A193" s="2"/>
      <c r="B193" s="2"/>
      <c r="C193" s="2"/>
      <c r="D193" s="2"/>
      <c r="E193" s="233"/>
      <c r="F193" s="234"/>
      <c r="G193" s="234"/>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46"/>
      <c r="AV193" s="46"/>
      <c r="AW193" s="46"/>
      <c r="AX193" s="46"/>
      <c r="AY193" s="232"/>
      <c r="AZ193" s="232"/>
      <c r="BA193" s="232"/>
      <c r="BB193" s="232"/>
      <c r="BC193" s="232"/>
      <c r="BD193" s="232"/>
      <c r="BE193" s="232"/>
      <c r="BF193" s="232"/>
      <c r="BG193" s="232"/>
      <c r="BH193" s="232"/>
      <c r="BI193" s="232"/>
      <c r="BJ193" s="232"/>
      <c r="BK193" s="232"/>
      <c r="BL193" s="232"/>
      <c r="BM193" s="232"/>
      <c r="BN193" s="232"/>
      <c r="BO193" s="232"/>
      <c r="BP193" s="232"/>
      <c r="BQ193" s="232"/>
      <c r="BR193" s="232"/>
      <c r="BS193" s="232"/>
    </row>
    <row r="194" spans="1:71" ht="15.75" customHeight="1">
      <c r="A194" s="2"/>
      <c r="B194" s="2"/>
      <c r="C194" s="2"/>
      <c r="D194" s="2"/>
      <c r="E194" s="233"/>
      <c r="F194" s="234"/>
      <c r="G194" s="234"/>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46"/>
      <c r="AV194" s="46"/>
      <c r="AW194" s="46"/>
      <c r="AX194" s="46"/>
      <c r="AY194" s="232"/>
      <c r="AZ194" s="232"/>
      <c r="BA194" s="232"/>
      <c r="BB194" s="232"/>
      <c r="BC194" s="232"/>
      <c r="BD194" s="232"/>
      <c r="BE194" s="232"/>
      <c r="BF194" s="232"/>
      <c r="BG194" s="232"/>
      <c r="BH194" s="232"/>
      <c r="BI194" s="232"/>
      <c r="BJ194" s="232"/>
      <c r="BK194" s="232"/>
      <c r="BL194" s="232"/>
      <c r="BM194" s="232"/>
      <c r="BN194" s="232"/>
      <c r="BO194" s="232"/>
      <c r="BP194" s="232"/>
      <c r="BQ194" s="232"/>
      <c r="BR194" s="232"/>
      <c r="BS194" s="232"/>
    </row>
    <row r="195" spans="1:71" ht="15.75" customHeight="1">
      <c r="A195" s="2"/>
      <c r="B195" s="2"/>
      <c r="C195" s="2"/>
      <c r="D195" s="2"/>
      <c r="E195" s="233"/>
      <c r="F195" s="234"/>
      <c r="G195" s="234"/>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46"/>
      <c r="AV195" s="46"/>
      <c r="AW195" s="46"/>
      <c r="AX195" s="46"/>
      <c r="AY195" s="232"/>
      <c r="AZ195" s="232"/>
      <c r="BA195" s="232"/>
      <c r="BB195" s="232"/>
      <c r="BC195" s="232"/>
      <c r="BD195" s="232"/>
      <c r="BE195" s="232"/>
      <c r="BF195" s="232"/>
      <c r="BG195" s="232"/>
      <c r="BH195" s="232"/>
      <c r="BI195" s="232"/>
      <c r="BJ195" s="232"/>
      <c r="BK195" s="232"/>
      <c r="BL195" s="232"/>
      <c r="BM195" s="232"/>
      <c r="BN195" s="232"/>
      <c r="BO195" s="232"/>
      <c r="BP195" s="232"/>
      <c r="BQ195" s="232"/>
      <c r="BR195" s="232"/>
      <c r="BS195" s="232"/>
    </row>
    <row r="196" spans="1:71" ht="15.75" customHeight="1">
      <c r="A196" s="2"/>
      <c r="B196" s="2"/>
      <c r="C196" s="2"/>
      <c r="D196" s="2"/>
      <c r="E196" s="233"/>
      <c r="F196" s="234"/>
      <c r="G196" s="234"/>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46"/>
      <c r="AV196" s="46"/>
      <c r="AW196" s="46"/>
      <c r="AX196" s="46"/>
      <c r="AY196" s="232"/>
      <c r="AZ196" s="232"/>
      <c r="BA196" s="232"/>
      <c r="BB196" s="232"/>
      <c r="BC196" s="232"/>
      <c r="BD196" s="232"/>
      <c r="BE196" s="232"/>
      <c r="BF196" s="232"/>
      <c r="BG196" s="232"/>
      <c r="BH196" s="232"/>
      <c r="BI196" s="232"/>
      <c r="BJ196" s="232"/>
      <c r="BK196" s="232"/>
      <c r="BL196" s="232"/>
      <c r="BM196" s="232"/>
      <c r="BN196" s="232"/>
      <c r="BO196" s="232"/>
      <c r="BP196" s="232"/>
      <c r="BQ196" s="232"/>
      <c r="BR196" s="232"/>
      <c r="BS196" s="232"/>
    </row>
    <row r="197" spans="1:71" ht="15.75" customHeight="1">
      <c r="A197" s="2"/>
      <c r="B197" s="2"/>
      <c r="C197" s="2"/>
      <c r="D197" s="2"/>
      <c r="E197" s="233"/>
      <c r="F197" s="234"/>
      <c r="G197" s="234"/>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46"/>
      <c r="AV197" s="46"/>
      <c r="AW197" s="46"/>
      <c r="AX197" s="46"/>
      <c r="AY197" s="232"/>
      <c r="AZ197" s="232"/>
      <c r="BA197" s="232"/>
      <c r="BB197" s="232"/>
      <c r="BC197" s="232"/>
      <c r="BD197" s="232"/>
      <c r="BE197" s="232"/>
      <c r="BF197" s="232"/>
      <c r="BG197" s="232"/>
      <c r="BH197" s="232"/>
      <c r="BI197" s="232"/>
      <c r="BJ197" s="232"/>
      <c r="BK197" s="232"/>
      <c r="BL197" s="232"/>
      <c r="BM197" s="232"/>
      <c r="BN197" s="232"/>
      <c r="BO197" s="232"/>
      <c r="BP197" s="232"/>
      <c r="BQ197" s="232"/>
      <c r="BR197" s="232"/>
      <c r="BS197" s="232"/>
    </row>
    <row r="198" spans="1:71" ht="15.75" customHeight="1">
      <c r="A198" s="2"/>
      <c r="B198" s="2"/>
      <c r="C198" s="2"/>
      <c r="D198" s="2"/>
      <c r="E198" s="233"/>
      <c r="F198" s="234"/>
      <c r="G198" s="234"/>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46"/>
      <c r="AV198" s="46"/>
      <c r="AW198" s="46"/>
      <c r="AX198" s="46"/>
      <c r="AY198" s="232"/>
      <c r="AZ198" s="232"/>
      <c r="BA198" s="232"/>
      <c r="BB198" s="232"/>
      <c r="BC198" s="232"/>
      <c r="BD198" s="232"/>
      <c r="BE198" s="232"/>
      <c r="BF198" s="232"/>
      <c r="BG198" s="232"/>
      <c r="BH198" s="232"/>
      <c r="BI198" s="232"/>
      <c r="BJ198" s="232"/>
      <c r="BK198" s="232"/>
      <c r="BL198" s="232"/>
      <c r="BM198" s="232"/>
      <c r="BN198" s="232"/>
      <c r="BO198" s="232"/>
      <c r="BP198" s="232"/>
      <c r="BQ198" s="232"/>
      <c r="BR198" s="232"/>
      <c r="BS198" s="232"/>
    </row>
    <row r="199" spans="1:71" ht="15.75" customHeight="1">
      <c r="A199" s="2"/>
      <c r="B199" s="2"/>
      <c r="C199" s="2"/>
      <c r="D199" s="2"/>
      <c r="E199" s="233"/>
      <c r="F199" s="234"/>
      <c r="G199" s="234"/>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46"/>
      <c r="AV199" s="46"/>
      <c r="AW199" s="46"/>
      <c r="AX199" s="46"/>
      <c r="AY199" s="232"/>
      <c r="AZ199" s="232"/>
      <c r="BA199" s="232"/>
      <c r="BB199" s="232"/>
      <c r="BC199" s="232"/>
      <c r="BD199" s="232"/>
      <c r="BE199" s="232"/>
      <c r="BF199" s="232"/>
      <c r="BG199" s="232"/>
      <c r="BH199" s="232"/>
      <c r="BI199" s="232"/>
      <c r="BJ199" s="232"/>
      <c r="BK199" s="232"/>
      <c r="BL199" s="232"/>
      <c r="BM199" s="232"/>
      <c r="BN199" s="232"/>
      <c r="BO199" s="232"/>
      <c r="BP199" s="232"/>
      <c r="BQ199" s="232"/>
      <c r="BR199" s="232"/>
      <c r="BS199" s="232"/>
    </row>
    <row r="200" spans="1:71" ht="15.75" customHeight="1">
      <c r="A200" s="2"/>
      <c r="B200" s="2"/>
      <c r="C200" s="2"/>
      <c r="D200" s="2"/>
      <c r="E200" s="233"/>
      <c r="F200" s="234"/>
      <c r="G200" s="234"/>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46"/>
      <c r="AV200" s="46"/>
      <c r="AW200" s="46"/>
      <c r="AX200" s="46"/>
      <c r="AY200" s="232"/>
      <c r="AZ200" s="232"/>
      <c r="BA200" s="232"/>
      <c r="BB200" s="232"/>
      <c r="BC200" s="232"/>
      <c r="BD200" s="232"/>
      <c r="BE200" s="232"/>
      <c r="BF200" s="232"/>
      <c r="BG200" s="232"/>
      <c r="BH200" s="232"/>
      <c r="BI200" s="232"/>
      <c r="BJ200" s="232"/>
      <c r="BK200" s="232"/>
      <c r="BL200" s="232"/>
      <c r="BM200" s="232"/>
      <c r="BN200" s="232"/>
      <c r="BO200" s="232"/>
      <c r="BP200" s="232"/>
      <c r="BQ200" s="232"/>
      <c r="BR200" s="232"/>
      <c r="BS200" s="232"/>
    </row>
    <row r="201" spans="1:71" ht="15.75" customHeight="1">
      <c r="A201" s="2"/>
      <c r="B201" s="2"/>
      <c r="C201" s="2"/>
      <c r="D201" s="2"/>
      <c r="E201" s="233"/>
      <c r="F201" s="234"/>
      <c r="G201" s="234"/>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46"/>
      <c r="AV201" s="46"/>
      <c r="AW201" s="46"/>
      <c r="AX201" s="46"/>
      <c r="AY201" s="232"/>
      <c r="AZ201" s="232"/>
      <c r="BA201" s="232"/>
      <c r="BB201" s="232"/>
      <c r="BC201" s="232"/>
      <c r="BD201" s="232"/>
      <c r="BE201" s="232"/>
      <c r="BF201" s="232"/>
      <c r="BG201" s="232"/>
      <c r="BH201" s="232"/>
      <c r="BI201" s="232"/>
      <c r="BJ201" s="232"/>
      <c r="BK201" s="232"/>
      <c r="BL201" s="232"/>
      <c r="BM201" s="232"/>
      <c r="BN201" s="232"/>
      <c r="BO201" s="232"/>
      <c r="BP201" s="232"/>
      <c r="BQ201" s="232"/>
      <c r="BR201" s="232"/>
      <c r="BS201" s="232"/>
    </row>
    <row r="202" spans="1:71" ht="15.75" customHeight="1">
      <c r="A202" s="2"/>
      <c r="B202" s="2"/>
      <c r="C202" s="2"/>
      <c r="D202" s="2"/>
      <c r="E202" s="233"/>
      <c r="F202" s="234"/>
      <c r="G202" s="234"/>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46"/>
      <c r="AV202" s="46"/>
      <c r="AW202" s="46"/>
      <c r="AX202" s="46"/>
      <c r="AY202" s="232"/>
      <c r="AZ202" s="232"/>
      <c r="BA202" s="232"/>
      <c r="BB202" s="232"/>
      <c r="BC202" s="232"/>
      <c r="BD202" s="232"/>
      <c r="BE202" s="232"/>
      <c r="BF202" s="232"/>
      <c r="BG202" s="232"/>
      <c r="BH202" s="232"/>
      <c r="BI202" s="232"/>
      <c r="BJ202" s="232"/>
      <c r="BK202" s="232"/>
      <c r="BL202" s="232"/>
      <c r="BM202" s="232"/>
      <c r="BN202" s="232"/>
      <c r="BO202" s="232"/>
      <c r="BP202" s="232"/>
      <c r="BQ202" s="232"/>
      <c r="BR202" s="232"/>
      <c r="BS202" s="232"/>
    </row>
    <row r="203" spans="1:71" ht="15.75" customHeight="1">
      <c r="A203" s="2"/>
      <c r="B203" s="2"/>
      <c r="C203" s="2"/>
      <c r="D203" s="2"/>
      <c r="E203" s="233"/>
      <c r="F203" s="234"/>
      <c r="G203" s="234"/>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46"/>
      <c r="AV203" s="46"/>
      <c r="AW203" s="46"/>
      <c r="AX203" s="46"/>
      <c r="AY203" s="232"/>
      <c r="AZ203" s="232"/>
      <c r="BA203" s="232"/>
      <c r="BB203" s="232"/>
      <c r="BC203" s="232"/>
      <c r="BD203" s="232"/>
      <c r="BE203" s="232"/>
      <c r="BF203" s="232"/>
      <c r="BG203" s="232"/>
      <c r="BH203" s="232"/>
      <c r="BI203" s="232"/>
      <c r="BJ203" s="232"/>
      <c r="BK203" s="232"/>
      <c r="BL203" s="232"/>
      <c r="BM203" s="232"/>
      <c r="BN203" s="232"/>
      <c r="BO203" s="232"/>
      <c r="BP203" s="232"/>
      <c r="BQ203" s="232"/>
      <c r="BR203" s="232"/>
      <c r="BS203" s="232"/>
    </row>
    <row r="204" spans="1:71" ht="15.75" customHeight="1">
      <c r="A204" s="2"/>
      <c r="B204" s="2"/>
      <c r="C204" s="2"/>
      <c r="D204" s="2"/>
      <c r="E204" s="233"/>
      <c r="F204" s="234"/>
      <c r="G204" s="234"/>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46"/>
      <c r="AV204" s="46"/>
      <c r="AW204" s="46"/>
      <c r="AX204" s="46"/>
      <c r="AY204" s="232"/>
      <c r="AZ204" s="232"/>
      <c r="BA204" s="232"/>
      <c r="BB204" s="232"/>
      <c r="BC204" s="232"/>
      <c r="BD204" s="232"/>
      <c r="BE204" s="232"/>
      <c r="BF204" s="232"/>
      <c r="BG204" s="232"/>
      <c r="BH204" s="232"/>
      <c r="BI204" s="232"/>
      <c r="BJ204" s="232"/>
      <c r="BK204" s="232"/>
      <c r="BL204" s="232"/>
      <c r="BM204" s="232"/>
      <c r="BN204" s="232"/>
      <c r="BO204" s="232"/>
      <c r="BP204" s="232"/>
      <c r="BQ204" s="232"/>
      <c r="BR204" s="232"/>
      <c r="BS204" s="232"/>
    </row>
    <row r="205" spans="1:71" ht="15.75" customHeight="1">
      <c r="A205" s="2"/>
      <c r="B205" s="2"/>
      <c r="C205" s="2"/>
      <c r="D205" s="2"/>
      <c r="E205" s="233"/>
      <c r="F205" s="234"/>
      <c r="G205" s="234"/>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46"/>
      <c r="AV205" s="46"/>
      <c r="AW205" s="46"/>
      <c r="AX205" s="46"/>
      <c r="AY205" s="232"/>
      <c r="AZ205" s="232"/>
      <c r="BA205" s="232"/>
      <c r="BB205" s="232"/>
      <c r="BC205" s="232"/>
      <c r="BD205" s="232"/>
      <c r="BE205" s="232"/>
      <c r="BF205" s="232"/>
      <c r="BG205" s="232"/>
      <c r="BH205" s="232"/>
      <c r="BI205" s="232"/>
      <c r="BJ205" s="232"/>
      <c r="BK205" s="232"/>
      <c r="BL205" s="232"/>
      <c r="BM205" s="232"/>
      <c r="BN205" s="232"/>
      <c r="BO205" s="232"/>
      <c r="BP205" s="232"/>
      <c r="BQ205" s="232"/>
      <c r="BR205" s="232"/>
      <c r="BS205" s="232"/>
    </row>
    <row r="206" spans="1:71" ht="15.75" customHeight="1">
      <c r="A206" s="2"/>
      <c r="B206" s="2"/>
      <c r="C206" s="2"/>
      <c r="D206" s="2"/>
      <c r="E206" s="233"/>
      <c r="F206" s="234"/>
      <c r="G206" s="234"/>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46"/>
      <c r="AV206" s="46"/>
      <c r="AW206" s="46"/>
      <c r="AX206" s="46"/>
      <c r="AY206" s="232"/>
      <c r="AZ206" s="232"/>
      <c r="BA206" s="232"/>
      <c r="BB206" s="232"/>
      <c r="BC206" s="232"/>
      <c r="BD206" s="232"/>
      <c r="BE206" s="232"/>
      <c r="BF206" s="232"/>
      <c r="BG206" s="232"/>
      <c r="BH206" s="232"/>
      <c r="BI206" s="232"/>
      <c r="BJ206" s="232"/>
      <c r="BK206" s="232"/>
      <c r="BL206" s="232"/>
      <c r="BM206" s="232"/>
      <c r="BN206" s="232"/>
      <c r="BO206" s="232"/>
      <c r="BP206" s="232"/>
      <c r="BQ206" s="232"/>
      <c r="BR206" s="232"/>
      <c r="BS206" s="232"/>
    </row>
    <row r="207" spans="1:71" ht="15.75" customHeight="1">
      <c r="A207" s="2"/>
      <c r="B207" s="2"/>
      <c r="C207" s="2"/>
      <c r="D207" s="2"/>
      <c r="E207" s="233"/>
      <c r="F207" s="234"/>
      <c r="G207" s="234"/>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46"/>
      <c r="AV207" s="46"/>
      <c r="AW207" s="46"/>
      <c r="AX207" s="46"/>
      <c r="AY207" s="232"/>
      <c r="AZ207" s="232"/>
      <c r="BA207" s="232"/>
      <c r="BB207" s="232"/>
      <c r="BC207" s="232"/>
      <c r="BD207" s="232"/>
      <c r="BE207" s="232"/>
      <c r="BF207" s="232"/>
      <c r="BG207" s="232"/>
      <c r="BH207" s="232"/>
      <c r="BI207" s="232"/>
      <c r="BJ207" s="232"/>
      <c r="BK207" s="232"/>
      <c r="BL207" s="232"/>
      <c r="BM207" s="232"/>
      <c r="BN207" s="232"/>
      <c r="BO207" s="232"/>
      <c r="BP207" s="232"/>
      <c r="BQ207" s="232"/>
      <c r="BR207" s="232"/>
      <c r="BS207" s="232"/>
    </row>
    <row r="208" spans="1:71" ht="15.75" customHeight="1">
      <c r="A208" s="2"/>
      <c r="B208" s="2"/>
      <c r="C208" s="2"/>
      <c r="D208" s="2"/>
      <c r="E208" s="233"/>
      <c r="F208" s="234"/>
      <c r="G208" s="234"/>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46"/>
      <c r="AV208" s="46"/>
      <c r="AW208" s="46"/>
      <c r="AX208" s="46"/>
      <c r="AY208" s="232"/>
      <c r="AZ208" s="232"/>
      <c r="BA208" s="232"/>
      <c r="BB208" s="232"/>
      <c r="BC208" s="232"/>
      <c r="BD208" s="232"/>
      <c r="BE208" s="232"/>
      <c r="BF208" s="232"/>
      <c r="BG208" s="232"/>
      <c r="BH208" s="232"/>
      <c r="BI208" s="232"/>
      <c r="BJ208" s="232"/>
      <c r="BK208" s="232"/>
      <c r="BL208" s="232"/>
      <c r="BM208" s="232"/>
      <c r="BN208" s="232"/>
      <c r="BO208" s="232"/>
      <c r="BP208" s="232"/>
      <c r="BQ208" s="232"/>
      <c r="BR208" s="232"/>
      <c r="BS208" s="232"/>
    </row>
    <row r="209" spans="1:71" ht="15.75" customHeight="1">
      <c r="A209" s="2"/>
      <c r="B209" s="2"/>
      <c r="C209" s="2"/>
      <c r="D209" s="2"/>
      <c r="E209" s="233"/>
      <c r="F209" s="234"/>
      <c r="G209" s="234"/>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46"/>
      <c r="AV209" s="46"/>
      <c r="AW209" s="46"/>
      <c r="AX209" s="46"/>
      <c r="AY209" s="232"/>
      <c r="AZ209" s="232"/>
      <c r="BA209" s="232"/>
      <c r="BB209" s="232"/>
      <c r="BC209" s="232"/>
      <c r="BD209" s="232"/>
      <c r="BE209" s="232"/>
      <c r="BF209" s="232"/>
      <c r="BG209" s="232"/>
      <c r="BH209" s="232"/>
      <c r="BI209" s="232"/>
      <c r="BJ209" s="232"/>
      <c r="BK209" s="232"/>
      <c r="BL209" s="232"/>
      <c r="BM209" s="232"/>
      <c r="BN209" s="232"/>
      <c r="BO209" s="232"/>
      <c r="BP209" s="232"/>
      <c r="BQ209" s="232"/>
      <c r="BR209" s="232"/>
      <c r="BS209" s="232"/>
    </row>
    <row r="210" spans="1:71" ht="15.75" customHeight="1">
      <c r="A210" s="2"/>
      <c r="B210" s="2"/>
      <c r="C210" s="2"/>
      <c r="D210" s="2"/>
      <c r="E210" s="233"/>
      <c r="F210" s="234"/>
      <c r="G210" s="234"/>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46"/>
      <c r="AV210" s="46"/>
      <c r="AW210" s="46"/>
      <c r="AX210" s="46"/>
      <c r="AY210" s="232"/>
      <c r="AZ210" s="232"/>
      <c r="BA210" s="232"/>
      <c r="BB210" s="232"/>
      <c r="BC210" s="232"/>
      <c r="BD210" s="232"/>
      <c r="BE210" s="232"/>
      <c r="BF210" s="232"/>
      <c r="BG210" s="232"/>
      <c r="BH210" s="232"/>
      <c r="BI210" s="232"/>
      <c r="BJ210" s="232"/>
      <c r="BK210" s="232"/>
      <c r="BL210" s="232"/>
      <c r="BM210" s="232"/>
      <c r="BN210" s="232"/>
      <c r="BO210" s="232"/>
      <c r="BP210" s="232"/>
      <c r="BQ210" s="232"/>
      <c r="BR210" s="232"/>
      <c r="BS210" s="232"/>
    </row>
    <row r="211" spans="1:71" ht="15.75" customHeight="1">
      <c r="A211" s="2"/>
      <c r="B211" s="2"/>
      <c r="C211" s="2"/>
      <c r="D211" s="2"/>
      <c r="E211" s="233"/>
      <c r="F211" s="234"/>
      <c r="G211" s="234"/>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46"/>
      <c r="AV211" s="46"/>
      <c r="AW211" s="46"/>
      <c r="AX211" s="46"/>
      <c r="AY211" s="232"/>
      <c r="AZ211" s="232"/>
      <c r="BA211" s="232"/>
      <c r="BB211" s="232"/>
      <c r="BC211" s="232"/>
      <c r="BD211" s="232"/>
      <c r="BE211" s="232"/>
      <c r="BF211" s="232"/>
      <c r="BG211" s="232"/>
      <c r="BH211" s="232"/>
      <c r="BI211" s="232"/>
      <c r="BJ211" s="232"/>
      <c r="BK211" s="232"/>
      <c r="BL211" s="232"/>
      <c r="BM211" s="232"/>
      <c r="BN211" s="232"/>
      <c r="BO211" s="232"/>
      <c r="BP211" s="232"/>
      <c r="BQ211" s="232"/>
      <c r="BR211" s="232"/>
      <c r="BS211" s="232"/>
    </row>
    <row r="212" spans="1:71" ht="15.75" customHeight="1">
      <c r="A212" s="2"/>
      <c r="B212" s="2"/>
      <c r="C212" s="2"/>
      <c r="D212" s="2"/>
      <c r="E212" s="233"/>
      <c r="F212" s="234"/>
      <c r="G212" s="234"/>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46"/>
      <c r="AV212" s="46"/>
      <c r="AW212" s="46"/>
      <c r="AX212" s="46"/>
      <c r="AY212" s="232"/>
      <c r="AZ212" s="232"/>
      <c r="BA212" s="232"/>
      <c r="BB212" s="232"/>
      <c r="BC212" s="232"/>
      <c r="BD212" s="232"/>
      <c r="BE212" s="232"/>
      <c r="BF212" s="232"/>
      <c r="BG212" s="232"/>
      <c r="BH212" s="232"/>
      <c r="BI212" s="232"/>
      <c r="BJ212" s="232"/>
      <c r="BK212" s="232"/>
      <c r="BL212" s="232"/>
      <c r="BM212" s="232"/>
      <c r="BN212" s="232"/>
      <c r="BO212" s="232"/>
      <c r="BP212" s="232"/>
      <c r="BQ212" s="232"/>
      <c r="BR212" s="232"/>
      <c r="BS212" s="232"/>
    </row>
    <row r="213" spans="1:71" ht="15.75" customHeight="1">
      <c r="A213" s="2"/>
      <c r="B213" s="2"/>
      <c r="C213" s="2"/>
      <c r="D213" s="2"/>
      <c r="E213" s="233"/>
      <c r="F213" s="234"/>
      <c r="G213" s="234"/>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46"/>
      <c r="AV213" s="46"/>
      <c r="AW213" s="46"/>
      <c r="AX213" s="46"/>
      <c r="AY213" s="232"/>
      <c r="AZ213" s="232"/>
      <c r="BA213" s="232"/>
      <c r="BB213" s="232"/>
      <c r="BC213" s="232"/>
      <c r="BD213" s="232"/>
      <c r="BE213" s="232"/>
      <c r="BF213" s="232"/>
      <c r="BG213" s="232"/>
      <c r="BH213" s="232"/>
      <c r="BI213" s="232"/>
      <c r="BJ213" s="232"/>
      <c r="BK213" s="232"/>
      <c r="BL213" s="232"/>
      <c r="BM213" s="232"/>
      <c r="BN213" s="232"/>
      <c r="BO213" s="232"/>
      <c r="BP213" s="232"/>
      <c r="BQ213" s="232"/>
      <c r="BR213" s="232"/>
      <c r="BS213" s="232"/>
    </row>
    <row r="214" spans="1:71" ht="15.75" customHeight="1">
      <c r="A214" s="2"/>
      <c r="B214" s="2"/>
      <c r="C214" s="2"/>
      <c r="D214" s="2"/>
      <c r="E214" s="233"/>
      <c r="F214" s="234"/>
      <c r="G214" s="234"/>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46"/>
      <c r="AV214" s="46"/>
      <c r="AW214" s="46"/>
      <c r="AX214" s="46"/>
      <c r="AY214" s="232"/>
      <c r="AZ214" s="232"/>
      <c r="BA214" s="232"/>
      <c r="BB214" s="232"/>
      <c r="BC214" s="232"/>
      <c r="BD214" s="232"/>
      <c r="BE214" s="232"/>
      <c r="BF214" s="232"/>
      <c r="BG214" s="232"/>
      <c r="BH214" s="232"/>
      <c r="BI214" s="232"/>
      <c r="BJ214" s="232"/>
      <c r="BK214" s="232"/>
      <c r="BL214" s="232"/>
      <c r="BM214" s="232"/>
      <c r="BN214" s="232"/>
      <c r="BO214" s="232"/>
      <c r="BP214" s="232"/>
      <c r="BQ214" s="232"/>
      <c r="BR214" s="232"/>
      <c r="BS214" s="232"/>
    </row>
    <row r="215" spans="1:71" ht="15.75" customHeight="1">
      <c r="A215" s="2"/>
      <c r="B215" s="2"/>
      <c r="C215" s="2"/>
      <c r="D215" s="2"/>
      <c r="E215" s="233"/>
      <c r="F215" s="234"/>
      <c r="G215" s="234"/>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46"/>
      <c r="AV215" s="46"/>
      <c r="AW215" s="46"/>
      <c r="AX215" s="46"/>
      <c r="AY215" s="232"/>
      <c r="AZ215" s="232"/>
      <c r="BA215" s="232"/>
      <c r="BB215" s="232"/>
      <c r="BC215" s="232"/>
      <c r="BD215" s="232"/>
      <c r="BE215" s="232"/>
      <c r="BF215" s="232"/>
      <c r="BG215" s="232"/>
      <c r="BH215" s="232"/>
      <c r="BI215" s="232"/>
      <c r="BJ215" s="232"/>
      <c r="BK215" s="232"/>
      <c r="BL215" s="232"/>
      <c r="BM215" s="232"/>
      <c r="BN215" s="232"/>
      <c r="BO215" s="232"/>
      <c r="BP215" s="232"/>
      <c r="BQ215" s="232"/>
      <c r="BR215" s="232"/>
      <c r="BS215" s="232"/>
    </row>
    <row r="216" spans="1:71" ht="15.75" customHeight="1">
      <c r="A216" s="2"/>
      <c r="B216" s="2"/>
      <c r="C216" s="2"/>
      <c r="D216" s="2"/>
      <c r="E216" s="233"/>
      <c r="F216" s="234"/>
      <c r="G216" s="234"/>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46"/>
      <c r="AV216" s="46"/>
      <c r="AW216" s="46"/>
      <c r="AX216" s="46"/>
      <c r="AY216" s="232"/>
      <c r="AZ216" s="232"/>
      <c r="BA216" s="232"/>
      <c r="BB216" s="232"/>
      <c r="BC216" s="232"/>
      <c r="BD216" s="232"/>
      <c r="BE216" s="232"/>
      <c r="BF216" s="232"/>
      <c r="BG216" s="232"/>
      <c r="BH216" s="232"/>
      <c r="BI216" s="232"/>
      <c r="BJ216" s="232"/>
      <c r="BK216" s="232"/>
      <c r="BL216" s="232"/>
      <c r="BM216" s="232"/>
      <c r="BN216" s="232"/>
      <c r="BO216" s="232"/>
      <c r="BP216" s="232"/>
      <c r="BQ216" s="232"/>
      <c r="BR216" s="232"/>
      <c r="BS216" s="232"/>
    </row>
    <row r="217" spans="1:71" ht="15.75" customHeight="1">
      <c r="A217" s="2"/>
      <c r="B217" s="2"/>
      <c r="C217" s="2"/>
      <c r="D217" s="2"/>
      <c r="E217" s="233"/>
      <c r="F217" s="234"/>
      <c r="G217" s="234"/>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46"/>
      <c r="AV217" s="46"/>
      <c r="AW217" s="46"/>
      <c r="AX217" s="46"/>
      <c r="AY217" s="232"/>
      <c r="AZ217" s="232"/>
      <c r="BA217" s="232"/>
      <c r="BB217" s="232"/>
      <c r="BC217" s="232"/>
      <c r="BD217" s="232"/>
      <c r="BE217" s="232"/>
      <c r="BF217" s="232"/>
      <c r="BG217" s="232"/>
      <c r="BH217" s="232"/>
      <c r="BI217" s="232"/>
      <c r="BJ217" s="232"/>
      <c r="BK217" s="232"/>
      <c r="BL217" s="232"/>
      <c r="BM217" s="232"/>
      <c r="BN217" s="232"/>
      <c r="BO217" s="232"/>
      <c r="BP217" s="232"/>
      <c r="BQ217" s="232"/>
      <c r="BR217" s="232"/>
      <c r="BS217" s="232"/>
    </row>
    <row r="218" spans="1:71" ht="15.75" customHeight="1">
      <c r="A218" s="2"/>
      <c r="B218" s="2"/>
      <c r="C218" s="2"/>
      <c r="D218" s="2"/>
      <c r="E218" s="233"/>
      <c r="F218" s="234"/>
      <c r="G218" s="234"/>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46"/>
      <c r="AV218" s="46"/>
      <c r="AW218" s="46"/>
      <c r="AX218" s="46"/>
      <c r="AY218" s="232"/>
      <c r="AZ218" s="232"/>
      <c r="BA218" s="232"/>
      <c r="BB218" s="232"/>
      <c r="BC218" s="232"/>
      <c r="BD218" s="232"/>
      <c r="BE218" s="232"/>
      <c r="BF218" s="232"/>
      <c r="BG218" s="232"/>
      <c r="BH218" s="232"/>
      <c r="BI218" s="232"/>
      <c r="BJ218" s="232"/>
      <c r="BK218" s="232"/>
      <c r="BL218" s="232"/>
      <c r="BM218" s="232"/>
      <c r="BN218" s="232"/>
      <c r="BO218" s="232"/>
      <c r="BP218" s="232"/>
      <c r="BQ218" s="232"/>
      <c r="BR218" s="232"/>
      <c r="BS218" s="232"/>
    </row>
    <row r="219" spans="1:71" ht="15.75" customHeight="1">
      <c r="A219" s="2"/>
      <c r="B219" s="2"/>
      <c r="C219" s="2"/>
      <c r="D219" s="2"/>
      <c r="E219" s="233"/>
      <c r="F219" s="234"/>
      <c r="G219" s="234"/>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46"/>
      <c r="AV219" s="46"/>
      <c r="AW219" s="46"/>
      <c r="AX219" s="46"/>
      <c r="AY219" s="232"/>
      <c r="AZ219" s="232"/>
      <c r="BA219" s="232"/>
      <c r="BB219" s="232"/>
      <c r="BC219" s="232"/>
      <c r="BD219" s="232"/>
      <c r="BE219" s="232"/>
      <c r="BF219" s="232"/>
      <c r="BG219" s="232"/>
      <c r="BH219" s="232"/>
      <c r="BI219" s="232"/>
      <c r="BJ219" s="232"/>
      <c r="BK219" s="232"/>
      <c r="BL219" s="232"/>
      <c r="BM219" s="232"/>
      <c r="BN219" s="232"/>
      <c r="BO219" s="232"/>
      <c r="BP219" s="232"/>
      <c r="BQ219" s="232"/>
      <c r="BR219" s="232"/>
      <c r="BS219" s="232"/>
    </row>
    <row r="220" spans="1:71" ht="15.75" customHeight="1">
      <c r="A220" s="2"/>
      <c r="B220" s="2"/>
      <c r="C220" s="2"/>
      <c r="D220" s="2"/>
      <c r="E220" s="233"/>
      <c r="F220" s="234"/>
      <c r="G220" s="234"/>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46"/>
      <c r="AV220" s="46"/>
      <c r="AW220" s="46"/>
      <c r="AX220" s="46"/>
      <c r="AY220" s="232"/>
      <c r="AZ220" s="232"/>
      <c r="BA220" s="232"/>
      <c r="BB220" s="232"/>
      <c r="BC220" s="232"/>
      <c r="BD220" s="232"/>
      <c r="BE220" s="232"/>
      <c r="BF220" s="232"/>
      <c r="BG220" s="232"/>
      <c r="BH220" s="232"/>
      <c r="BI220" s="232"/>
      <c r="BJ220" s="232"/>
      <c r="BK220" s="232"/>
      <c r="BL220" s="232"/>
      <c r="BM220" s="232"/>
      <c r="BN220" s="232"/>
      <c r="BO220" s="232"/>
      <c r="BP220" s="232"/>
      <c r="BQ220" s="232"/>
      <c r="BR220" s="232"/>
      <c r="BS220" s="232"/>
    </row>
    <row r="221" spans="1:71" ht="15.75" customHeight="1">
      <c r="A221" s="2"/>
      <c r="B221" s="2"/>
      <c r="C221" s="2"/>
      <c r="D221" s="2"/>
      <c r="E221" s="233"/>
      <c r="F221" s="234"/>
      <c r="G221" s="234"/>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46"/>
      <c r="AV221" s="46"/>
      <c r="AW221" s="46"/>
      <c r="AX221" s="46"/>
      <c r="AY221" s="232"/>
      <c r="AZ221" s="232"/>
      <c r="BA221" s="232"/>
      <c r="BB221" s="232"/>
      <c r="BC221" s="232"/>
      <c r="BD221" s="232"/>
      <c r="BE221" s="232"/>
      <c r="BF221" s="232"/>
      <c r="BG221" s="232"/>
      <c r="BH221" s="232"/>
      <c r="BI221" s="232"/>
      <c r="BJ221" s="232"/>
      <c r="BK221" s="232"/>
      <c r="BL221" s="232"/>
      <c r="BM221" s="232"/>
      <c r="BN221" s="232"/>
      <c r="BO221" s="232"/>
      <c r="BP221" s="232"/>
      <c r="BQ221" s="232"/>
      <c r="BR221" s="232"/>
      <c r="BS221" s="232"/>
    </row>
    <row r="222" spans="1:71" ht="15.75" customHeight="1">
      <c r="A222" s="2"/>
      <c r="B222" s="2"/>
      <c r="C222" s="2"/>
      <c r="D222" s="2"/>
      <c r="E222" s="233"/>
      <c r="F222" s="234"/>
      <c r="G222" s="234"/>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46"/>
      <c r="AV222" s="46"/>
      <c r="AW222" s="46"/>
      <c r="AX222" s="46"/>
      <c r="AY222" s="232"/>
      <c r="AZ222" s="232"/>
      <c r="BA222" s="232"/>
      <c r="BB222" s="232"/>
      <c r="BC222" s="232"/>
      <c r="BD222" s="232"/>
      <c r="BE222" s="232"/>
      <c r="BF222" s="232"/>
      <c r="BG222" s="232"/>
      <c r="BH222" s="232"/>
      <c r="BI222" s="232"/>
      <c r="BJ222" s="232"/>
      <c r="BK222" s="232"/>
      <c r="BL222" s="232"/>
      <c r="BM222" s="232"/>
      <c r="BN222" s="232"/>
      <c r="BO222" s="232"/>
      <c r="BP222" s="232"/>
      <c r="BQ222" s="232"/>
      <c r="BR222" s="232"/>
      <c r="BS222" s="232"/>
    </row>
    <row r="223" spans="1:71" ht="15.75" customHeight="1">
      <c r="A223" s="2"/>
      <c r="B223" s="2"/>
      <c r="C223" s="2"/>
      <c r="D223" s="2"/>
      <c r="E223" s="233"/>
      <c r="F223" s="234"/>
      <c r="G223" s="234"/>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46"/>
      <c r="AV223" s="46"/>
      <c r="AW223" s="46"/>
      <c r="AX223" s="46"/>
      <c r="AY223" s="232"/>
      <c r="AZ223" s="232"/>
      <c r="BA223" s="232"/>
      <c r="BB223" s="232"/>
      <c r="BC223" s="232"/>
      <c r="BD223" s="232"/>
      <c r="BE223" s="232"/>
      <c r="BF223" s="232"/>
      <c r="BG223" s="232"/>
      <c r="BH223" s="232"/>
      <c r="BI223" s="232"/>
      <c r="BJ223" s="232"/>
      <c r="BK223" s="232"/>
      <c r="BL223" s="232"/>
      <c r="BM223" s="232"/>
      <c r="BN223" s="232"/>
      <c r="BO223" s="232"/>
      <c r="BP223" s="232"/>
      <c r="BQ223" s="232"/>
      <c r="BR223" s="232"/>
      <c r="BS223" s="232"/>
    </row>
    <row r="224" spans="1:71" ht="15.75" customHeight="1">
      <c r="A224" s="2"/>
      <c r="B224" s="2"/>
      <c r="C224" s="2"/>
      <c r="D224" s="2"/>
      <c r="E224" s="233"/>
      <c r="F224" s="234"/>
      <c r="G224" s="234"/>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46"/>
      <c r="AV224" s="46"/>
      <c r="AW224" s="46"/>
      <c r="AX224" s="46"/>
      <c r="AY224" s="232"/>
      <c r="AZ224" s="232"/>
      <c r="BA224" s="232"/>
      <c r="BB224" s="232"/>
      <c r="BC224" s="232"/>
      <c r="BD224" s="232"/>
      <c r="BE224" s="232"/>
      <c r="BF224" s="232"/>
      <c r="BG224" s="232"/>
      <c r="BH224" s="232"/>
      <c r="BI224" s="232"/>
      <c r="BJ224" s="232"/>
      <c r="BK224" s="232"/>
      <c r="BL224" s="232"/>
      <c r="BM224" s="232"/>
      <c r="BN224" s="232"/>
      <c r="BO224" s="232"/>
      <c r="BP224" s="232"/>
      <c r="BQ224" s="232"/>
      <c r="BR224" s="232"/>
      <c r="BS224" s="232"/>
    </row>
    <row r="225" spans="1:71" ht="15.75" customHeight="1">
      <c r="A225" s="2"/>
      <c r="B225" s="2"/>
      <c r="C225" s="2"/>
      <c r="D225" s="2"/>
      <c r="E225" s="233"/>
      <c r="F225" s="234"/>
      <c r="G225" s="234"/>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46"/>
      <c r="AV225" s="46"/>
      <c r="AW225" s="46"/>
      <c r="AX225" s="46"/>
      <c r="AY225" s="232"/>
      <c r="AZ225" s="232"/>
      <c r="BA225" s="232"/>
      <c r="BB225" s="232"/>
      <c r="BC225" s="232"/>
      <c r="BD225" s="232"/>
      <c r="BE225" s="232"/>
      <c r="BF225" s="232"/>
      <c r="BG225" s="232"/>
      <c r="BH225" s="232"/>
      <c r="BI225" s="232"/>
      <c r="BJ225" s="232"/>
      <c r="BK225" s="232"/>
      <c r="BL225" s="232"/>
      <c r="BM225" s="232"/>
      <c r="BN225" s="232"/>
      <c r="BO225" s="232"/>
      <c r="BP225" s="232"/>
      <c r="BQ225" s="232"/>
      <c r="BR225" s="232"/>
      <c r="BS225" s="232"/>
    </row>
    <row r="226" spans="1:71" ht="15.75" customHeight="1">
      <c r="A226" s="2"/>
      <c r="B226" s="2"/>
      <c r="C226" s="2"/>
      <c r="D226" s="2"/>
      <c r="E226" s="233"/>
      <c r="F226" s="234"/>
      <c r="G226" s="234"/>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46"/>
      <c r="AV226" s="46"/>
      <c r="AW226" s="46"/>
      <c r="AX226" s="46"/>
      <c r="AY226" s="232"/>
      <c r="AZ226" s="232"/>
      <c r="BA226" s="232"/>
      <c r="BB226" s="232"/>
      <c r="BC226" s="232"/>
      <c r="BD226" s="232"/>
      <c r="BE226" s="232"/>
      <c r="BF226" s="232"/>
      <c r="BG226" s="232"/>
      <c r="BH226" s="232"/>
      <c r="BI226" s="232"/>
      <c r="BJ226" s="232"/>
      <c r="BK226" s="232"/>
      <c r="BL226" s="232"/>
      <c r="BM226" s="232"/>
      <c r="BN226" s="232"/>
      <c r="BO226" s="232"/>
      <c r="BP226" s="232"/>
      <c r="BQ226" s="232"/>
      <c r="BR226" s="232"/>
      <c r="BS226" s="232"/>
    </row>
    <row r="227" spans="1:71" ht="15.75" customHeight="1">
      <c r="A227" s="2"/>
      <c r="B227" s="2"/>
      <c r="C227" s="2"/>
      <c r="D227" s="2"/>
      <c r="E227" s="233"/>
      <c r="F227" s="234"/>
      <c r="G227" s="234"/>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46"/>
      <c r="AV227" s="46"/>
      <c r="AW227" s="46"/>
      <c r="AX227" s="46"/>
      <c r="AY227" s="232"/>
      <c r="AZ227" s="232"/>
      <c r="BA227" s="232"/>
      <c r="BB227" s="232"/>
      <c r="BC227" s="232"/>
      <c r="BD227" s="232"/>
      <c r="BE227" s="232"/>
      <c r="BF227" s="232"/>
      <c r="BG227" s="232"/>
      <c r="BH227" s="232"/>
      <c r="BI227" s="232"/>
      <c r="BJ227" s="232"/>
      <c r="BK227" s="232"/>
      <c r="BL227" s="232"/>
      <c r="BM227" s="232"/>
      <c r="BN227" s="232"/>
      <c r="BO227" s="232"/>
      <c r="BP227" s="232"/>
      <c r="BQ227" s="232"/>
      <c r="BR227" s="232"/>
      <c r="BS227" s="232"/>
    </row>
    <row r="228" spans="1:71" ht="15.75" customHeight="1">
      <c r="A228" s="2"/>
      <c r="B228" s="2"/>
      <c r="C228" s="2"/>
      <c r="D228" s="2"/>
      <c r="E228" s="233"/>
      <c r="F228" s="234"/>
      <c r="G228" s="234"/>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46"/>
      <c r="AV228" s="46"/>
      <c r="AW228" s="46"/>
      <c r="AX228" s="46"/>
      <c r="AY228" s="232"/>
      <c r="AZ228" s="232"/>
      <c r="BA228" s="232"/>
      <c r="BB228" s="232"/>
      <c r="BC228" s="232"/>
      <c r="BD228" s="232"/>
      <c r="BE228" s="232"/>
      <c r="BF228" s="232"/>
      <c r="BG228" s="232"/>
      <c r="BH228" s="232"/>
      <c r="BI228" s="232"/>
      <c r="BJ228" s="232"/>
      <c r="BK228" s="232"/>
      <c r="BL228" s="232"/>
      <c r="BM228" s="232"/>
      <c r="BN228" s="232"/>
      <c r="BO228" s="232"/>
      <c r="BP228" s="232"/>
      <c r="BQ228" s="232"/>
      <c r="BR228" s="232"/>
      <c r="BS228" s="232"/>
    </row>
    <row r="229" spans="1:71" ht="15.75" customHeight="1">
      <c r="A229" s="2"/>
      <c r="B229" s="2"/>
      <c r="C229" s="2"/>
      <c r="D229" s="2"/>
      <c r="E229" s="233"/>
      <c r="F229" s="234"/>
      <c r="G229" s="234"/>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46"/>
      <c r="AV229" s="46"/>
      <c r="AW229" s="46"/>
      <c r="AX229" s="46"/>
      <c r="AY229" s="232"/>
      <c r="AZ229" s="232"/>
      <c r="BA229" s="232"/>
      <c r="BB229" s="232"/>
      <c r="BC229" s="232"/>
      <c r="BD229" s="232"/>
      <c r="BE229" s="232"/>
      <c r="BF229" s="232"/>
      <c r="BG229" s="232"/>
      <c r="BH229" s="232"/>
      <c r="BI229" s="232"/>
      <c r="BJ229" s="232"/>
      <c r="BK229" s="232"/>
      <c r="BL229" s="232"/>
      <c r="BM229" s="232"/>
      <c r="BN229" s="232"/>
      <c r="BO229" s="232"/>
      <c r="BP229" s="232"/>
      <c r="BQ229" s="232"/>
      <c r="BR229" s="232"/>
      <c r="BS229" s="232"/>
    </row>
    <row r="230" spans="1:71" ht="15.75" customHeight="1">
      <c r="A230" s="2"/>
      <c r="B230" s="2"/>
      <c r="C230" s="2"/>
      <c r="D230" s="2"/>
      <c r="E230" s="233"/>
      <c r="F230" s="234"/>
      <c r="G230" s="234"/>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46"/>
      <c r="AV230" s="46"/>
      <c r="AW230" s="46"/>
      <c r="AX230" s="46"/>
      <c r="AY230" s="232"/>
      <c r="AZ230" s="232"/>
      <c r="BA230" s="232"/>
      <c r="BB230" s="232"/>
      <c r="BC230" s="232"/>
      <c r="BD230" s="232"/>
      <c r="BE230" s="232"/>
      <c r="BF230" s="232"/>
      <c r="BG230" s="232"/>
      <c r="BH230" s="232"/>
      <c r="BI230" s="232"/>
      <c r="BJ230" s="232"/>
      <c r="BK230" s="232"/>
      <c r="BL230" s="232"/>
      <c r="BM230" s="232"/>
      <c r="BN230" s="232"/>
      <c r="BO230" s="232"/>
      <c r="BP230" s="232"/>
      <c r="BQ230" s="232"/>
      <c r="BR230" s="232"/>
      <c r="BS230" s="232"/>
    </row>
    <row r="231" spans="1:71" ht="15.75" customHeight="1">
      <c r="A231" s="2"/>
      <c r="B231" s="2"/>
      <c r="C231" s="2"/>
      <c r="D231" s="2"/>
      <c r="E231" s="233"/>
      <c r="F231" s="234"/>
      <c r="G231" s="234"/>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46"/>
      <c r="AV231" s="46"/>
      <c r="AW231" s="46"/>
      <c r="AX231" s="46"/>
      <c r="AY231" s="232"/>
      <c r="AZ231" s="232"/>
      <c r="BA231" s="232"/>
      <c r="BB231" s="232"/>
      <c r="BC231" s="232"/>
      <c r="BD231" s="232"/>
      <c r="BE231" s="232"/>
      <c r="BF231" s="232"/>
      <c r="BG231" s="232"/>
      <c r="BH231" s="232"/>
      <c r="BI231" s="232"/>
      <c r="BJ231" s="232"/>
      <c r="BK231" s="232"/>
      <c r="BL231" s="232"/>
      <c r="BM231" s="232"/>
      <c r="BN231" s="232"/>
      <c r="BO231" s="232"/>
      <c r="BP231" s="232"/>
      <c r="BQ231" s="232"/>
      <c r="BR231" s="232"/>
      <c r="BS231" s="232"/>
    </row>
    <row r="232" spans="1:71" ht="15.75" customHeight="1">
      <c r="A232" s="2"/>
      <c r="B232" s="2"/>
      <c r="C232" s="2"/>
      <c r="D232" s="2"/>
      <c r="E232" s="233"/>
      <c r="F232" s="234"/>
      <c r="G232" s="234"/>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46"/>
      <c r="AV232" s="46"/>
      <c r="AW232" s="46"/>
      <c r="AX232" s="46"/>
      <c r="AY232" s="232"/>
      <c r="AZ232" s="232"/>
      <c r="BA232" s="232"/>
      <c r="BB232" s="232"/>
      <c r="BC232" s="232"/>
      <c r="BD232" s="232"/>
      <c r="BE232" s="232"/>
      <c r="BF232" s="232"/>
      <c r="BG232" s="232"/>
      <c r="BH232" s="232"/>
      <c r="BI232" s="232"/>
      <c r="BJ232" s="232"/>
      <c r="BK232" s="232"/>
      <c r="BL232" s="232"/>
      <c r="BM232" s="232"/>
      <c r="BN232" s="232"/>
      <c r="BO232" s="232"/>
      <c r="BP232" s="232"/>
      <c r="BQ232" s="232"/>
      <c r="BR232" s="232"/>
      <c r="BS232" s="232"/>
    </row>
    <row r="233" spans="1:71" ht="15.75" customHeight="1">
      <c r="A233" s="2"/>
      <c r="B233" s="2"/>
      <c r="C233" s="2"/>
      <c r="D233" s="2"/>
      <c r="E233" s="233"/>
      <c r="F233" s="234"/>
      <c r="G233" s="234"/>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46"/>
      <c r="AV233" s="46"/>
      <c r="AW233" s="46"/>
      <c r="AX233" s="46"/>
      <c r="AY233" s="232"/>
      <c r="AZ233" s="232"/>
      <c r="BA233" s="232"/>
      <c r="BB233" s="232"/>
      <c r="BC233" s="232"/>
      <c r="BD233" s="232"/>
      <c r="BE233" s="232"/>
      <c r="BF233" s="232"/>
      <c r="BG233" s="232"/>
      <c r="BH233" s="232"/>
      <c r="BI233" s="232"/>
      <c r="BJ233" s="232"/>
      <c r="BK233" s="232"/>
      <c r="BL233" s="232"/>
      <c r="BM233" s="232"/>
      <c r="BN233" s="232"/>
      <c r="BO233" s="232"/>
      <c r="BP233" s="232"/>
      <c r="BQ233" s="232"/>
      <c r="BR233" s="232"/>
      <c r="BS233" s="232"/>
    </row>
    <row r="234" spans="1:71" ht="15.75" customHeight="1">
      <c r="A234" s="2"/>
      <c r="B234" s="2"/>
      <c r="C234" s="2"/>
      <c r="D234" s="2"/>
      <c r="E234" s="233"/>
      <c r="F234" s="234"/>
      <c r="G234" s="234"/>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46"/>
      <c r="AV234" s="46"/>
      <c r="AW234" s="46"/>
      <c r="AX234" s="46"/>
      <c r="AY234" s="232"/>
      <c r="AZ234" s="232"/>
      <c r="BA234" s="232"/>
      <c r="BB234" s="232"/>
      <c r="BC234" s="232"/>
      <c r="BD234" s="232"/>
      <c r="BE234" s="232"/>
      <c r="BF234" s="232"/>
      <c r="BG234" s="232"/>
      <c r="BH234" s="232"/>
      <c r="BI234" s="232"/>
      <c r="BJ234" s="232"/>
      <c r="BK234" s="232"/>
      <c r="BL234" s="232"/>
      <c r="BM234" s="232"/>
      <c r="BN234" s="232"/>
      <c r="BO234" s="232"/>
      <c r="BP234" s="232"/>
      <c r="BQ234" s="232"/>
      <c r="BR234" s="232"/>
      <c r="BS234" s="232"/>
    </row>
    <row r="235" spans="1:71" ht="15.75" customHeight="1">
      <c r="A235" s="2"/>
      <c r="B235" s="2"/>
      <c r="C235" s="2"/>
      <c r="D235" s="2"/>
      <c r="E235" s="233"/>
      <c r="F235" s="234"/>
      <c r="G235" s="234"/>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46"/>
      <c r="AV235" s="46"/>
      <c r="AW235" s="46"/>
      <c r="AX235" s="46"/>
      <c r="AY235" s="232"/>
      <c r="AZ235" s="232"/>
      <c r="BA235" s="232"/>
      <c r="BB235" s="232"/>
      <c r="BC235" s="232"/>
      <c r="BD235" s="232"/>
      <c r="BE235" s="232"/>
      <c r="BF235" s="232"/>
      <c r="BG235" s="232"/>
      <c r="BH235" s="232"/>
      <c r="BI235" s="232"/>
      <c r="BJ235" s="232"/>
      <c r="BK235" s="232"/>
      <c r="BL235" s="232"/>
      <c r="BM235" s="232"/>
      <c r="BN235" s="232"/>
      <c r="BO235" s="232"/>
      <c r="BP235" s="232"/>
      <c r="BQ235" s="232"/>
      <c r="BR235" s="232"/>
      <c r="BS235" s="232"/>
    </row>
    <row r="236" spans="1:71" ht="15.75" customHeight="1">
      <c r="A236" s="2"/>
      <c r="B236" s="2"/>
      <c r="C236" s="2"/>
      <c r="D236" s="2"/>
      <c r="E236" s="233"/>
      <c r="F236" s="234"/>
      <c r="G236" s="234"/>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46"/>
      <c r="AV236" s="46"/>
      <c r="AW236" s="46"/>
      <c r="AX236" s="46"/>
      <c r="AY236" s="232"/>
      <c r="AZ236" s="232"/>
      <c r="BA236" s="232"/>
      <c r="BB236" s="232"/>
      <c r="BC236" s="232"/>
      <c r="BD236" s="232"/>
      <c r="BE236" s="232"/>
      <c r="BF236" s="232"/>
      <c r="BG236" s="232"/>
      <c r="BH236" s="232"/>
      <c r="BI236" s="232"/>
      <c r="BJ236" s="232"/>
      <c r="BK236" s="232"/>
      <c r="BL236" s="232"/>
      <c r="BM236" s="232"/>
      <c r="BN236" s="232"/>
      <c r="BO236" s="232"/>
      <c r="BP236" s="232"/>
      <c r="BQ236" s="232"/>
      <c r="BR236" s="232"/>
      <c r="BS236" s="232"/>
    </row>
    <row r="237" spans="1:71" ht="15.75" customHeight="1">
      <c r="A237" s="2"/>
      <c r="B237" s="2"/>
      <c r="C237" s="2"/>
      <c r="D237" s="2"/>
      <c r="E237" s="233"/>
      <c r="F237" s="234"/>
      <c r="G237" s="234"/>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46"/>
      <c r="AV237" s="46"/>
      <c r="AW237" s="46"/>
      <c r="AX237" s="46"/>
      <c r="AY237" s="232"/>
      <c r="AZ237" s="232"/>
      <c r="BA237" s="232"/>
      <c r="BB237" s="232"/>
      <c r="BC237" s="232"/>
      <c r="BD237" s="232"/>
      <c r="BE237" s="232"/>
      <c r="BF237" s="232"/>
      <c r="BG237" s="232"/>
      <c r="BH237" s="232"/>
      <c r="BI237" s="232"/>
      <c r="BJ237" s="232"/>
      <c r="BK237" s="232"/>
      <c r="BL237" s="232"/>
      <c r="BM237" s="232"/>
      <c r="BN237" s="232"/>
      <c r="BO237" s="232"/>
      <c r="BP237" s="232"/>
      <c r="BQ237" s="232"/>
      <c r="BR237" s="232"/>
      <c r="BS237" s="232"/>
    </row>
    <row r="238" spans="1:71" ht="15.75" customHeight="1">
      <c r="A238" s="2"/>
      <c r="B238" s="2"/>
      <c r="C238" s="2"/>
      <c r="D238" s="2"/>
      <c r="E238" s="233"/>
      <c r="F238" s="234"/>
      <c r="G238" s="234"/>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46"/>
      <c r="AV238" s="46"/>
      <c r="AW238" s="46"/>
      <c r="AX238" s="46"/>
      <c r="AY238" s="232"/>
      <c r="AZ238" s="232"/>
      <c r="BA238" s="232"/>
      <c r="BB238" s="232"/>
      <c r="BC238" s="232"/>
      <c r="BD238" s="232"/>
      <c r="BE238" s="232"/>
      <c r="BF238" s="232"/>
      <c r="BG238" s="232"/>
      <c r="BH238" s="232"/>
      <c r="BI238" s="232"/>
      <c r="BJ238" s="232"/>
      <c r="BK238" s="232"/>
      <c r="BL238" s="232"/>
      <c r="BM238" s="232"/>
      <c r="BN238" s="232"/>
      <c r="BO238" s="232"/>
      <c r="BP238" s="232"/>
      <c r="BQ238" s="232"/>
      <c r="BR238" s="232"/>
      <c r="BS238" s="232"/>
    </row>
    <row r="239" spans="1:71" ht="15.75" customHeight="1">
      <c r="A239" s="2"/>
      <c r="B239" s="2"/>
      <c r="C239" s="2"/>
      <c r="D239" s="2"/>
      <c r="E239" s="233"/>
      <c r="F239" s="234"/>
      <c r="G239" s="234"/>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46"/>
      <c r="AV239" s="46"/>
      <c r="AW239" s="46"/>
      <c r="AX239" s="46"/>
      <c r="AY239" s="232"/>
      <c r="AZ239" s="232"/>
      <c r="BA239" s="232"/>
      <c r="BB239" s="232"/>
      <c r="BC239" s="232"/>
      <c r="BD239" s="232"/>
      <c r="BE239" s="232"/>
      <c r="BF239" s="232"/>
      <c r="BG239" s="232"/>
      <c r="BH239" s="232"/>
      <c r="BI239" s="232"/>
      <c r="BJ239" s="232"/>
      <c r="BK239" s="232"/>
      <c r="BL239" s="232"/>
      <c r="BM239" s="232"/>
      <c r="BN239" s="232"/>
      <c r="BO239" s="232"/>
      <c r="BP239" s="232"/>
      <c r="BQ239" s="232"/>
      <c r="BR239" s="232"/>
      <c r="BS239" s="232"/>
    </row>
    <row r="240" spans="1:71" ht="15.75" customHeight="1">
      <c r="A240" s="2"/>
      <c r="B240" s="2"/>
      <c r="C240" s="2"/>
      <c r="D240" s="2"/>
      <c r="E240" s="233"/>
      <c r="F240" s="234"/>
      <c r="G240" s="234"/>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46"/>
      <c r="AV240" s="46"/>
      <c r="AW240" s="46"/>
      <c r="AX240" s="46"/>
      <c r="AY240" s="232"/>
      <c r="AZ240" s="232"/>
      <c r="BA240" s="232"/>
      <c r="BB240" s="232"/>
      <c r="BC240" s="232"/>
      <c r="BD240" s="232"/>
      <c r="BE240" s="232"/>
      <c r="BF240" s="232"/>
      <c r="BG240" s="232"/>
      <c r="BH240" s="232"/>
      <c r="BI240" s="232"/>
      <c r="BJ240" s="232"/>
      <c r="BK240" s="232"/>
      <c r="BL240" s="232"/>
      <c r="BM240" s="232"/>
      <c r="BN240" s="232"/>
      <c r="BO240" s="232"/>
      <c r="BP240" s="232"/>
      <c r="BQ240" s="232"/>
      <c r="BR240" s="232"/>
      <c r="BS240" s="232"/>
    </row>
    <row r="241" spans="1:71" ht="15.75" customHeight="1">
      <c r="A241" s="2"/>
      <c r="B241" s="2"/>
      <c r="C241" s="2"/>
      <c r="D241" s="2"/>
      <c r="E241" s="233"/>
      <c r="F241" s="234"/>
      <c r="G241" s="234"/>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46"/>
      <c r="AV241" s="46"/>
      <c r="AW241" s="46"/>
      <c r="AX241" s="46"/>
      <c r="AY241" s="232"/>
      <c r="AZ241" s="232"/>
      <c r="BA241" s="232"/>
      <c r="BB241" s="232"/>
      <c r="BC241" s="232"/>
      <c r="BD241" s="232"/>
      <c r="BE241" s="232"/>
      <c r="BF241" s="232"/>
      <c r="BG241" s="232"/>
      <c r="BH241" s="232"/>
      <c r="BI241" s="232"/>
      <c r="BJ241" s="232"/>
      <c r="BK241" s="232"/>
      <c r="BL241" s="232"/>
      <c r="BM241" s="232"/>
      <c r="BN241" s="232"/>
      <c r="BO241" s="232"/>
      <c r="BP241" s="232"/>
      <c r="BQ241" s="232"/>
      <c r="BR241" s="232"/>
      <c r="BS241" s="232"/>
    </row>
    <row r="242" spans="1:71" ht="15.75" customHeight="1">
      <c r="A242" s="2"/>
      <c r="B242" s="2"/>
      <c r="C242" s="2"/>
      <c r="D242" s="2"/>
      <c r="E242" s="233"/>
      <c r="F242" s="234"/>
      <c r="G242" s="234"/>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46"/>
      <c r="AV242" s="46"/>
      <c r="AW242" s="46"/>
      <c r="AX242" s="46"/>
      <c r="AY242" s="232"/>
      <c r="AZ242" s="232"/>
      <c r="BA242" s="232"/>
      <c r="BB242" s="232"/>
      <c r="BC242" s="232"/>
      <c r="BD242" s="232"/>
      <c r="BE242" s="232"/>
      <c r="BF242" s="232"/>
      <c r="BG242" s="232"/>
      <c r="BH242" s="232"/>
      <c r="BI242" s="232"/>
      <c r="BJ242" s="232"/>
      <c r="BK242" s="232"/>
      <c r="BL242" s="232"/>
      <c r="BM242" s="232"/>
      <c r="BN242" s="232"/>
      <c r="BO242" s="232"/>
      <c r="BP242" s="232"/>
      <c r="BQ242" s="232"/>
      <c r="BR242" s="232"/>
      <c r="BS242" s="232"/>
    </row>
    <row r="243" spans="1:71" ht="15.75" customHeight="1">
      <c r="A243" s="2"/>
      <c r="B243" s="2"/>
      <c r="C243" s="2"/>
      <c r="D243" s="2"/>
      <c r="E243" s="233"/>
      <c r="F243" s="234"/>
      <c r="G243" s="234"/>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46"/>
      <c r="AV243" s="46"/>
      <c r="AW243" s="46"/>
      <c r="AX243" s="46"/>
      <c r="AY243" s="232"/>
      <c r="AZ243" s="232"/>
      <c r="BA243" s="232"/>
      <c r="BB243" s="232"/>
      <c r="BC243" s="232"/>
      <c r="BD243" s="232"/>
      <c r="BE243" s="232"/>
      <c r="BF243" s="232"/>
      <c r="BG243" s="232"/>
      <c r="BH243" s="232"/>
      <c r="BI243" s="232"/>
      <c r="BJ243" s="232"/>
      <c r="BK243" s="232"/>
      <c r="BL243" s="232"/>
      <c r="BM243" s="232"/>
      <c r="BN243" s="232"/>
      <c r="BO243" s="232"/>
      <c r="BP243" s="232"/>
      <c r="BQ243" s="232"/>
      <c r="BR243" s="232"/>
      <c r="BS243" s="232"/>
    </row>
    <row r="244" spans="1:71" ht="15.75" customHeight="1">
      <c r="A244" s="2"/>
      <c r="B244" s="2"/>
      <c r="C244" s="2"/>
      <c r="D244" s="2"/>
      <c r="E244" s="233"/>
      <c r="F244" s="234"/>
      <c r="G244" s="234"/>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46"/>
      <c r="AV244" s="46"/>
      <c r="AW244" s="46"/>
      <c r="AX244" s="46"/>
      <c r="AY244" s="232"/>
      <c r="AZ244" s="232"/>
      <c r="BA244" s="232"/>
      <c r="BB244" s="232"/>
      <c r="BC244" s="232"/>
      <c r="BD244" s="232"/>
      <c r="BE244" s="232"/>
      <c r="BF244" s="232"/>
      <c r="BG244" s="232"/>
      <c r="BH244" s="232"/>
      <c r="BI244" s="232"/>
      <c r="BJ244" s="232"/>
      <c r="BK244" s="232"/>
      <c r="BL244" s="232"/>
      <c r="BM244" s="232"/>
      <c r="BN244" s="232"/>
      <c r="BO244" s="232"/>
      <c r="BP244" s="232"/>
      <c r="BQ244" s="232"/>
      <c r="BR244" s="232"/>
      <c r="BS244" s="232"/>
    </row>
    <row r="245" spans="1:71" ht="15.75" customHeight="1">
      <c r="A245" s="2"/>
      <c r="B245" s="2"/>
      <c r="C245" s="2"/>
      <c r="D245" s="2"/>
      <c r="E245" s="233"/>
      <c r="F245" s="234"/>
      <c r="G245" s="234"/>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46"/>
      <c r="AV245" s="46"/>
      <c r="AW245" s="46"/>
      <c r="AX245" s="46"/>
      <c r="AY245" s="232"/>
      <c r="AZ245" s="232"/>
      <c r="BA245" s="232"/>
      <c r="BB245" s="232"/>
      <c r="BC245" s="232"/>
      <c r="BD245" s="232"/>
      <c r="BE245" s="232"/>
      <c r="BF245" s="232"/>
      <c r="BG245" s="232"/>
      <c r="BH245" s="232"/>
      <c r="BI245" s="232"/>
      <c r="BJ245" s="232"/>
      <c r="BK245" s="232"/>
      <c r="BL245" s="232"/>
      <c r="BM245" s="232"/>
      <c r="BN245" s="232"/>
      <c r="BO245" s="232"/>
      <c r="BP245" s="232"/>
      <c r="BQ245" s="232"/>
      <c r="BR245" s="232"/>
      <c r="BS245" s="232"/>
    </row>
    <row r="246" spans="1:71" ht="15.75" customHeight="1">
      <c r="A246" s="2"/>
      <c r="B246" s="2"/>
      <c r="C246" s="2"/>
      <c r="D246" s="2"/>
      <c r="E246" s="233"/>
      <c r="F246" s="234"/>
      <c r="G246" s="234"/>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46"/>
      <c r="AV246" s="46"/>
      <c r="AW246" s="46"/>
      <c r="AX246" s="46"/>
      <c r="AY246" s="232"/>
      <c r="AZ246" s="232"/>
      <c r="BA246" s="232"/>
      <c r="BB246" s="232"/>
      <c r="BC246" s="232"/>
      <c r="BD246" s="232"/>
      <c r="BE246" s="232"/>
      <c r="BF246" s="232"/>
      <c r="BG246" s="232"/>
      <c r="BH246" s="232"/>
      <c r="BI246" s="232"/>
      <c r="BJ246" s="232"/>
      <c r="BK246" s="232"/>
      <c r="BL246" s="232"/>
      <c r="BM246" s="232"/>
      <c r="BN246" s="232"/>
      <c r="BO246" s="232"/>
      <c r="BP246" s="232"/>
      <c r="BQ246" s="232"/>
      <c r="BR246" s="232"/>
      <c r="BS246" s="232"/>
    </row>
    <row r="247" spans="1:71" ht="15.75" customHeight="1">
      <c r="A247" s="2"/>
      <c r="B247" s="2"/>
      <c r="C247" s="2"/>
      <c r="D247" s="2"/>
      <c r="E247" s="233"/>
      <c r="F247" s="234"/>
      <c r="G247" s="234"/>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46"/>
      <c r="AV247" s="46"/>
      <c r="AW247" s="46"/>
      <c r="AX247" s="46"/>
      <c r="AY247" s="232"/>
      <c r="AZ247" s="232"/>
      <c r="BA247" s="232"/>
      <c r="BB247" s="232"/>
      <c r="BC247" s="232"/>
      <c r="BD247" s="232"/>
      <c r="BE247" s="232"/>
      <c r="BF247" s="232"/>
      <c r="BG247" s="232"/>
      <c r="BH247" s="232"/>
      <c r="BI247" s="232"/>
      <c r="BJ247" s="232"/>
      <c r="BK247" s="232"/>
      <c r="BL247" s="232"/>
      <c r="BM247" s="232"/>
      <c r="BN247" s="232"/>
      <c r="BO247" s="232"/>
      <c r="BP247" s="232"/>
      <c r="BQ247" s="232"/>
      <c r="BR247" s="232"/>
      <c r="BS247" s="232"/>
    </row>
    <row r="248" spans="1:71" ht="15.75" customHeight="1">
      <c r="A248" s="2"/>
      <c r="B248" s="2"/>
      <c r="C248" s="2"/>
      <c r="D248" s="2"/>
      <c r="E248" s="233"/>
      <c r="F248" s="234"/>
      <c r="G248" s="234"/>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46"/>
      <c r="AV248" s="46"/>
      <c r="AW248" s="46"/>
      <c r="AX248" s="46"/>
      <c r="AY248" s="232"/>
      <c r="AZ248" s="232"/>
      <c r="BA248" s="232"/>
      <c r="BB248" s="232"/>
      <c r="BC248" s="232"/>
      <c r="BD248" s="232"/>
      <c r="BE248" s="232"/>
      <c r="BF248" s="232"/>
      <c r="BG248" s="232"/>
      <c r="BH248" s="232"/>
      <c r="BI248" s="232"/>
      <c r="BJ248" s="232"/>
      <c r="BK248" s="232"/>
      <c r="BL248" s="232"/>
      <c r="BM248" s="232"/>
      <c r="BN248" s="232"/>
      <c r="BO248" s="232"/>
      <c r="BP248" s="232"/>
      <c r="BQ248" s="232"/>
      <c r="BR248" s="232"/>
      <c r="BS248" s="232"/>
    </row>
    <row r="249" spans="1:71" ht="15.75" customHeight="1">
      <c r="A249" s="2"/>
      <c r="B249" s="2"/>
      <c r="C249" s="2"/>
      <c r="D249" s="2"/>
      <c r="E249" s="233"/>
      <c r="F249" s="234"/>
      <c r="G249" s="234"/>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46"/>
      <c r="AV249" s="46"/>
      <c r="AW249" s="46"/>
      <c r="AX249" s="46"/>
      <c r="AY249" s="232"/>
      <c r="AZ249" s="232"/>
      <c r="BA249" s="232"/>
      <c r="BB249" s="232"/>
      <c r="BC249" s="232"/>
      <c r="BD249" s="232"/>
      <c r="BE249" s="232"/>
      <c r="BF249" s="232"/>
      <c r="BG249" s="232"/>
      <c r="BH249" s="232"/>
      <c r="BI249" s="232"/>
      <c r="BJ249" s="232"/>
      <c r="BK249" s="232"/>
      <c r="BL249" s="232"/>
      <c r="BM249" s="232"/>
      <c r="BN249" s="232"/>
      <c r="BO249" s="232"/>
      <c r="BP249" s="232"/>
      <c r="BQ249" s="232"/>
      <c r="BR249" s="232"/>
      <c r="BS249" s="232"/>
    </row>
    <row r="250" spans="1:71" ht="15.75" customHeight="1">
      <c r="A250" s="2"/>
      <c r="B250" s="2"/>
      <c r="C250" s="2"/>
      <c r="D250" s="2"/>
      <c r="E250" s="233"/>
      <c r="F250" s="234"/>
      <c r="G250" s="234"/>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46"/>
      <c r="AV250" s="46"/>
      <c r="AW250" s="46"/>
      <c r="AX250" s="46"/>
      <c r="AY250" s="232"/>
      <c r="AZ250" s="232"/>
      <c r="BA250" s="232"/>
      <c r="BB250" s="232"/>
      <c r="BC250" s="232"/>
      <c r="BD250" s="232"/>
      <c r="BE250" s="232"/>
      <c r="BF250" s="232"/>
      <c r="BG250" s="232"/>
      <c r="BH250" s="232"/>
      <c r="BI250" s="232"/>
      <c r="BJ250" s="232"/>
      <c r="BK250" s="232"/>
      <c r="BL250" s="232"/>
      <c r="BM250" s="232"/>
      <c r="BN250" s="232"/>
      <c r="BO250" s="232"/>
      <c r="BP250" s="232"/>
      <c r="BQ250" s="232"/>
      <c r="BR250" s="232"/>
      <c r="BS250" s="232"/>
    </row>
    <row r="251" spans="1:71" ht="15.75" customHeight="1">
      <c r="A251" s="2"/>
      <c r="B251" s="2"/>
      <c r="C251" s="2"/>
      <c r="D251" s="2"/>
      <c r="E251" s="233"/>
      <c r="F251" s="234"/>
      <c r="G251" s="234"/>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46"/>
      <c r="AV251" s="46"/>
      <c r="AW251" s="46"/>
      <c r="AX251" s="46"/>
      <c r="AY251" s="232"/>
      <c r="AZ251" s="232"/>
      <c r="BA251" s="232"/>
      <c r="BB251" s="232"/>
      <c r="BC251" s="232"/>
      <c r="BD251" s="232"/>
      <c r="BE251" s="232"/>
      <c r="BF251" s="232"/>
      <c r="BG251" s="232"/>
      <c r="BH251" s="232"/>
      <c r="BI251" s="232"/>
      <c r="BJ251" s="232"/>
      <c r="BK251" s="232"/>
      <c r="BL251" s="232"/>
      <c r="BM251" s="232"/>
      <c r="BN251" s="232"/>
      <c r="BO251" s="232"/>
      <c r="BP251" s="232"/>
      <c r="BQ251" s="232"/>
      <c r="BR251" s="232"/>
      <c r="BS251" s="232"/>
    </row>
    <row r="252" spans="1:71" ht="15.75" customHeight="1">
      <c r="A252" s="2"/>
      <c r="B252" s="2"/>
      <c r="C252" s="2"/>
      <c r="D252" s="2"/>
      <c r="E252" s="233"/>
      <c r="F252" s="234"/>
      <c r="G252" s="234"/>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46"/>
      <c r="AV252" s="46"/>
      <c r="AW252" s="46"/>
      <c r="AX252" s="46"/>
      <c r="AY252" s="232"/>
      <c r="AZ252" s="232"/>
      <c r="BA252" s="232"/>
      <c r="BB252" s="232"/>
      <c r="BC252" s="232"/>
      <c r="BD252" s="232"/>
      <c r="BE252" s="232"/>
      <c r="BF252" s="232"/>
      <c r="BG252" s="232"/>
      <c r="BH252" s="232"/>
      <c r="BI252" s="232"/>
      <c r="BJ252" s="232"/>
      <c r="BK252" s="232"/>
      <c r="BL252" s="232"/>
      <c r="BM252" s="232"/>
      <c r="BN252" s="232"/>
      <c r="BO252" s="232"/>
      <c r="BP252" s="232"/>
      <c r="BQ252" s="232"/>
      <c r="BR252" s="232"/>
      <c r="BS252" s="232"/>
    </row>
    <row r="253" spans="1:71" ht="15.75" customHeight="1">
      <c r="A253" s="2"/>
      <c r="B253" s="2"/>
      <c r="C253" s="2"/>
      <c r="D253" s="2"/>
      <c r="E253" s="233"/>
      <c r="F253" s="234"/>
      <c r="G253" s="234"/>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46"/>
      <c r="AV253" s="46"/>
      <c r="AW253" s="46"/>
      <c r="AX253" s="46"/>
      <c r="AY253" s="232"/>
      <c r="AZ253" s="232"/>
      <c r="BA253" s="232"/>
      <c r="BB253" s="232"/>
      <c r="BC253" s="232"/>
      <c r="BD253" s="232"/>
      <c r="BE253" s="232"/>
      <c r="BF253" s="232"/>
      <c r="BG253" s="232"/>
      <c r="BH253" s="232"/>
      <c r="BI253" s="232"/>
      <c r="BJ253" s="232"/>
      <c r="BK253" s="232"/>
      <c r="BL253" s="232"/>
      <c r="BM253" s="232"/>
      <c r="BN253" s="232"/>
      <c r="BO253" s="232"/>
      <c r="BP253" s="232"/>
      <c r="BQ253" s="232"/>
      <c r="BR253" s="232"/>
      <c r="BS253" s="232"/>
    </row>
    <row r="254" spans="1:71" ht="15.75" customHeight="1">
      <c r="A254" s="2"/>
      <c r="B254" s="2"/>
      <c r="C254" s="2"/>
      <c r="D254" s="2"/>
      <c r="E254" s="233"/>
      <c r="F254" s="234"/>
      <c r="G254" s="234"/>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46"/>
      <c r="AV254" s="46"/>
      <c r="AW254" s="46"/>
      <c r="AX254" s="46"/>
      <c r="AY254" s="232"/>
      <c r="AZ254" s="232"/>
      <c r="BA254" s="232"/>
      <c r="BB254" s="232"/>
      <c r="BC254" s="232"/>
      <c r="BD254" s="232"/>
      <c r="BE254" s="232"/>
      <c r="BF254" s="232"/>
      <c r="BG254" s="232"/>
      <c r="BH254" s="232"/>
      <c r="BI254" s="232"/>
      <c r="BJ254" s="232"/>
      <c r="BK254" s="232"/>
      <c r="BL254" s="232"/>
      <c r="BM254" s="232"/>
      <c r="BN254" s="232"/>
      <c r="BO254" s="232"/>
      <c r="BP254" s="232"/>
      <c r="BQ254" s="232"/>
      <c r="BR254" s="232"/>
      <c r="BS254" s="232"/>
    </row>
    <row r="255" spans="1:71" ht="15.75" customHeight="1">
      <c r="A255" s="2"/>
      <c r="B255" s="2"/>
      <c r="C255" s="2"/>
      <c r="D255" s="2"/>
      <c r="E255" s="233"/>
      <c r="F255" s="234"/>
      <c r="G255" s="234"/>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46"/>
      <c r="AV255" s="46"/>
      <c r="AW255" s="46"/>
      <c r="AX255" s="46"/>
      <c r="AY255" s="232"/>
      <c r="AZ255" s="232"/>
      <c r="BA255" s="232"/>
      <c r="BB255" s="232"/>
      <c r="BC255" s="232"/>
      <c r="BD255" s="232"/>
      <c r="BE255" s="232"/>
      <c r="BF255" s="232"/>
      <c r="BG255" s="232"/>
      <c r="BH255" s="232"/>
      <c r="BI255" s="232"/>
      <c r="BJ255" s="232"/>
      <c r="BK255" s="232"/>
      <c r="BL255" s="232"/>
      <c r="BM255" s="232"/>
      <c r="BN255" s="232"/>
      <c r="BO255" s="232"/>
      <c r="BP255" s="232"/>
      <c r="BQ255" s="232"/>
      <c r="BR255" s="232"/>
      <c r="BS255" s="232"/>
    </row>
    <row r="256" spans="1:71" ht="15.75" customHeight="1">
      <c r="A256" s="2"/>
      <c r="B256" s="2"/>
      <c r="C256" s="2"/>
      <c r="D256" s="2"/>
      <c r="E256" s="233"/>
      <c r="F256" s="234"/>
      <c r="G256" s="234"/>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46"/>
      <c r="AV256" s="46"/>
      <c r="AW256" s="46"/>
      <c r="AX256" s="46"/>
      <c r="AY256" s="232"/>
      <c r="AZ256" s="232"/>
      <c r="BA256" s="232"/>
      <c r="BB256" s="232"/>
      <c r="BC256" s="232"/>
      <c r="BD256" s="232"/>
      <c r="BE256" s="232"/>
      <c r="BF256" s="232"/>
      <c r="BG256" s="232"/>
      <c r="BH256" s="232"/>
      <c r="BI256" s="232"/>
      <c r="BJ256" s="232"/>
      <c r="BK256" s="232"/>
      <c r="BL256" s="232"/>
      <c r="BM256" s="232"/>
      <c r="BN256" s="232"/>
      <c r="BO256" s="232"/>
      <c r="BP256" s="232"/>
      <c r="BQ256" s="232"/>
      <c r="BR256" s="232"/>
      <c r="BS256" s="232"/>
    </row>
    <row r="257" spans="1:71" ht="15.75" customHeight="1">
      <c r="A257" s="2"/>
      <c r="B257" s="2"/>
      <c r="C257" s="2"/>
      <c r="D257" s="2"/>
      <c r="E257" s="233"/>
      <c r="F257" s="234"/>
      <c r="G257" s="234"/>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46"/>
      <c r="AV257" s="46"/>
      <c r="AW257" s="46"/>
      <c r="AX257" s="46"/>
      <c r="AY257" s="232"/>
      <c r="AZ257" s="232"/>
      <c r="BA257" s="232"/>
      <c r="BB257" s="232"/>
      <c r="BC257" s="232"/>
      <c r="BD257" s="232"/>
      <c r="BE257" s="232"/>
      <c r="BF257" s="232"/>
      <c r="BG257" s="232"/>
      <c r="BH257" s="232"/>
      <c r="BI257" s="232"/>
      <c r="BJ257" s="232"/>
      <c r="BK257" s="232"/>
      <c r="BL257" s="232"/>
      <c r="BM257" s="232"/>
      <c r="BN257" s="232"/>
      <c r="BO257" s="232"/>
      <c r="BP257" s="232"/>
      <c r="BQ257" s="232"/>
      <c r="BR257" s="232"/>
      <c r="BS257" s="232"/>
    </row>
    <row r="258" spans="1:71" ht="15.75" customHeight="1">
      <c r="A258" s="2"/>
      <c r="B258" s="2"/>
      <c r="C258" s="2"/>
      <c r="D258" s="2"/>
      <c r="E258" s="233"/>
      <c r="F258" s="234"/>
      <c r="G258" s="234"/>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46"/>
      <c r="AV258" s="46"/>
      <c r="AW258" s="46"/>
      <c r="AX258" s="46"/>
      <c r="AY258" s="232"/>
      <c r="AZ258" s="232"/>
      <c r="BA258" s="232"/>
      <c r="BB258" s="232"/>
      <c r="BC258" s="232"/>
      <c r="BD258" s="232"/>
      <c r="BE258" s="232"/>
      <c r="BF258" s="232"/>
      <c r="BG258" s="232"/>
      <c r="BH258" s="232"/>
      <c r="BI258" s="232"/>
      <c r="BJ258" s="232"/>
      <c r="BK258" s="232"/>
      <c r="BL258" s="232"/>
      <c r="BM258" s="232"/>
      <c r="BN258" s="232"/>
      <c r="BO258" s="232"/>
      <c r="BP258" s="232"/>
      <c r="BQ258" s="232"/>
      <c r="BR258" s="232"/>
      <c r="BS258" s="232"/>
    </row>
    <row r="259" spans="1:71" ht="15.75" customHeight="1">
      <c r="A259" s="2"/>
      <c r="B259" s="2"/>
      <c r="C259" s="2"/>
      <c r="D259" s="2"/>
      <c r="E259" s="233"/>
      <c r="F259" s="234"/>
      <c r="G259" s="234"/>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46"/>
      <c r="AV259" s="46"/>
      <c r="AW259" s="46"/>
      <c r="AX259" s="46"/>
      <c r="AY259" s="232"/>
      <c r="AZ259" s="232"/>
      <c r="BA259" s="232"/>
      <c r="BB259" s="232"/>
      <c r="BC259" s="232"/>
      <c r="BD259" s="232"/>
      <c r="BE259" s="232"/>
      <c r="BF259" s="232"/>
      <c r="BG259" s="232"/>
      <c r="BH259" s="232"/>
      <c r="BI259" s="232"/>
      <c r="BJ259" s="232"/>
      <c r="BK259" s="232"/>
      <c r="BL259" s="232"/>
      <c r="BM259" s="232"/>
      <c r="BN259" s="232"/>
      <c r="BO259" s="232"/>
      <c r="BP259" s="232"/>
      <c r="BQ259" s="232"/>
      <c r="BR259" s="232"/>
      <c r="BS259" s="232"/>
    </row>
    <row r="260" spans="1:71" ht="15.75" customHeight="1">
      <c r="A260" s="2"/>
      <c r="B260" s="2"/>
      <c r="C260" s="2"/>
      <c r="D260" s="2"/>
      <c r="E260" s="233"/>
      <c r="F260" s="234"/>
      <c r="G260" s="234"/>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46"/>
      <c r="AV260" s="46"/>
      <c r="AW260" s="46"/>
      <c r="AX260" s="46"/>
      <c r="AY260" s="232"/>
      <c r="AZ260" s="232"/>
      <c r="BA260" s="232"/>
      <c r="BB260" s="232"/>
      <c r="BC260" s="232"/>
      <c r="BD260" s="232"/>
      <c r="BE260" s="232"/>
      <c r="BF260" s="232"/>
      <c r="BG260" s="232"/>
      <c r="BH260" s="232"/>
      <c r="BI260" s="232"/>
      <c r="BJ260" s="232"/>
      <c r="BK260" s="232"/>
      <c r="BL260" s="232"/>
      <c r="BM260" s="232"/>
      <c r="BN260" s="232"/>
      <c r="BO260" s="232"/>
      <c r="BP260" s="232"/>
      <c r="BQ260" s="232"/>
      <c r="BR260" s="232"/>
      <c r="BS260" s="232"/>
    </row>
    <row r="261" spans="1:71" ht="15.75" customHeight="1">
      <c r="A261" s="2"/>
      <c r="B261" s="2"/>
      <c r="C261" s="2"/>
      <c r="D261" s="2"/>
      <c r="E261" s="233"/>
      <c r="F261" s="234"/>
      <c r="G261" s="234"/>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46"/>
      <c r="AV261" s="46"/>
      <c r="AW261" s="46"/>
      <c r="AX261" s="46"/>
      <c r="AY261" s="232"/>
      <c r="AZ261" s="232"/>
      <c r="BA261" s="232"/>
      <c r="BB261" s="232"/>
      <c r="BC261" s="232"/>
      <c r="BD261" s="232"/>
      <c r="BE261" s="232"/>
      <c r="BF261" s="232"/>
      <c r="BG261" s="232"/>
      <c r="BH261" s="232"/>
      <c r="BI261" s="232"/>
      <c r="BJ261" s="232"/>
      <c r="BK261" s="232"/>
      <c r="BL261" s="232"/>
      <c r="BM261" s="232"/>
      <c r="BN261" s="232"/>
      <c r="BO261" s="232"/>
      <c r="BP261" s="232"/>
      <c r="BQ261" s="232"/>
      <c r="BR261" s="232"/>
      <c r="BS261" s="232"/>
    </row>
    <row r="262" spans="1:71" ht="15.75" customHeight="1">
      <c r="A262" s="2"/>
      <c r="B262" s="2"/>
      <c r="C262" s="2"/>
      <c r="D262" s="2"/>
      <c r="E262" s="233"/>
      <c r="F262" s="234"/>
      <c r="G262" s="234"/>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46"/>
      <c r="AV262" s="46"/>
      <c r="AW262" s="46"/>
      <c r="AX262" s="46"/>
      <c r="AY262" s="232"/>
      <c r="AZ262" s="232"/>
      <c r="BA262" s="232"/>
      <c r="BB262" s="232"/>
      <c r="BC262" s="232"/>
      <c r="BD262" s="232"/>
      <c r="BE262" s="232"/>
      <c r="BF262" s="232"/>
      <c r="BG262" s="232"/>
      <c r="BH262" s="232"/>
      <c r="BI262" s="232"/>
      <c r="BJ262" s="232"/>
      <c r="BK262" s="232"/>
      <c r="BL262" s="232"/>
      <c r="BM262" s="232"/>
      <c r="BN262" s="232"/>
      <c r="BO262" s="232"/>
      <c r="BP262" s="232"/>
      <c r="BQ262" s="232"/>
      <c r="BR262" s="232"/>
      <c r="BS262" s="232"/>
    </row>
    <row r="263" spans="1:71" ht="15.75" customHeight="1">
      <c r="A263" s="2"/>
      <c r="B263" s="2"/>
      <c r="C263" s="2"/>
      <c r="D263" s="2"/>
      <c r="E263" s="233"/>
      <c r="F263" s="234"/>
      <c r="G263" s="234"/>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46"/>
      <c r="AV263" s="46"/>
      <c r="AW263" s="46"/>
      <c r="AX263" s="46"/>
      <c r="AY263" s="232"/>
      <c r="AZ263" s="232"/>
      <c r="BA263" s="232"/>
      <c r="BB263" s="232"/>
      <c r="BC263" s="232"/>
      <c r="BD263" s="232"/>
      <c r="BE263" s="232"/>
      <c r="BF263" s="232"/>
      <c r="BG263" s="232"/>
      <c r="BH263" s="232"/>
      <c r="BI263" s="232"/>
      <c r="BJ263" s="232"/>
      <c r="BK263" s="232"/>
      <c r="BL263" s="232"/>
      <c r="BM263" s="232"/>
      <c r="BN263" s="232"/>
      <c r="BO263" s="232"/>
      <c r="BP263" s="232"/>
      <c r="BQ263" s="232"/>
      <c r="BR263" s="232"/>
      <c r="BS263" s="232"/>
    </row>
    <row r="264" spans="1:71" ht="15.75" customHeight="1">
      <c r="A264" s="2"/>
      <c r="B264" s="2"/>
      <c r="C264" s="2"/>
      <c r="D264" s="2"/>
      <c r="E264" s="233"/>
      <c r="F264" s="234"/>
      <c r="G264" s="234"/>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46"/>
      <c r="AV264" s="46"/>
      <c r="AW264" s="46"/>
      <c r="AX264" s="46"/>
      <c r="AY264" s="232"/>
      <c r="AZ264" s="232"/>
      <c r="BA264" s="232"/>
      <c r="BB264" s="232"/>
      <c r="BC264" s="232"/>
      <c r="BD264" s="232"/>
      <c r="BE264" s="232"/>
      <c r="BF264" s="232"/>
      <c r="BG264" s="232"/>
      <c r="BH264" s="232"/>
      <c r="BI264" s="232"/>
      <c r="BJ264" s="232"/>
      <c r="BK264" s="232"/>
      <c r="BL264" s="232"/>
      <c r="BM264" s="232"/>
      <c r="BN264" s="232"/>
      <c r="BO264" s="232"/>
      <c r="BP264" s="232"/>
      <c r="BQ264" s="232"/>
      <c r="BR264" s="232"/>
      <c r="BS264" s="232"/>
    </row>
    <row r="265" spans="1:71" ht="15.75" customHeight="1">
      <c r="A265" s="2"/>
      <c r="B265" s="2"/>
      <c r="C265" s="2"/>
      <c r="D265" s="2"/>
      <c r="E265" s="233"/>
      <c r="F265" s="234"/>
      <c r="G265" s="234"/>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46"/>
      <c r="AV265" s="46"/>
      <c r="AW265" s="46"/>
      <c r="AX265" s="46"/>
      <c r="AY265" s="232"/>
      <c r="AZ265" s="232"/>
      <c r="BA265" s="232"/>
      <c r="BB265" s="232"/>
      <c r="BC265" s="232"/>
      <c r="BD265" s="232"/>
      <c r="BE265" s="232"/>
      <c r="BF265" s="232"/>
      <c r="BG265" s="232"/>
      <c r="BH265" s="232"/>
      <c r="BI265" s="232"/>
      <c r="BJ265" s="232"/>
      <c r="BK265" s="232"/>
      <c r="BL265" s="232"/>
      <c r="BM265" s="232"/>
      <c r="BN265" s="232"/>
      <c r="BO265" s="232"/>
      <c r="BP265" s="232"/>
      <c r="BQ265" s="232"/>
      <c r="BR265" s="232"/>
      <c r="BS265" s="232"/>
    </row>
    <row r="266" spans="1:71" ht="15.75" customHeight="1">
      <c r="A266" s="2"/>
      <c r="B266" s="2"/>
      <c r="C266" s="2"/>
      <c r="D266" s="2"/>
      <c r="E266" s="233"/>
      <c r="F266" s="234"/>
      <c r="G266" s="234"/>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46"/>
      <c r="AV266" s="46"/>
      <c r="AW266" s="46"/>
      <c r="AX266" s="46"/>
      <c r="AY266" s="232"/>
      <c r="AZ266" s="232"/>
      <c r="BA266" s="232"/>
      <c r="BB266" s="232"/>
      <c r="BC266" s="232"/>
      <c r="BD266" s="232"/>
      <c r="BE266" s="232"/>
      <c r="BF266" s="232"/>
      <c r="BG266" s="232"/>
      <c r="BH266" s="232"/>
      <c r="BI266" s="232"/>
      <c r="BJ266" s="232"/>
      <c r="BK266" s="232"/>
      <c r="BL266" s="232"/>
      <c r="BM266" s="232"/>
      <c r="BN266" s="232"/>
      <c r="BO266" s="232"/>
      <c r="BP266" s="232"/>
      <c r="BQ266" s="232"/>
      <c r="BR266" s="232"/>
      <c r="BS266" s="232"/>
    </row>
    <row r="267" spans="1:71" ht="15.75" customHeight="1">
      <c r="A267" s="2"/>
      <c r="B267" s="2"/>
      <c r="C267" s="2"/>
      <c r="D267" s="2"/>
      <c r="E267" s="233"/>
      <c r="F267" s="234"/>
      <c r="G267" s="234"/>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46"/>
      <c r="AV267" s="46"/>
      <c r="AW267" s="46"/>
      <c r="AX267" s="46"/>
      <c r="AY267" s="232"/>
      <c r="AZ267" s="232"/>
      <c r="BA267" s="232"/>
      <c r="BB267" s="232"/>
      <c r="BC267" s="232"/>
      <c r="BD267" s="232"/>
      <c r="BE267" s="232"/>
      <c r="BF267" s="232"/>
      <c r="BG267" s="232"/>
      <c r="BH267" s="232"/>
      <c r="BI267" s="232"/>
      <c r="BJ267" s="232"/>
      <c r="BK267" s="232"/>
      <c r="BL267" s="232"/>
      <c r="BM267" s="232"/>
      <c r="BN267" s="232"/>
      <c r="BO267" s="232"/>
      <c r="BP267" s="232"/>
      <c r="BQ267" s="232"/>
      <c r="BR267" s="232"/>
      <c r="BS267" s="232"/>
    </row>
    <row r="268" spans="1:71" ht="15.75" customHeight="1">
      <c r="A268" s="2"/>
      <c r="B268" s="2"/>
      <c r="C268" s="2"/>
      <c r="D268" s="2"/>
      <c r="E268" s="233"/>
      <c r="F268" s="234"/>
      <c r="G268" s="234"/>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46"/>
      <c r="AV268" s="46"/>
      <c r="AW268" s="46"/>
      <c r="AX268" s="46"/>
      <c r="AY268" s="232"/>
      <c r="AZ268" s="232"/>
      <c r="BA268" s="232"/>
      <c r="BB268" s="232"/>
      <c r="BC268" s="232"/>
      <c r="BD268" s="232"/>
      <c r="BE268" s="232"/>
      <c r="BF268" s="232"/>
      <c r="BG268" s="232"/>
      <c r="BH268" s="232"/>
      <c r="BI268" s="232"/>
      <c r="BJ268" s="232"/>
      <c r="BK268" s="232"/>
      <c r="BL268" s="232"/>
      <c r="BM268" s="232"/>
      <c r="BN268" s="232"/>
      <c r="BO268" s="232"/>
      <c r="BP268" s="232"/>
      <c r="BQ268" s="232"/>
      <c r="BR268" s="232"/>
      <c r="BS268" s="232"/>
    </row>
    <row r="269" spans="1:71" ht="15.75" customHeight="1">
      <c r="A269" s="2"/>
      <c r="B269" s="2"/>
      <c r="C269" s="2"/>
      <c r="D269" s="2"/>
      <c r="E269" s="233"/>
      <c r="F269" s="234"/>
      <c r="G269" s="234"/>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46"/>
      <c r="AV269" s="46"/>
      <c r="AW269" s="46"/>
      <c r="AX269" s="46"/>
      <c r="AY269" s="232"/>
      <c r="AZ269" s="232"/>
      <c r="BA269" s="232"/>
      <c r="BB269" s="232"/>
      <c r="BC269" s="232"/>
      <c r="BD269" s="232"/>
      <c r="BE269" s="232"/>
      <c r="BF269" s="232"/>
      <c r="BG269" s="232"/>
      <c r="BH269" s="232"/>
      <c r="BI269" s="232"/>
      <c r="BJ269" s="232"/>
      <c r="BK269" s="232"/>
      <c r="BL269" s="232"/>
      <c r="BM269" s="232"/>
      <c r="BN269" s="232"/>
      <c r="BO269" s="232"/>
      <c r="BP269" s="232"/>
      <c r="BQ269" s="232"/>
      <c r="BR269" s="232"/>
      <c r="BS269" s="232"/>
    </row>
    <row r="270" spans="1:71" ht="15.75" customHeight="1">
      <c r="A270" s="2"/>
      <c r="B270" s="2"/>
      <c r="C270" s="2"/>
      <c r="D270" s="2"/>
      <c r="E270" s="233"/>
      <c r="F270" s="234"/>
      <c r="G270" s="234"/>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46"/>
      <c r="AV270" s="46"/>
      <c r="AW270" s="46"/>
      <c r="AX270" s="46"/>
      <c r="AY270" s="232"/>
      <c r="AZ270" s="232"/>
      <c r="BA270" s="232"/>
      <c r="BB270" s="232"/>
      <c r="BC270" s="232"/>
      <c r="BD270" s="232"/>
      <c r="BE270" s="232"/>
      <c r="BF270" s="232"/>
      <c r="BG270" s="232"/>
      <c r="BH270" s="232"/>
      <c r="BI270" s="232"/>
      <c r="BJ270" s="232"/>
      <c r="BK270" s="232"/>
      <c r="BL270" s="232"/>
      <c r="BM270" s="232"/>
      <c r="BN270" s="232"/>
      <c r="BO270" s="232"/>
      <c r="BP270" s="232"/>
      <c r="BQ270" s="232"/>
      <c r="BR270" s="232"/>
      <c r="BS270" s="232"/>
    </row>
    <row r="271" spans="1:71" ht="15.75" customHeight="1">
      <c r="A271" s="2"/>
      <c r="B271" s="2"/>
      <c r="C271" s="2"/>
      <c r="D271" s="2"/>
      <c r="E271" s="233"/>
      <c r="F271" s="234"/>
      <c r="G271" s="234"/>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46"/>
      <c r="AV271" s="46"/>
      <c r="AW271" s="46"/>
      <c r="AX271" s="46"/>
      <c r="AY271" s="232"/>
      <c r="AZ271" s="232"/>
      <c r="BA271" s="232"/>
      <c r="BB271" s="232"/>
      <c r="BC271" s="232"/>
      <c r="BD271" s="232"/>
      <c r="BE271" s="232"/>
      <c r="BF271" s="232"/>
      <c r="BG271" s="232"/>
      <c r="BH271" s="232"/>
      <c r="BI271" s="232"/>
      <c r="BJ271" s="232"/>
      <c r="BK271" s="232"/>
      <c r="BL271" s="232"/>
      <c r="BM271" s="232"/>
      <c r="BN271" s="232"/>
      <c r="BO271" s="232"/>
      <c r="BP271" s="232"/>
      <c r="BQ271" s="232"/>
      <c r="BR271" s="232"/>
      <c r="BS271" s="232"/>
    </row>
    <row r="272" spans="1:71" ht="15.75" customHeight="1">
      <c r="A272" s="2"/>
      <c r="B272" s="2"/>
      <c r="C272" s="2"/>
      <c r="D272" s="2"/>
      <c r="E272" s="233"/>
      <c r="F272" s="234"/>
      <c r="G272" s="234"/>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46"/>
      <c r="AV272" s="46"/>
      <c r="AW272" s="46"/>
      <c r="AX272" s="46"/>
      <c r="AY272" s="232"/>
      <c r="AZ272" s="232"/>
      <c r="BA272" s="232"/>
      <c r="BB272" s="232"/>
      <c r="BC272" s="232"/>
      <c r="BD272" s="232"/>
      <c r="BE272" s="232"/>
      <c r="BF272" s="232"/>
      <c r="BG272" s="232"/>
      <c r="BH272" s="232"/>
      <c r="BI272" s="232"/>
      <c r="BJ272" s="232"/>
      <c r="BK272" s="232"/>
      <c r="BL272" s="232"/>
      <c r="BM272" s="232"/>
      <c r="BN272" s="232"/>
      <c r="BO272" s="232"/>
      <c r="BP272" s="232"/>
      <c r="BQ272" s="232"/>
      <c r="BR272" s="232"/>
      <c r="BS272" s="232"/>
    </row>
    <row r="273" spans="1:71" ht="15.75" customHeight="1">
      <c r="A273" s="2"/>
      <c r="B273" s="2"/>
      <c r="C273" s="2"/>
      <c r="D273" s="2"/>
      <c r="E273" s="233"/>
      <c r="F273" s="234"/>
      <c r="G273" s="234"/>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46"/>
      <c r="AV273" s="46"/>
      <c r="AW273" s="46"/>
      <c r="AX273" s="46"/>
      <c r="AY273" s="232"/>
      <c r="AZ273" s="232"/>
      <c r="BA273" s="232"/>
      <c r="BB273" s="232"/>
      <c r="BC273" s="232"/>
      <c r="BD273" s="232"/>
      <c r="BE273" s="232"/>
      <c r="BF273" s="232"/>
      <c r="BG273" s="232"/>
      <c r="BH273" s="232"/>
      <c r="BI273" s="232"/>
      <c r="BJ273" s="232"/>
      <c r="BK273" s="232"/>
      <c r="BL273" s="232"/>
      <c r="BM273" s="232"/>
      <c r="BN273" s="232"/>
      <c r="BO273" s="232"/>
      <c r="BP273" s="232"/>
      <c r="BQ273" s="232"/>
      <c r="BR273" s="232"/>
      <c r="BS273" s="232"/>
    </row>
    <row r="274" spans="1:71" ht="15.75" customHeight="1">
      <c r="A274" s="2"/>
      <c r="B274" s="2"/>
      <c r="C274" s="2"/>
      <c r="D274" s="2"/>
      <c r="E274" s="233"/>
      <c r="F274" s="234"/>
      <c r="G274" s="234"/>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46"/>
      <c r="AV274" s="46"/>
      <c r="AW274" s="46"/>
      <c r="AX274" s="46"/>
      <c r="AY274" s="232"/>
      <c r="AZ274" s="232"/>
      <c r="BA274" s="232"/>
      <c r="BB274" s="232"/>
      <c r="BC274" s="232"/>
      <c r="BD274" s="232"/>
      <c r="BE274" s="232"/>
      <c r="BF274" s="232"/>
      <c r="BG274" s="232"/>
      <c r="BH274" s="232"/>
      <c r="BI274" s="232"/>
      <c r="BJ274" s="232"/>
      <c r="BK274" s="232"/>
      <c r="BL274" s="232"/>
      <c r="BM274" s="232"/>
      <c r="BN274" s="232"/>
      <c r="BO274" s="232"/>
      <c r="BP274" s="232"/>
      <c r="BQ274" s="232"/>
      <c r="BR274" s="232"/>
      <c r="BS274" s="232"/>
    </row>
    <row r="275" spans="1:71" ht="15.75" customHeight="1">
      <c r="A275" s="2"/>
      <c r="B275" s="2"/>
      <c r="C275" s="2"/>
      <c r="D275" s="2"/>
      <c r="E275" s="233"/>
      <c r="F275" s="234"/>
      <c r="G275" s="234"/>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46"/>
      <c r="AV275" s="46"/>
      <c r="AW275" s="46"/>
      <c r="AX275" s="46"/>
      <c r="AY275" s="232"/>
      <c r="AZ275" s="232"/>
      <c r="BA275" s="232"/>
      <c r="BB275" s="232"/>
      <c r="BC275" s="232"/>
      <c r="BD275" s="232"/>
      <c r="BE275" s="232"/>
      <c r="BF275" s="232"/>
      <c r="BG275" s="232"/>
      <c r="BH275" s="232"/>
      <c r="BI275" s="232"/>
      <c r="BJ275" s="232"/>
      <c r="BK275" s="232"/>
      <c r="BL275" s="232"/>
      <c r="BM275" s="232"/>
      <c r="BN275" s="232"/>
      <c r="BO275" s="232"/>
      <c r="BP275" s="232"/>
      <c r="BQ275" s="232"/>
      <c r="BR275" s="232"/>
      <c r="BS275" s="232"/>
    </row>
    <row r="276" spans="1:71" ht="15.75" customHeight="1">
      <c r="A276" s="2"/>
      <c r="B276" s="2"/>
      <c r="C276" s="2"/>
      <c r="D276" s="2"/>
      <c r="E276" s="233"/>
      <c r="F276" s="234"/>
      <c r="G276" s="234"/>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46"/>
      <c r="AV276" s="46"/>
      <c r="AW276" s="46"/>
      <c r="AX276" s="46"/>
      <c r="AY276" s="232"/>
      <c r="AZ276" s="232"/>
      <c r="BA276" s="232"/>
      <c r="BB276" s="232"/>
      <c r="BC276" s="232"/>
      <c r="BD276" s="232"/>
      <c r="BE276" s="232"/>
      <c r="BF276" s="232"/>
      <c r="BG276" s="232"/>
      <c r="BH276" s="232"/>
      <c r="BI276" s="232"/>
      <c r="BJ276" s="232"/>
      <c r="BK276" s="232"/>
      <c r="BL276" s="232"/>
      <c r="BM276" s="232"/>
      <c r="BN276" s="232"/>
      <c r="BO276" s="232"/>
      <c r="BP276" s="232"/>
      <c r="BQ276" s="232"/>
      <c r="BR276" s="232"/>
      <c r="BS276" s="232"/>
    </row>
    <row r="277" spans="1:71" ht="15.75" customHeight="1">
      <c r="A277" s="2"/>
      <c r="B277" s="2"/>
      <c r="C277" s="2"/>
      <c r="D277" s="2"/>
      <c r="E277" s="233"/>
      <c r="F277" s="234"/>
      <c r="G277" s="234"/>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46"/>
      <c r="AV277" s="46"/>
      <c r="AW277" s="46"/>
      <c r="AX277" s="46"/>
      <c r="AY277" s="232"/>
      <c r="AZ277" s="232"/>
      <c r="BA277" s="232"/>
      <c r="BB277" s="232"/>
      <c r="BC277" s="232"/>
      <c r="BD277" s="232"/>
      <c r="BE277" s="232"/>
      <c r="BF277" s="232"/>
      <c r="BG277" s="232"/>
      <c r="BH277" s="232"/>
      <c r="BI277" s="232"/>
      <c r="BJ277" s="232"/>
      <c r="BK277" s="232"/>
      <c r="BL277" s="232"/>
      <c r="BM277" s="232"/>
      <c r="BN277" s="232"/>
      <c r="BO277" s="232"/>
      <c r="BP277" s="232"/>
      <c r="BQ277" s="232"/>
      <c r="BR277" s="232"/>
      <c r="BS277" s="232"/>
    </row>
    <row r="278" spans="1:71" ht="15.75" customHeight="1">
      <c r="A278" s="2"/>
      <c r="B278" s="2"/>
      <c r="C278" s="2"/>
      <c r="D278" s="2"/>
      <c r="E278" s="233"/>
      <c r="F278" s="234"/>
      <c r="G278" s="234"/>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46"/>
      <c r="AV278" s="46"/>
      <c r="AW278" s="46"/>
      <c r="AX278" s="46"/>
      <c r="AY278" s="232"/>
      <c r="AZ278" s="232"/>
      <c r="BA278" s="232"/>
      <c r="BB278" s="232"/>
      <c r="BC278" s="232"/>
      <c r="BD278" s="232"/>
      <c r="BE278" s="232"/>
      <c r="BF278" s="232"/>
      <c r="BG278" s="232"/>
      <c r="BH278" s="232"/>
      <c r="BI278" s="232"/>
      <c r="BJ278" s="232"/>
      <c r="BK278" s="232"/>
      <c r="BL278" s="232"/>
      <c r="BM278" s="232"/>
      <c r="BN278" s="232"/>
      <c r="BO278" s="232"/>
      <c r="BP278" s="232"/>
      <c r="BQ278" s="232"/>
      <c r="BR278" s="232"/>
      <c r="BS278" s="232"/>
    </row>
    <row r="279" spans="1:71" ht="15.75" customHeight="1">
      <c r="A279" s="2"/>
      <c r="B279" s="2"/>
      <c r="C279" s="2"/>
      <c r="D279" s="2"/>
      <c r="E279" s="233"/>
      <c r="F279" s="234"/>
      <c r="G279" s="234"/>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46"/>
      <c r="AV279" s="46"/>
      <c r="AW279" s="46"/>
      <c r="AX279" s="46"/>
      <c r="AY279" s="232"/>
      <c r="AZ279" s="232"/>
      <c r="BA279" s="232"/>
      <c r="BB279" s="232"/>
      <c r="BC279" s="232"/>
      <c r="BD279" s="232"/>
      <c r="BE279" s="232"/>
      <c r="BF279" s="232"/>
      <c r="BG279" s="232"/>
      <c r="BH279" s="232"/>
      <c r="BI279" s="232"/>
      <c r="BJ279" s="232"/>
      <c r="BK279" s="232"/>
      <c r="BL279" s="232"/>
      <c r="BM279" s="232"/>
      <c r="BN279" s="232"/>
      <c r="BO279" s="232"/>
      <c r="BP279" s="232"/>
      <c r="BQ279" s="232"/>
      <c r="BR279" s="232"/>
      <c r="BS279" s="232"/>
    </row>
    <row r="280" spans="1:71" ht="15.75" customHeight="1">
      <c r="A280" s="2"/>
      <c r="B280" s="2"/>
      <c r="C280" s="2"/>
      <c r="D280" s="2"/>
      <c r="E280" s="233"/>
      <c r="F280" s="234"/>
      <c r="G280" s="234"/>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46"/>
      <c r="AV280" s="46"/>
      <c r="AW280" s="46"/>
      <c r="AX280" s="46"/>
      <c r="AY280" s="232"/>
      <c r="AZ280" s="232"/>
      <c r="BA280" s="232"/>
      <c r="BB280" s="232"/>
      <c r="BC280" s="232"/>
      <c r="BD280" s="232"/>
      <c r="BE280" s="232"/>
      <c r="BF280" s="232"/>
      <c r="BG280" s="232"/>
      <c r="BH280" s="232"/>
      <c r="BI280" s="232"/>
      <c r="BJ280" s="232"/>
      <c r="BK280" s="232"/>
      <c r="BL280" s="232"/>
      <c r="BM280" s="232"/>
      <c r="BN280" s="232"/>
      <c r="BO280" s="232"/>
      <c r="BP280" s="232"/>
      <c r="BQ280" s="232"/>
      <c r="BR280" s="232"/>
      <c r="BS280" s="232"/>
    </row>
    <row r="281" spans="1:71" ht="15.75" customHeight="1">
      <c r="A281" s="2"/>
      <c r="B281" s="2"/>
      <c r="C281" s="2"/>
      <c r="D281" s="2"/>
      <c r="E281" s="233"/>
      <c r="F281" s="234"/>
      <c r="G281" s="234"/>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46"/>
      <c r="AV281" s="46"/>
      <c r="AW281" s="46"/>
      <c r="AX281" s="46"/>
      <c r="AY281" s="232"/>
      <c r="AZ281" s="232"/>
      <c r="BA281" s="232"/>
      <c r="BB281" s="232"/>
      <c r="BC281" s="232"/>
      <c r="BD281" s="232"/>
      <c r="BE281" s="232"/>
      <c r="BF281" s="232"/>
      <c r="BG281" s="232"/>
      <c r="BH281" s="232"/>
      <c r="BI281" s="232"/>
      <c r="BJ281" s="232"/>
      <c r="BK281" s="232"/>
      <c r="BL281" s="232"/>
      <c r="BM281" s="232"/>
      <c r="BN281" s="232"/>
      <c r="BO281" s="232"/>
      <c r="BP281" s="232"/>
      <c r="BQ281" s="232"/>
      <c r="BR281" s="232"/>
      <c r="BS281" s="232"/>
    </row>
    <row r="282" spans="1:71" ht="15.75" customHeight="1">
      <c r="A282" s="2"/>
      <c r="B282" s="2"/>
      <c r="C282" s="2"/>
      <c r="D282" s="2"/>
      <c r="E282" s="233"/>
      <c r="F282" s="234"/>
      <c r="G282" s="234"/>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46"/>
      <c r="AV282" s="46"/>
      <c r="AW282" s="46"/>
      <c r="AX282" s="46"/>
      <c r="AY282" s="232"/>
      <c r="AZ282" s="232"/>
      <c r="BA282" s="232"/>
      <c r="BB282" s="232"/>
      <c r="BC282" s="232"/>
      <c r="BD282" s="232"/>
      <c r="BE282" s="232"/>
      <c r="BF282" s="232"/>
      <c r="BG282" s="232"/>
      <c r="BH282" s="232"/>
      <c r="BI282" s="232"/>
      <c r="BJ282" s="232"/>
      <c r="BK282" s="232"/>
      <c r="BL282" s="232"/>
      <c r="BM282" s="232"/>
      <c r="BN282" s="232"/>
      <c r="BO282" s="232"/>
      <c r="BP282" s="232"/>
      <c r="BQ282" s="232"/>
      <c r="BR282" s="232"/>
      <c r="BS282" s="232"/>
    </row>
    <row r="283" spans="1:71" ht="15.75" customHeight="1">
      <c r="A283" s="2"/>
      <c r="B283" s="2"/>
      <c r="C283" s="2"/>
      <c r="D283" s="2"/>
      <c r="E283" s="233"/>
      <c r="F283" s="234"/>
      <c r="G283" s="234"/>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46"/>
      <c r="AV283" s="46"/>
      <c r="AW283" s="46"/>
      <c r="AX283" s="46"/>
      <c r="AY283" s="232"/>
      <c r="AZ283" s="232"/>
      <c r="BA283" s="232"/>
      <c r="BB283" s="232"/>
      <c r="BC283" s="232"/>
      <c r="BD283" s="232"/>
      <c r="BE283" s="232"/>
      <c r="BF283" s="232"/>
      <c r="BG283" s="232"/>
      <c r="BH283" s="232"/>
      <c r="BI283" s="232"/>
      <c r="BJ283" s="232"/>
      <c r="BK283" s="232"/>
      <c r="BL283" s="232"/>
      <c r="BM283" s="232"/>
      <c r="BN283" s="232"/>
      <c r="BO283" s="232"/>
      <c r="BP283" s="232"/>
      <c r="BQ283" s="232"/>
      <c r="BR283" s="232"/>
      <c r="BS283" s="232"/>
    </row>
    <row r="284" spans="1:71" ht="15.75" customHeight="1">
      <c r="A284" s="2"/>
      <c r="B284" s="2"/>
      <c r="C284" s="2"/>
      <c r="D284" s="2"/>
      <c r="E284" s="233"/>
      <c r="F284" s="234"/>
      <c r="G284" s="234"/>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46"/>
      <c r="AV284" s="46"/>
      <c r="AW284" s="46"/>
      <c r="AX284" s="46"/>
      <c r="AY284" s="232"/>
      <c r="AZ284" s="232"/>
      <c r="BA284" s="232"/>
      <c r="BB284" s="232"/>
      <c r="BC284" s="232"/>
      <c r="BD284" s="232"/>
      <c r="BE284" s="232"/>
      <c r="BF284" s="232"/>
      <c r="BG284" s="232"/>
      <c r="BH284" s="232"/>
      <c r="BI284" s="232"/>
      <c r="BJ284" s="232"/>
      <c r="BK284" s="232"/>
      <c r="BL284" s="232"/>
      <c r="BM284" s="232"/>
      <c r="BN284" s="232"/>
      <c r="BO284" s="232"/>
      <c r="BP284" s="232"/>
      <c r="BQ284" s="232"/>
      <c r="BR284" s="232"/>
      <c r="BS284" s="232"/>
    </row>
    <row r="285" spans="1:71" ht="15.75" customHeight="1">
      <c r="A285" s="2"/>
      <c r="B285" s="2"/>
      <c r="C285" s="2"/>
      <c r="D285" s="2"/>
      <c r="E285" s="233"/>
      <c r="F285" s="234"/>
      <c r="G285" s="234"/>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46"/>
      <c r="AV285" s="46"/>
      <c r="AW285" s="46"/>
      <c r="AX285" s="46"/>
      <c r="AY285" s="232"/>
      <c r="AZ285" s="232"/>
      <c r="BA285" s="232"/>
      <c r="BB285" s="232"/>
      <c r="BC285" s="232"/>
      <c r="BD285" s="232"/>
      <c r="BE285" s="232"/>
      <c r="BF285" s="232"/>
      <c r="BG285" s="232"/>
      <c r="BH285" s="232"/>
      <c r="BI285" s="232"/>
      <c r="BJ285" s="232"/>
      <c r="BK285" s="232"/>
      <c r="BL285" s="232"/>
      <c r="BM285" s="232"/>
      <c r="BN285" s="232"/>
      <c r="BO285" s="232"/>
      <c r="BP285" s="232"/>
      <c r="BQ285" s="232"/>
      <c r="BR285" s="232"/>
      <c r="BS285" s="232"/>
    </row>
    <row r="286" spans="1:71" ht="15.75" customHeight="1">
      <c r="A286" s="2"/>
      <c r="B286" s="2"/>
      <c r="C286" s="2"/>
      <c r="D286" s="2"/>
      <c r="E286" s="233"/>
      <c r="F286" s="234"/>
      <c r="G286" s="234"/>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46"/>
      <c r="AV286" s="46"/>
      <c r="AW286" s="46"/>
      <c r="AX286" s="46"/>
      <c r="AY286" s="232"/>
      <c r="AZ286" s="232"/>
      <c r="BA286" s="232"/>
      <c r="BB286" s="232"/>
      <c r="BC286" s="232"/>
      <c r="BD286" s="232"/>
      <c r="BE286" s="232"/>
      <c r="BF286" s="232"/>
      <c r="BG286" s="232"/>
      <c r="BH286" s="232"/>
      <c r="BI286" s="232"/>
      <c r="BJ286" s="232"/>
      <c r="BK286" s="232"/>
      <c r="BL286" s="232"/>
      <c r="BM286" s="232"/>
      <c r="BN286" s="232"/>
      <c r="BO286" s="232"/>
      <c r="BP286" s="232"/>
      <c r="BQ286" s="232"/>
      <c r="BR286" s="232"/>
      <c r="BS286" s="232"/>
    </row>
    <row r="287" spans="1:71" ht="15.75" customHeight="1">
      <c r="A287" s="2"/>
      <c r="B287" s="2"/>
      <c r="C287" s="2"/>
      <c r="D287" s="2"/>
      <c r="E287" s="233"/>
      <c r="F287" s="234"/>
      <c r="G287" s="234"/>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46"/>
      <c r="AV287" s="46"/>
      <c r="AW287" s="46"/>
      <c r="AX287" s="46"/>
      <c r="AY287" s="232"/>
      <c r="AZ287" s="232"/>
      <c r="BA287" s="232"/>
      <c r="BB287" s="232"/>
      <c r="BC287" s="232"/>
      <c r="BD287" s="232"/>
      <c r="BE287" s="232"/>
      <c r="BF287" s="232"/>
      <c r="BG287" s="232"/>
      <c r="BH287" s="232"/>
      <c r="BI287" s="232"/>
      <c r="BJ287" s="232"/>
      <c r="BK287" s="232"/>
      <c r="BL287" s="232"/>
      <c r="BM287" s="232"/>
      <c r="BN287" s="232"/>
      <c r="BO287" s="232"/>
      <c r="BP287" s="232"/>
      <c r="BQ287" s="232"/>
      <c r="BR287" s="232"/>
      <c r="BS287" s="232"/>
    </row>
    <row r="288" spans="1:71" ht="15.75" customHeight="1">
      <c r="A288" s="2"/>
      <c r="B288" s="2"/>
      <c r="C288" s="2"/>
      <c r="D288" s="2"/>
      <c r="E288" s="233"/>
      <c r="F288" s="234"/>
      <c r="G288" s="234"/>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46"/>
      <c r="AV288" s="46"/>
      <c r="AW288" s="46"/>
      <c r="AX288" s="46"/>
      <c r="AY288" s="232"/>
      <c r="AZ288" s="232"/>
      <c r="BA288" s="232"/>
      <c r="BB288" s="232"/>
      <c r="BC288" s="232"/>
      <c r="BD288" s="232"/>
      <c r="BE288" s="232"/>
      <c r="BF288" s="232"/>
      <c r="BG288" s="232"/>
      <c r="BH288" s="232"/>
      <c r="BI288" s="232"/>
      <c r="BJ288" s="232"/>
      <c r="BK288" s="232"/>
      <c r="BL288" s="232"/>
      <c r="BM288" s="232"/>
      <c r="BN288" s="232"/>
      <c r="BO288" s="232"/>
      <c r="BP288" s="232"/>
      <c r="BQ288" s="232"/>
      <c r="BR288" s="232"/>
      <c r="BS288" s="232"/>
    </row>
    <row r="289" spans="1:71" ht="15.75" customHeight="1">
      <c r="A289" s="2"/>
      <c r="B289" s="2"/>
      <c r="C289" s="2"/>
      <c r="D289" s="2"/>
      <c r="E289" s="233"/>
      <c r="F289" s="234"/>
      <c r="G289" s="234"/>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46"/>
      <c r="AV289" s="46"/>
      <c r="AW289" s="46"/>
      <c r="AX289" s="46"/>
      <c r="AY289" s="232"/>
      <c r="AZ289" s="232"/>
      <c r="BA289" s="232"/>
      <c r="BB289" s="232"/>
      <c r="BC289" s="232"/>
      <c r="BD289" s="232"/>
      <c r="BE289" s="232"/>
      <c r="BF289" s="232"/>
      <c r="BG289" s="232"/>
      <c r="BH289" s="232"/>
      <c r="BI289" s="232"/>
      <c r="BJ289" s="232"/>
      <c r="BK289" s="232"/>
      <c r="BL289" s="232"/>
      <c r="BM289" s="232"/>
      <c r="BN289" s="232"/>
      <c r="BO289" s="232"/>
      <c r="BP289" s="232"/>
      <c r="BQ289" s="232"/>
      <c r="BR289" s="232"/>
      <c r="BS289" s="232"/>
    </row>
    <row r="290" spans="1:71" ht="15.75" customHeight="1">
      <c r="A290" s="2"/>
      <c r="B290" s="2"/>
      <c r="C290" s="2"/>
      <c r="D290" s="2"/>
      <c r="E290" s="233"/>
      <c r="F290" s="234"/>
      <c r="G290" s="234"/>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46"/>
      <c r="AV290" s="46"/>
      <c r="AW290" s="46"/>
      <c r="AX290" s="46"/>
      <c r="AY290" s="232"/>
      <c r="AZ290" s="232"/>
      <c r="BA290" s="232"/>
      <c r="BB290" s="232"/>
      <c r="BC290" s="232"/>
      <c r="BD290" s="232"/>
      <c r="BE290" s="232"/>
      <c r="BF290" s="232"/>
      <c r="BG290" s="232"/>
      <c r="BH290" s="232"/>
      <c r="BI290" s="232"/>
      <c r="BJ290" s="232"/>
      <c r="BK290" s="232"/>
      <c r="BL290" s="232"/>
      <c r="BM290" s="232"/>
      <c r="BN290" s="232"/>
      <c r="BO290" s="232"/>
      <c r="BP290" s="232"/>
      <c r="BQ290" s="232"/>
      <c r="BR290" s="232"/>
      <c r="BS290" s="232"/>
    </row>
    <row r="291" spans="1:71" ht="15.75" customHeight="1">
      <c r="A291" s="2"/>
      <c r="B291" s="2"/>
      <c r="C291" s="2"/>
      <c r="D291" s="2"/>
      <c r="E291" s="233"/>
      <c r="F291" s="234"/>
      <c r="G291" s="234"/>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46"/>
      <c r="AV291" s="46"/>
      <c r="AW291" s="46"/>
      <c r="AX291" s="46"/>
      <c r="AY291" s="232"/>
      <c r="AZ291" s="232"/>
      <c r="BA291" s="232"/>
      <c r="BB291" s="232"/>
      <c r="BC291" s="232"/>
      <c r="BD291" s="232"/>
      <c r="BE291" s="232"/>
      <c r="BF291" s="232"/>
      <c r="BG291" s="232"/>
      <c r="BH291" s="232"/>
      <c r="BI291" s="232"/>
      <c r="BJ291" s="232"/>
      <c r="BK291" s="232"/>
      <c r="BL291" s="232"/>
      <c r="BM291" s="232"/>
      <c r="BN291" s="232"/>
      <c r="BO291" s="232"/>
      <c r="BP291" s="232"/>
      <c r="BQ291" s="232"/>
      <c r="BR291" s="232"/>
      <c r="BS291" s="232"/>
    </row>
    <row r="292" spans="1:71" ht="15.75" customHeight="1">
      <c r="A292" s="2"/>
      <c r="B292" s="2"/>
      <c r="C292" s="2"/>
      <c r="D292" s="2"/>
      <c r="E292" s="233"/>
      <c r="F292" s="234"/>
      <c r="G292" s="234"/>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46"/>
      <c r="AV292" s="46"/>
      <c r="AW292" s="46"/>
      <c r="AX292" s="46"/>
      <c r="AY292" s="232"/>
      <c r="AZ292" s="232"/>
      <c r="BA292" s="232"/>
      <c r="BB292" s="232"/>
      <c r="BC292" s="232"/>
      <c r="BD292" s="232"/>
      <c r="BE292" s="232"/>
      <c r="BF292" s="232"/>
      <c r="BG292" s="232"/>
      <c r="BH292" s="232"/>
      <c r="BI292" s="232"/>
      <c r="BJ292" s="232"/>
      <c r="BK292" s="232"/>
      <c r="BL292" s="232"/>
      <c r="BM292" s="232"/>
      <c r="BN292" s="232"/>
      <c r="BO292" s="232"/>
      <c r="BP292" s="232"/>
      <c r="BQ292" s="232"/>
      <c r="BR292" s="232"/>
      <c r="BS292" s="232"/>
    </row>
    <row r="293" spans="1:71" ht="15.75" customHeight="1">
      <c r="A293" s="2"/>
      <c r="B293" s="2"/>
      <c r="C293" s="2"/>
      <c r="D293" s="2"/>
      <c r="E293" s="233"/>
      <c r="F293" s="234"/>
      <c r="G293" s="234"/>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46"/>
      <c r="AV293" s="46"/>
      <c r="AW293" s="46"/>
      <c r="AX293" s="46"/>
      <c r="AY293" s="232"/>
      <c r="AZ293" s="232"/>
      <c r="BA293" s="232"/>
      <c r="BB293" s="232"/>
      <c r="BC293" s="232"/>
      <c r="BD293" s="232"/>
      <c r="BE293" s="232"/>
      <c r="BF293" s="232"/>
      <c r="BG293" s="232"/>
      <c r="BH293" s="232"/>
      <c r="BI293" s="232"/>
      <c r="BJ293" s="232"/>
      <c r="BK293" s="232"/>
      <c r="BL293" s="232"/>
      <c r="BM293" s="232"/>
      <c r="BN293" s="232"/>
      <c r="BO293" s="232"/>
      <c r="BP293" s="232"/>
      <c r="BQ293" s="232"/>
      <c r="BR293" s="232"/>
      <c r="BS293" s="232"/>
    </row>
    <row r="294" spans="1:71" ht="15.75" customHeight="1">
      <c r="A294" s="2"/>
      <c r="B294" s="2"/>
      <c r="C294" s="2"/>
      <c r="D294" s="2"/>
      <c r="E294" s="233"/>
      <c r="F294" s="234"/>
      <c r="G294" s="234"/>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46"/>
      <c r="AV294" s="46"/>
      <c r="AW294" s="46"/>
      <c r="AX294" s="46"/>
      <c r="AY294" s="232"/>
      <c r="AZ294" s="232"/>
      <c r="BA294" s="232"/>
      <c r="BB294" s="232"/>
      <c r="BC294" s="232"/>
      <c r="BD294" s="232"/>
      <c r="BE294" s="232"/>
      <c r="BF294" s="232"/>
      <c r="BG294" s="232"/>
      <c r="BH294" s="232"/>
      <c r="BI294" s="232"/>
      <c r="BJ294" s="232"/>
      <c r="BK294" s="232"/>
      <c r="BL294" s="232"/>
      <c r="BM294" s="232"/>
      <c r="BN294" s="232"/>
      <c r="BO294" s="232"/>
      <c r="BP294" s="232"/>
      <c r="BQ294" s="232"/>
      <c r="BR294" s="232"/>
      <c r="BS294" s="232"/>
    </row>
    <row r="295" spans="1:71" ht="15.75" customHeight="1">
      <c r="A295" s="2"/>
      <c r="B295" s="2"/>
      <c r="C295" s="2"/>
      <c r="D295" s="2"/>
      <c r="E295" s="233"/>
      <c r="F295" s="234"/>
      <c r="G295" s="234"/>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46"/>
      <c r="AV295" s="46"/>
      <c r="AW295" s="46"/>
      <c r="AX295" s="46"/>
      <c r="AY295" s="232"/>
      <c r="AZ295" s="232"/>
      <c r="BA295" s="232"/>
      <c r="BB295" s="232"/>
      <c r="BC295" s="232"/>
      <c r="BD295" s="232"/>
      <c r="BE295" s="232"/>
      <c r="BF295" s="232"/>
      <c r="BG295" s="232"/>
      <c r="BH295" s="232"/>
      <c r="BI295" s="232"/>
      <c r="BJ295" s="232"/>
      <c r="BK295" s="232"/>
      <c r="BL295" s="232"/>
      <c r="BM295" s="232"/>
      <c r="BN295" s="232"/>
      <c r="BO295" s="232"/>
      <c r="BP295" s="232"/>
      <c r="BQ295" s="232"/>
      <c r="BR295" s="232"/>
      <c r="BS295" s="232"/>
    </row>
    <row r="296" spans="1:71" ht="15.75" customHeight="1">
      <c r="A296" s="2"/>
      <c r="B296" s="2"/>
      <c r="C296" s="2"/>
      <c r="D296" s="2"/>
      <c r="E296" s="233"/>
      <c r="F296" s="234"/>
      <c r="G296" s="234"/>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46"/>
      <c r="AV296" s="46"/>
      <c r="AW296" s="46"/>
      <c r="AX296" s="46"/>
      <c r="AY296" s="232"/>
      <c r="AZ296" s="232"/>
      <c r="BA296" s="232"/>
      <c r="BB296" s="232"/>
      <c r="BC296" s="232"/>
      <c r="BD296" s="232"/>
      <c r="BE296" s="232"/>
      <c r="BF296" s="232"/>
      <c r="BG296" s="232"/>
      <c r="BH296" s="232"/>
      <c r="BI296" s="232"/>
      <c r="BJ296" s="232"/>
      <c r="BK296" s="232"/>
      <c r="BL296" s="232"/>
      <c r="BM296" s="232"/>
      <c r="BN296" s="232"/>
      <c r="BO296" s="232"/>
      <c r="BP296" s="232"/>
      <c r="BQ296" s="232"/>
      <c r="BR296" s="232"/>
      <c r="BS296" s="232"/>
    </row>
    <row r="297" spans="1:71" ht="15.75" customHeight="1">
      <c r="A297" s="2"/>
      <c r="B297" s="2"/>
      <c r="C297" s="2"/>
      <c r="D297" s="2"/>
      <c r="E297" s="233"/>
      <c r="F297" s="234"/>
      <c r="G297" s="234"/>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46"/>
      <c r="AV297" s="46"/>
      <c r="AW297" s="46"/>
      <c r="AX297" s="46"/>
      <c r="AY297" s="232"/>
      <c r="AZ297" s="232"/>
      <c r="BA297" s="232"/>
      <c r="BB297" s="232"/>
      <c r="BC297" s="232"/>
      <c r="BD297" s="232"/>
      <c r="BE297" s="232"/>
      <c r="BF297" s="232"/>
      <c r="BG297" s="232"/>
      <c r="BH297" s="232"/>
      <c r="BI297" s="232"/>
      <c r="BJ297" s="232"/>
      <c r="BK297" s="232"/>
      <c r="BL297" s="232"/>
      <c r="BM297" s="232"/>
      <c r="BN297" s="232"/>
      <c r="BO297" s="232"/>
      <c r="BP297" s="232"/>
      <c r="BQ297" s="232"/>
      <c r="BR297" s="232"/>
      <c r="BS297" s="232"/>
    </row>
    <row r="298" spans="1:71" ht="15.75" customHeight="1">
      <c r="A298" s="2"/>
      <c r="B298" s="2"/>
      <c r="C298" s="2"/>
      <c r="D298" s="2"/>
      <c r="E298" s="233"/>
      <c r="F298" s="234"/>
      <c r="G298" s="234"/>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46"/>
      <c r="AV298" s="46"/>
      <c r="AW298" s="46"/>
      <c r="AX298" s="46"/>
      <c r="AY298" s="232"/>
      <c r="AZ298" s="232"/>
      <c r="BA298" s="232"/>
      <c r="BB298" s="232"/>
      <c r="BC298" s="232"/>
      <c r="BD298" s="232"/>
      <c r="BE298" s="232"/>
      <c r="BF298" s="232"/>
      <c r="BG298" s="232"/>
      <c r="BH298" s="232"/>
      <c r="BI298" s="232"/>
      <c r="BJ298" s="232"/>
      <c r="BK298" s="232"/>
      <c r="BL298" s="232"/>
      <c r="BM298" s="232"/>
      <c r="BN298" s="232"/>
      <c r="BO298" s="232"/>
      <c r="BP298" s="232"/>
      <c r="BQ298" s="232"/>
      <c r="BR298" s="232"/>
      <c r="BS298" s="232"/>
    </row>
    <row r="299" spans="1:71" ht="15.75" customHeight="1">
      <c r="A299" s="2"/>
      <c r="B299" s="2"/>
      <c r="C299" s="2"/>
      <c r="D299" s="2"/>
      <c r="E299" s="233"/>
      <c r="F299" s="234"/>
      <c r="G299" s="234"/>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46"/>
      <c r="AV299" s="46"/>
      <c r="AW299" s="46"/>
      <c r="AX299" s="46"/>
      <c r="AY299" s="232"/>
      <c r="AZ299" s="232"/>
      <c r="BA299" s="232"/>
      <c r="BB299" s="232"/>
      <c r="BC299" s="232"/>
      <c r="BD299" s="232"/>
      <c r="BE299" s="232"/>
      <c r="BF299" s="232"/>
      <c r="BG299" s="232"/>
      <c r="BH299" s="232"/>
      <c r="BI299" s="232"/>
      <c r="BJ299" s="232"/>
      <c r="BK299" s="232"/>
      <c r="BL299" s="232"/>
      <c r="BM299" s="232"/>
      <c r="BN299" s="232"/>
      <c r="BO299" s="232"/>
      <c r="BP299" s="232"/>
      <c r="BQ299" s="232"/>
      <c r="BR299" s="232"/>
      <c r="BS299" s="232"/>
    </row>
    <row r="300" spans="1:71" ht="15.75" customHeight="1">
      <c r="A300" s="2"/>
      <c r="B300" s="2"/>
      <c r="C300" s="2"/>
      <c r="D300" s="2"/>
      <c r="E300" s="233"/>
      <c r="F300" s="234"/>
      <c r="G300" s="234"/>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46"/>
      <c r="AV300" s="46"/>
      <c r="AW300" s="46"/>
      <c r="AX300" s="46"/>
      <c r="AY300" s="232"/>
      <c r="AZ300" s="232"/>
      <c r="BA300" s="232"/>
      <c r="BB300" s="232"/>
      <c r="BC300" s="232"/>
      <c r="BD300" s="232"/>
      <c r="BE300" s="232"/>
      <c r="BF300" s="232"/>
      <c r="BG300" s="232"/>
      <c r="BH300" s="232"/>
      <c r="BI300" s="232"/>
      <c r="BJ300" s="232"/>
      <c r="BK300" s="232"/>
      <c r="BL300" s="232"/>
      <c r="BM300" s="232"/>
      <c r="BN300" s="232"/>
      <c r="BO300" s="232"/>
      <c r="BP300" s="232"/>
      <c r="BQ300" s="232"/>
      <c r="BR300" s="232"/>
      <c r="BS300" s="232"/>
    </row>
    <row r="301" spans="1:71" ht="15.75" customHeight="1">
      <c r="A301" s="2"/>
      <c r="B301" s="2"/>
      <c r="C301" s="2"/>
      <c r="D301" s="2"/>
      <c r="E301" s="233"/>
      <c r="F301" s="234"/>
      <c r="G301" s="234"/>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46"/>
      <c r="AV301" s="46"/>
      <c r="AW301" s="46"/>
      <c r="AX301" s="46"/>
      <c r="AY301" s="232"/>
      <c r="AZ301" s="232"/>
      <c r="BA301" s="232"/>
      <c r="BB301" s="232"/>
      <c r="BC301" s="232"/>
      <c r="BD301" s="232"/>
      <c r="BE301" s="232"/>
      <c r="BF301" s="232"/>
      <c r="BG301" s="232"/>
      <c r="BH301" s="232"/>
      <c r="BI301" s="232"/>
      <c r="BJ301" s="232"/>
      <c r="BK301" s="232"/>
      <c r="BL301" s="232"/>
      <c r="BM301" s="232"/>
      <c r="BN301" s="232"/>
      <c r="BO301" s="232"/>
      <c r="BP301" s="232"/>
      <c r="BQ301" s="232"/>
      <c r="BR301" s="232"/>
      <c r="BS301" s="232"/>
    </row>
    <row r="302" spans="1:71" ht="15.75" customHeight="1">
      <c r="A302" s="2"/>
      <c r="B302" s="2"/>
      <c r="C302" s="2"/>
      <c r="D302" s="2"/>
      <c r="E302" s="233"/>
      <c r="F302" s="234"/>
      <c r="G302" s="234"/>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46"/>
      <c r="AV302" s="46"/>
      <c r="AW302" s="46"/>
      <c r="AX302" s="46"/>
      <c r="AY302" s="232"/>
      <c r="AZ302" s="232"/>
      <c r="BA302" s="232"/>
      <c r="BB302" s="232"/>
      <c r="BC302" s="232"/>
      <c r="BD302" s="232"/>
      <c r="BE302" s="232"/>
      <c r="BF302" s="232"/>
      <c r="BG302" s="232"/>
      <c r="BH302" s="232"/>
      <c r="BI302" s="232"/>
      <c r="BJ302" s="232"/>
      <c r="BK302" s="232"/>
      <c r="BL302" s="232"/>
      <c r="BM302" s="232"/>
      <c r="BN302" s="232"/>
      <c r="BO302" s="232"/>
      <c r="BP302" s="232"/>
      <c r="BQ302" s="232"/>
      <c r="BR302" s="232"/>
      <c r="BS302" s="232"/>
    </row>
    <row r="303" spans="1:71" ht="15.75" customHeight="1">
      <c r="A303" s="2"/>
      <c r="B303" s="2"/>
      <c r="C303" s="2"/>
      <c r="D303" s="2"/>
      <c r="E303" s="233"/>
      <c r="F303" s="234"/>
      <c r="G303" s="234"/>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46"/>
      <c r="AV303" s="46"/>
      <c r="AW303" s="46"/>
      <c r="AX303" s="46"/>
      <c r="AY303" s="232"/>
      <c r="AZ303" s="232"/>
      <c r="BA303" s="232"/>
      <c r="BB303" s="232"/>
      <c r="BC303" s="232"/>
      <c r="BD303" s="232"/>
      <c r="BE303" s="232"/>
      <c r="BF303" s="232"/>
      <c r="BG303" s="232"/>
      <c r="BH303" s="232"/>
      <c r="BI303" s="232"/>
      <c r="BJ303" s="232"/>
      <c r="BK303" s="232"/>
      <c r="BL303" s="232"/>
      <c r="BM303" s="232"/>
      <c r="BN303" s="232"/>
      <c r="BO303" s="232"/>
      <c r="BP303" s="232"/>
      <c r="BQ303" s="232"/>
      <c r="BR303" s="232"/>
      <c r="BS303" s="232"/>
    </row>
    <row r="304" spans="1:71" ht="15.75" customHeight="1">
      <c r="A304" s="2"/>
      <c r="B304" s="2"/>
      <c r="C304" s="2"/>
      <c r="D304" s="2"/>
      <c r="E304" s="233"/>
      <c r="F304" s="234"/>
      <c r="G304" s="234"/>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46"/>
      <c r="AV304" s="46"/>
      <c r="AW304" s="46"/>
      <c r="AX304" s="46"/>
      <c r="AY304" s="232"/>
      <c r="AZ304" s="232"/>
      <c r="BA304" s="232"/>
      <c r="BB304" s="232"/>
      <c r="BC304" s="232"/>
      <c r="BD304" s="232"/>
      <c r="BE304" s="232"/>
      <c r="BF304" s="232"/>
      <c r="BG304" s="232"/>
      <c r="BH304" s="232"/>
      <c r="BI304" s="232"/>
      <c r="BJ304" s="232"/>
      <c r="BK304" s="232"/>
      <c r="BL304" s="232"/>
      <c r="BM304" s="232"/>
      <c r="BN304" s="232"/>
      <c r="BO304" s="232"/>
      <c r="BP304" s="232"/>
      <c r="BQ304" s="232"/>
      <c r="BR304" s="232"/>
      <c r="BS304" s="232"/>
    </row>
    <row r="305" spans="1:71" ht="15.75" customHeight="1">
      <c r="A305" s="2"/>
      <c r="B305" s="2"/>
      <c r="C305" s="2"/>
      <c r="D305" s="2"/>
      <c r="E305" s="233"/>
      <c r="F305" s="234"/>
      <c r="G305" s="234"/>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46"/>
      <c r="AV305" s="46"/>
      <c r="AW305" s="46"/>
      <c r="AX305" s="46"/>
      <c r="AY305" s="232"/>
      <c r="AZ305" s="232"/>
      <c r="BA305" s="232"/>
      <c r="BB305" s="232"/>
      <c r="BC305" s="232"/>
      <c r="BD305" s="232"/>
      <c r="BE305" s="232"/>
      <c r="BF305" s="232"/>
      <c r="BG305" s="232"/>
      <c r="BH305" s="232"/>
      <c r="BI305" s="232"/>
      <c r="BJ305" s="232"/>
      <c r="BK305" s="232"/>
      <c r="BL305" s="232"/>
      <c r="BM305" s="232"/>
      <c r="BN305" s="232"/>
      <c r="BO305" s="232"/>
      <c r="BP305" s="232"/>
      <c r="BQ305" s="232"/>
      <c r="BR305" s="232"/>
      <c r="BS305" s="232"/>
    </row>
    <row r="306" spans="1:71" ht="15.75" customHeight="1">
      <c r="A306" s="2"/>
      <c r="B306" s="2"/>
      <c r="C306" s="2"/>
      <c r="D306" s="2"/>
      <c r="E306" s="233"/>
      <c r="F306" s="234"/>
      <c r="G306" s="234"/>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46"/>
      <c r="AV306" s="46"/>
      <c r="AW306" s="46"/>
      <c r="AX306" s="46"/>
      <c r="AY306" s="232"/>
      <c r="AZ306" s="232"/>
      <c r="BA306" s="232"/>
      <c r="BB306" s="232"/>
      <c r="BC306" s="232"/>
      <c r="BD306" s="232"/>
      <c r="BE306" s="232"/>
      <c r="BF306" s="232"/>
      <c r="BG306" s="232"/>
      <c r="BH306" s="232"/>
      <c r="BI306" s="232"/>
      <c r="BJ306" s="232"/>
      <c r="BK306" s="232"/>
      <c r="BL306" s="232"/>
      <c r="BM306" s="232"/>
      <c r="BN306" s="232"/>
      <c r="BO306" s="232"/>
      <c r="BP306" s="232"/>
      <c r="BQ306" s="232"/>
      <c r="BR306" s="232"/>
      <c r="BS306" s="232"/>
    </row>
    <row r="307" spans="1:71" ht="15.75" customHeight="1">
      <c r="A307" s="2"/>
      <c r="B307" s="2"/>
      <c r="C307" s="2"/>
      <c r="D307" s="2"/>
      <c r="E307" s="233"/>
      <c r="F307" s="234"/>
      <c r="G307" s="234"/>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46"/>
      <c r="AV307" s="46"/>
      <c r="AW307" s="46"/>
      <c r="AX307" s="46"/>
      <c r="AY307" s="232"/>
      <c r="AZ307" s="232"/>
      <c r="BA307" s="232"/>
      <c r="BB307" s="232"/>
      <c r="BC307" s="232"/>
      <c r="BD307" s="232"/>
      <c r="BE307" s="232"/>
      <c r="BF307" s="232"/>
      <c r="BG307" s="232"/>
      <c r="BH307" s="232"/>
      <c r="BI307" s="232"/>
      <c r="BJ307" s="232"/>
      <c r="BK307" s="232"/>
      <c r="BL307" s="232"/>
      <c r="BM307" s="232"/>
      <c r="BN307" s="232"/>
      <c r="BO307" s="232"/>
      <c r="BP307" s="232"/>
      <c r="BQ307" s="232"/>
      <c r="BR307" s="232"/>
      <c r="BS307" s="232"/>
    </row>
    <row r="308" spans="1:71" ht="15.75" customHeight="1">
      <c r="A308" s="2"/>
      <c r="B308" s="2"/>
      <c r="C308" s="2"/>
      <c r="D308" s="2"/>
      <c r="E308" s="233"/>
      <c r="F308" s="234"/>
      <c r="G308" s="234"/>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46"/>
      <c r="AV308" s="46"/>
      <c r="AW308" s="46"/>
      <c r="AX308" s="46"/>
      <c r="AY308" s="232"/>
      <c r="AZ308" s="232"/>
      <c r="BA308" s="232"/>
      <c r="BB308" s="232"/>
      <c r="BC308" s="232"/>
      <c r="BD308" s="232"/>
      <c r="BE308" s="232"/>
      <c r="BF308" s="232"/>
      <c r="BG308" s="232"/>
      <c r="BH308" s="232"/>
      <c r="BI308" s="232"/>
      <c r="BJ308" s="232"/>
      <c r="BK308" s="232"/>
      <c r="BL308" s="232"/>
      <c r="BM308" s="232"/>
      <c r="BN308" s="232"/>
      <c r="BO308" s="232"/>
      <c r="BP308" s="232"/>
      <c r="BQ308" s="232"/>
      <c r="BR308" s="232"/>
      <c r="BS308" s="232"/>
    </row>
    <row r="309" spans="1:71" ht="15.75" customHeight="1">
      <c r="A309" s="2"/>
      <c r="B309" s="2"/>
      <c r="C309" s="2"/>
      <c r="D309" s="2"/>
      <c r="E309" s="233"/>
      <c r="F309" s="234"/>
      <c r="G309" s="234"/>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46"/>
      <c r="AV309" s="46"/>
      <c r="AW309" s="46"/>
      <c r="AX309" s="46"/>
      <c r="AY309" s="232"/>
      <c r="AZ309" s="232"/>
      <c r="BA309" s="232"/>
      <c r="BB309" s="232"/>
      <c r="BC309" s="232"/>
      <c r="BD309" s="232"/>
      <c r="BE309" s="232"/>
      <c r="BF309" s="232"/>
      <c r="BG309" s="232"/>
      <c r="BH309" s="232"/>
      <c r="BI309" s="232"/>
      <c r="BJ309" s="232"/>
      <c r="BK309" s="232"/>
      <c r="BL309" s="232"/>
      <c r="BM309" s="232"/>
      <c r="BN309" s="232"/>
      <c r="BO309" s="232"/>
      <c r="BP309" s="232"/>
      <c r="BQ309" s="232"/>
      <c r="BR309" s="232"/>
      <c r="BS309" s="232"/>
    </row>
    <row r="310" spans="1:71" ht="15.75" customHeight="1">
      <c r="A310" s="2"/>
      <c r="B310" s="2"/>
      <c r="C310" s="2"/>
      <c r="D310" s="2"/>
      <c r="E310" s="233"/>
      <c r="F310" s="234"/>
      <c r="G310" s="234"/>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46"/>
      <c r="AV310" s="46"/>
      <c r="AW310" s="46"/>
      <c r="AX310" s="46"/>
      <c r="AY310" s="232"/>
      <c r="AZ310" s="232"/>
      <c r="BA310" s="232"/>
      <c r="BB310" s="232"/>
      <c r="BC310" s="232"/>
      <c r="BD310" s="232"/>
      <c r="BE310" s="232"/>
      <c r="BF310" s="232"/>
      <c r="BG310" s="232"/>
      <c r="BH310" s="232"/>
      <c r="BI310" s="232"/>
      <c r="BJ310" s="232"/>
      <c r="BK310" s="232"/>
      <c r="BL310" s="232"/>
      <c r="BM310" s="232"/>
      <c r="BN310" s="232"/>
      <c r="BO310" s="232"/>
      <c r="BP310" s="232"/>
      <c r="BQ310" s="232"/>
      <c r="BR310" s="232"/>
      <c r="BS310" s="232"/>
    </row>
    <row r="311" spans="1:71" ht="15.75" customHeight="1">
      <c r="A311" s="2"/>
      <c r="B311" s="2"/>
      <c r="C311" s="2"/>
      <c r="D311" s="2"/>
      <c r="E311" s="233"/>
      <c r="F311" s="234"/>
      <c r="G311" s="234"/>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46"/>
      <c r="AV311" s="46"/>
      <c r="AW311" s="46"/>
      <c r="AX311" s="46"/>
      <c r="AY311" s="232"/>
      <c r="AZ311" s="232"/>
      <c r="BA311" s="232"/>
      <c r="BB311" s="232"/>
      <c r="BC311" s="232"/>
      <c r="BD311" s="232"/>
      <c r="BE311" s="232"/>
      <c r="BF311" s="232"/>
      <c r="BG311" s="232"/>
      <c r="BH311" s="232"/>
      <c r="BI311" s="232"/>
      <c r="BJ311" s="232"/>
      <c r="BK311" s="232"/>
      <c r="BL311" s="232"/>
      <c r="BM311" s="232"/>
      <c r="BN311" s="232"/>
      <c r="BO311" s="232"/>
      <c r="BP311" s="232"/>
      <c r="BQ311" s="232"/>
      <c r="BR311" s="232"/>
      <c r="BS311" s="232"/>
    </row>
    <row r="312" spans="1:71" ht="15.75" customHeight="1">
      <c r="A312" s="2"/>
      <c r="B312" s="2"/>
      <c r="C312" s="2"/>
      <c r="D312" s="2"/>
      <c r="E312" s="233"/>
      <c r="F312" s="234"/>
      <c r="G312" s="234"/>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46"/>
      <c r="AV312" s="46"/>
      <c r="AW312" s="46"/>
      <c r="AX312" s="46"/>
      <c r="AY312" s="232"/>
      <c r="AZ312" s="232"/>
      <c r="BA312" s="232"/>
      <c r="BB312" s="232"/>
      <c r="BC312" s="232"/>
      <c r="BD312" s="232"/>
      <c r="BE312" s="232"/>
      <c r="BF312" s="232"/>
      <c r="BG312" s="232"/>
      <c r="BH312" s="232"/>
      <c r="BI312" s="232"/>
      <c r="BJ312" s="232"/>
      <c r="BK312" s="232"/>
      <c r="BL312" s="232"/>
      <c r="BM312" s="232"/>
      <c r="BN312" s="232"/>
      <c r="BO312" s="232"/>
      <c r="BP312" s="232"/>
      <c r="BQ312" s="232"/>
      <c r="BR312" s="232"/>
      <c r="BS312" s="232"/>
    </row>
    <row r="313" spans="1:71" ht="15.75" customHeight="1">
      <c r="A313" s="2"/>
      <c r="B313" s="2"/>
      <c r="C313" s="2"/>
      <c r="D313" s="2"/>
      <c r="E313" s="233"/>
      <c r="F313" s="234"/>
      <c r="G313" s="234"/>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46"/>
      <c r="AV313" s="46"/>
      <c r="AW313" s="46"/>
      <c r="AX313" s="46"/>
      <c r="AY313" s="232"/>
      <c r="AZ313" s="232"/>
      <c r="BA313" s="232"/>
      <c r="BB313" s="232"/>
      <c r="BC313" s="232"/>
      <c r="BD313" s="232"/>
      <c r="BE313" s="232"/>
      <c r="BF313" s="232"/>
      <c r="BG313" s="232"/>
      <c r="BH313" s="232"/>
      <c r="BI313" s="232"/>
      <c r="BJ313" s="232"/>
      <c r="BK313" s="232"/>
      <c r="BL313" s="232"/>
      <c r="BM313" s="232"/>
      <c r="BN313" s="232"/>
      <c r="BO313" s="232"/>
      <c r="BP313" s="232"/>
      <c r="BQ313" s="232"/>
      <c r="BR313" s="232"/>
      <c r="BS313" s="232"/>
    </row>
    <row r="314" spans="1:71" ht="15.75" customHeight="1">
      <c r="A314" s="2"/>
      <c r="B314" s="2"/>
      <c r="C314" s="2"/>
      <c r="D314" s="2"/>
      <c r="E314" s="233"/>
      <c r="F314" s="234"/>
      <c r="G314" s="234"/>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46"/>
      <c r="AV314" s="46"/>
      <c r="AW314" s="46"/>
      <c r="AX314" s="46"/>
      <c r="AY314" s="232"/>
      <c r="AZ314" s="232"/>
      <c r="BA314" s="232"/>
      <c r="BB314" s="232"/>
      <c r="BC314" s="232"/>
      <c r="BD314" s="232"/>
      <c r="BE314" s="232"/>
      <c r="BF314" s="232"/>
      <c r="BG314" s="232"/>
      <c r="BH314" s="232"/>
      <c r="BI314" s="232"/>
      <c r="BJ314" s="232"/>
      <c r="BK314" s="232"/>
      <c r="BL314" s="232"/>
      <c r="BM314" s="232"/>
      <c r="BN314" s="232"/>
      <c r="BO314" s="232"/>
      <c r="BP314" s="232"/>
      <c r="BQ314" s="232"/>
      <c r="BR314" s="232"/>
      <c r="BS314" s="232"/>
    </row>
    <row r="315" spans="1:71" ht="15.75" customHeight="1">
      <c r="A315" s="2"/>
      <c r="B315" s="2"/>
      <c r="C315" s="2"/>
      <c r="D315" s="2"/>
      <c r="E315" s="233"/>
      <c r="F315" s="234"/>
      <c r="G315" s="234"/>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46"/>
      <c r="AV315" s="46"/>
      <c r="AW315" s="46"/>
      <c r="AX315" s="46"/>
      <c r="AY315" s="232"/>
      <c r="AZ315" s="232"/>
      <c r="BA315" s="232"/>
      <c r="BB315" s="232"/>
      <c r="BC315" s="232"/>
      <c r="BD315" s="232"/>
      <c r="BE315" s="232"/>
      <c r="BF315" s="232"/>
      <c r="BG315" s="232"/>
      <c r="BH315" s="232"/>
      <c r="BI315" s="232"/>
      <c r="BJ315" s="232"/>
      <c r="BK315" s="232"/>
      <c r="BL315" s="232"/>
      <c r="BM315" s="232"/>
      <c r="BN315" s="232"/>
      <c r="BO315" s="232"/>
      <c r="BP315" s="232"/>
      <c r="BQ315" s="232"/>
      <c r="BR315" s="232"/>
      <c r="BS315" s="232"/>
    </row>
    <row r="316" spans="1:71" ht="15.75" customHeight="1">
      <c r="A316" s="2"/>
      <c r="B316" s="2"/>
      <c r="C316" s="2"/>
      <c r="D316" s="2"/>
      <c r="E316" s="233"/>
      <c r="F316" s="234"/>
      <c r="G316" s="234"/>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46"/>
      <c r="AV316" s="46"/>
      <c r="AW316" s="46"/>
      <c r="AX316" s="46"/>
      <c r="AY316" s="232"/>
      <c r="AZ316" s="232"/>
      <c r="BA316" s="232"/>
      <c r="BB316" s="232"/>
      <c r="BC316" s="232"/>
      <c r="BD316" s="232"/>
      <c r="BE316" s="232"/>
      <c r="BF316" s="232"/>
      <c r="BG316" s="232"/>
      <c r="BH316" s="232"/>
      <c r="BI316" s="232"/>
      <c r="BJ316" s="232"/>
      <c r="BK316" s="232"/>
      <c r="BL316" s="232"/>
      <c r="BM316" s="232"/>
      <c r="BN316" s="232"/>
      <c r="BO316" s="232"/>
      <c r="BP316" s="232"/>
      <c r="BQ316" s="232"/>
      <c r="BR316" s="232"/>
      <c r="BS316" s="232"/>
    </row>
    <row r="317" spans="1:71" ht="15.75" customHeight="1">
      <c r="A317" s="2"/>
      <c r="B317" s="2"/>
      <c r="C317" s="2"/>
      <c r="D317" s="2"/>
      <c r="E317" s="233"/>
      <c r="F317" s="234"/>
      <c r="G317" s="234"/>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46"/>
      <c r="AV317" s="46"/>
      <c r="AW317" s="46"/>
      <c r="AX317" s="46"/>
      <c r="AY317" s="232"/>
      <c r="AZ317" s="232"/>
      <c r="BA317" s="232"/>
      <c r="BB317" s="232"/>
      <c r="BC317" s="232"/>
      <c r="BD317" s="232"/>
      <c r="BE317" s="232"/>
      <c r="BF317" s="232"/>
      <c r="BG317" s="232"/>
      <c r="BH317" s="232"/>
      <c r="BI317" s="232"/>
      <c r="BJ317" s="232"/>
      <c r="BK317" s="232"/>
      <c r="BL317" s="232"/>
      <c r="BM317" s="232"/>
      <c r="BN317" s="232"/>
      <c r="BO317" s="232"/>
      <c r="BP317" s="232"/>
      <c r="BQ317" s="232"/>
      <c r="BR317" s="232"/>
      <c r="BS317" s="232"/>
    </row>
    <row r="318" spans="1:71" ht="15.75" customHeight="1">
      <c r="A318" s="2"/>
      <c r="B318" s="2"/>
      <c r="C318" s="2"/>
      <c r="D318" s="2"/>
      <c r="E318" s="233"/>
      <c r="F318" s="234"/>
      <c r="G318" s="234"/>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46"/>
      <c r="AV318" s="46"/>
      <c r="AW318" s="46"/>
      <c r="AX318" s="46"/>
      <c r="AY318" s="232"/>
      <c r="AZ318" s="232"/>
      <c r="BA318" s="232"/>
      <c r="BB318" s="232"/>
      <c r="BC318" s="232"/>
      <c r="BD318" s="232"/>
      <c r="BE318" s="232"/>
      <c r="BF318" s="232"/>
      <c r="BG318" s="232"/>
      <c r="BH318" s="232"/>
      <c r="BI318" s="232"/>
      <c r="BJ318" s="232"/>
      <c r="BK318" s="232"/>
      <c r="BL318" s="232"/>
      <c r="BM318" s="232"/>
      <c r="BN318" s="232"/>
      <c r="BO318" s="232"/>
      <c r="BP318" s="232"/>
      <c r="BQ318" s="232"/>
      <c r="BR318" s="232"/>
      <c r="BS318" s="232"/>
    </row>
    <row r="319" spans="1:71" ht="15.75" customHeight="1">
      <c r="A319" s="2"/>
      <c r="B319" s="2"/>
      <c r="C319" s="2"/>
      <c r="D319" s="2"/>
      <c r="E319" s="233"/>
      <c r="F319" s="234"/>
      <c r="G319" s="234"/>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46"/>
      <c r="AV319" s="46"/>
      <c r="AW319" s="46"/>
      <c r="AX319" s="46"/>
      <c r="AY319" s="232"/>
      <c r="AZ319" s="232"/>
      <c r="BA319" s="232"/>
      <c r="BB319" s="232"/>
      <c r="BC319" s="232"/>
      <c r="BD319" s="232"/>
      <c r="BE319" s="232"/>
      <c r="BF319" s="232"/>
      <c r="BG319" s="232"/>
      <c r="BH319" s="232"/>
      <c r="BI319" s="232"/>
      <c r="BJ319" s="232"/>
      <c r="BK319" s="232"/>
      <c r="BL319" s="232"/>
      <c r="BM319" s="232"/>
      <c r="BN319" s="232"/>
      <c r="BO319" s="232"/>
      <c r="BP319" s="232"/>
      <c r="BQ319" s="232"/>
      <c r="BR319" s="232"/>
      <c r="BS319" s="232"/>
    </row>
    <row r="320" spans="1:71" ht="15.75" customHeight="1">
      <c r="A320" s="2"/>
      <c r="B320" s="2"/>
      <c r="C320" s="2"/>
      <c r="D320" s="2"/>
      <c r="E320" s="233"/>
      <c r="F320" s="234"/>
      <c r="G320" s="234"/>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46"/>
      <c r="AV320" s="46"/>
      <c r="AW320" s="46"/>
      <c r="AX320" s="46"/>
      <c r="AY320" s="232"/>
      <c r="AZ320" s="232"/>
      <c r="BA320" s="232"/>
      <c r="BB320" s="232"/>
      <c r="BC320" s="232"/>
      <c r="BD320" s="232"/>
      <c r="BE320" s="232"/>
      <c r="BF320" s="232"/>
      <c r="BG320" s="232"/>
      <c r="BH320" s="232"/>
      <c r="BI320" s="232"/>
      <c r="BJ320" s="232"/>
      <c r="BK320" s="232"/>
      <c r="BL320" s="232"/>
      <c r="BM320" s="232"/>
      <c r="BN320" s="232"/>
      <c r="BO320" s="232"/>
      <c r="BP320" s="232"/>
      <c r="BQ320" s="232"/>
      <c r="BR320" s="232"/>
      <c r="BS320" s="232"/>
    </row>
    <row r="321" spans="1:71" ht="15.75" customHeight="1">
      <c r="A321" s="2"/>
      <c r="B321" s="2"/>
      <c r="C321" s="2"/>
      <c r="D321" s="2"/>
      <c r="E321" s="233"/>
      <c r="F321" s="234"/>
      <c r="G321" s="234"/>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46"/>
      <c r="AV321" s="46"/>
      <c r="AW321" s="46"/>
      <c r="AX321" s="46"/>
      <c r="AY321" s="232"/>
      <c r="AZ321" s="232"/>
      <c r="BA321" s="232"/>
      <c r="BB321" s="232"/>
      <c r="BC321" s="232"/>
      <c r="BD321" s="232"/>
      <c r="BE321" s="232"/>
      <c r="BF321" s="232"/>
      <c r="BG321" s="232"/>
      <c r="BH321" s="232"/>
      <c r="BI321" s="232"/>
      <c r="BJ321" s="232"/>
      <c r="BK321" s="232"/>
      <c r="BL321" s="232"/>
      <c r="BM321" s="232"/>
      <c r="BN321" s="232"/>
      <c r="BO321" s="232"/>
      <c r="BP321" s="232"/>
      <c r="BQ321" s="232"/>
      <c r="BR321" s="232"/>
      <c r="BS321" s="232"/>
    </row>
    <row r="322" spans="1:71" ht="15.75" customHeight="1">
      <c r="A322" s="2"/>
      <c r="B322" s="2"/>
      <c r="C322" s="2"/>
      <c r="D322" s="2"/>
      <c r="E322" s="233"/>
      <c r="F322" s="234"/>
      <c r="G322" s="234"/>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46"/>
      <c r="AV322" s="46"/>
      <c r="AW322" s="46"/>
      <c r="AX322" s="46"/>
      <c r="AY322" s="232"/>
      <c r="AZ322" s="232"/>
      <c r="BA322" s="232"/>
      <c r="BB322" s="232"/>
      <c r="BC322" s="232"/>
      <c r="BD322" s="232"/>
      <c r="BE322" s="232"/>
      <c r="BF322" s="232"/>
      <c r="BG322" s="232"/>
      <c r="BH322" s="232"/>
      <c r="BI322" s="232"/>
      <c r="BJ322" s="232"/>
      <c r="BK322" s="232"/>
      <c r="BL322" s="232"/>
      <c r="BM322" s="232"/>
      <c r="BN322" s="232"/>
      <c r="BO322" s="232"/>
      <c r="BP322" s="232"/>
      <c r="BQ322" s="232"/>
      <c r="BR322" s="232"/>
      <c r="BS322" s="232"/>
    </row>
    <row r="323" spans="1:71" ht="15.75" customHeight="1">
      <c r="A323" s="2"/>
      <c r="B323" s="2"/>
      <c r="C323" s="2"/>
      <c r="D323" s="2"/>
      <c r="E323" s="233"/>
      <c r="F323" s="234"/>
      <c r="G323" s="234"/>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46"/>
      <c r="AV323" s="46"/>
      <c r="AW323" s="46"/>
      <c r="AX323" s="46"/>
      <c r="AY323" s="232"/>
      <c r="AZ323" s="232"/>
      <c r="BA323" s="232"/>
      <c r="BB323" s="232"/>
      <c r="BC323" s="232"/>
      <c r="BD323" s="232"/>
      <c r="BE323" s="232"/>
      <c r="BF323" s="232"/>
      <c r="BG323" s="232"/>
      <c r="BH323" s="232"/>
      <c r="BI323" s="232"/>
      <c r="BJ323" s="232"/>
      <c r="BK323" s="232"/>
      <c r="BL323" s="232"/>
      <c r="BM323" s="232"/>
      <c r="BN323" s="232"/>
      <c r="BO323" s="232"/>
      <c r="BP323" s="232"/>
      <c r="BQ323" s="232"/>
      <c r="BR323" s="232"/>
      <c r="BS323" s="232"/>
    </row>
    <row r="324" spans="1:71" ht="15.75" customHeight="1">
      <c r="A324" s="2"/>
      <c r="B324" s="2"/>
      <c r="C324" s="2"/>
      <c r="D324" s="2"/>
      <c r="E324" s="233"/>
      <c r="F324" s="234"/>
      <c r="G324" s="234"/>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46"/>
      <c r="AV324" s="46"/>
      <c r="AW324" s="46"/>
      <c r="AX324" s="46"/>
      <c r="AY324" s="232"/>
      <c r="AZ324" s="232"/>
      <c r="BA324" s="232"/>
      <c r="BB324" s="232"/>
      <c r="BC324" s="232"/>
      <c r="BD324" s="232"/>
      <c r="BE324" s="232"/>
      <c r="BF324" s="232"/>
      <c r="BG324" s="232"/>
      <c r="BH324" s="232"/>
      <c r="BI324" s="232"/>
      <c r="BJ324" s="232"/>
      <c r="BK324" s="232"/>
      <c r="BL324" s="232"/>
      <c r="BM324" s="232"/>
      <c r="BN324" s="232"/>
      <c r="BO324" s="232"/>
      <c r="BP324" s="232"/>
      <c r="BQ324" s="232"/>
      <c r="BR324" s="232"/>
      <c r="BS324" s="232"/>
    </row>
    <row r="325" spans="1:71" ht="15.75" customHeight="1">
      <c r="A325" s="2"/>
      <c r="B325" s="2"/>
      <c r="C325" s="2"/>
      <c r="D325" s="2"/>
      <c r="E325" s="233"/>
      <c r="F325" s="234"/>
      <c r="G325" s="234"/>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46"/>
      <c r="AV325" s="46"/>
      <c r="AW325" s="46"/>
      <c r="AX325" s="46"/>
      <c r="AY325" s="232"/>
      <c r="AZ325" s="232"/>
      <c r="BA325" s="232"/>
      <c r="BB325" s="232"/>
      <c r="BC325" s="232"/>
      <c r="BD325" s="232"/>
      <c r="BE325" s="232"/>
      <c r="BF325" s="232"/>
      <c r="BG325" s="232"/>
      <c r="BH325" s="232"/>
      <c r="BI325" s="232"/>
      <c r="BJ325" s="232"/>
      <c r="BK325" s="232"/>
      <c r="BL325" s="232"/>
      <c r="BM325" s="232"/>
      <c r="BN325" s="232"/>
      <c r="BO325" s="232"/>
      <c r="BP325" s="232"/>
      <c r="BQ325" s="232"/>
      <c r="BR325" s="232"/>
      <c r="BS325" s="232"/>
    </row>
    <row r="326" spans="1:71" ht="15.75" customHeight="1">
      <c r="A326" s="2"/>
      <c r="B326" s="2"/>
      <c r="C326" s="2"/>
      <c r="D326" s="2"/>
      <c r="E326" s="233"/>
      <c r="F326" s="234"/>
      <c r="G326" s="234"/>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46"/>
      <c r="AV326" s="46"/>
      <c r="AW326" s="46"/>
      <c r="AX326" s="46"/>
      <c r="AY326" s="232"/>
      <c r="AZ326" s="232"/>
      <c r="BA326" s="232"/>
      <c r="BB326" s="232"/>
      <c r="BC326" s="232"/>
      <c r="BD326" s="232"/>
      <c r="BE326" s="232"/>
      <c r="BF326" s="232"/>
      <c r="BG326" s="232"/>
      <c r="BH326" s="232"/>
      <c r="BI326" s="232"/>
      <c r="BJ326" s="232"/>
      <c r="BK326" s="232"/>
      <c r="BL326" s="232"/>
      <c r="BM326" s="232"/>
      <c r="BN326" s="232"/>
      <c r="BO326" s="232"/>
      <c r="BP326" s="232"/>
      <c r="BQ326" s="232"/>
      <c r="BR326" s="232"/>
      <c r="BS326" s="232"/>
    </row>
    <row r="327" spans="1:71" ht="15.75" customHeight="1">
      <c r="A327" s="2"/>
      <c r="B327" s="2"/>
      <c r="C327" s="2"/>
      <c r="D327" s="2"/>
      <c r="E327" s="233"/>
      <c r="F327" s="234"/>
      <c r="G327" s="234"/>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46"/>
      <c r="AV327" s="46"/>
      <c r="AW327" s="46"/>
      <c r="AX327" s="46"/>
      <c r="AY327" s="232"/>
      <c r="AZ327" s="232"/>
      <c r="BA327" s="232"/>
      <c r="BB327" s="232"/>
      <c r="BC327" s="232"/>
      <c r="BD327" s="232"/>
      <c r="BE327" s="232"/>
      <c r="BF327" s="232"/>
      <c r="BG327" s="232"/>
      <c r="BH327" s="232"/>
      <c r="BI327" s="232"/>
      <c r="BJ327" s="232"/>
      <c r="BK327" s="232"/>
      <c r="BL327" s="232"/>
      <c r="BM327" s="232"/>
      <c r="BN327" s="232"/>
      <c r="BO327" s="232"/>
      <c r="BP327" s="232"/>
      <c r="BQ327" s="232"/>
      <c r="BR327" s="232"/>
      <c r="BS327" s="232"/>
    </row>
    <row r="328" spans="1:71" ht="15.75" customHeight="1">
      <c r="A328" s="2"/>
      <c r="B328" s="2"/>
      <c r="C328" s="2"/>
      <c r="D328" s="2"/>
      <c r="E328" s="233"/>
      <c r="F328" s="234"/>
      <c r="G328" s="234"/>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46"/>
      <c r="AV328" s="46"/>
      <c r="AW328" s="46"/>
      <c r="AX328" s="46"/>
      <c r="AY328" s="232"/>
      <c r="AZ328" s="232"/>
      <c r="BA328" s="232"/>
      <c r="BB328" s="232"/>
      <c r="BC328" s="232"/>
      <c r="BD328" s="232"/>
      <c r="BE328" s="232"/>
      <c r="BF328" s="232"/>
      <c r="BG328" s="232"/>
      <c r="BH328" s="232"/>
      <c r="BI328" s="232"/>
      <c r="BJ328" s="232"/>
      <c r="BK328" s="232"/>
      <c r="BL328" s="232"/>
      <c r="BM328" s="232"/>
      <c r="BN328" s="232"/>
      <c r="BO328" s="232"/>
      <c r="BP328" s="232"/>
      <c r="BQ328" s="232"/>
      <c r="BR328" s="232"/>
      <c r="BS328" s="232"/>
    </row>
    <row r="329" spans="1:71" ht="15.75" customHeight="1">
      <c r="A329" s="2"/>
      <c r="B329" s="2"/>
      <c r="C329" s="2"/>
      <c r="D329" s="2"/>
      <c r="E329" s="233"/>
      <c r="F329" s="234"/>
      <c r="G329" s="234"/>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46"/>
      <c r="AV329" s="46"/>
      <c r="AW329" s="46"/>
      <c r="AX329" s="46"/>
      <c r="AY329" s="232"/>
      <c r="AZ329" s="232"/>
      <c r="BA329" s="232"/>
      <c r="BB329" s="232"/>
      <c r="BC329" s="232"/>
      <c r="BD329" s="232"/>
      <c r="BE329" s="232"/>
      <c r="BF329" s="232"/>
      <c r="BG329" s="232"/>
      <c r="BH329" s="232"/>
      <c r="BI329" s="232"/>
      <c r="BJ329" s="232"/>
      <c r="BK329" s="232"/>
      <c r="BL329" s="232"/>
      <c r="BM329" s="232"/>
      <c r="BN329" s="232"/>
      <c r="BO329" s="232"/>
      <c r="BP329" s="232"/>
      <c r="BQ329" s="232"/>
      <c r="BR329" s="232"/>
      <c r="BS329" s="232"/>
    </row>
    <row r="330" spans="1:71" ht="15.75" customHeight="1">
      <c r="A330" s="2"/>
      <c r="B330" s="2"/>
      <c r="C330" s="2"/>
      <c r="D330" s="2"/>
      <c r="E330" s="233"/>
      <c r="F330" s="234"/>
      <c r="G330" s="234"/>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46"/>
      <c r="AV330" s="46"/>
      <c r="AW330" s="46"/>
      <c r="AX330" s="46"/>
      <c r="AY330" s="232"/>
      <c r="AZ330" s="232"/>
      <c r="BA330" s="232"/>
      <c r="BB330" s="232"/>
      <c r="BC330" s="232"/>
      <c r="BD330" s="232"/>
      <c r="BE330" s="232"/>
      <c r="BF330" s="232"/>
      <c r="BG330" s="232"/>
      <c r="BH330" s="232"/>
      <c r="BI330" s="232"/>
      <c r="BJ330" s="232"/>
      <c r="BK330" s="232"/>
      <c r="BL330" s="232"/>
      <c r="BM330" s="232"/>
      <c r="BN330" s="232"/>
      <c r="BO330" s="232"/>
      <c r="BP330" s="232"/>
      <c r="BQ330" s="232"/>
      <c r="BR330" s="232"/>
      <c r="BS330" s="232"/>
    </row>
    <row r="331" spans="1:71" ht="15.75" customHeight="1">
      <c r="A331" s="2"/>
      <c r="B331" s="2"/>
      <c r="C331" s="2"/>
      <c r="D331" s="2"/>
      <c r="E331" s="233"/>
      <c r="F331" s="234"/>
      <c r="G331" s="234"/>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46"/>
      <c r="AV331" s="46"/>
      <c r="AW331" s="46"/>
      <c r="AX331" s="46"/>
      <c r="AY331" s="232"/>
      <c r="AZ331" s="232"/>
      <c r="BA331" s="232"/>
      <c r="BB331" s="232"/>
      <c r="BC331" s="232"/>
      <c r="BD331" s="232"/>
      <c r="BE331" s="232"/>
      <c r="BF331" s="232"/>
      <c r="BG331" s="232"/>
      <c r="BH331" s="232"/>
      <c r="BI331" s="232"/>
      <c r="BJ331" s="232"/>
      <c r="BK331" s="232"/>
      <c r="BL331" s="232"/>
      <c r="BM331" s="232"/>
      <c r="BN331" s="232"/>
      <c r="BO331" s="232"/>
      <c r="BP331" s="232"/>
      <c r="BQ331" s="232"/>
      <c r="BR331" s="232"/>
      <c r="BS331" s="232"/>
    </row>
    <row r="332" spans="1:71" ht="15.75" customHeight="1">
      <c r="A332" s="2"/>
      <c r="B332" s="2"/>
      <c r="C332" s="2"/>
      <c r="D332" s="2"/>
      <c r="E332" s="233"/>
      <c r="F332" s="234"/>
      <c r="G332" s="234"/>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46"/>
      <c r="AV332" s="46"/>
      <c r="AW332" s="46"/>
      <c r="AX332" s="46"/>
      <c r="AY332" s="232"/>
      <c r="AZ332" s="232"/>
      <c r="BA332" s="232"/>
      <c r="BB332" s="232"/>
      <c r="BC332" s="232"/>
      <c r="BD332" s="232"/>
      <c r="BE332" s="232"/>
      <c r="BF332" s="232"/>
      <c r="BG332" s="232"/>
      <c r="BH332" s="232"/>
      <c r="BI332" s="232"/>
      <c r="BJ332" s="232"/>
      <c r="BK332" s="232"/>
      <c r="BL332" s="232"/>
      <c r="BM332" s="232"/>
      <c r="BN332" s="232"/>
      <c r="BO332" s="232"/>
      <c r="BP332" s="232"/>
      <c r="BQ332" s="232"/>
      <c r="BR332" s="232"/>
      <c r="BS332" s="232"/>
    </row>
    <row r="333" spans="1:71" ht="15.75" customHeight="1">
      <c r="A333" s="2"/>
      <c r="B333" s="2"/>
      <c r="C333" s="2"/>
      <c r="D333" s="2"/>
      <c r="E333" s="233"/>
      <c r="F333" s="234"/>
      <c r="G333" s="234"/>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46"/>
      <c r="AV333" s="46"/>
      <c r="AW333" s="46"/>
      <c r="AX333" s="46"/>
      <c r="AY333" s="232"/>
      <c r="AZ333" s="232"/>
      <c r="BA333" s="232"/>
      <c r="BB333" s="232"/>
      <c r="BC333" s="232"/>
      <c r="BD333" s="232"/>
      <c r="BE333" s="232"/>
      <c r="BF333" s="232"/>
      <c r="BG333" s="232"/>
      <c r="BH333" s="232"/>
      <c r="BI333" s="232"/>
      <c r="BJ333" s="232"/>
      <c r="BK333" s="232"/>
      <c r="BL333" s="232"/>
      <c r="BM333" s="232"/>
      <c r="BN333" s="232"/>
      <c r="BO333" s="232"/>
      <c r="BP333" s="232"/>
      <c r="BQ333" s="232"/>
      <c r="BR333" s="232"/>
      <c r="BS333" s="232"/>
    </row>
    <row r="334" spans="1:71" ht="15.75" customHeight="1">
      <c r="A334" s="2"/>
      <c r="B334" s="2"/>
      <c r="C334" s="2"/>
      <c r="D334" s="2"/>
      <c r="E334" s="233"/>
      <c r="F334" s="234"/>
      <c r="G334" s="234"/>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46"/>
      <c r="AV334" s="46"/>
      <c r="AW334" s="46"/>
      <c r="AX334" s="46"/>
      <c r="AY334" s="232"/>
      <c r="AZ334" s="232"/>
      <c r="BA334" s="232"/>
      <c r="BB334" s="232"/>
      <c r="BC334" s="232"/>
      <c r="BD334" s="232"/>
      <c r="BE334" s="232"/>
      <c r="BF334" s="232"/>
      <c r="BG334" s="232"/>
      <c r="BH334" s="232"/>
      <c r="BI334" s="232"/>
      <c r="BJ334" s="232"/>
      <c r="BK334" s="232"/>
      <c r="BL334" s="232"/>
      <c r="BM334" s="232"/>
      <c r="BN334" s="232"/>
      <c r="BO334" s="232"/>
      <c r="BP334" s="232"/>
      <c r="BQ334" s="232"/>
      <c r="BR334" s="232"/>
      <c r="BS334" s="232"/>
    </row>
    <row r="335" spans="1:71" ht="15.75" customHeight="1">
      <c r="A335" s="2"/>
      <c r="B335" s="2"/>
      <c r="C335" s="2"/>
      <c r="D335" s="2"/>
      <c r="E335" s="233"/>
      <c r="F335" s="234"/>
      <c r="G335" s="234"/>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46"/>
      <c r="AV335" s="46"/>
      <c r="AW335" s="46"/>
      <c r="AX335" s="46"/>
      <c r="AY335" s="232"/>
      <c r="AZ335" s="232"/>
      <c r="BA335" s="232"/>
      <c r="BB335" s="232"/>
      <c r="BC335" s="232"/>
      <c r="BD335" s="232"/>
      <c r="BE335" s="232"/>
      <c r="BF335" s="232"/>
      <c r="BG335" s="232"/>
      <c r="BH335" s="232"/>
      <c r="BI335" s="232"/>
      <c r="BJ335" s="232"/>
      <c r="BK335" s="232"/>
      <c r="BL335" s="232"/>
      <c r="BM335" s="232"/>
      <c r="BN335" s="232"/>
      <c r="BO335" s="232"/>
      <c r="BP335" s="232"/>
      <c r="BQ335" s="232"/>
      <c r="BR335" s="232"/>
      <c r="BS335" s="232"/>
    </row>
    <row r="336" spans="1:71" ht="15.75" customHeight="1">
      <c r="A336" s="2"/>
      <c r="B336" s="2"/>
      <c r="C336" s="2"/>
      <c r="D336" s="2"/>
      <c r="E336" s="233"/>
      <c r="F336" s="234"/>
      <c r="G336" s="234"/>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46"/>
      <c r="AV336" s="46"/>
      <c r="AW336" s="46"/>
      <c r="AX336" s="46"/>
      <c r="AY336" s="232"/>
      <c r="AZ336" s="232"/>
      <c r="BA336" s="232"/>
      <c r="BB336" s="232"/>
      <c r="BC336" s="232"/>
      <c r="BD336" s="232"/>
      <c r="BE336" s="232"/>
      <c r="BF336" s="232"/>
      <c r="BG336" s="232"/>
      <c r="BH336" s="232"/>
      <c r="BI336" s="232"/>
      <c r="BJ336" s="232"/>
      <c r="BK336" s="232"/>
      <c r="BL336" s="232"/>
      <c r="BM336" s="232"/>
      <c r="BN336" s="232"/>
      <c r="BO336" s="232"/>
      <c r="BP336" s="232"/>
      <c r="BQ336" s="232"/>
      <c r="BR336" s="232"/>
      <c r="BS336" s="232"/>
    </row>
    <row r="337" spans="1:71" ht="15.75" customHeight="1">
      <c r="A337" s="2"/>
      <c r="B337" s="2"/>
      <c r="C337" s="2"/>
      <c r="D337" s="2"/>
      <c r="E337" s="233"/>
      <c r="F337" s="234"/>
      <c r="G337" s="234"/>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46"/>
      <c r="AV337" s="46"/>
      <c r="AW337" s="46"/>
      <c r="AX337" s="46"/>
      <c r="AY337" s="232"/>
      <c r="AZ337" s="232"/>
      <c r="BA337" s="232"/>
      <c r="BB337" s="232"/>
      <c r="BC337" s="232"/>
      <c r="BD337" s="232"/>
      <c r="BE337" s="232"/>
      <c r="BF337" s="232"/>
      <c r="BG337" s="232"/>
      <c r="BH337" s="232"/>
      <c r="BI337" s="232"/>
      <c r="BJ337" s="232"/>
      <c r="BK337" s="232"/>
      <c r="BL337" s="232"/>
      <c r="BM337" s="232"/>
      <c r="BN337" s="232"/>
      <c r="BO337" s="232"/>
      <c r="BP337" s="232"/>
      <c r="BQ337" s="232"/>
      <c r="BR337" s="232"/>
      <c r="BS337" s="232"/>
    </row>
    <row r="338" spans="1:71" ht="15.75" customHeight="1">
      <c r="A338" s="2"/>
      <c r="B338" s="2"/>
      <c r="C338" s="2"/>
      <c r="D338" s="2"/>
      <c r="E338" s="233"/>
      <c r="F338" s="234"/>
      <c r="G338" s="234"/>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46"/>
      <c r="AV338" s="46"/>
      <c r="AW338" s="46"/>
      <c r="AX338" s="46"/>
      <c r="AY338" s="232"/>
      <c r="AZ338" s="232"/>
      <c r="BA338" s="232"/>
      <c r="BB338" s="232"/>
      <c r="BC338" s="232"/>
      <c r="BD338" s="232"/>
      <c r="BE338" s="232"/>
      <c r="BF338" s="232"/>
      <c r="BG338" s="232"/>
      <c r="BH338" s="232"/>
      <c r="BI338" s="232"/>
      <c r="BJ338" s="232"/>
      <c r="BK338" s="232"/>
      <c r="BL338" s="232"/>
      <c r="BM338" s="232"/>
      <c r="BN338" s="232"/>
      <c r="BO338" s="232"/>
      <c r="BP338" s="232"/>
      <c r="BQ338" s="232"/>
      <c r="BR338" s="232"/>
      <c r="BS338" s="232"/>
    </row>
    <row r="339" spans="1:71" ht="15.75" customHeight="1">
      <c r="A339" s="2"/>
      <c r="B339" s="2"/>
      <c r="C339" s="2"/>
      <c r="D339" s="2"/>
      <c r="E339" s="233"/>
      <c r="F339" s="234"/>
      <c r="G339" s="234"/>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46"/>
      <c r="AV339" s="46"/>
      <c r="AW339" s="46"/>
      <c r="AX339" s="46"/>
      <c r="AY339" s="232"/>
      <c r="AZ339" s="232"/>
      <c r="BA339" s="232"/>
      <c r="BB339" s="232"/>
      <c r="BC339" s="232"/>
      <c r="BD339" s="232"/>
      <c r="BE339" s="232"/>
      <c r="BF339" s="232"/>
      <c r="BG339" s="232"/>
      <c r="BH339" s="232"/>
      <c r="BI339" s="232"/>
      <c r="BJ339" s="232"/>
      <c r="BK339" s="232"/>
      <c r="BL339" s="232"/>
      <c r="BM339" s="232"/>
      <c r="BN339" s="232"/>
      <c r="BO339" s="232"/>
      <c r="BP339" s="232"/>
      <c r="BQ339" s="232"/>
      <c r="BR339" s="232"/>
      <c r="BS339" s="232"/>
    </row>
    <row r="340" spans="1:71" ht="15.75" customHeight="1">
      <c r="A340" s="2"/>
      <c r="B340" s="2"/>
      <c r="C340" s="2"/>
      <c r="D340" s="2"/>
      <c r="E340" s="233"/>
      <c r="F340" s="234"/>
      <c r="G340" s="234"/>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46"/>
      <c r="AV340" s="46"/>
      <c r="AW340" s="46"/>
      <c r="AX340" s="46"/>
      <c r="AY340" s="232"/>
      <c r="AZ340" s="232"/>
      <c r="BA340" s="232"/>
      <c r="BB340" s="232"/>
      <c r="BC340" s="232"/>
      <c r="BD340" s="232"/>
      <c r="BE340" s="232"/>
      <c r="BF340" s="232"/>
      <c r="BG340" s="232"/>
      <c r="BH340" s="232"/>
      <c r="BI340" s="232"/>
      <c r="BJ340" s="232"/>
      <c r="BK340" s="232"/>
      <c r="BL340" s="232"/>
      <c r="BM340" s="232"/>
      <c r="BN340" s="232"/>
      <c r="BO340" s="232"/>
      <c r="BP340" s="232"/>
      <c r="BQ340" s="232"/>
      <c r="BR340" s="232"/>
      <c r="BS340" s="232"/>
    </row>
    <row r="341" spans="1:71" ht="15.75" customHeight="1">
      <c r="A341" s="2"/>
      <c r="B341" s="2"/>
      <c r="C341" s="2"/>
      <c r="D341" s="2"/>
      <c r="E341" s="233"/>
      <c r="F341" s="234"/>
      <c r="G341" s="234"/>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46"/>
      <c r="AV341" s="46"/>
      <c r="AW341" s="46"/>
      <c r="AX341" s="46"/>
      <c r="AY341" s="232"/>
      <c r="AZ341" s="232"/>
      <c r="BA341" s="232"/>
      <c r="BB341" s="232"/>
      <c r="BC341" s="232"/>
      <c r="BD341" s="232"/>
      <c r="BE341" s="232"/>
      <c r="BF341" s="232"/>
      <c r="BG341" s="232"/>
      <c r="BH341" s="232"/>
      <c r="BI341" s="232"/>
      <c r="BJ341" s="232"/>
      <c r="BK341" s="232"/>
      <c r="BL341" s="232"/>
      <c r="BM341" s="232"/>
      <c r="BN341" s="232"/>
      <c r="BO341" s="232"/>
      <c r="BP341" s="232"/>
      <c r="BQ341" s="232"/>
      <c r="BR341" s="232"/>
      <c r="BS341" s="232"/>
    </row>
    <row r="342" spans="1:71" ht="15.75" customHeight="1">
      <c r="A342" s="2"/>
      <c r="B342" s="2"/>
      <c r="C342" s="2"/>
      <c r="D342" s="2"/>
      <c r="E342" s="233"/>
      <c r="F342" s="234"/>
      <c r="G342" s="234"/>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46"/>
      <c r="AV342" s="46"/>
      <c r="AW342" s="46"/>
      <c r="AX342" s="46"/>
      <c r="AY342" s="232"/>
      <c r="AZ342" s="232"/>
      <c r="BA342" s="232"/>
      <c r="BB342" s="232"/>
      <c r="BC342" s="232"/>
      <c r="BD342" s="232"/>
      <c r="BE342" s="232"/>
      <c r="BF342" s="232"/>
      <c r="BG342" s="232"/>
      <c r="BH342" s="232"/>
      <c r="BI342" s="232"/>
      <c r="BJ342" s="232"/>
      <c r="BK342" s="232"/>
      <c r="BL342" s="232"/>
      <c r="BM342" s="232"/>
      <c r="BN342" s="232"/>
      <c r="BO342" s="232"/>
      <c r="BP342" s="232"/>
      <c r="BQ342" s="232"/>
      <c r="BR342" s="232"/>
      <c r="BS342" s="232"/>
    </row>
    <row r="343" spans="1:71" ht="15.75" customHeight="1">
      <c r="A343" s="2"/>
      <c r="B343" s="2"/>
      <c r="C343" s="2"/>
      <c r="D343" s="2"/>
      <c r="E343" s="233"/>
      <c r="F343" s="234"/>
      <c r="G343" s="234"/>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46"/>
      <c r="AV343" s="46"/>
      <c r="AW343" s="46"/>
      <c r="AX343" s="46"/>
      <c r="AY343" s="232"/>
      <c r="AZ343" s="232"/>
      <c r="BA343" s="232"/>
      <c r="BB343" s="232"/>
      <c r="BC343" s="232"/>
      <c r="BD343" s="232"/>
      <c r="BE343" s="232"/>
      <c r="BF343" s="232"/>
      <c r="BG343" s="232"/>
      <c r="BH343" s="232"/>
      <c r="BI343" s="232"/>
      <c r="BJ343" s="232"/>
      <c r="BK343" s="232"/>
      <c r="BL343" s="232"/>
      <c r="BM343" s="232"/>
      <c r="BN343" s="232"/>
      <c r="BO343" s="232"/>
      <c r="BP343" s="232"/>
      <c r="BQ343" s="232"/>
      <c r="BR343" s="232"/>
      <c r="BS343" s="232"/>
    </row>
    <row r="344" spans="1:71" ht="15.75" customHeight="1">
      <c r="A344" s="2"/>
      <c r="B344" s="2"/>
      <c r="C344" s="2"/>
      <c r="D344" s="2"/>
      <c r="E344" s="233"/>
      <c r="F344" s="234"/>
      <c r="G344" s="234"/>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46"/>
      <c r="AV344" s="46"/>
      <c r="AW344" s="46"/>
      <c r="AX344" s="46"/>
      <c r="AY344" s="232"/>
      <c r="AZ344" s="232"/>
      <c r="BA344" s="232"/>
      <c r="BB344" s="232"/>
      <c r="BC344" s="232"/>
      <c r="BD344" s="232"/>
      <c r="BE344" s="232"/>
      <c r="BF344" s="232"/>
      <c r="BG344" s="232"/>
      <c r="BH344" s="232"/>
      <c r="BI344" s="232"/>
      <c r="BJ344" s="232"/>
      <c r="BK344" s="232"/>
      <c r="BL344" s="232"/>
      <c r="BM344" s="232"/>
      <c r="BN344" s="232"/>
      <c r="BO344" s="232"/>
      <c r="BP344" s="232"/>
      <c r="BQ344" s="232"/>
      <c r="BR344" s="232"/>
      <c r="BS344" s="232"/>
    </row>
    <row r="345" spans="1:71" ht="15.75" customHeight="1">
      <c r="A345" s="2"/>
      <c r="B345" s="2"/>
      <c r="C345" s="2"/>
      <c r="D345" s="2"/>
      <c r="E345" s="233"/>
      <c r="F345" s="234"/>
      <c r="G345" s="234"/>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46"/>
      <c r="AV345" s="46"/>
      <c r="AW345" s="46"/>
      <c r="AX345" s="46"/>
      <c r="AY345" s="232"/>
      <c r="AZ345" s="232"/>
      <c r="BA345" s="232"/>
      <c r="BB345" s="232"/>
      <c r="BC345" s="232"/>
      <c r="BD345" s="232"/>
      <c r="BE345" s="232"/>
      <c r="BF345" s="232"/>
      <c r="BG345" s="232"/>
      <c r="BH345" s="232"/>
      <c r="BI345" s="232"/>
      <c r="BJ345" s="232"/>
      <c r="BK345" s="232"/>
      <c r="BL345" s="232"/>
      <c r="BM345" s="232"/>
      <c r="BN345" s="232"/>
      <c r="BO345" s="232"/>
      <c r="BP345" s="232"/>
      <c r="BQ345" s="232"/>
      <c r="BR345" s="232"/>
      <c r="BS345" s="232"/>
    </row>
    <row r="346" spans="1:71" ht="15.75" customHeight="1">
      <c r="A346" s="2"/>
      <c r="B346" s="2"/>
      <c r="C346" s="2"/>
      <c r="D346" s="2"/>
      <c r="E346" s="233"/>
      <c r="F346" s="234"/>
      <c r="G346" s="234"/>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46"/>
      <c r="AV346" s="46"/>
      <c r="AW346" s="46"/>
      <c r="AX346" s="46"/>
      <c r="AY346" s="232"/>
      <c r="AZ346" s="232"/>
      <c r="BA346" s="232"/>
      <c r="BB346" s="232"/>
      <c r="BC346" s="232"/>
      <c r="BD346" s="232"/>
      <c r="BE346" s="232"/>
      <c r="BF346" s="232"/>
      <c r="BG346" s="232"/>
      <c r="BH346" s="232"/>
      <c r="BI346" s="232"/>
      <c r="BJ346" s="232"/>
      <c r="BK346" s="232"/>
      <c r="BL346" s="232"/>
      <c r="BM346" s="232"/>
      <c r="BN346" s="232"/>
      <c r="BO346" s="232"/>
      <c r="BP346" s="232"/>
      <c r="BQ346" s="232"/>
      <c r="BR346" s="232"/>
      <c r="BS346" s="232"/>
    </row>
    <row r="347" spans="1:71" ht="15.75" customHeight="1">
      <c r="A347" s="2"/>
      <c r="B347" s="2"/>
      <c r="C347" s="2"/>
      <c r="D347" s="2"/>
      <c r="E347" s="233"/>
      <c r="F347" s="234"/>
      <c r="G347" s="234"/>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46"/>
      <c r="AV347" s="46"/>
      <c r="AW347" s="46"/>
      <c r="AX347" s="46"/>
      <c r="AY347" s="232"/>
      <c r="AZ347" s="232"/>
      <c r="BA347" s="232"/>
      <c r="BB347" s="232"/>
      <c r="BC347" s="232"/>
      <c r="BD347" s="232"/>
      <c r="BE347" s="232"/>
      <c r="BF347" s="232"/>
      <c r="BG347" s="232"/>
      <c r="BH347" s="232"/>
      <c r="BI347" s="232"/>
      <c r="BJ347" s="232"/>
      <c r="BK347" s="232"/>
      <c r="BL347" s="232"/>
      <c r="BM347" s="232"/>
      <c r="BN347" s="232"/>
      <c r="BO347" s="232"/>
      <c r="BP347" s="232"/>
      <c r="BQ347" s="232"/>
      <c r="BR347" s="232"/>
      <c r="BS347" s="232"/>
    </row>
    <row r="348" spans="1:71" ht="15.75" customHeight="1">
      <c r="A348" s="2"/>
      <c r="B348" s="2"/>
      <c r="C348" s="2"/>
      <c r="D348" s="2"/>
      <c r="E348" s="233"/>
      <c r="F348" s="234"/>
      <c r="G348" s="234"/>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46"/>
      <c r="AV348" s="46"/>
      <c r="AW348" s="46"/>
      <c r="AX348" s="46"/>
      <c r="AY348" s="232"/>
      <c r="AZ348" s="232"/>
      <c r="BA348" s="232"/>
      <c r="BB348" s="232"/>
      <c r="BC348" s="232"/>
      <c r="BD348" s="232"/>
      <c r="BE348" s="232"/>
      <c r="BF348" s="232"/>
      <c r="BG348" s="232"/>
      <c r="BH348" s="232"/>
      <c r="BI348" s="232"/>
      <c r="BJ348" s="232"/>
      <c r="BK348" s="232"/>
      <c r="BL348" s="232"/>
      <c r="BM348" s="232"/>
      <c r="BN348" s="232"/>
      <c r="BO348" s="232"/>
      <c r="BP348" s="232"/>
      <c r="BQ348" s="232"/>
      <c r="BR348" s="232"/>
      <c r="BS348" s="232"/>
    </row>
    <row r="349" spans="1:71" ht="15.75" customHeight="1">
      <c r="A349" s="2"/>
      <c r="B349" s="2"/>
      <c r="C349" s="2"/>
      <c r="D349" s="2"/>
      <c r="E349" s="233"/>
      <c r="F349" s="234"/>
      <c r="G349" s="234"/>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46"/>
      <c r="AV349" s="46"/>
      <c r="AW349" s="46"/>
      <c r="AX349" s="46"/>
      <c r="AY349" s="232"/>
      <c r="AZ349" s="232"/>
      <c r="BA349" s="232"/>
      <c r="BB349" s="232"/>
      <c r="BC349" s="232"/>
      <c r="BD349" s="232"/>
      <c r="BE349" s="232"/>
      <c r="BF349" s="232"/>
      <c r="BG349" s="232"/>
      <c r="BH349" s="232"/>
      <c r="BI349" s="232"/>
      <c r="BJ349" s="232"/>
      <c r="BK349" s="232"/>
      <c r="BL349" s="232"/>
      <c r="BM349" s="232"/>
      <c r="BN349" s="232"/>
      <c r="BO349" s="232"/>
      <c r="BP349" s="232"/>
      <c r="BQ349" s="232"/>
      <c r="BR349" s="232"/>
      <c r="BS349" s="232"/>
    </row>
    <row r="350" spans="1:71" ht="15.75" customHeight="1">
      <c r="A350" s="2"/>
      <c r="B350" s="2"/>
      <c r="C350" s="2"/>
      <c r="D350" s="2"/>
      <c r="E350" s="233"/>
      <c r="F350" s="234"/>
      <c r="G350" s="234"/>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46"/>
      <c r="AV350" s="46"/>
      <c r="AW350" s="46"/>
      <c r="AX350" s="46"/>
      <c r="AY350" s="232"/>
      <c r="AZ350" s="232"/>
      <c r="BA350" s="232"/>
      <c r="BB350" s="232"/>
      <c r="BC350" s="232"/>
      <c r="BD350" s="232"/>
      <c r="BE350" s="232"/>
      <c r="BF350" s="232"/>
      <c r="BG350" s="232"/>
      <c r="BH350" s="232"/>
      <c r="BI350" s="232"/>
      <c r="BJ350" s="232"/>
      <c r="BK350" s="232"/>
      <c r="BL350" s="232"/>
      <c r="BM350" s="232"/>
      <c r="BN350" s="232"/>
      <c r="BO350" s="232"/>
      <c r="BP350" s="232"/>
      <c r="BQ350" s="232"/>
      <c r="BR350" s="232"/>
      <c r="BS350" s="232"/>
    </row>
    <row r="351" spans="1:71" ht="15.75" customHeight="1">
      <c r="A351" s="2"/>
      <c r="B351" s="2"/>
      <c r="C351" s="2"/>
      <c r="D351" s="2"/>
      <c r="E351" s="233"/>
      <c r="F351" s="234"/>
      <c r="G351" s="234"/>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46"/>
      <c r="AV351" s="46"/>
      <c r="AW351" s="46"/>
      <c r="AX351" s="46"/>
      <c r="AY351" s="232"/>
      <c r="AZ351" s="232"/>
      <c r="BA351" s="232"/>
      <c r="BB351" s="232"/>
      <c r="BC351" s="232"/>
      <c r="BD351" s="232"/>
      <c r="BE351" s="232"/>
      <c r="BF351" s="232"/>
      <c r="BG351" s="232"/>
      <c r="BH351" s="232"/>
      <c r="BI351" s="232"/>
      <c r="BJ351" s="232"/>
      <c r="BK351" s="232"/>
      <c r="BL351" s="232"/>
      <c r="BM351" s="232"/>
      <c r="BN351" s="232"/>
      <c r="BO351" s="232"/>
      <c r="BP351" s="232"/>
      <c r="BQ351" s="232"/>
      <c r="BR351" s="232"/>
      <c r="BS351" s="232"/>
    </row>
    <row r="352" spans="1:71" ht="15.75" customHeight="1">
      <c r="A352" s="2"/>
      <c r="B352" s="2"/>
      <c r="C352" s="2"/>
      <c r="D352" s="2"/>
      <c r="E352" s="233"/>
      <c r="F352" s="234"/>
      <c r="G352" s="234"/>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46"/>
      <c r="AV352" s="46"/>
      <c r="AW352" s="46"/>
      <c r="AX352" s="46"/>
      <c r="AY352" s="232"/>
      <c r="AZ352" s="232"/>
      <c r="BA352" s="232"/>
      <c r="BB352" s="232"/>
      <c r="BC352" s="232"/>
      <c r="BD352" s="232"/>
      <c r="BE352" s="232"/>
      <c r="BF352" s="232"/>
      <c r="BG352" s="232"/>
      <c r="BH352" s="232"/>
      <c r="BI352" s="232"/>
      <c r="BJ352" s="232"/>
      <c r="BK352" s="232"/>
      <c r="BL352" s="232"/>
      <c r="BM352" s="232"/>
      <c r="BN352" s="232"/>
      <c r="BO352" s="232"/>
      <c r="BP352" s="232"/>
      <c r="BQ352" s="232"/>
      <c r="BR352" s="232"/>
      <c r="BS352" s="232"/>
    </row>
    <row r="353" spans="1:71" ht="15.75" customHeight="1">
      <c r="A353" s="2"/>
      <c r="B353" s="2"/>
      <c r="C353" s="2"/>
      <c r="D353" s="2"/>
      <c r="E353" s="233"/>
      <c r="F353" s="234"/>
      <c r="G353" s="234"/>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46"/>
      <c r="AV353" s="46"/>
      <c r="AW353" s="46"/>
      <c r="AX353" s="46"/>
      <c r="AY353" s="232"/>
      <c r="AZ353" s="232"/>
      <c r="BA353" s="232"/>
      <c r="BB353" s="232"/>
      <c r="BC353" s="232"/>
      <c r="BD353" s="232"/>
      <c r="BE353" s="232"/>
      <c r="BF353" s="232"/>
      <c r="BG353" s="232"/>
      <c r="BH353" s="232"/>
      <c r="BI353" s="232"/>
      <c r="BJ353" s="232"/>
      <c r="BK353" s="232"/>
      <c r="BL353" s="232"/>
      <c r="BM353" s="232"/>
      <c r="BN353" s="232"/>
      <c r="BO353" s="232"/>
      <c r="BP353" s="232"/>
      <c r="BQ353" s="232"/>
      <c r="BR353" s="232"/>
      <c r="BS353" s="232"/>
    </row>
    <row r="354" spans="1:71" ht="15.75" customHeight="1">
      <c r="A354" s="2"/>
      <c r="B354" s="2"/>
      <c r="C354" s="2"/>
      <c r="D354" s="2"/>
      <c r="E354" s="233"/>
      <c r="F354" s="234"/>
      <c r="G354" s="234"/>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46"/>
      <c r="AV354" s="46"/>
      <c r="AW354" s="46"/>
      <c r="AX354" s="46"/>
      <c r="AY354" s="232"/>
      <c r="AZ354" s="232"/>
      <c r="BA354" s="232"/>
      <c r="BB354" s="232"/>
      <c r="BC354" s="232"/>
      <c r="BD354" s="232"/>
      <c r="BE354" s="232"/>
      <c r="BF354" s="232"/>
      <c r="BG354" s="232"/>
      <c r="BH354" s="232"/>
      <c r="BI354" s="232"/>
      <c r="BJ354" s="232"/>
      <c r="BK354" s="232"/>
      <c r="BL354" s="232"/>
      <c r="BM354" s="232"/>
      <c r="BN354" s="232"/>
      <c r="BO354" s="232"/>
      <c r="BP354" s="232"/>
      <c r="BQ354" s="232"/>
      <c r="BR354" s="232"/>
      <c r="BS354" s="232"/>
    </row>
    <row r="355" spans="1:71" ht="15.75" customHeight="1">
      <c r="A355" s="2"/>
      <c r="B355" s="2"/>
      <c r="C355" s="2"/>
      <c r="D355" s="2"/>
      <c r="E355" s="233"/>
      <c r="F355" s="234"/>
      <c r="G355" s="234"/>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46"/>
      <c r="AV355" s="46"/>
      <c r="AW355" s="46"/>
      <c r="AX355" s="46"/>
      <c r="AY355" s="232"/>
      <c r="AZ355" s="232"/>
      <c r="BA355" s="232"/>
      <c r="BB355" s="232"/>
      <c r="BC355" s="232"/>
      <c r="BD355" s="232"/>
      <c r="BE355" s="232"/>
      <c r="BF355" s="232"/>
      <c r="BG355" s="232"/>
      <c r="BH355" s="232"/>
      <c r="BI355" s="232"/>
      <c r="BJ355" s="232"/>
      <c r="BK355" s="232"/>
      <c r="BL355" s="232"/>
      <c r="BM355" s="232"/>
      <c r="BN355" s="232"/>
      <c r="BO355" s="232"/>
      <c r="BP355" s="232"/>
      <c r="BQ355" s="232"/>
      <c r="BR355" s="232"/>
      <c r="BS355" s="232"/>
    </row>
    <row r="356" spans="1:71" ht="15.75" customHeight="1">
      <c r="A356" s="2"/>
      <c r="B356" s="2"/>
      <c r="C356" s="2"/>
      <c r="D356" s="2"/>
      <c r="E356" s="233"/>
      <c r="F356" s="234"/>
      <c r="G356" s="234"/>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46"/>
      <c r="AV356" s="46"/>
      <c r="AW356" s="46"/>
      <c r="AX356" s="46"/>
      <c r="AY356" s="232"/>
      <c r="AZ356" s="232"/>
      <c r="BA356" s="232"/>
      <c r="BB356" s="232"/>
      <c r="BC356" s="232"/>
      <c r="BD356" s="232"/>
      <c r="BE356" s="232"/>
      <c r="BF356" s="232"/>
      <c r="BG356" s="232"/>
      <c r="BH356" s="232"/>
      <c r="BI356" s="232"/>
      <c r="BJ356" s="232"/>
      <c r="BK356" s="232"/>
      <c r="BL356" s="232"/>
      <c r="BM356" s="232"/>
      <c r="BN356" s="232"/>
      <c r="BO356" s="232"/>
      <c r="BP356" s="232"/>
      <c r="BQ356" s="232"/>
      <c r="BR356" s="232"/>
      <c r="BS356" s="232"/>
    </row>
    <row r="357" spans="1:71" ht="15.75" customHeight="1">
      <c r="A357" s="2"/>
      <c r="B357" s="2"/>
      <c r="C357" s="2"/>
      <c r="D357" s="2"/>
      <c r="E357" s="233"/>
      <c r="F357" s="234"/>
      <c r="G357" s="234"/>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46"/>
      <c r="AV357" s="46"/>
      <c r="AW357" s="46"/>
      <c r="AX357" s="46"/>
      <c r="AY357" s="232"/>
      <c r="AZ357" s="232"/>
      <c r="BA357" s="232"/>
      <c r="BB357" s="232"/>
      <c r="BC357" s="232"/>
      <c r="BD357" s="232"/>
      <c r="BE357" s="232"/>
      <c r="BF357" s="232"/>
      <c r="BG357" s="232"/>
      <c r="BH357" s="232"/>
      <c r="BI357" s="232"/>
      <c r="BJ357" s="232"/>
      <c r="BK357" s="232"/>
      <c r="BL357" s="232"/>
      <c r="BM357" s="232"/>
      <c r="BN357" s="232"/>
      <c r="BO357" s="232"/>
      <c r="BP357" s="232"/>
      <c r="BQ357" s="232"/>
      <c r="BR357" s="232"/>
      <c r="BS357" s="232"/>
    </row>
    <row r="358" spans="1:71" ht="15.75" customHeight="1">
      <c r="A358" s="2"/>
      <c r="B358" s="2"/>
      <c r="C358" s="2"/>
      <c r="D358" s="2"/>
      <c r="E358" s="233"/>
      <c r="F358" s="234"/>
      <c r="G358" s="234"/>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46"/>
      <c r="AV358" s="46"/>
      <c r="AW358" s="46"/>
      <c r="AX358" s="46"/>
      <c r="AY358" s="232"/>
      <c r="AZ358" s="232"/>
      <c r="BA358" s="232"/>
      <c r="BB358" s="232"/>
      <c r="BC358" s="232"/>
      <c r="BD358" s="232"/>
      <c r="BE358" s="232"/>
      <c r="BF358" s="232"/>
      <c r="BG358" s="232"/>
      <c r="BH358" s="232"/>
      <c r="BI358" s="232"/>
      <c r="BJ358" s="232"/>
      <c r="BK358" s="232"/>
      <c r="BL358" s="232"/>
      <c r="BM358" s="232"/>
      <c r="BN358" s="232"/>
      <c r="BO358" s="232"/>
      <c r="BP358" s="232"/>
      <c r="BQ358" s="232"/>
      <c r="BR358" s="232"/>
      <c r="BS358" s="232"/>
    </row>
    <row r="359" spans="1:71" ht="15.75" customHeight="1">
      <c r="A359" s="2"/>
      <c r="B359" s="2"/>
      <c r="C359" s="2"/>
      <c r="D359" s="2"/>
      <c r="E359" s="233"/>
      <c r="F359" s="234"/>
      <c r="G359" s="234"/>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46"/>
      <c r="AV359" s="46"/>
      <c r="AW359" s="46"/>
      <c r="AX359" s="46"/>
      <c r="AY359" s="232"/>
      <c r="AZ359" s="232"/>
      <c r="BA359" s="232"/>
      <c r="BB359" s="232"/>
      <c r="BC359" s="232"/>
      <c r="BD359" s="232"/>
      <c r="BE359" s="232"/>
      <c r="BF359" s="232"/>
      <c r="BG359" s="232"/>
      <c r="BH359" s="232"/>
      <c r="BI359" s="232"/>
      <c r="BJ359" s="232"/>
      <c r="BK359" s="232"/>
      <c r="BL359" s="232"/>
      <c r="BM359" s="232"/>
      <c r="BN359" s="232"/>
      <c r="BO359" s="232"/>
      <c r="BP359" s="232"/>
      <c r="BQ359" s="232"/>
      <c r="BR359" s="232"/>
      <c r="BS359" s="232"/>
    </row>
    <row r="360" spans="1:71" ht="15.75" customHeight="1">
      <c r="A360" s="2"/>
      <c r="B360" s="2"/>
      <c r="C360" s="2"/>
      <c r="D360" s="2"/>
      <c r="E360" s="233"/>
      <c r="F360" s="234"/>
      <c r="G360" s="234"/>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46"/>
      <c r="AV360" s="46"/>
      <c r="AW360" s="46"/>
      <c r="AX360" s="46"/>
      <c r="AY360" s="232"/>
      <c r="AZ360" s="232"/>
      <c r="BA360" s="232"/>
      <c r="BB360" s="232"/>
      <c r="BC360" s="232"/>
      <c r="BD360" s="232"/>
      <c r="BE360" s="232"/>
      <c r="BF360" s="232"/>
      <c r="BG360" s="232"/>
      <c r="BH360" s="232"/>
      <c r="BI360" s="232"/>
      <c r="BJ360" s="232"/>
      <c r="BK360" s="232"/>
      <c r="BL360" s="232"/>
      <c r="BM360" s="232"/>
      <c r="BN360" s="232"/>
      <c r="BO360" s="232"/>
      <c r="BP360" s="232"/>
      <c r="BQ360" s="232"/>
      <c r="BR360" s="232"/>
      <c r="BS360" s="232"/>
    </row>
    <row r="361" spans="1:71" ht="15.75" customHeight="1">
      <c r="A361" s="2"/>
      <c r="B361" s="2"/>
      <c r="C361" s="2"/>
      <c r="D361" s="2"/>
      <c r="E361" s="233"/>
      <c r="F361" s="234"/>
      <c r="G361" s="234"/>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46"/>
      <c r="AV361" s="46"/>
      <c r="AW361" s="46"/>
      <c r="AX361" s="46"/>
      <c r="AY361" s="232"/>
      <c r="AZ361" s="232"/>
      <c r="BA361" s="232"/>
      <c r="BB361" s="232"/>
      <c r="BC361" s="232"/>
      <c r="BD361" s="232"/>
      <c r="BE361" s="232"/>
      <c r="BF361" s="232"/>
      <c r="BG361" s="232"/>
      <c r="BH361" s="232"/>
      <c r="BI361" s="232"/>
      <c r="BJ361" s="232"/>
      <c r="BK361" s="232"/>
      <c r="BL361" s="232"/>
      <c r="BM361" s="232"/>
      <c r="BN361" s="232"/>
      <c r="BO361" s="232"/>
      <c r="BP361" s="232"/>
      <c r="BQ361" s="232"/>
      <c r="BR361" s="232"/>
      <c r="BS361" s="232"/>
    </row>
    <row r="362" spans="1:71" ht="15.75" customHeight="1">
      <c r="A362" s="2"/>
      <c r="B362" s="2"/>
      <c r="C362" s="2"/>
      <c r="D362" s="2"/>
      <c r="E362" s="233"/>
      <c r="F362" s="234"/>
      <c r="G362" s="234"/>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46"/>
      <c r="AV362" s="46"/>
      <c r="AW362" s="46"/>
      <c r="AX362" s="46"/>
      <c r="AY362" s="232"/>
      <c r="AZ362" s="232"/>
      <c r="BA362" s="232"/>
      <c r="BB362" s="232"/>
      <c r="BC362" s="232"/>
      <c r="BD362" s="232"/>
      <c r="BE362" s="232"/>
      <c r="BF362" s="232"/>
      <c r="BG362" s="232"/>
      <c r="BH362" s="232"/>
      <c r="BI362" s="232"/>
      <c r="BJ362" s="232"/>
      <c r="BK362" s="232"/>
      <c r="BL362" s="232"/>
      <c r="BM362" s="232"/>
      <c r="BN362" s="232"/>
      <c r="BO362" s="232"/>
      <c r="BP362" s="232"/>
      <c r="BQ362" s="232"/>
      <c r="BR362" s="232"/>
      <c r="BS362" s="232"/>
    </row>
    <row r="363" spans="1:71" ht="15.75" customHeight="1">
      <c r="A363" s="2"/>
      <c r="B363" s="2"/>
      <c r="C363" s="2"/>
      <c r="D363" s="2"/>
      <c r="E363" s="233"/>
      <c r="F363" s="234"/>
      <c r="G363" s="234"/>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46"/>
      <c r="AV363" s="46"/>
      <c r="AW363" s="46"/>
      <c r="AX363" s="46"/>
      <c r="AY363" s="232"/>
      <c r="AZ363" s="232"/>
      <c r="BA363" s="232"/>
      <c r="BB363" s="232"/>
      <c r="BC363" s="232"/>
      <c r="BD363" s="232"/>
      <c r="BE363" s="232"/>
      <c r="BF363" s="232"/>
      <c r="BG363" s="232"/>
      <c r="BH363" s="232"/>
      <c r="BI363" s="232"/>
      <c r="BJ363" s="232"/>
      <c r="BK363" s="232"/>
      <c r="BL363" s="232"/>
      <c r="BM363" s="232"/>
      <c r="BN363" s="232"/>
      <c r="BO363" s="232"/>
      <c r="BP363" s="232"/>
      <c r="BQ363" s="232"/>
      <c r="BR363" s="232"/>
      <c r="BS363" s="232"/>
    </row>
    <row r="364" spans="1:71" ht="15.75" customHeight="1">
      <c r="A364" s="2"/>
      <c r="B364" s="2"/>
      <c r="C364" s="2"/>
      <c r="D364" s="2"/>
      <c r="E364" s="233"/>
      <c r="F364" s="234"/>
      <c r="G364" s="234"/>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46"/>
      <c r="AV364" s="46"/>
      <c r="AW364" s="46"/>
      <c r="AX364" s="46"/>
      <c r="AY364" s="232"/>
      <c r="AZ364" s="232"/>
      <c r="BA364" s="232"/>
      <c r="BB364" s="232"/>
      <c r="BC364" s="232"/>
      <c r="BD364" s="232"/>
      <c r="BE364" s="232"/>
      <c r="BF364" s="232"/>
      <c r="BG364" s="232"/>
      <c r="BH364" s="232"/>
      <c r="BI364" s="232"/>
      <c r="BJ364" s="232"/>
      <c r="BK364" s="232"/>
      <c r="BL364" s="232"/>
      <c r="BM364" s="232"/>
      <c r="BN364" s="232"/>
      <c r="BO364" s="232"/>
      <c r="BP364" s="232"/>
      <c r="BQ364" s="232"/>
      <c r="BR364" s="232"/>
      <c r="BS364" s="232"/>
    </row>
    <row r="365" spans="1:71" ht="15.75" customHeight="1">
      <c r="A365" s="2"/>
      <c r="B365" s="2"/>
      <c r="C365" s="2"/>
      <c r="D365" s="2"/>
      <c r="E365" s="233"/>
      <c r="F365" s="234"/>
      <c r="G365" s="234"/>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46"/>
      <c r="AV365" s="46"/>
      <c r="AW365" s="46"/>
      <c r="AX365" s="46"/>
      <c r="AY365" s="232"/>
      <c r="AZ365" s="232"/>
      <c r="BA365" s="232"/>
      <c r="BB365" s="232"/>
      <c r="BC365" s="232"/>
      <c r="BD365" s="232"/>
      <c r="BE365" s="232"/>
      <c r="BF365" s="232"/>
      <c r="BG365" s="232"/>
      <c r="BH365" s="232"/>
      <c r="BI365" s="232"/>
      <c r="BJ365" s="232"/>
      <c r="BK365" s="232"/>
      <c r="BL365" s="232"/>
      <c r="BM365" s="232"/>
      <c r="BN365" s="232"/>
      <c r="BO365" s="232"/>
      <c r="BP365" s="232"/>
      <c r="BQ365" s="232"/>
      <c r="BR365" s="232"/>
      <c r="BS365" s="232"/>
    </row>
    <row r="366" spans="1:71" ht="15.75" customHeight="1">
      <c r="A366" s="2"/>
      <c r="B366" s="2"/>
      <c r="C366" s="2"/>
      <c r="D366" s="2"/>
      <c r="E366" s="233"/>
      <c r="F366" s="234"/>
      <c r="G366" s="234"/>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46"/>
      <c r="AV366" s="46"/>
      <c r="AW366" s="46"/>
      <c r="AX366" s="46"/>
      <c r="AY366" s="232"/>
      <c r="AZ366" s="232"/>
      <c r="BA366" s="232"/>
      <c r="BB366" s="232"/>
      <c r="BC366" s="232"/>
      <c r="BD366" s="232"/>
      <c r="BE366" s="232"/>
      <c r="BF366" s="232"/>
      <c r="BG366" s="232"/>
      <c r="BH366" s="232"/>
      <c r="BI366" s="232"/>
      <c r="BJ366" s="232"/>
      <c r="BK366" s="232"/>
      <c r="BL366" s="232"/>
      <c r="BM366" s="232"/>
      <c r="BN366" s="232"/>
      <c r="BO366" s="232"/>
      <c r="BP366" s="232"/>
      <c r="BQ366" s="232"/>
      <c r="BR366" s="232"/>
      <c r="BS366" s="232"/>
    </row>
    <row r="367" spans="1:71" ht="15.75" customHeight="1">
      <c r="A367" s="2"/>
      <c r="B367" s="2"/>
      <c r="C367" s="2"/>
      <c r="D367" s="2"/>
      <c r="E367" s="233"/>
      <c r="F367" s="234"/>
      <c r="G367" s="234"/>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46"/>
      <c r="AV367" s="46"/>
      <c r="AW367" s="46"/>
      <c r="AX367" s="46"/>
      <c r="AY367" s="232"/>
      <c r="AZ367" s="232"/>
      <c r="BA367" s="232"/>
      <c r="BB367" s="232"/>
      <c r="BC367" s="232"/>
      <c r="BD367" s="232"/>
      <c r="BE367" s="232"/>
      <c r="BF367" s="232"/>
      <c r="BG367" s="232"/>
      <c r="BH367" s="232"/>
      <c r="BI367" s="232"/>
      <c r="BJ367" s="232"/>
      <c r="BK367" s="232"/>
      <c r="BL367" s="232"/>
      <c r="BM367" s="232"/>
      <c r="BN367" s="232"/>
      <c r="BO367" s="232"/>
      <c r="BP367" s="232"/>
      <c r="BQ367" s="232"/>
      <c r="BR367" s="232"/>
      <c r="BS367" s="232"/>
    </row>
    <row r="368" spans="1:71" ht="15.75" customHeight="1">
      <c r="A368" s="2"/>
      <c r="B368" s="2"/>
      <c r="C368" s="2"/>
      <c r="D368" s="2"/>
      <c r="E368" s="233"/>
      <c r="F368" s="234"/>
      <c r="G368" s="234"/>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46"/>
      <c r="AV368" s="46"/>
      <c r="AW368" s="46"/>
      <c r="AX368" s="46"/>
      <c r="AY368" s="232"/>
      <c r="AZ368" s="232"/>
      <c r="BA368" s="232"/>
      <c r="BB368" s="232"/>
      <c r="BC368" s="232"/>
      <c r="BD368" s="232"/>
      <c r="BE368" s="232"/>
      <c r="BF368" s="232"/>
      <c r="BG368" s="232"/>
      <c r="BH368" s="232"/>
      <c r="BI368" s="232"/>
      <c r="BJ368" s="232"/>
      <c r="BK368" s="232"/>
      <c r="BL368" s="232"/>
      <c r="BM368" s="232"/>
      <c r="BN368" s="232"/>
      <c r="BO368" s="232"/>
      <c r="BP368" s="232"/>
      <c r="BQ368" s="232"/>
      <c r="BR368" s="232"/>
      <c r="BS368" s="232"/>
    </row>
    <row r="369" spans="1:71" ht="15.75" customHeight="1">
      <c r="A369" s="2"/>
      <c r="B369" s="2"/>
      <c r="C369" s="2"/>
      <c r="D369" s="2"/>
      <c r="E369" s="233"/>
      <c r="F369" s="234"/>
      <c r="G369" s="234"/>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46"/>
      <c r="AV369" s="46"/>
      <c r="AW369" s="46"/>
      <c r="AX369" s="46"/>
      <c r="AY369" s="232"/>
      <c r="AZ369" s="232"/>
      <c r="BA369" s="232"/>
      <c r="BB369" s="232"/>
      <c r="BC369" s="232"/>
      <c r="BD369" s="232"/>
      <c r="BE369" s="232"/>
      <c r="BF369" s="232"/>
      <c r="BG369" s="232"/>
      <c r="BH369" s="232"/>
      <c r="BI369" s="232"/>
      <c r="BJ369" s="232"/>
      <c r="BK369" s="232"/>
      <c r="BL369" s="232"/>
      <c r="BM369" s="232"/>
      <c r="BN369" s="232"/>
      <c r="BO369" s="232"/>
      <c r="BP369" s="232"/>
      <c r="BQ369" s="232"/>
      <c r="BR369" s="232"/>
      <c r="BS369" s="232"/>
    </row>
    <row r="370" spans="1:71" ht="15.75" customHeight="1">
      <c r="A370" s="2"/>
      <c r="B370" s="2"/>
      <c r="C370" s="2"/>
      <c r="D370" s="2"/>
      <c r="E370" s="233"/>
      <c r="F370" s="234"/>
      <c r="G370" s="234"/>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46"/>
      <c r="AV370" s="46"/>
      <c r="AW370" s="46"/>
      <c r="AX370" s="46"/>
      <c r="AY370" s="232"/>
      <c r="AZ370" s="232"/>
      <c r="BA370" s="232"/>
      <c r="BB370" s="232"/>
      <c r="BC370" s="232"/>
      <c r="BD370" s="232"/>
      <c r="BE370" s="232"/>
      <c r="BF370" s="232"/>
      <c r="BG370" s="232"/>
      <c r="BH370" s="232"/>
      <c r="BI370" s="232"/>
      <c r="BJ370" s="232"/>
      <c r="BK370" s="232"/>
      <c r="BL370" s="232"/>
      <c r="BM370" s="232"/>
      <c r="BN370" s="232"/>
      <c r="BO370" s="232"/>
      <c r="BP370" s="232"/>
      <c r="BQ370" s="232"/>
      <c r="BR370" s="232"/>
      <c r="BS370" s="232"/>
    </row>
    <row r="371" spans="1:71" ht="15.75" customHeight="1">
      <c r="A371" s="2"/>
      <c r="B371" s="2"/>
      <c r="C371" s="2"/>
      <c r="D371" s="2"/>
      <c r="E371" s="233"/>
      <c r="F371" s="234"/>
      <c r="G371" s="234"/>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46"/>
      <c r="AV371" s="46"/>
      <c r="AW371" s="46"/>
      <c r="AX371" s="46"/>
      <c r="AY371" s="232"/>
      <c r="AZ371" s="232"/>
      <c r="BA371" s="232"/>
      <c r="BB371" s="232"/>
      <c r="BC371" s="232"/>
      <c r="BD371" s="232"/>
      <c r="BE371" s="232"/>
      <c r="BF371" s="232"/>
      <c r="BG371" s="232"/>
      <c r="BH371" s="232"/>
      <c r="BI371" s="232"/>
      <c r="BJ371" s="232"/>
      <c r="BK371" s="232"/>
      <c r="BL371" s="232"/>
      <c r="BM371" s="232"/>
      <c r="BN371" s="232"/>
      <c r="BO371" s="232"/>
      <c r="BP371" s="232"/>
      <c r="BQ371" s="232"/>
      <c r="BR371" s="232"/>
      <c r="BS371" s="232"/>
    </row>
    <row r="372" spans="1:71" ht="15.75" customHeight="1">
      <c r="A372" s="2"/>
      <c r="B372" s="2"/>
      <c r="C372" s="2"/>
      <c r="D372" s="2"/>
      <c r="E372" s="233"/>
      <c r="F372" s="234"/>
      <c r="G372" s="234"/>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46"/>
      <c r="AV372" s="46"/>
      <c r="AW372" s="46"/>
      <c r="AX372" s="46"/>
      <c r="AY372" s="232"/>
      <c r="AZ372" s="232"/>
      <c r="BA372" s="232"/>
      <c r="BB372" s="232"/>
      <c r="BC372" s="232"/>
      <c r="BD372" s="232"/>
      <c r="BE372" s="232"/>
      <c r="BF372" s="232"/>
      <c r="BG372" s="232"/>
      <c r="BH372" s="232"/>
      <c r="BI372" s="232"/>
      <c r="BJ372" s="232"/>
      <c r="BK372" s="232"/>
      <c r="BL372" s="232"/>
      <c r="BM372" s="232"/>
      <c r="BN372" s="232"/>
      <c r="BO372" s="232"/>
      <c r="BP372" s="232"/>
      <c r="BQ372" s="232"/>
      <c r="BR372" s="232"/>
      <c r="BS372" s="232"/>
    </row>
    <row r="373" spans="1:71" ht="15.75" customHeight="1">
      <c r="A373" s="2"/>
      <c r="B373" s="2"/>
      <c r="C373" s="2"/>
      <c r="D373" s="2"/>
      <c r="E373" s="233"/>
      <c r="F373" s="234"/>
      <c r="G373" s="234"/>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46"/>
      <c r="AV373" s="46"/>
      <c r="AW373" s="46"/>
      <c r="AX373" s="46"/>
      <c r="AY373" s="232"/>
      <c r="AZ373" s="232"/>
      <c r="BA373" s="232"/>
      <c r="BB373" s="232"/>
      <c r="BC373" s="232"/>
      <c r="BD373" s="232"/>
      <c r="BE373" s="232"/>
      <c r="BF373" s="232"/>
      <c r="BG373" s="232"/>
      <c r="BH373" s="232"/>
      <c r="BI373" s="232"/>
      <c r="BJ373" s="232"/>
      <c r="BK373" s="232"/>
      <c r="BL373" s="232"/>
      <c r="BM373" s="232"/>
      <c r="BN373" s="232"/>
      <c r="BO373" s="232"/>
      <c r="BP373" s="232"/>
      <c r="BQ373" s="232"/>
      <c r="BR373" s="232"/>
      <c r="BS373" s="232"/>
    </row>
    <row r="374" spans="1:71" ht="15.75" customHeight="1">
      <c r="A374" s="2"/>
      <c r="B374" s="2"/>
      <c r="C374" s="2"/>
      <c r="D374" s="2"/>
      <c r="E374" s="233"/>
      <c r="F374" s="234"/>
      <c r="G374" s="234"/>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46"/>
      <c r="AV374" s="46"/>
      <c r="AW374" s="46"/>
      <c r="AX374" s="46"/>
      <c r="AY374" s="232"/>
      <c r="AZ374" s="232"/>
      <c r="BA374" s="232"/>
      <c r="BB374" s="232"/>
      <c r="BC374" s="232"/>
      <c r="BD374" s="232"/>
      <c r="BE374" s="232"/>
      <c r="BF374" s="232"/>
      <c r="BG374" s="232"/>
      <c r="BH374" s="232"/>
      <c r="BI374" s="232"/>
      <c r="BJ374" s="232"/>
      <c r="BK374" s="232"/>
      <c r="BL374" s="232"/>
      <c r="BM374" s="232"/>
      <c r="BN374" s="232"/>
      <c r="BO374" s="232"/>
      <c r="BP374" s="232"/>
      <c r="BQ374" s="232"/>
      <c r="BR374" s="232"/>
      <c r="BS374" s="232"/>
    </row>
    <row r="375" spans="1:71" ht="15.75" customHeight="1">
      <c r="A375" s="2"/>
      <c r="B375" s="2"/>
      <c r="C375" s="2"/>
      <c r="D375" s="2"/>
      <c r="E375" s="233"/>
      <c r="F375" s="234"/>
      <c r="G375" s="234"/>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46"/>
      <c r="AV375" s="46"/>
      <c r="AW375" s="46"/>
      <c r="AX375" s="46"/>
      <c r="AY375" s="232"/>
      <c r="AZ375" s="232"/>
      <c r="BA375" s="232"/>
      <c r="BB375" s="232"/>
      <c r="BC375" s="232"/>
      <c r="BD375" s="232"/>
      <c r="BE375" s="232"/>
      <c r="BF375" s="232"/>
      <c r="BG375" s="232"/>
      <c r="BH375" s="232"/>
      <c r="BI375" s="232"/>
      <c r="BJ375" s="232"/>
      <c r="BK375" s="232"/>
      <c r="BL375" s="232"/>
      <c r="BM375" s="232"/>
      <c r="BN375" s="232"/>
      <c r="BO375" s="232"/>
      <c r="BP375" s="232"/>
      <c r="BQ375" s="232"/>
      <c r="BR375" s="232"/>
      <c r="BS375" s="232"/>
    </row>
    <row r="376" spans="1:71" ht="15.75" customHeight="1">
      <c r="A376" s="2"/>
      <c r="B376" s="2"/>
      <c r="C376" s="2"/>
      <c r="D376" s="2"/>
      <c r="E376" s="233"/>
      <c r="F376" s="234"/>
      <c r="G376" s="234"/>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46"/>
      <c r="AV376" s="46"/>
      <c r="AW376" s="46"/>
      <c r="AX376" s="46"/>
      <c r="AY376" s="232"/>
      <c r="AZ376" s="232"/>
      <c r="BA376" s="232"/>
      <c r="BB376" s="232"/>
      <c r="BC376" s="232"/>
      <c r="BD376" s="232"/>
      <c r="BE376" s="232"/>
      <c r="BF376" s="232"/>
      <c r="BG376" s="232"/>
      <c r="BH376" s="232"/>
      <c r="BI376" s="232"/>
      <c r="BJ376" s="232"/>
      <c r="BK376" s="232"/>
      <c r="BL376" s="232"/>
      <c r="BM376" s="232"/>
      <c r="BN376" s="232"/>
      <c r="BO376" s="232"/>
      <c r="BP376" s="232"/>
      <c r="BQ376" s="232"/>
      <c r="BR376" s="232"/>
      <c r="BS376" s="232"/>
    </row>
    <row r="377" spans="1:71" ht="15.75" customHeight="1">
      <c r="A377" s="2"/>
      <c r="B377" s="2"/>
      <c r="C377" s="2"/>
      <c r="D377" s="2"/>
      <c r="E377" s="233"/>
      <c r="F377" s="234"/>
      <c r="G377" s="234"/>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46"/>
      <c r="AV377" s="46"/>
      <c r="AW377" s="46"/>
      <c r="AX377" s="46"/>
      <c r="AY377" s="232"/>
      <c r="AZ377" s="232"/>
      <c r="BA377" s="232"/>
      <c r="BB377" s="232"/>
      <c r="BC377" s="232"/>
      <c r="BD377" s="232"/>
      <c r="BE377" s="232"/>
      <c r="BF377" s="232"/>
      <c r="BG377" s="232"/>
      <c r="BH377" s="232"/>
      <c r="BI377" s="232"/>
      <c r="BJ377" s="232"/>
      <c r="BK377" s="232"/>
      <c r="BL377" s="232"/>
      <c r="BM377" s="232"/>
      <c r="BN377" s="232"/>
      <c r="BO377" s="232"/>
      <c r="BP377" s="232"/>
      <c r="BQ377" s="232"/>
      <c r="BR377" s="232"/>
      <c r="BS377" s="232"/>
    </row>
    <row r="378" spans="1:71" ht="15.75" customHeight="1">
      <c r="A378" s="2"/>
      <c r="B378" s="2"/>
      <c r="C378" s="2"/>
      <c r="D378" s="2"/>
      <c r="E378" s="233"/>
      <c r="F378" s="234"/>
      <c r="G378" s="234"/>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46"/>
      <c r="AV378" s="46"/>
      <c r="AW378" s="46"/>
      <c r="AX378" s="46"/>
      <c r="AY378" s="232"/>
      <c r="AZ378" s="232"/>
      <c r="BA378" s="232"/>
      <c r="BB378" s="232"/>
      <c r="BC378" s="232"/>
      <c r="BD378" s="232"/>
      <c r="BE378" s="232"/>
      <c r="BF378" s="232"/>
      <c r="BG378" s="232"/>
      <c r="BH378" s="232"/>
      <c r="BI378" s="232"/>
      <c r="BJ378" s="232"/>
      <c r="BK378" s="232"/>
      <c r="BL378" s="232"/>
      <c r="BM378" s="232"/>
      <c r="BN378" s="232"/>
      <c r="BO378" s="232"/>
      <c r="BP378" s="232"/>
      <c r="BQ378" s="232"/>
      <c r="BR378" s="232"/>
      <c r="BS378" s="232"/>
    </row>
    <row r="379" spans="1:71" ht="15.75" customHeight="1">
      <c r="A379" s="2"/>
      <c r="B379" s="2"/>
      <c r="C379" s="2"/>
      <c r="D379" s="2"/>
      <c r="E379" s="233"/>
      <c r="F379" s="234"/>
      <c r="G379" s="234"/>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46"/>
      <c r="AV379" s="46"/>
      <c r="AW379" s="46"/>
      <c r="AX379" s="46"/>
      <c r="AY379" s="232"/>
      <c r="AZ379" s="232"/>
      <c r="BA379" s="232"/>
      <c r="BB379" s="232"/>
      <c r="BC379" s="232"/>
      <c r="BD379" s="232"/>
      <c r="BE379" s="232"/>
      <c r="BF379" s="232"/>
      <c r="BG379" s="232"/>
      <c r="BH379" s="232"/>
      <c r="BI379" s="232"/>
      <c r="BJ379" s="232"/>
      <c r="BK379" s="232"/>
      <c r="BL379" s="232"/>
      <c r="BM379" s="232"/>
      <c r="BN379" s="232"/>
      <c r="BO379" s="232"/>
      <c r="BP379" s="232"/>
      <c r="BQ379" s="232"/>
      <c r="BR379" s="232"/>
      <c r="BS379" s="232"/>
    </row>
    <row r="380" spans="1:71" ht="15.75" customHeight="1">
      <c r="A380" s="2"/>
      <c r="B380" s="2"/>
      <c r="C380" s="2"/>
      <c r="D380" s="2"/>
      <c r="E380" s="233"/>
      <c r="F380" s="234"/>
      <c r="G380" s="234"/>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46"/>
      <c r="AV380" s="46"/>
      <c r="AW380" s="46"/>
      <c r="AX380" s="46"/>
      <c r="AY380" s="232"/>
      <c r="AZ380" s="232"/>
      <c r="BA380" s="232"/>
      <c r="BB380" s="232"/>
      <c r="BC380" s="232"/>
      <c r="BD380" s="232"/>
      <c r="BE380" s="232"/>
      <c r="BF380" s="232"/>
      <c r="BG380" s="232"/>
      <c r="BH380" s="232"/>
      <c r="BI380" s="232"/>
      <c r="BJ380" s="232"/>
      <c r="BK380" s="232"/>
      <c r="BL380" s="232"/>
      <c r="BM380" s="232"/>
      <c r="BN380" s="232"/>
      <c r="BO380" s="232"/>
      <c r="BP380" s="232"/>
      <c r="BQ380" s="232"/>
      <c r="BR380" s="232"/>
      <c r="BS380" s="232"/>
    </row>
    <row r="381" spans="1:71" ht="15.75" customHeight="1">
      <c r="A381" s="2"/>
      <c r="B381" s="2"/>
      <c r="C381" s="2"/>
      <c r="D381" s="2"/>
      <c r="E381" s="233"/>
      <c r="F381" s="234"/>
      <c r="G381" s="234"/>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46"/>
      <c r="AV381" s="46"/>
      <c r="AW381" s="46"/>
      <c r="AX381" s="46"/>
      <c r="AY381" s="232"/>
      <c r="AZ381" s="232"/>
      <c r="BA381" s="232"/>
      <c r="BB381" s="232"/>
      <c r="BC381" s="232"/>
      <c r="BD381" s="232"/>
      <c r="BE381" s="232"/>
      <c r="BF381" s="232"/>
      <c r="BG381" s="232"/>
      <c r="BH381" s="232"/>
      <c r="BI381" s="232"/>
      <c r="BJ381" s="232"/>
      <c r="BK381" s="232"/>
      <c r="BL381" s="232"/>
      <c r="BM381" s="232"/>
      <c r="BN381" s="232"/>
      <c r="BO381" s="232"/>
      <c r="BP381" s="232"/>
      <c r="BQ381" s="232"/>
      <c r="BR381" s="232"/>
      <c r="BS381" s="232"/>
    </row>
    <row r="382" spans="1:71" ht="15.75" customHeight="1">
      <c r="A382" s="2"/>
      <c r="B382" s="2"/>
      <c r="C382" s="2"/>
      <c r="D382" s="2"/>
      <c r="E382" s="233"/>
      <c r="F382" s="234"/>
      <c r="G382" s="234"/>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46"/>
      <c r="AV382" s="46"/>
      <c r="AW382" s="46"/>
      <c r="AX382" s="46"/>
      <c r="AY382" s="232"/>
      <c r="AZ382" s="232"/>
      <c r="BA382" s="232"/>
      <c r="BB382" s="232"/>
      <c r="BC382" s="232"/>
      <c r="BD382" s="232"/>
      <c r="BE382" s="232"/>
      <c r="BF382" s="232"/>
      <c r="BG382" s="232"/>
      <c r="BH382" s="232"/>
      <c r="BI382" s="232"/>
      <c r="BJ382" s="232"/>
      <c r="BK382" s="232"/>
      <c r="BL382" s="232"/>
      <c r="BM382" s="232"/>
      <c r="BN382" s="232"/>
      <c r="BO382" s="232"/>
      <c r="BP382" s="232"/>
      <c r="BQ382" s="232"/>
      <c r="BR382" s="232"/>
      <c r="BS382" s="232"/>
    </row>
  </sheetData>
  <autoFilter ref="A4:BS178" xr:uid="{00000000-0009-0000-0000-000007000000}">
    <filterColumn colId="16">
      <filters>
        <filter val="E07"/>
      </filters>
    </filterColumn>
  </autoFilter>
  <mergeCells count="3">
    <mergeCell ref="D3:F3"/>
    <mergeCell ref="O3:V3"/>
    <mergeCell ref="W3:X3"/>
  </mergeCells>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AX559"/>
  <sheetViews>
    <sheetView workbookViewId="0">
      <pane xSplit="5" ySplit="4" topLeftCell="F421" activePane="bottomRight" state="frozen"/>
      <selection pane="topRight" activeCell="F1" sqref="F1"/>
      <selection pane="bottomLeft" activeCell="A5" sqref="A5"/>
      <selection pane="bottomRight" activeCell="P435" sqref="P435"/>
    </sheetView>
  </sheetViews>
  <sheetFormatPr baseColWidth="10" defaultColWidth="14.42578125" defaultRowHeight="15" customHeight="1"/>
  <cols>
    <col min="1" max="1" width="16.5703125" customWidth="1"/>
    <col min="2" max="3" width="11.140625" customWidth="1"/>
    <col min="4" max="4" width="22.85546875" customWidth="1"/>
    <col min="5" max="5" width="2.28515625" customWidth="1"/>
    <col min="6" max="6" width="10.7109375" customWidth="1"/>
    <col min="7" max="7" width="23" customWidth="1"/>
    <col min="8" max="8" width="29" customWidth="1"/>
    <col min="9" max="9" width="3.140625" customWidth="1"/>
    <col min="10" max="10" width="9" customWidth="1"/>
    <col min="11" max="11" width="5.140625" customWidth="1"/>
    <col min="12" max="14" width="3.7109375" customWidth="1"/>
    <col min="15" max="15" width="18.28515625" customWidth="1"/>
    <col min="16" max="17" width="13.5703125" customWidth="1"/>
    <col min="18" max="18" width="14.5703125" customWidth="1"/>
    <col min="19" max="19" width="4.28515625" customWidth="1"/>
    <col min="20" max="20" width="19.140625" customWidth="1"/>
    <col min="21" max="21" width="4.28515625" customWidth="1"/>
    <col min="22" max="22" width="14.85546875" customWidth="1"/>
    <col min="23" max="23" width="3.42578125" customWidth="1"/>
    <col min="24" max="24" width="25.5703125" customWidth="1"/>
    <col min="25" max="25" width="9" customWidth="1"/>
    <col min="26" max="26" width="44" customWidth="1"/>
    <col min="27" max="28" width="5.140625" customWidth="1"/>
    <col min="29" max="29" width="11.28515625" customWidth="1"/>
    <col min="30" max="30" width="25.5703125" customWidth="1"/>
    <col min="31" max="31" width="5.140625" customWidth="1"/>
    <col min="32" max="32" width="8.7109375" customWidth="1"/>
    <col min="33" max="33" width="9.28515625" customWidth="1"/>
    <col min="34" max="34" width="29.7109375" customWidth="1"/>
    <col min="35" max="35" width="12.7109375" customWidth="1"/>
    <col min="36" max="36" width="11.7109375" customWidth="1"/>
    <col min="37" max="37" width="6.28515625" customWidth="1"/>
    <col min="38" max="38" width="10.5703125" customWidth="1"/>
    <col min="39" max="39" width="14.85546875" customWidth="1"/>
    <col min="40" max="40" width="20" customWidth="1"/>
    <col min="41" max="41" width="14.85546875" customWidth="1"/>
    <col min="42" max="42" width="15.140625" customWidth="1"/>
    <col min="43" max="43" width="18.140625" customWidth="1"/>
    <col min="44" max="47" width="9" customWidth="1"/>
  </cols>
  <sheetData>
    <row r="1" spans="1:50">
      <c r="A1" s="42"/>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row>
    <row r="2" spans="1:50">
      <c r="A2" s="42"/>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row>
    <row r="3" spans="1:50">
      <c r="A3" s="42"/>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row>
    <row r="4" spans="1:50">
      <c r="A4" s="42"/>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row>
    <row r="5" spans="1:50">
      <c r="A5" s="42"/>
      <c r="B5" s="42"/>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row>
    <row r="6" spans="1:50" ht="9" customHeight="1">
      <c r="A6" s="4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row>
    <row r="7" spans="1:50" ht="9" customHeight="1">
      <c r="A7" s="141"/>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262"/>
      <c r="AS7" s="263"/>
      <c r="AT7" s="263"/>
      <c r="AU7" s="259"/>
      <c r="AV7" s="42"/>
      <c r="AW7" s="42"/>
      <c r="AX7" s="42"/>
    </row>
    <row r="8" spans="1:50" ht="9" customHeight="1">
      <c r="A8" s="141"/>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142"/>
      <c r="AS8" s="142"/>
      <c r="AT8" s="142"/>
      <c r="AU8" s="142"/>
      <c r="AV8" s="42"/>
      <c r="AW8" s="42"/>
      <c r="AX8" s="42"/>
    </row>
    <row r="9" spans="1:50" ht="12.75" customHeight="1">
      <c r="A9" s="143" t="s">
        <v>405</v>
      </c>
      <c r="B9" s="10" t="s">
        <v>407</v>
      </c>
      <c r="C9" s="10" t="s">
        <v>408</v>
      </c>
      <c r="D9" s="10" t="s">
        <v>4</v>
      </c>
      <c r="E9" s="10" t="s">
        <v>409</v>
      </c>
      <c r="F9" s="10" t="s">
        <v>410</v>
      </c>
      <c r="G9" s="143" t="s">
        <v>411</v>
      </c>
      <c r="H9" s="143" t="s">
        <v>412</v>
      </c>
      <c r="I9" s="143" t="s">
        <v>413</v>
      </c>
      <c r="J9" s="143" t="s">
        <v>414</v>
      </c>
      <c r="K9" s="143" t="s">
        <v>415</v>
      </c>
      <c r="L9" s="143" t="s">
        <v>416</v>
      </c>
      <c r="M9" s="143" t="s">
        <v>417</v>
      </c>
      <c r="N9" s="143" t="s">
        <v>418</v>
      </c>
      <c r="O9" s="144" t="s">
        <v>419</v>
      </c>
      <c r="P9" s="6" t="s">
        <v>420</v>
      </c>
      <c r="Q9" s="112" t="s">
        <v>421</v>
      </c>
      <c r="R9" s="113" t="s">
        <v>422</v>
      </c>
      <c r="S9" s="113" t="s">
        <v>423</v>
      </c>
      <c r="T9" s="114" t="s">
        <v>424</v>
      </c>
      <c r="U9" s="114" t="s">
        <v>425</v>
      </c>
      <c r="V9" s="114" t="s">
        <v>426</v>
      </c>
      <c r="W9" s="113" t="s">
        <v>427</v>
      </c>
      <c r="X9" s="16" t="s">
        <v>428</v>
      </c>
      <c r="Y9" s="16" t="s">
        <v>10</v>
      </c>
      <c r="Z9" s="16" t="s">
        <v>429</v>
      </c>
      <c r="AA9" s="145" t="s">
        <v>430</v>
      </c>
      <c r="AB9" s="146" t="s">
        <v>9</v>
      </c>
      <c r="AC9" s="16" t="s">
        <v>431</v>
      </c>
      <c r="AD9" s="16" t="s">
        <v>432</v>
      </c>
      <c r="AE9" s="147" t="s">
        <v>433</v>
      </c>
      <c r="AF9" s="147" t="s">
        <v>434</v>
      </c>
      <c r="AG9" s="147" t="s">
        <v>435</v>
      </c>
      <c r="AH9" s="147" t="s">
        <v>436</v>
      </c>
      <c r="AI9" s="147" t="s">
        <v>437</v>
      </c>
      <c r="AJ9" s="119" t="s">
        <v>438</v>
      </c>
      <c r="AK9" s="119" t="s">
        <v>439</v>
      </c>
      <c r="AL9" s="119" t="s">
        <v>440</v>
      </c>
      <c r="AM9" s="119" t="s">
        <v>441</v>
      </c>
      <c r="AN9" s="119" t="s">
        <v>442</v>
      </c>
      <c r="AO9" s="119" t="s">
        <v>443</v>
      </c>
      <c r="AP9" s="119" t="s">
        <v>444</v>
      </c>
      <c r="AQ9" s="120" t="s">
        <v>185</v>
      </c>
      <c r="AR9" s="148"/>
      <c r="AS9" s="148"/>
      <c r="AT9" s="148"/>
      <c r="AU9" s="148"/>
      <c r="AV9" s="42"/>
      <c r="AW9" s="42"/>
      <c r="AX9" s="42"/>
    </row>
    <row r="10" spans="1:50" ht="12.75" customHeight="1">
      <c r="A10" s="149">
        <v>1075208323</v>
      </c>
      <c r="B10" s="44" t="s">
        <v>1211</v>
      </c>
      <c r="C10" s="44" t="s">
        <v>721</v>
      </c>
      <c r="D10" s="44" t="s">
        <v>1212</v>
      </c>
      <c r="E10" s="44" t="s">
        <v>448</v>
      </c>
      <c r="F10" s="150">
        <v>31103</v>
      </c>
      <c r="G10" s="44" t="s">
        <v>1213</v>
      </c>
      <c r="H10" s="44">
        <v>3103082674</v>
      </c>
      <c r="I10" s="44" t="s">
        <v>450</v>
      </c>
      <c r="J10" s="44"/>
      <c r="K10" s="44"/>
      <c r="L10" s="44"/>
      <c r="M10" s="44" t="s">
        <v>448</v>
      </c>
      <c r="N10" s="44" t="s">
        <v>452</v>
      </c>
      <c r="O10" s="44" t="s">
        <v>453</v>
      </c>
      <c r="P10" s="150">
        <v>46031</v>
      </c>
      <c r="Q10" s="150">
        <v>46031</v>
      </c>
      <c r="R10" s="151">
        <v>40130</v>
      </c>
      <c r="S10" s="44">
        <v>5</v>
      </c>
      <c r="T10" s="44" t="s">
        <v>499</v>
      </c>
      <c r="U10" s="44">
        <v>11</v>
      </c>
      <c r="V10" s="44" t="s">
        <v>456</v>
      </c>
      <c r="W10" s="44">
        <v>19</v>
      </c>
      <c r="X10" s="44" t="s">
        <v>575</v>
      </c>
      <c r="Y10" s="44">
        <v>2310300</v>
      </c>
      <c r="Z10" s="44" t="s">
        <v>138</v>
      </c>
      <c r="AA10" s="44">
        <v>6</v>
      </c>
      <c r="AB10" s="44">
        <v>6</v>
      </c>
      <c r="AC10" s="44">
        <v>10208470</v>
      </c>
      <c r="AD10" s="44" t="s">
        <v>28</v>
      </c>
      <c r="AE10" s="44">
        <v>10</v>
      </c>
      <c r="AF10" s="44" t="s">
        <v>458</v>
      </c>
      <c r="AG10" s="44" t="s">
        <v>459</v>
      </c>
      <c r="AH10" s="44" t="s">
        <v>1214</v>
      </c>
      <c r="AI10" s="44" t="s">
        <v>460</v>
      </c>
      <c r="AJ10" s="150">
        <v>46031</v>
      </c>
      <c r="AK10" s="44">
        <v>674</v>
      </c>
      <c r="AL10" s="150">
        <v>46021</v>
      </c>
      <c r="AM10" s="150"/>
      <c r="AN10" s="44"/>
      <c r="AO10" s="150"/>
      <c r="AP10" s="150"/>
      <c r="AQ10" s="42"/>
      <c r="AR10" s="44"/>
      <c r="AS10" s="44"/>
      <c r="AT10" s="44"/>
      <c r="AU10" s="44"/>
      <c r="AV10" s="42"/>
      <c r="AW10" s="42"/>
      <c r="AX10" s="42"/>
    </row>
    <row r="11" spans="1:50" ht="12.75" customHeight="1">
      <c r="A11" s="149">
        <v>1075210338</v>
      </c>
      <c r="B11" s="44" t="s">
        <v>1041</v>
      </c>
      <c r="C11" s="44" t="s">
        <v>759</v>
      </c>
      <c r="D11" s="44" t="s">
        <v>1215</v>
      </c>
      <c r="E11" s="44" t="s">
        <v>481</v>
      </c>
      <c r="F11" s="150">
        <v>31414</v>
      </c>
      <c r="G11" s="44" t="s">
        <v>1217</v>
      </c>
      <c r="H11" s="44">
        <v>3043272862</v>
      </c>
      <c r="I11" s="44" t="s">
        <v>450</v>
      </c>
      <c r="J11" s="44"/>
      <c r="K11" s="44"/>
      <c r="L11" s="44"/>
      <c r="M11" s="44" t="s">
        <v>451</v>
      </c>
      <c r="N11" s="44" t="s">
        <v>452</v>
      </c>
      <c r="O11" s="44" t="s">
        <v>453</v>
      </c>
      <c r="P11" s="150">
        <v>45390</v>
      </c>
      <c r="Q11" s="150">
        <v>45390</v>
      </c>
      <c r="R11" s="44"/>
      <c r="S11" s="44">
        <v>6</v>
      </c>
      <c r="T11" s="44" t="s">
        <v>511</v>
      </c>
      <c r="U11" s="44">
        <v>11</v>
      </c>
      <c r="V11" s="44" t="s">
        <v>456</v>
      </c>
      <c r="W11" s="44">
        <v>3</v>
      </c>
      <c r="X11" s="44" t="s">
        <v>457</v>
      </c>
      <c r="Y11" s="44">
        <v>2310460</v>
      </c>
      <c r="Z11" s="44" t="s">
        <v>506</v>
      </c>
      <c r="AA11" s="44">
        <v>9</v>
      </c>
      <c r="AB11" s="44">
        <v>7</v>
      </c>
      <c r="AC11" s="44">
        <v>11186814</v>
      </c>
      <c r="AD11" s="44" t="s">
        <v>512</v>
      </c>
      <c r="AE11" s="44">
        <v>6</v>
      </c>
      <c r="AF11" s="44" t="s">
        <v>458</v>
      </c>
      <c r="AG11" s="44" t="s">
        <v>459</v>
      </c>
      <c r="AH11" s="44" t="s">
        <v>484</v>
      </c>
      <c r="AI11" s="44" t="s">
        <v>460</v>
      </c>
      <c r="AJ11" s="150">
        <v>45390</v>
      </c>
      <c r="AK11" s="44">
        <v>195</v>
      </c>
      <c r="AL11" s="150">
        <v>45386</v>
      </c>
      <c r="AM11" s="150">
        <v>45469</v>
      </c>
      <c r="AN11" s="44">
        <v>320</v>
      </c>
      <c r="AO11" s="150">
        <v>45468</v>
      </c>
      <c r="AP11" s="150">
        <v>45609</v>
      </c>
      <c r="AQ11" s="42"/>
      <c r="AR11" s="44"/>
      <c r="AS11" s="44"/>
      <c r="AT11" s="44"/>
      <c r="AU11" s="44"/>
      <c r="AV11" s="42"/>
      <c r="AW11" s="42"/>
      <c r="AX11" s="42"/>
    </row>
    <row r="12" spans="1:50" ht="12.75" customHeight="1">
      <c r="A12" s="149">
        <v>1075210390</v>
      </c>
      <c r="B12" s="44" t="s">
        <v>1218</v>
      </c>
      <c r="C12" s="44" t="s">
        <v>681</v>
      </c>
      <c r="D12" s="44" t="s">
        <v>1219</v>
      </c>
      <c r="E12" s="44" t="s">
        <v>481</v>
      </c>
      <c r="F12" s="150">
        <v>31160</v>
      </c>
      <c r="G12" s="44" t="s">
        <v>1220</v>
      </c>
      <c r="H12" s="44">
        <v>3212299493</v>
      </c>
      <c r="I12" s="44" t="s">
        <v>450</v>
      </c>
      <c r="J12" s="44"/>
      <c r="K12" s="44"/>
      <c r="L12" s="44"/>
      <c r="M12" s="44" t="s">
        <v>448</v>
      </c>
      <c r="N12" s="44" t="s">
        <v>452</v>
      </c>
      <c r="O12" s="44" t="s">
        <v>453</v>
      </c>
      <c r="P12" s="150">
        <v>44826</v>
      </c>
      <c r="Q12" s="150">
        <v>44826</v>
      </c>
      <c r="R12" s="151"/>
      <c r="S12" s="44">
        <v>8</v>
      </c>
      <c r="T12" s="44" t="s">
        <v>466</v>
      </c>
      <c r="U12" s="44">
        <v>11</v>
      </c>
      <c r="V12" s="44" t="s">
        <v>456</v>
      </c>
      <c r="W12" s="44">
        <v>3</v>
      </c>
      <c r="X12" s="44" t="s">
        <v>457</v>
      </c>
      <c r="Y12" s="44">
        <v>2300100</v>
      </c>
      <c r="Z12" s="44" t="s">
        <v>483</v>
      </c>
      <c r="AA12" s="44">
        <v>105</v>
      </c>
      <c r="AB12" s="44">
        <v>5</v>
      </c>
      <c r="AC12" s="44">
        <v>9154873</v>
      </c>
      <c r="AD12" s="44" t="s">
        <v>26</v>
      </c>
      <c r="AE12" s="44">
        <v>15</v>
      </c>
      <c r="AF12" s="44" t="s">
        <v>458</v>
      </c>
      <c r="AG12" s="44" t="s">
        <v>459</v>
      </c>
      <c r="AH12" s="44" t="s">
        <v>484</v>
      </c>
      <c r="AI12" s="44" t="s">
        <v>460</v>
      </c>
      <c r="AJ12" s="150">
        <v>44826</v>
      </c>
      <c r="AK12" s="44">
        <v>341</v>
      </c>
      <c r="AL12" s="150">
        <v>44825</v>
      </c>
      <c r="AM12" s="150"/>
      <c r="AN12" s="44"/>
      <c r="AO12" s="150"/>
      <c r="AP12" s="150">
        <v>45446</v>
      </c>
      <c r="AQ12" s="42"/>
      <c r="AR12" s="44"/>
      <c r="AS12" s="44"/>
      <c r="AT12" s="44"/>
      <c r="AU12" s="44"/>
      <c r="AV12" s="42"/>
      <c r="AW12" s="42"/>
      <c r="AX12" s="42"/>
    </row>
    <row r="13" spans="1:50" ht="12.75" customHeight="1">
      <c r="A13" s="149">
        <v>1075240818</v>
      </c>
      <c r="B13" s="44" t="s">
        <v>1042</v>
      </c>
      <c r="C13" s="44" t="s">
        <v>884</v>
      </c>
      <c r="D13" s="44" t="s">
        <v>1221</v>
      </c>
      <c r="E13" s="44" t="s">
        <v>481</v>
      </c>
      <c r="F13" s="150">
        <v>32880</v>
      </c>
      <c r="G13" s="44" t="s">
        <v>1222</v>
      </c>
      <c r="H13" s="44">
        <v>3152432825</v>
      </c>
      <c r="I13" s="44" t="s">
        <v>586</v>
      </c>
      <c r="J13" s="44"/>
      <c r="K13" s="44"/>
      <c r="L13" s="44"/>
      <c r="M13" s="44" t="s">
        <v>451</v>
      </c>
      <c r="N13" s="44" t="s">
        <v>452</v>
      </c>
      <c r="O13" s="44" t="s">
        <v>453</v>
      </c>
      <c r="P13" s="150">
        <v>45419</v>
      </c>
      <c r="Q13" s="150">
        <v>45419</v>
      </c>
      <c r="R13" s="151"/>
      <c r="S13" s="44">
        <v>5</v>
      </c>
      <c r="T13" s="44" t="s">
        <v>499</v>
      </c>
      <c r="U13" s="44">
        <v>11</v>
      </c>
      <c r="V13" s="44" t="s">
        <v>456</v>
      </c>
      <c r="W13" s="44">
        <v>19</v>
      </c>
      <c r="X13" s="44" t="s">
        <v>575</v>
      </c>
      <c r="Y13" s="44">
        <v>2310440</v>
      </c>
      <c r="Z13" s="44" t="s">
        <v>628</v>
      </c>
      <c r="AA13" s="44">
        <v>9</v>
      </c>
      <c r="AB13" s="44">
        <v>7</v>
      </c>
      <c r="AC13" s="44">
        <v>11186814</v>
      </c>
      <c r="AD13" s="44" t="s">
        <v>512</v>
      </c>
      <c r="AE13" s="44">
        <v>3</v>
      </c>
      <c r="AF13" s="44" t="s">
        <v>458</v>
      </c>
      <c r="AG13" s="44" t="s">
        <v>459</v>
      </c>
      <c r="AH13" s="44" t="s">
        <v>484</v>
      </c>
      <c r="AI13" s="44" t="s">
        <v>460</v>
      </c>
      <c r="AJ13" s="150">
        <v>45419</v>
      </c>
      <c r="AK13" s="44">
        <v>241</v>
      </c>
      <c r="AL13" s="150">
        <v>45419</v>
      </c>
      <c r="AM13" s="150"/>
      <c r="AN13" s="44"/>
      <c r="AO13" s="150"/>
      <c r="AP13" s="150">
        <v>45816</v>
      </c>
      <c r="AQ13" s="42"/>
      <c r="AR13" s="44"/>
      <c r="AS13" s="44"/>
      <c r="AT13" s="44"/>
      <c r="AU13" s="44"/>
      <c r="AV13" s="42"/>
      <c r="AW13" s="42"/>
      <c r="AX13" s="42"/>
    </row>
    <row r="14" spans="1:50" ht="12.75" customHeight="1">
      <c r="A14" s="149">
        <v>1075256570</v>
      </c>
      <c r="B14" s="44" t="s">
        <v>810</v>
      </c>
      <c r="C14" s="44" t="s">
        <v>811</v>
      </c>
      <c r="D14" s="44" t="s">
        <v>812</v>
      </c>
      <c r="E14" s="44" t="s">
        <v>448</v>
      </c>
      <c r="F14" s="150">
        <v>32784</v>
      </c>
      <c r="G14" s="44" t="s">
        <v>1224</v>
      </c>
      <c r="H14" s="44">
        <v>3118779337</v>
      </c>
      <c r="I14" s="44" t="s">
        <v>450</v>
      </c>
      <c r="J14" s="44"/>
      <c r="K14" s="44"/>
      <c r="L14" s="44"/>
      <c r="M14" s="44" t="s">
        <v>451</v>
      </c>
      <c r="N14" s="44" t="s">
        <v>452</v>
      </c>
      <c r="O14" s="44" t="s">
        <v>453</v>
      </c>
      <c r="P14" s="150">
        <v>44503</v>
      </c>
      <c r="Q14" s="150">
        <v>44503</v>
      </c>
      <c r="R14" s="151"/>
      <c r="S14" s="44">
        <v>6</v>
      </c>
      <c r="T14" s="44" t="s">
        <v>511</v>
      </c>
      <c r="U14" s="44">
        <v>11</v>
      </c>
      <c r="V14" s="44" t="s">
        <v>456</v>
      </c>
      <c r="W14" s="44">
        <v>19</v>
      </c>
      <c r="X14" s="44" t="s">
        <v>575</v>
      </c>
      <c r="Y14" s="44">
        <v>2311000</v>
      </c>
      <c r="Z14" s="44" t="s">
        <v>467</v>
      </c>
      <c r="AA14" s="44">
        <v>470</v>
      </c>
      <c r="AB14" s="44">
        <v>7</v>
      </c>
      <c r="AC14" s="44">
        <v>2623189</v>
      </c>
      <c r="AD14" s="44" t="s">
        <v>813</v>
      </c>
      <c r="AE14" s="44">
        <v>169</v>
      </c>
      <c r="AF14" s="44" t="s">
        <v>458</v>
      </c>
      <c r="AG14" s="44" t="s">
        <v>459</v>
      </c>
      <c r="AH14" s="44" t="s">
        <v>188</v>
      </c>
      <c r="AI14" s="44" t="s">
        <v>460</v>
      </c>
      <c r="AJ14" s="150">
        <v>45968</v>
      </c>
      <c r="AK14" s="44">
        <v>419</v>
      </c>
      <c r="AL14" s="150">
        <v>45967</v>
      </c>
      <c r="AM14" s="150"/>
      <c r="AN14" s="44"/>
      <c r="AO14" s="150"/>
      <c r="AP14" s="150"/>
      <c r="AQ14" s="42"/>
      <c r="AR14" s="44"/>
      <c r="AS14" s="44"/>
      <c r="AT14" s="44"/>
      <c r="AU14" s="44"/>
      <c r="AV14" s="42"/>
      <c r="AW14" s="42"/>
      <c r="AX14" s="42"/>
    </row>
    <row r="15" spans="1:50" ht="12.75" customHeight="1">
      <c r="A15" s="149">
        <v>1075664334</v>
      </c>
      <c r="B15" s="44" t="s">
        <v>1225</v>
      </c>
      <c r="C15" s="44" t="s">
        <v>478</v>
      </c>
      <c r="D15" s="44" t="s">
        <v>1226</v>
      </c>
      <c r="E15" s="44" t="s">
        <v>481</v>
      </c>
      <c r="F15" s="150">
        <v>33429</v>
      </c>
      <c r="G15" s="44" t="s">
        <v>1227</v>
      </c>
      <c r="H15" s="44">
        <v>4716775</v>
      </c>
      <c r="I15" s="44" t="s">
        <v>450</v>
      </c>
      <c r="J15" s="44"/>
      <c r="K15" s="44"/>
      <c r="L15" s="44"/>
      <c r="M15" s="44" t="s">
        <v>451</v>
      </c>
      <c r="N15" s="44" t="s">
        <v>452</v>
      </c>
      <c r="O15" s="44" t="s">
        <v>453</v>
      </c>
      <c r="P15" s="150">
        <v>44148</v>
      </c>
      <c r="Q15" s="150">
        <v>44148</v>
      </c>
      <c r="R15" s="151"/>
      <c r="S15" s="44">
        <v>5</v>
      </c>
      <c r="T15" s="44" t="s">
        <v>499</v>
      </c>
      <c r="U15" s="44">
        <v>19</v>
      </c>
      <c r="V15" s="44" t="s">
        <v>574</v>
      </c>
      <c r="W15" s="44">
        <v>3</v>
      </c>
      <c r="X15" s="44" t="s">
        <v>457</v>
      </c>
      <c r="Y15" s="44">
        <v>2310450</v>
      </c>
      <c r="Z15" s="44" t="s">
        <v>568</v>
      </c>
      <c r="AA15" s="44">
        <v>222</v>
      </c>
      <c r="AB15" s="44">
        <v>20</v>
      </c>
      <c r="AC15" s="44">
        <v>6405934</v>
      </c>
      <c r="AD15" s="44" t="s">
        <v>51</v>
      </c>
      <c r="AE15" s="44">
        <v>67</v>
      </c>
      <c r="AF15" s="44" t="s">
        <v>458</v>
      </c>
      <c r="AG15" s="44" t="s">
        <v>459</v>
      </c>
      <c r="AH15" s="44" t="s">
        <v>644</v>
      </c>
      <c r="AI15" s="44" t="s">
        <v>460</v>
      </c>
      <c r="AJ15" s="150">
        <v>44148</v>
      </c>
      <c r="AK15" s="44">
        <v>158</v>
      </c>
      <c r="AL15" s="150">
        <v>44118</v>
      </c>
      <c r="AM15" s="150"/>
      <c r="AN15" s="44"/>
      <c r="AO15" s="150"/>
      <c r="AP15" s="150">
        <v>44399</v>
      </c>
      <c r="AQ15" s="42"/>
      <c r="AR15" s="44"/>
      <c r="AS15" s="44"/>
      <c r="AT15" s="44"/>
      <c r="AU15" s="44"/>
      <c r="AV15" s="42"/>
      <c r="AW15" s="42"/>
      <c r="AX15" s="42"/>
    </row>
    <row r="16" spans="1:50" ht="12.75" customHeight="1">
      <c r="A16" s="149">
        <v>1075680600</v>
      </c>
      <c r="B16" s="44" t="s">
        <v>826</v>
      </c>
      <c r="C16" s="44" t="s">
        <v>478</v>
      </c>
      <c r="D16" s="44" t="s">
        <v>1229</v>
      </c>
      <c r="E16" s="44" t="s">
        <v>481</v>
      </c>
      <c r="F16" s="150">
        <v>35306</v>
      </c>
      <c r="G16" s="44" t="s">
        <v>1231</v>
      </c>
      <c r="H16" s="44">
        <v>3138821018</v>
      </c>
      <c r="I16" s="44" t="s">
        <v>450</v>
      </c>
      <c r="J16" s="44"/>
      <c r="K16" s="44"/>
      <c r="L16" s="44"/>
      <c r="M16" s="44" t="s">
        <v>451</v>
      </c>
      <c r="N16" s="44" t="s">
        <v>452</v>
      </c>
      <c r="O16" s="44" t="s">
        <v>453</v>
      </c>
      <c r="P16" s="150">
        <v>46090</v>
      </c>
      <c r="Q16" s="150">
        <v>45684</v>
      </c>
      <c r="R16" s="44"/>
      <c r="S16" s="44">
        <v>8</v>
      </c>
      <c r="T16" s="44" t="s">
        <v>466</v>
      </c>
      <c r="U16" s="44">
        <v>18</v>
      </c>
      <c r="V16" s="44" t="s">
        <v>565</v>
      </c>
      <c r="W16" s="44">
        <v>3</v>
      </c>
      <c r="X16" s="44" t="s">
        <v>457</v>
      </c>
      <c r="Y16" s="44">
        <v>2300100</v>
      </c>
      <c r="Z16" s="44" t="s">
        <v>483</v>
      </c>
      <c r="AA16" s="44">
        <v>407</v>
      </c>
      <c r="AB16" s="44">
        <v>20</v>
      </c>
      <c r="AC16" s="44">
        <v>3799538</v>
      </c>
      <c r="AD16" s="44" t="s">
        <v>146</v>
      </c>
      <c r="AE16" s="44">
        <v>141</v>
      </c>
      <c r="AF16" s="44" t="s">
        <v>458</v>
      </c>
      <c r="AG16" s="44" t="s">
        <v>459</v>
      </c>
      <c r="AH16" s="44" t="s">
        <v>644</v>
      </c>
      <c r="AI16" s="44" t="s">
        <v>460</v>
      </c>
      <c r="AJ16" s="150">
        <v>46090</v>
      </c>
      <c r="AK16" s="44">
        <v>70</v>
      </c>
      <c r="AL16" s="150">
        <v>46059</v>
      </c>
      <c r="AM16" s="150"/>
      <c r="AN16" s="44"/>
      <c r="AO16" s="150"/>
      <c r="AP16" s="150">
        <v>46208</v>
      </c>
      <c r="AQ16" s="42"/>
      <c r="AR16" s="44"/>
      <c r="AS16" s="44"/>
      <c r="AT16" s="44"/>
      <c r="AU16" s="44"/>
      <c r="AV16" s="42"/>
      <c r="AW16" s="42"/>
      <c r="AX16" s="42"/>
    </row>
    <row r="17" spans="1:50" ht="12.75" customHeight="1">
      <c r="A17" s="149">
        <v>1082925493</v>
      </c>
      <c r="B17" s="44" t="s">
        <v>919</v>
      </c>
      <c r="C17" s="44" t="s">
        <v>1234</v>
      </c>
      <c r="D17" s="44" t="s">
        <v>1235</v>
      </c>
      <c r="E17" s="44" t="s">
        <v>481</v>
      </c>
      <c r="F17" s="150">
        <v>33219</v>
      </c>
      <c r="G17" s="44" t="s">
        <v>1236</v>
      </c>
      <c r="H17" s="44">
        <v>3002045474</v>
      </c>
      <c r="I17" s="44" t="s">
        <v>450</v>
      </c>
      <c r="J17" s="44"/>
      <c r="K17" s="44"/>
      <c r="L17" s="44"/>
      <c r="M17" s="44" t="s">
        <v>451</v>
      </c>
      <c r="N17" s="44" t="s">
        <v>452</v>
      </c>
      <c r="O17" s="44" t="s">
        <v>453</v>
      </c>
      <c r="P17" s="150">
        <v>44057</v>
      </c>
      <c r="Q17" s="150">
        <v>44057</v>
      </c>
      <c r="R17" s="151"/>
      <c r="S17" s="44">
        <v>8</v>
      </c>
      <c r="T17" s="44" t="s">
        <v>466</v>
      </c>
      <c r="U17" s="44">
        <v>19</v>
      </c>
      <c r="V17" s="44" t="s">
        <v>574</v>
      </c>
      <c r="W17" s="44">
        <v>3</v>
      </c>
      <c r="X17" s="44" t="s">
        <v>457</v>
      </c>
      <c r="Y17" s="44">
        <v>2310460</v>
      </c>
      <c r="Z17" s="44" t="s">
        <v>506</v>
      </c>
      <c r="AA17" s="44">
        <v>222</v>
      </c>
      <c r="AB17" s="44">
        <v>24</v>
      </c>
      <c r="AC17" s="44">
        <v>6809900</v>
      </c>
      <c r="AD17" s="44" t="s">
        <v>51</v>
      </c>
      <c r="AE17" s="44">
        <v>80</v>
      </c>
      <c r="AF17" s="44" t="s">
        <v>458</v>
      </c>
      <c r="AG17" s="44" t="s">
        <v>459</v>
      </c>
      <c r="AH17" s="44" t="s">
        <v>188</v>
      </c>
      <c r="AI17" s="44" t="s">
        <v>460</v>
      </c>
      <c r="AJ17" s="150">
        <v>44327</v>
      </c>
      <c r="AK17" s="44">
        <v>90</v>
      </c>
      <c r="AL17" s="150">
        <v>44326</v>
      </c>
      <c r="AM17" s="150"/>
      <c r="AN17" s="44"/>
      <c r="AO17" s="150"/>
      <c r="AP17" s="150">
        <v>45110</v>
      </c>
      <c r="AQ17" s="42"/>
      <c r="AR17" s="42"/>
      <c r="AS17" s="42"/>
      <c r="AT17" s="42"/>
      <c r="AU17" s="42"/>
      <c r="AV17" s="42"/>
      <c r="AW17" s="42"/>
      <c r="AX17" s="42"/>
    </row>
    <row r="18" spans="1:50" ht="12.75" customHeight="1">
      <c r="A18" s="149">
        <v>1082943577</v>
      </c>
      <c r="B18" s="44" t="s">
        <v>502</v>
      </c>
      <c r="C18" s="44" t="s">
        <v>1238</v>
      </c>
      <c r="D18" s="44" t="s">
        <v>1239</v>
      </c>
      <c r="E18" s="44" t="s">
        <v>481</v>
      </c>
      <c r="F18" s="150">
        <v>33520</v>
      </c>
      <c r="G18" s="44" t="s">
        <v>1240</v>
      </c>
      <c r="H18" s="44">
        <v>3125268998</v>
      </c>
      <c r="I18" s="44" t="s">
        <v>450</v>
      </c>
      <c r="J18" s="44"/>
      <c r="K18" s="44"/>
      <c r="L18" s="44"/>
      <c r="M18" s="44" t="s">
        <v>451</v>
      </c>
      <c r="N18" s="44" t="s">
        <v>452</v>
      </c>
      <c r="O18" s="44" t="s">
        <v>453</v>
      </c>
      <c r="P18" s="150">
        <v>45302</v>
      </c>
      <c r="Q18" s="150">
        <v>45302</v>
      </c>
      <c r="R18" s="151"/>
      <c r="S18" s="44">
        <v>42</v>
      </c>
      <c r="T18" s="44" t="s">
        <v>1166</v>
      </c>
      <c r="U18" s="44">
        <v>11</v>
      </c>
      <c r="V18" s="44" t="s">
        <v>456</v>
      </c>
      <c r="W18" s="44">
        <v>19</v>
      </c>
      <c r="X18" s="44" t="s">
        <v>575</v>
      </c>
      <c r="Y18" s="44">
        <v>2310440</v>
      </c>
      <c r="Z18" s="44" t="s">
        <v>628</v>
      </c>
      <c r="AA18" s="44">
        <v>219</v>
      </c>
      <c r="AB18" s="44">
        <v>1</v>
      </c>
      <c r="AC18" s="44">
        <v>3989530</v>
      </c>
      <c r="AD18" s="44" t="s">
        <v>72</v>
      </c>
      <c r="AE18" s="44">
        <v>112</v>
      </c>
      <c r="AF18" s="44" t="s">
        <v>458</v>
      </c>
      <c r="AG18" s="44" t="s">
        <v>459</v>
      </c>
      <c r="AH18" s="44" t="s">
        <v>644</v>
      </c>
      <c r="AI18" s="44" t="s">
        <v>460</v>
      </c>
      <c r="AJ18" s="150">
        <v>45302</v>
      </c>
      <c r="AK18" s="44">
        <v>659</v>
      </c>
      <c r="AL18" s="150">
        <v>45282</v>
      </c>
      <c r="AM18" s="150"/>
      <c r="AN18" s="44"/>
      <c r="AO18" s="150"/>
      <c r="AP18" s="150">
        <v>45475</v>
      </c>
      <c r="AQ18" s="42"/>
      <c r="AR18" s="42"/>
      <c r="AS18" s="42"/>
      <c r="AT18" s="42"/>
      <c r="AU18" s="42"/>
      <c r="AV18" s="42"/>
      <c r="AW18" s="42"/>
      <c r="AX18" s="42"/>
    </row>
    <row r="19" spans="1:50" ht="12.75" customHeight="1">
      <c r="A19" s="149">
        <v>1085258177</v>
      </c>
      <c r="B19" s="44" t="s">
        <v>814</v>
      </c>
      <c r="C19" s="44" t="s">
        <v>815</v>
      </c>
      <c r="D19" s="44" t="s">
        <v>816</v>
      </c>
      <c r="E19" s="44" t="s">
        <v>481</v>
      </c>
      <c r="F19" s="150">
        <v>31912</v>
      </c>
      <c r="G19" s="44" t="s">
        <v>1241</v>
      </c>
      <c r="H19" s="44">
        <v>6013358000</v>
      </c>
      <c r="I19" s="44" t="s">
        <v>450</v>
      </c>
      <c r="J19" s="44"/>
      <c r="K19" s="44"/>
      <c r="L19" s="44"/>
      <c r="M19" s="44" t="s">
        <v>451</v>
      </c>
      <c r="N19" s="44" t="s">
        <v>452</v>
      </c>
      <c r="O19" s="44" t="s">
        <v>453</v>
      </c>
      <c r="P19" s="150">
        <v>45307</v>
      </c>
      <c r="Q19" s="150">
        <v>41856</v>
      </c>
      <c r="R19" s="151"/>
      <c r="S19" s="44">
        <v>5</v>
      </c>
      <c r="T19" s="44" t="s">
        <v>499</v>
      </c>
      <c r="U19" s="44">
        <v>11</v>
      </c>
      <c r="V19" s="44" t="s">
        <v>456</v>
      </c>
      <c r="W19" s="44">
        <v>19</v>
      </c>
      <c r="X19" s="44" t="s">
        <v>575</v>
      </c>
      <c r="Y19" s="44">
        <v>0</v>
      </c>
      <c r="Z19" s="44" t="s">
        <v>500</v>
      </c>
      <c r="AA19" s="44">
        <v>219</v>
      </c>
      <c r="AB19" s="44">
        <v>18</v>
      </c>
      <c r="AC19" s="44">
        <v>5951245</v>
      </c>
      <c r="AD19" s="44" t="s">
        <v>72</v>
      </c>
      <c r="AE19" s="44">
        <v>83</v>
      </c>
      <c r="AF19" s="44" t="s">
        <v>458</v>
      </c>
      <c r="AG19" s="44" t="s">
        <v>459</v>
      </c>
      <c r="AH19" s="44" t="s">
        <v>49</v>
      </c>
      <c r="AI19" s="44" t="s">
        <v>460</v>
      </c>
      <c r="AJ19" s="150">
        <v>45307</v>
      </c>
      <c r="AK19" s="44">
        <v>434</v>
      </c>
      <c r="AL19" s="150">
        <v>45155</v>
      </c>
      <c r="AM19" s="150"/>
      <c r="AN19" s="44"/>
      <c r="AO19" s="150"/>
      <c r="AP19" s="150">
        <v>45999</v>
      </c>
      <c r="AQ19" s="42"/>
      <c r="AR19" s="42"/>
      <c r="AS19" s="42"/>
      <c r="AT19" s="42"/>
      <c r="AU19" s="42"/>
      <c r="AV19" s="42"/>
      <c r="AW19" s="42"/>
      <c r="AX19" s="42"/>
    </row>
    <row r="20" spans="1:50" ht="12.75" customHeight="1">
      <c r="A20" s="149">
        <v>1085262099</v>
      </c>
      <c r="B20" s="44" t="s">
        <v>1242</v>
      </c>
      <c r="C20" s="44" t="s">
        <v>468</v>
      </c>
      <c r="D20" s="44" t="s">
        <v>1243</v>
      </c>
      <c r="E20" s="44" t="s">
        <v>481</v>
      </c>
      <c r="F20" s="150">
        <v>32092</v>
      </c>
      <c r="G20" s="44" t="s">
        <v>1244</v>
      </c>
      <c r="H20" s="44">
        <v>3176801191</v>
      </c>
      <c r="I20" s="44" t="s">
        <v>450</v>
      </c>
      <c r="J20" s="44"/>
      <c r="K20" s="44"/>
      <c r="L20" s="44"/>
      <c r="M20" s="44" t="s">
        <v>451</v>
      </c>
      <c r="N20" s="44" t="s">
        <v>452</v>
      </c>
      <c r="O20" s="44" t="s">
        <v>453</v>
      </c>
      <c r="P20" s="150">
        <v>42585</v>
      </c>
      <c r="Q20" s="150">
        <v>42394</v>
      </c>
      <c r="R20" s="151"/>
      <c r="S20" s="44">
        <v>5</v>
      </c>
      <c r="T20" s="44" t="s">
        <v>499</v>
      </c>
      <c r="U20" s="44">
        <v>19</v>
      </c>
      <c r="V20" s="44" t="s">
        <v>574</v>
      </c>
      <c r="W20" s="44">
        <v>3</v>
      </c>
      <c r="X20" s="44" t="s">
        <v>457</v>
      </c>
      <c r="Y20" s="44">
        <v>2300100</v>
      </c>
      <c r="Z20" s="44" t="s">
        <v>483</v>
      </c>
      <c r="AA20" s="44">
        <v>105</v>
      </c>
      <c r="AB20" s="44">
        <v>5</v>
      </c>
      <c r="AC20" s="44">
        <v>9154873</v>
      </c>
      <c r="AD20" s="44" t="s">
        <v>26</v>
      </c>
      <c r="AE20" s="44">
        <v>12</v>
      </c>
      <c r="AF20" s="44" t="s">
        <v>458</v>
      </c>
      <c r="AG20" s="44" t="s">
        <v>459</v>
      </c>
      <c r="AH20" s="44" t="s">
        <v>484</v>
      </c>
      <c r="AI20" s="44" t="s">
        <v>460</v>
      </c>
      <c r="AJ20" s="150">
        <v>42585</v>
      </c>
      <c r="AK20" s="44">
        <v>12</v>
      </c>
      <c r="AL20" s="150">
        <v>42585</v>
      </c>
      <c r="AM20" s="150"/>
      <c r="AN20" s="44"/>
      <c r="AO20" s="150"/>
      <c r="AP20" s="150">
        <v>42613</v>
      </c>
      <c r="AQ20" s="42"/>
      <c r="AR20" s="42"/>
      <c r="AS20" s="42"/>
      <c r="AT20" s="42"/>
      <c r="AU20" s="42"/>
      <c r="AV20" s="42"/>
      <c r="AW20" s="42"/>
      <c r="AX20" s="42"/>
    </row>
    <row r="21" spans="1:50" ht="12.75" customHeight="1">
      <c r="A21" s="149">
        <v>1085273461</v>
      </c>
      <c r="B21" s="44" t="s">
        <v>1246</v>
      </c>
      <c r="C21" s="44" t="s">
        <v>1247</v>
      </c>
      <c r="D21" s="44" t="s">
        <v>1248</v>
      </c>
      <c r="E21" s="44" t="s">
        <v>448</v>
      </c>
      <c r="F21" s="150">
        <v>32520</v>
      </c>
      <c r="G21" s="44" t="s">
        <v>1249</v>
      </c>
      <c r="H21" s="44">
        <v>3164084742</v>
      </c>
      <c r="I21" s="44" t="s">
        <v>450</v>
      </c>
      <c r="J21" s="44"/>
      <c r="K21" s="44"/>
      <c r="L21" s="44"/>
      <c r="M21" s="44" t="s">
        <v>448</v>
      </c>
      <c r="N21" s="44" t="s">
        <v>452</v>
      </c>
      <c r="O21" s="44" t="s">
        <v>453</v>
      </c>
      <c r="P21" s="150">
        <v>46083</v>
      </c>
      <c r="Q21" s="150">
        <v>46083</v>
      </c>
      <c r="R21" s="151"/>
      <c r="S21" s="44">
        <v>5</v>
      </c>
      <c r="T21" s="44" t="s">
        <v>499</v>
      </c>
      <c r="U21" s="44">
        <v>11</v>
      </c>
      <c r="V21" s="44" t="s">
        <v>456</v>
      </c>
      <c r="W21" s="44">
        <v>3</v>
      </c>
      <c r="X21" s="44" t="s">
        <v>457</v>
      </c>
      <c r="Y21" s="44">
        <v>2310470</v>
      </c>
      <c r="Z21" s="44" t="s">
        <v>477</v>
      </c>
      <c r="AA21" s="44">
        <v>219</v>
      </c>
      <c r="AB21" s="44">
        <v>15</v>
      </c>
      <c r="AC21" s="44">
        <v>5771486</v>
      </c>
      <c r="AD21" s="44" t="s">
        <v>72</v>
      </c>
      <c r="AE21" s="44">
        <v>98</v>
      </c>
      <c r="AF21" s="44" t="s">
        <v>458</v>
      </c>
      <c r="AG21" s="44" t="s">
        <v>459</v>
      </c>
      <c r="AH21" s="44" t="s">
        <v>49</v>
      </c>
      <c r="AI21" s="44" t="s">
        <v>460</v>
      </c>
      <c r="AJ21" s="150">
        <v>46083</v>
      </c>
      <c r="AK21" s="44">
        <v>69</v>
      </c>
      <c r="AL21" s="150">
        <v>44963</v>
      </c>
      <c r="AM21" s="150"/>
      <c r="AN21" s="44"/>
      <c r="AO21" s="150"/>
      <c r="AP21" s="150"/>
      <c r="AQ21" s="42"/>
      <c r="AR21" s="42"/>
      <c r="AS21" s="42"/>
      <c r="AT21" s="42"/>
      <c r="AU21" s="42"/>
      <c r="AV21" s="42"/>
      <c r="AW21" s="42"/>
      <c r="AX21" s="42"/>
    </row>
    <row r="22" spans="1:50" ht="12.75" customHeight="1">
      <c r="A22" s="149">
        <v>1085338624</v>
      </c>
      <c r="B22" s="44" t="s">
        <v>819</v>
      </c>
      <c r="C22" s="44" t="s">
        <v>759</v>
      </c>
      <c r="D22" s="44" t="s">
        <v>821</v>
      </c>
      <c r="E22" s="44" t="s">
        <v>448</v>
      </c>
      <c r="F22" s="150">
        <v>35818</v>
      </c>
      <c r="G22" s="44" t="s">
        <v>1250</v>
      </c>
      <c r="H22" s="44">
        <v>3153828754</v>
      </c>
      <c r="I22" s="44" t="s">
        <v>586</v>
      </c>
      <c r="J22" s="44"/>
      <c r="K22" s="44"/>
      <c r="L22" s="44"/>
      <c r="M22" s="44" t="s">
        <v>451</v>
      </c>
      <c r="N22" s="44" t="s">
        <v>452</v>
      </c>
      <c r="O22" s="44" t="s">
        <v>453</v>
      </c>
      <c r="P22" s="150">
        <v>45873</v>
      </c>
      <c r="Q22" s="150">
        <v>45873</v>
      </c>
      <c r="R22" s="151"/>
      <c r="S22" s="44">
        <v>5</v>
      </c>
      <c r="T22" s="44" t="s">
        <v>499</v>
      </c>
      <c r="U22" s="44">
        <v>11</v>
      </c>
      <c r="V22" s="44" t="s">
        <v>456</v>
      </c>
      <c r="W22" s="44">
        <v>3</v>
      </c>
      <c r="X22" s="44" t="s">
        <v>457</v>
      </c>
      <c r="Y22" s="44">
        <v>2310450</v>
      </c>
      <c r="Z22" s="44" t="s">
        <v>568</v>
      </c>
      <c r="AA22" s="44">
        <v>314</v>
      </c>
      <c r="AB22" s="44">
        <v>15</v>
      </c>
      <c r="AC22" s="44">
        <v>4226650</v>
      </c>
      <c r="AD22" s="44" t="s">
        <v>517</v>
      </c>
      <c r="AE22" s="44">
        <v>131</v>
      </c>
      <c r="AF22" s="44" t="s">
        <v>458</v>
      </c>
      <c r="AG22" s="44" t="s">
        <v>459</v>
      </c>
      <c r="AH22" s="44" t="s">
        <v>188</v>
      </c>
      <c r="AI22" s="44" t="s">
        <v>460</v>
      </c>
      <c r="AJ22" s="150">
        <v>45873</v>
      </c>
      <c r="AK22" s="44">
        <v>291</v>
      </c>
      <c r="AL22" s="150">
        <v>45870</v>
      </c>
      <c r="AM22" s="150"/>
      <c r="AN22" s="44"/>
      <c r="AO22" s="150"/>
      <c r="AP22" s="150"/>
      <c r="AQ22" s="42"/>
      <c r="AR22" s="42"/>
      <c r="AS22" s="42"/>
      <c r="AT22" s="42"/>
      <c r="AU22" s="42"/>
      <c r="AV22" s="42"/>
      <c r="AW22" s="42"/>
      <c r="AX22" s="42"/>
    </row>
    <row r="23" spans="1:50" ht="12.75" customHeight="1">
      <c r="A23" s="149">
        <v>1088280963</v>
      </c>
      <c r="B23" s="44" t="s">
        <v>1255</v>
      </c>
      <c r="C23" s="44" t="s">
        <v>589</v>
      </c>
      <c r="D23" s="44" t="s">
        <v>1017</v>
      </c>
      <c r="E23" s="44" t="s">
        <v>481</v>
      </c>
      <c r="F23" s="150">
        <v>33092</v>
      </c>
      <c r="G23" s="44" t="s">
        <v>1256</v>
      </c>
      <c r="H23" s="44">
        <v>3387423</v>
      </c>
      <c r="I23" s="44" t="s">
        <v>450</v>
      </c>
      <c r="J23" s="44"/>
      <c r="K23" s="44"/>
      <c r="L23" s="44"/>
      <c r="M23" s="44" t="s">
        <v>451</v>
      </c>
      <c r="N23" s="44" t="s">
        <v>452</v>
      </c>
      <c r="O23" s="44" t="s">
        <v>453</v>
      </c>
      <c r="P23" s="150">
        <v>44386</v>
      </c>
      <c r="Q23" s="150">
        <v>44169</v>
      </c>
      <c r="R23" s="151"/>
      <c r="S23" s="44">
        <v>26</v>
      </c>
      <c r="T23" s="44" t="s">
        <v>528</v>
      </c>
      <c r="U23" s="44">
        <v>19</v>
      </c>
      <c r="V23" s="44" t="s">
        <v>574</v>
      </c>
      <c r="W23" s="44">
        <v>19</v>
      </c>
      <c r="X23" s="44" t="s">
        <v>575</v>
      </c>
      <c r="Y23" s="44">
        <v>2300100</v>
      </c>
      <c r="Z23" s="44" t="s">
        <v>483</v>
      </c>
      <c r="AA23" s="44">
        <v>105</v>
      </c>
      <c r="AB23" s="44">
        <v>5</v>
      </c>
      <c r="AC23" s="44">
        <v>9154873</v>
      </c>
      <c r="AD23" s="44" t="s">
        <v>26</v>
      </c>
      <c r="AE23" s="44">
        <v>13</v>
      </c>
      <c r="AF23" s="44" t="s">
        <v>458</v>
      </c>
      <c r="AG23" s="44" t="s">
        <v>459</v>
      </c>
      <c r="AH23" s="44" t="s">
        <v>484</v>
      </c>
      <c r="AI23" s="44" t="s">
        <v>460</v>
      </c>
      <c r="AJ23" s="150">
        <v>44386</v>
      </c>
      <c r="AK23" s="44">
        <v>127</v>
      </c>
      <c r="AL23" s="150">
        <v>44386</v>
      </c>
      <c r="AM23" s="150"/>
      <c r="AN23" s="44"/>
      <c r="AO23" s="150"/>
      <c r="AP23" s="150">
        <v>44586</v>
      </c>
      <c r="AQ23" s="42"/>
      <c r="AR23" s="42"/>
      <c r="AS23" s="42"/>
      <c r="AT23" s="42"/>
      <c r="AU23" s="42"/>
      <c r="AV23" s="42"/>
      <c r="AW23" s="42"/>
      <c r="AX23" s="42"/>
    </row>
    <row r="24" spans="1:50" ht="12.75" customHeight="1">
      <c r="A24" s="149">
        <v>1094265253</v>
      </c>
      <c r="B24" s="44" t="s">
        <v>870</v>
      </c>
      <c r="C24" s="44" t="s">
        <v>533</v>
      </c>
      <c r="D24" s="44" t="s">
        <v>1257</v>
      </c>
      <c r="E24" s="44" t="s">
        <v>481</v>
      </c>
      <c r="F24" s="150">
        <v>33151</v>
      </c>
      <c r="G24" s="44" t="s">
        <v>1258</v>
      </c>
      <c r="H24" s="44">
        <v>3445000</v>
      </c>
      <c r="I24" s="44" t="s">
        <v>450</v>
      </c>
      <c r="J24" s="44"/>
      <c r="K24" s="44"/>
      <c r="L24" s="44"/>
      <c r="M24" s="44" t="s">
        <v>527</v>
      </c>
      <c r="N24" s="44" t="s">
        <v>452</v>
      </c>
      <c r="O24" s="44" t="s">
        <v>453</v>
      </c>
      <c r="P24" s="150">
        <v>44336</v>
      </c>
      <c r="Q24" s="150">
        <v>42828</v>
      </c>
      <c r="R24" s="151"/>
      <c r="S24" s="44">
        <v>26</v>
      </c>
      <c r="T24" s="44" t="s">
        <v>528</v>
      </c>
      <c r="U24" s="44">
        <v>18</v>
      </c>
      <c r="V24" s="44" t="s">
        <v>565</v>
      </c>
      <c r="W24" s="44">
        <v>3</v>
      </c>
      <c r="X24" s="44" t="s">
        <v>457</v>
      </c>
      <c r="Y24" s="44">
        <v>2310470</v>
      </c>
      <c r="Z24" s="44" t="s">
        <v>477</v>
      </c>
      <c r="AA24" s="44">
        <v>314</v>
      </c>
      <c r="AB24" s="44">
        <v>20</v>
      </c>
      <c r="AC24" s="44">
        <v>4789274</v>
      </c>
      <c r="AD24" s="44" t="s">
        <v>517</v>
      </c>
      <c r="AE24" s="44">
        <v>123</v>
      </c>
      <c r="AF24" s="44" t="s">
        <v>458</v>
      </c>
      <c r="AG24" s="44" t="s">
        <v>459</v>
      </c>
      <c r="AH24" s="44" t="s">
        <v>644</v>
      </c>
      <c r="AI24" s="44" t="s">
        <v>460</v>
      </c>
      <c r="AJ24" s="150">
        <v>44336</v>
      </c>
      <c r="AK24" s="44">
        <v>67</v>
      </c>
      <c r="AL24" s="150">
        <v>44298</v>
      </c>
      <c r="AM24" s="150"/>
      <c r="AN24" s="44"/>
      <c r="AO24" s="150"/>
      <c r="AP24" s="150">
        <v>44439</v>
      </c>
      <c r="AQ24" s="42"/>
      <c r="AR24" s="42"/>
      <c r="AS24" s="42"/>
      <c r="AT24" s="42"/>
      <c r="AU24" s="42"/>
      <c r="AV24" s="42"/>
      <c r="AW24" s="42"/>
      <c r="AX24" s="42"/>
    </row>
    <row r="25" spans="1:50" ht="12.75" customHeight="1">
      <c r="A25" s="149">
        <v>1095809712</v>
      </c>
      <c r="B25" s="44" t="s">
        <v>1261</v>
      </c>
      <c r="C25" s="44" t="s">
        <v>1262</v>
      </c>
      <c r="D25" s="44" t="s">
        <v>1263</v>
      </c>
      <c r="E25" s="44" t="s">
        <v>481</v>
      </c>
      <c r="F25" s="150">
        <v>33449</v>
      </c>
      <c r="G25" s="44" t="s">
        <v>1264</v>
      </c>
      <c r="H25" s="44">
        <v>4703329</v>
      </c>
      <c r="I25" s="44" t="s">
        <v>450</v>
      </c>
      <c r="J25" s="44"/>
      <c r="K25" s="44"/>
      <c r="L25" s="44"/>
      <c r="M25" s="44" t="s">
        <v>451</v>
      </c>
      <c r="N25" s="44" t="s">
        <v>452</v>
      </c>
      <c r="O25" s="44" t="s">
        <v>453</v>
      </c>
      <c r="P25" s="150">
        <v>43866</v>
      </c>
      <c r="Q25" s="150">
        <v>43866</v>
      </c>
      <c r="R25" s="151"/>
      <c r="S25" s="44">
        <v>5</v>
      </c>
      <c r="T25" s="44" t="s">
        <v>499</v>
      </c>
      <c r="U25" s="44">
        <v>18</v>
      </c>
      <c r="V25" s="44" t="s">
        <v>565</v>
      </c>
      <c r="W25" s="44">
        <v>18</v>
      </c>
      <c r="X25" s="44" t="s">
        <v>536</v>
      </c>
      <c r="Y25" s="44">
        <v>2310470</v>
      </c>
      <c r="Z25" s="44" t="s">
        <v>477</v>
      </c>
      <c r="AA25" s="44">
        <v>219</v>
      </c>
      <c r="AB25" s="44">
        <v>3</v>
      </c>
      <c r="AC25" s="44">
        <v>4244468</v>
      </c>
      <c r="AD25" s="44" t="s">
        <v>72</v>
      </c>
      <c r="AE25" s="44">
        <v>114</v>
      </c>
      <c r="AF25" s="44" t="s">
        <v>458</v>
      </c>
      <c r="AG25" s="44" t="s">
        <v>459</v>
      </c>
      <c r="AH25" s="44" t="s">
        <v>188</v>
      </c>
      <c r="AI25" s="44" t="s">
        <v>460</v>
      </c>
      <c r="AJ25" s="150">
        <v>44299</v>
      </c>
      <c r="AK25" s="44">
        <v>69</v>
      </c>
      <c r="AL25" s="150">
        <v>44298</v>
      </c>
      <c r="AM25" s="150"/>
      <c r="AN25" s="44"/>
      <c r="AO25" s="150"/>
      <c r="AP25" s="150">
        <v>44462</v>
      </c>
      <c r="AQ25" s="42"/>
      <c r="AR25" s="42"/>
      <c r="AS25" s="42"/>
      <c r="AT25" s="42"/>
      <c r="AU25" s="42"/>
      <c r="AV25" s="42"/>
      <c r="AW25" s="42"/>
      <c r="AX25" s="42"/>
    </row>
    <row r="26" spans="1:50" ht="12.75" customHeight="1">
      <c r="A26" s="149">
        <v>1098632731</v>
      </c>
      <c r="B26" s="44" t="s">
        <v>538</v>
      </c>
      <c r="C26" s="44" t="s">
        <v>1266</v>
      </c>
      <c r="D26" s="44" t="s">
        <v>1267</v>
      </c>
      <c r="E26" s="44" t="s">
        <v>448</v>
      </c>
      <c r="F26" s="150">
        <v>31867</v>
      </c>
      <c r="G26" s="44" t="s">
        <v>1268</v>
      </c>
      <c r="H26" s="44">
        <v>3108656356</v>
      </c>
      <c r="I26" s="44" t="s">
        <v>450</v>
      </c>
      <c r="J26" s="44"/>
      <c r="K26" s="44"/>
      <c r="L26" s="44"/>
      <c r="M26" s="44" t="s">
        <v>451</v>
      </c>
      <c r="N26" s="44" t="s">
        <v>452</v>
      </c>
      <c r="O26" s="44" t="s">
        <v>453</v>
      </c>
      <c r="P26" s="150">
        <v>46076</v>
      </c>
      <c r="Q26" s="150">
        <v>44285</v>
      </c>
      <c r="R26" s="151"/>
      <c r="S26" s="44">
        <v>5</v>
      </c>
      <c r="T26" s="44" t="s">
        <v>499</v>
      </c>
      <c r="U26" s="44">
        <v>11</v>
      </c>
      <c r="V26" s="44" t="s">
        <v>456</v>
      </c>
      <c r="W26" s="44">
        <v>3</v>
      </c>
      <c r="X26" s="44" t="s">
        <v>457</v>
      </c>
      <c r="Y26" s="44">
        <v>2311000</v>
      </c>
      <c r="Z26" s="44" t="s">
        <v>467</v>
      </c>
      <c r="AA26" s="44">
        <v>425</v>
      </c>
      <c r="AB26" s="44">
        <v>20</v>
      </c>
      <c r="AC26" s="44">
        <v>3799538</v>
      </c>
      <c r="AD26" s="44" t="s">
        <v>255</v>
      </c>
      <c r="AE26" s="44">
        <v>168</v>
      </c>
      <c r="AF26" s="44" t="s">
        <v>458</v>
      </c>
      <c r="AG26" s="44" t="s">
        <v>459</v>
      </c>
      <c r="AH26" s="44" t="s">
        <v>49</v>
      </c>
      <c r="AI26" s="44" t="s">
        <v>460</v>
      </c>
      <c r="AJ26" s="150">
        <v>46076</v>
      </c>
      <c r="AK26" s="44">
        <v>61</v>
      </c>
      <c r="AL26" s="150">
        <v>46059</v>
      </c>
      <c r="AM26" s="150"/>
      <c r="AN26" s="44"/>
      <c r="AO26" s="150"/>
      <c r="AP26" s="150"/>
      <c r="AQ26" s="42"/>
      <c r="AR26" s="42"/>
      <c r="AS26" s="42"/>
      <c r="AT26" s="42"/>
      <c r="AU26" s="42"/>
      <c r="AV26" s="42"/>
      <c r="AW26" s="42"/>
      <c r="AX26" s="42"/>
    </row>
    <row r="27" spans="1:50" ht="12.75" customHeight="1">
      <c r="A27" s="149">
        <v>1098653678</v>
      </c>
      <c r="B27" s="44" t="s">
        <v>1053</v>
      </c>
      <c r="C27" s="44" t="s">
        <v>1272</v>
      </c>
      <c r="D27" s="44" t="s">
        <v>1273</v>
      </c>
      <c r="E27" s="44" t="s">
        <v>481</v>
      </c>
      <c r="F27" s="150">
        <v>32148</v>
      </c>
      <c r="G27" s="44" t="s">
        <v>1274</v>
      </c>
      <c r="H27" s="44">
        <v>3012224135</v>
      </c>
      <c r="I27" s="44" t="s">
        <v>450</v>
      </c>
      <c r="J27" s="44"/>
      <c r="K27" s="44"/>
      <c r="L27" s="44"/>
      <c r="M27" s="44" t="s">
        <v>451</v>
      </c>
      <c r="N27" s="44" t="s">
        <v>452</v>
      </c>
      <c r="O27" s="44" t="s">
        <v>453</v>
      </c>
      <c r="P27" s="150">
        <v>43049</v>
      </c>
      <c r="Q27" s="150">
        <v>43049</v>
      </c>
      <c r="R27" s="151"/>
      <c r="S27" s="44">
        <v>5</v>
      </c>
      <c r="T27" s="44" t="s">
        <v>499</v>
      </c>
      <c r="U27" s="44">
        <v>18</v>
      </c>
      <c r="V27" s="44" t="s">
        <v>565</v>
      </c>
      <c r="W27" s="44">
        <v>18</v>
      </c>
      <c r="X27" s="44" t="s">
        <v>536</v>
      </c>
      <c r="Y27" s="44">
        <v>99</v>
      </c>
      <c r="Z27" s="44" t="s">
        <v>500</v>
      </c>
      <c r="AA27" s="44">
        <v>219</v>
      </c>
      <c r="AB27" s="44">
        <v>15</v>
      </c>
      <c r="AC27" s="44">
        <v>5771486</v>
      </c>
      <c r="AD27" s="44" t="s">
        <v>72</v>
      </c>
      <c r="AE27" s="44">
        <v>99</v>
      </c>
      <c r="AF27" s="44" t="s">
        <v>458</v>
      </c>
      <c r="AG27" s="44" t="s">
        <v>459</v>
      </c>
      <c r="AH27" s="44" t="s">
        <v>188</v>
      </c>
      <c r="AI27" s="44" t="s">
        <v>460</v>
      </c>
      <c r="AJ27" s="150">
        <v>43049</v>
      </c>
      <c r="AK27" s="44">
        <v>185</v>
      </c>
      <c r="AL27" s="150">
        <v>43049</v>
      </c>
      <c r="AM27" s="150"/>
      <c r="AN27" s="44"/>
      <c r="AO27" s="150"/>
      <c r="AP27" s="150">
        <v>44146</v>
      </c>
      <c r="AQ27" s="42"/>
      <c r="AR27" s="42"/>
      <c r="AS27" s="42"/>
      <c r="AT27" s="42"/>
      <c r="AU27" s="42"/>
      <c r="AV27" s="42"/>
      <c r="AW27" s="42"/>
      <c r="AX27" s="42"/>
    </row>
    <row r="28" spans="1:50" ht="12.75" customHeight="1">
      <c r="A28" s="149">
        <v>79569642</v>
      </c>
      <c r="B28" s="44" t="s">
        <v>1077</v>
      </c>
      <c r="C28" s="44" t="s">
        <v>1078</v>
      </c>
      <c r="D28" s="44" t="s">
        <v>1079</v>
      </c>
      <c r="E28" s="44" t="s">
        <v>448</v>
      </c>
      <c r="F28" s="150">
        <v>26375</v>
      </c>
      <c r="G28" s="44" t="s">
        <v>2045</v>
      </c>
      <c r="H28" s="44">
        <v>6699963</v>
      </c>
      <c r="I28" s="44" t="s">
        <v>586</v>
      </c>
      <c r="J28" s="44"/>
      <c r="K28" s="44"/>
      <c r="L28" s="44"/>
      <c r="M28" s="44"/>
      <c r="N28" s="44"/>
      <c r="O28" s="44" t="s">
        <v>453</v>
      </c>
      <c r="P28" s="150">
        <v>42585</v>
      </c>
      <c r="Q28" s="150">
        <v>36271</v>
      </c>
      <c r="R28" s="150">
        <v>34654</v>
      </c>
      <c r="S28" s="44">
        <v>5</v>
      </c>
      <c r="T28" s="44" t="s">
        <v>499</v>
      </c>
      <c r="U28" s="44">
        <v>11</v>
      </c>
      <c r="V28" s="44" t="s">
        <v>456</v>
      </c>
      <c r="W28" s="44">
        <v>23</v>
      </c>
      <c r="X28" s="44" t="s">
        <v>473</v>
      </c>
      <c r="Y28" s="44">
        <v>2311000</v>
      </c>
      <c r="Z28" s="44" t="s">
        <v>467</v>
      </c>
      <c r="AA28" s="44">
        <v>222</v>
      </c>
      <c r="AB28" s="44">
        <v>27</v>
      </c>
      <c r="AC28" s="44">
        <v>7358647</v>
      </c>
      <c r="AD28" s="44" t="s">
        <v>51</v>
      </c>
      <c r="AE28" s="44">
        <v>17</v>
      </c>
      <c r="AF28" s="44" t="s">
        <v>458</v>
      </c>
      <c r="AG28" s="44" t="s">
        <v>459</v>
      </c>
      <c r="AH28" s="44" t="s">
        <v>49</v>
      </c>
      <c r="AI28" s="44" t="s">
        <v>460</v>
      </c>
      <c r="AJ28" s="150">
        <v>42585</v>
      </c>
      <c r="AK28" s="44">
        <v>2</v>
      </c>
      <c r="AL28" s="150">
        <v>42585</v>
      </c>
      <c r="AM28" s="150">
        <v>46204</v>
      </c>
      <c r="AN28" s="44">
        <v>271</v>
      </c>
      <c r="AO28" s="150">
        <v>46196</v>
      </c>
      <c r="AP28" s="150"/>
      <c r="AQ28" s="42"/>
      <c r="AR28" s="42"/>
      <c r="AS28" s="42"/>
      <c r="AT28" s="42"/>
      <c r="AU28" s="42"/>
      <c r="AV28" s="42"/>
      <c r="AW28" s="42"/>
      <c r="AX28" s="42"/>
    </row>
    <row r="29" spans="1:50" ht="12.75" customHeight="1">
      <c r="A29" s="149">
        <v>79575101</v>
      </c>
      <c r="B29" s="44" t="s">
        <v>832</v>
      </c>
      <c r="C29" s="44" t="s">
        <v>861</v>
      </c>
      <c r="D29" s="44" t="s">
        <v>1084</v>
      </c>
      <c r="E29" s="44" t="s">
        <v>448</v>
      </c>
      <c r="F29" s="150">
        <v>26142</v>
      </c>
      <c r="G29" s="44" t="s">
        <v>2047</v>
      </c>
      <c r="H29" s="44">
        <v>9077835</v>
      </c>
      <c r="I29" s="44" t="s">
        <v>586</v>
      </c>
      <c r="J29" s="44">
        <v>220195</v>
      </c>
      <c r="K29" s="44">
        <v>1</v>
      </c>
      <c r="L29" s="44">
        <v>3</v>
      </c>
      <c r="M29" s="44" t="s">
        <v>448</v>
      </c>
      <c r="N29" s="44" t="s">
        <v>452</v>
      </c>
      <c r="O29" s="44" t="s">
        <v>453</v>
      </c>
      <c r="P29" s="150">
        <v>44378</v>
      </c>
      <c r="Q29" s="150">
        <v>33158</v>
      </c>
      <c r="R29" s="151"/>
      <c r="S29" s="44">
        <v>8</v>
      </c>
      <c r="T29" s="44" t="s">
        <v>466</v>
      </c>
      <c r="U29" s="44">
        <v>11</v>
      </c>
      <c r="V29" s="44" t="s">
        <v>456</v>
      </c>
      <c r="W29" s="44">
        <v>19</v>
      </c>
      <c r="X29" s="44" t="s">
        <v>575</v>
      </c>
      <c r="Y29" s="44">
        <v>2311000</v>
      </c>
      <c r="Z29" s="44" t="s">
        <v>467</v>
      </c>
      <c r="AA29" s="44">
        <v>222</v>
      </c>
      <c r="AB29" s="44">
        <v>27</v>
      </c>
      <c r="AC29" s="44">
        <v>7358647</v>
      </c>
      <c r="AD29" s="44" t="s">
        <v>51</v>
      </c>
      <c r="AE29" s="44">
        <v>39</v>
      </c>
      <c r="AF29" s="44" t="s">
        <v>458</v>
      </c>
      <c r="AG29" s="44" t="s">
        <v>459</v>
      </c>
      <c r="AH29" s="44" t="s">
        <v>49</v>
      </c>
      <c r="AI29" s="44" t="s">
        <v>460</v>
      </c>
      <c r="AJ29" s="150">
        <v>44378</v>
      </c>
      <c r="AK29" s="44">
        <v>84</v>
      </c>
      <c r="AL29" s="150">
        <v>44313</v>
      </c>
      <c r="AM29" s="150"/>
      <c r="AN29" s="44"/>
      <c r="AO29" s="150"/>
      <c r="AP29" s="150"/>
      <c r="AQ29" s="42"/>
      <c r="AR29" s="42"/>
      <c r="AS29" s="42"/>
      <c r="AT29" s="42"/>
      <c r="AU29" s="42"/>
      <c r="AV29" s="42"/>
      <c r="AW29" s="42"/>
      <c r="AX29" s="42"/>
    </row>
    <row r="30" spans="1:50" ht="12.75" customHeight="1">
      <c r="A30" s="149">
        <v>79584810</v>
      </c>
      <c r="B30" s="44" t="s">
        <v>1085</v>
      </c>
      <c r="C30" s="44" t="s">
        <v>1086</v>
      </c>
      <c r="D30" s="44" t="s">
        <v>1087</v>
      </c>
      <c r="E30" s="44" t="s">
        <v>448</v>
      </c>
      <c r="F30" s="150">
        <v>26216</v>
      </c>
      <c r="G30" s="44" t="s">
        <v>2048</v>
      </c>
      <c r="H30" s="44">
        <v>3168803127</v>
      </c>
      <c r="I30" s="44" t="s">
        <v>586</v>
      </c>
      <c r="J30" s="44">
        <v>79584810</v>
      </c>
      <c r="K30" s="44">
        <v>1</v>
      </c>
      <c r="L30" s="44">
        <v>55</v>
      </c>
      <c r="M30" s="44" t="s">
        <v>451</v>
      </c>
      <c r="N30" s="44" t="s">
        <v>452</v>
      </c>
      <c r="O30" s="44" t="s">
        <v>453</v>
      </c>
      <c r="P30" s="150">
        <v>44139</v>
      </c>
      <c r="Q30" s="150">
        <v>44139</v>
      </c>
      <c r="R30" s="151"/>
      <c r="S30" s="44">
        <v>8</v>
      </c>
      <c r="T30" s="44" t="s">
        <v>466</v>
      </c>
      <c r="U30" s="44">
        <v>11</v>
      </c>
      <c r="V30" s="44" t="s">
        <v>456</v>
      </c>
      <c r="W30" s="44">
        <v>3</v>
      </c>
      <c r="X30" s="44" t="s">
        <v>457</v>
      </c>
      <c r="Y30" s="44">
        <v>2310470</v>
      </c>
      <c r="Z30" s="44" t="s">
        <v>477</v>
      </c>
      <c r="AA30" s="44">
        <v>219</v>
      </c>
      <c r="AB30" s="44">
        <v>18</v>
      </c>
      <c r="AC30" s="44">
        <v>5951245</v>
      </c>
      <c r="AD30" s="44" t="s">
        <v>72</v>
      </c>
      <c r="AE30" s="44">
        <v>90</v>
      </c>
      <c r="AF30" s="44" t="s">
        <v>458</v>
      </c>
      <c r="AG30" s="44" t="s">
        <v>459</v>
      </c>
      <c r="AH30" s="44" t="s">
        <v>49</v>
      </c>
      <c r="AI30" s="44" t="s">
        <v>460</v>
      </c>
      <c r="AJ30" s="150">
        <v>44139</v>
      </c>
      <c r="AK30" s="44">
        <v>117</v>
      </c>
      <c r="AL30" s="150">
        <v>44118</v>
      </c>
      <c r="AM30" s="150">
        <v>45779</v>
      </c>
      <c r="AN30" s="44">
        <v>140</v>
      </c>
      <c r="AO30" s="150">
        <v>45754</v>
      </c>
      <c r="AP30" s="150"/>
      <c r="AQ30" s="42"/>
      <c r="AR30" s="42"/>
      <c r="AS30" s="42"/>
      <c r="AT30" s="42"/>
      <c r="AU30" s="42"/>
      <c r="AV30" s="42"/>
      <c r="AW30" s="42"/>
      <c r="AX30" s="42"/>
    </row>
    <row r="31" spans="1:50" ht="12.75" customHeight="1">
      <c r="A31" s="149">
        <v>79651151</v>
      </c>
      <c r="B31" s="44" t="s">
        <v>1509</v>
      </c>
      <c r="C31" s="44" t="s">
        <v>1536</v>
      </c>
      <c r="D31" s="44" t="s">
        <v>2053</v>
      </c>
      <c r="E31" s="44" t="s">
        <v>481</v>
      </c>
      <c r="F31" s="150">
        <v>26353</v>
      </c>
      <c r="G31" s="44" t="s">
        <v>2054</v>
      </c>
      <c r="H31" s="44">
        <v>3104315989</v>
      </c>
      <c r="I31" s="44" t="s">
        <v>586</v>
      </c>
      <c r="J31" s="44">
        <v>79651151</v>
      </c>
      <c r="K31" s="44">
        <v>2</v>
      </c>
      <c r="L31" s="44"/>
      <c r="M31" s="44" t="s">
        <v>448</v>
      </c>
      <c r="N31" s="44" t="s">
        <v>452</v>
      </c>
      <c r="O31" s="44" t="s">
        <v>453</v>
      </c>
      <c r="P31" s="150">
        <v>42948</v>
      </c>
      <c r="Q31" s="150">
        <v>42948</v>
      </c>
      <c r="R31" s="151"/>
      <c r="S31" s="44">
        <v>5</v>
      </c>
      <c r="T31" s="44" t="s">
        <v>499</v>
      </c>
      <c r="U31" s="44">
        <v>11</v>
      </c>
      <c r="V31" s="44" t="s">
        <v>456</v>
      </c>
      <c r="W31" s="44">
        <v>19</v>
      </c>
      <c r="X31" s="44" t="s">
        <v>575</v>
      </c>
      <c r="Y31" s="44">
        <v>90</v>
      </c>
      <c r="Z31" s="44" t="s">
        <v>500</v>
      </c>
      <c r="AA31" s="44">
        <v>219</v>
      </c>
      <c r="AB31" s="44">
        <v>18</v>
      </c>
      <c r="AC31" s="44">
        <v>5951245</v>
      </c>
      <c r="AD31" s="44" t="s">
        <v>72</v>
      </c>
      <c r="AE31" s="44">
        <v>90</v>
      </c>
      <c r="AF31" s="44" t="s">
        <v>458</v>
      </c>
      <c r="AG31" s="44" t="s">
        <v>459</v>
      </c>
      <c r="AH31" s="44" t="s">
        <v>188</v>
      </c>
      <c r="AI31" s="44" t="s">
        <v>460</v>
      </c>
      <c r="AJ31" s="150">
        <v>42948</v>
      </c>
      <c r="AK31" s="44">
        <v>105</v>
      </c>
      <c r="AL31" s="150">
        <v>42922</v>
      </c>
      <c r="AM31" s="150"/>
      <c r="AN31" s="44"/>
      <c r="AO31" s="150"/>
      <c r="AP31" s="150">
        <v>44138</v>
      </c>
      <c r="AQ31" s="42"/>
      <c r="AR31" s="42"/>
      <c r="AS31" s="42"/>
      <c r="AT31" s="42"/>
      <c r="AU31" s="42"/>
      <c r="AV31" s="42"/>
      <c r="AW31" s="42"/>
      <c r="AX31" s="42"/>
    </row>
    <row r="32" spans="1:50" ht="12.75" customHeight="1">
      <c r="A32" s="42">
        <v>79683870</v>
      </c>
      <c r="B32" s="42" t="s">
        <v>1042</v>
      </c>
      <c r="C32" s="42" t="s">
        <v>2055</v>
      </c>
      <c r="D32" s="42" t="s">
        <v>825</v>
      </c>
      <c r="E32" s="42" t="s">
        <v>481</v>
      </c>
      <c r="F32" s="154">
        <v>27166</v>
      </c>
      <c r="G32" s="42" t="s">
        <v>2056</v>
      </c>
      <c r="H32" s="42">
        <v>3108134756</v>
      </c>
      <c r="I32" s="42" t="s">
        <v>586</v>
      </c>
      <c r="J32" s="42"/>
      <c r="K32" s="42"/>
      <c r="L32" s="42"/>
      <c r="M32" s="42" t="s">
        <v>451</v>
      </c>
      <c r="N32" s="42" t="s">
        <v>5</v>
      </c>
      <c r="O32" s="42" t="s">
        <v>453</v>
      </c>
      <c r="P32" s="154">
        <v>44908</v>
      </c>
      <c r="Q32" s="154">
        <v>44908</v>
      </c>
      <c r="R32" s="154"/>
      <c r="S32" s="42">
        <v>42</v>
      </c>
      <c r="T32" s="42" t="s">
        <v>1166</v>
      </c>
      <c r="U32" s="42">
        <v>19</v>
      </c>
      <c r="V32" s="42" t="s">
        <v>574</v>
      </c>
      <c r="W32" s="42">
        <v>3</v>
      </c>
      <c r="X32" s="42" t="s">
        <v>457</v>
      </c>
      <c r="Y32" s="42">
        <v>2310440</v>
      </c>
      <c r="Z32" s="42" t="s">
        <v>628</v>
      </c>
      <c r="AA32" s="42">
        <v>9</v>
      </c>
      <c r="AB32" s="42">
        <v>7</v>
      </c>
      <c r="AC32" s="42">
        <v>11186814</v>
      </c>
      <c r="AD32" s="42" t="s">
        <v>512</v>
      </c>
      <c r="AE32" s="42">
        <v>3</v>
      </c>
      <c r="AF32" s="42" t="s">
        <v>458</v>
      </c>
      <c r="AG32" s="42" t="s">
        <v>459</v>
      </c>
      <c r="AH32" s="42" t="s">
        <v>484</v>
      </c>
      <c r="AI32" s="42" t="s">
        <v>460</v>
      </c>
      <c r="AJ32" s="154">
        <v>44908</v>
      </c>
      <c r="AK32" s="42">
        <v>489</v>
      </c>
      <c r="AL32" s="154">
        <v>44908</v>
      </c>
      <c r="AM32" s="154"/>
      <c r="AN32" s="42"/>
      <c r="AO32" s="154"/>
      <c r="AP32" s="154">
        <v>45418</v>
      </c>
      <c r="AQ32" s="42"/>
      <c r="AR32" s="42"/>
      <c r="AS32" s="42"/>
      <c r="AT32" s="42"/>
      <c r="AU32" s="42"/>
      <c r="AV32" s="42"/>
      <c r="AW32" s="42"/>
      <c r="AX32" s="42"/>
    </row>
    <row r="33" spans="1:50" ht="12.75" customHeight="1">
      <c r="A33" s="42">
        <v>79709902</v>
      </c>
      <c r="B33" s="42" t="s">
        <v>485</v>
      </c>
      <c r="C33" s="42" t="s">
        <v>711</v>
      </c>
      <c r="D33" s="42" t="s">
        <v>1088</v>
      </c>
      <c r="E33" s="42" t="s">
        <v>448</v>
      </c>
      <c r="F33" s="154">
        <v>27328</v>
      </c>
      <c r="G33" s="42" t="s">
        <v>2057</v>
      </c>
      <c r="H33" s="42">
        <v>6636647</v>
      </c>
      <c r="I33" s="42" t="s">
        <v>586</v>
      </c>
      <c r="J33" s="42">
        <v>79709902</v>
      </c>
      <c r="K33" s="42">
        <v>2</v>
      </c>
      <c r="L33" s="42">
        <v>55</v>
      </c>
      <c r="M33" s="42" t="s">
        <v>451</v>
      </c>
      <c r="N33" s="42" t="s">
        <v>452</v>
      </c>
      <c r="O33" s="42" t="s">
        <v>453</v>
      </c>
      <c r="P33" s="154">
        <v>44148</v>
      </c>
      <c r="Q33" s="154">
        <v>44148</v>
      </c>
      <c r="R33" s="154"/>
      <c r="S33" s="42">
        <v>8</v>
      </c>
      <c r="T33" s="42" t="s">
        <v>466</v>
      </c>
      <c r="U33" s="42">
        <v>11</v>
      </c>
      <c r="V33" s="42" t="s">
        <v>456</v>
      </c>
      <c r="W33" s="42">
        <v>18</v>
      </c>
      <c r="X33" s="42" t="s">
        <v>536</v>
      </c>
      <c r="Y33" s="42">
        <v>2310450</v>
      </c>
      <c r="Z33" s="42" t="s">
        <v>568</v>
      </c>
      <c r="AA33" s="42">
        <v>222</v>
      </c>
      <c r="AB33" s="42">
        <v>27</v>
      </c>
      <c r="AC33" s="42">
        <v>7358647</v>
      </c>
      <c r="AD33" s="42" t="s">
        <v>51</v>
      </c>
      <c r="AE33" s="42">
        <v>35</v>
      </c>
      <c r="AF33" s="42" t="s">
        <v>458</v>
      </c>
      <c r="AG33" s="42" t="s">
        <v>459</v>
      </c>
      <c r="AH33" s="42" t="s">
        <v>49</v>
      </c>
      <c r="AI33" s="42" t="s">
        <v>460</v>
      </c>
      <c r="AJ33" s="154">
        <v>44148</v>
      </c>
      <c r="AK33" s="42">
        <v>184</v>
      </c>
      <c r="AL33" s="154">
        <v>44124</v>
      </c>
      <c r="AM33" s="154"/>
      <c r="AN33" s="42"/>
      <c r="AO33" s="154"/>
      <c r="AP33" s="154"/>
      <c r="AQ33" s="42"/>
      <c r="AR33" s="42"/>
      <c r="AS33" s="42"/>
      <c r="AT33" s="42"/>
      <c r="AU33" s="42"/>
      <c r="AV33" s="42"/>
      <c r="AW33" s="42"/>
      <c r="AX33" s="42"/>
    </row>
    <row r="34" spans="1:50" ht="12.75" customHeight="1">
      <c r="A34" s="42">
        <v>79728884</v>
      </c>
      <c r="B34" s="42" t="s">
        <v>1067</v>
      </c>
      <c r="C34" s="42" t="s">
        <v>758</v>
      </c>
      <c r="D34" s="42" t="s">
        <v>2059</v>
      </c>
      <c r="E34" s="42" t="s">
        <v>481</v>
      </c>
      <c r="F34" s="154">
        <v>29276</v>
      </c>
      <c r="G34" s="42" t="s">
        <v>2060</v>
      </c>
      <c r="H34" s="42">
        <v>2101578</v>
      </c>
      <c r="I34" s="42" t="s">
        <v>586</v>
      </c>
      <c r="J34" s="42">
        <v>79728884</v>
      </c>
      <c r="K34" s="42">
        <v>2</v>
      </c>
      <c r="L34" s="42">
        <v>1</v>
      </c>
      <c r="M34" s="42" t="s">
        <v>451</v>
      </c>
      <c r="N34" s="42" t="s">
        <v>5</v>
      </c>
      <c r="O34" s="42" t="s">
        <v>453</v>
      </c>
      <c r="P34" s="154">
        <v>43642</v>
      </c>
      <c r="Q34" s="154">
        <v>43642</v>
      </c>
      <c r="R34" s="154"/>
      <c r="S34" s="42">
        <v>8</v>
      </c>
      <c r="T34" s="42" t="s">
        <v>466</v>
      </c>
      <c r="U34" s="42">
        <v>19</v>
      </c>
      <c r="V34" s="42" t="s">
        <v>574</v>
      </c>
      <c r="W34" s="42">
        <v>19</v>
      </c>
      <c r="X34" s="42" t="s">
        <v>575</v>
      </c>
      <c r="Y34" s="42">
        <v>110</v>
      </c>
      <c r="Z34" s="42" t="s">
        <v>500</v>
      </c>
      <c r="AA34" s="42">
        <v>219</v>
      </c>
      <c r="AB34" s="42">
        <v>1</v>
      </c>
      <c r="AC34" s="42">
        <v>3989530</v>
      </c>
      <c r="AD34" s="42" t="s">
        <v>72</v>
      </c>
      <c r="AE34" s="42">
        <v>110</v>
      </c>
      <c r="AF34" s="42" t="s">
        <v>458</v>
      </c>
      <c r="AG34" s="42" t="s">
        <v>459</v>
      </c>
      <c r="AH34" s="42" t="s">
        <v>188</v>
      </c>
      <c r="AI34" s="42" t="s">
        <v>460</v>
      </c>
      <c r="AJ34" s="154">
        <v>43642</v>
      </c>
      <c r="AK34" s="42">
        <v>95</v>
      </c>
      <c r="AL34" s="154">
        <v>43642</v>
      </c>
      <c r="AM34" s="154"/>
      <c r="AN34" s="42"/>
      <c r="AO34" s="154"/>
      <c r="AP34" s="154">
        <v>44143</v>
      </c>
      <c r="AQ34" s="42"/>
      <c r="AR34" s="42"/>
      <c r="AS34" s="42"/>
      <c r="AT34" s="42"/>
      <c r="AU34" s="42"/>
      <c r="AV34" s="42"/>
      <c r="AW34" s="42"/>
      <c r="AX34" s="42"/>
    </row>
    <row r="35" spans="1:50" ht="12.75" customHeight="1">
      <c r="A35" s="42">
        <v>79740255</v>
      </c>
      <c r="B35" s="42" t="s">
        <v>896</v>
      </c>
      <c r="C35" s="42" t="s">
        <v>2062</v>
      </c>
      <c r="D35" s="42" t="s">
        <v>2063</v>
      </c>
      <c r="E35" s="42" t="s">
        <v>481</v>
      </c>
      <c r="F35" s="154">
        <v>27849</v>
      </c>
      <c r="G35" s="42" t="s">
        <v>2064</v>
      </c>
      <c r="H35" s="42">
        <v>4740196</v>
      </c>
      <c r="I35" s="42" t="s">
        <v>586</v>
      </c>
      <c r="J35" s="42">
        <v>79740255</v>
      </c>
      <c r="K35" s="42">
        <v>2</v>
      </c>
      <c r="L35" s="42">
        <v>52</v>
      </c>
      <c r="M35" s="42" t="s">
        <v>448</v>
      </c>
      <c r="N35" s="42" t="s">
        <v>452</v>
      </c>
      <c r="O35" s="42" t="s">
        <v>453</v>
      </c>
      <c r="P35" s="154">
        <v>42608</v>
      </c>
      <c r="Q35" s="154">
        <v>42608</v>
      </c>
      <c r="R35" s="154"/>
      <c r="S35" s="42">
        <v>5</v>
      </c>
      <c r="T35" s="42" t="s">
        <v>499</v>
      </c>
      <c r="U35" s="42">
        <v>11</v>
      </c>
      <c r="V35" s="42" t="s">
        <v>456</v>
      </c>
      <c r="W35" s="42">
        <v>19</v>
      </c>
      <c r="X35" s="42" t="s">
        <v>575</v>
      </c>
      <c r="Y35" s="42">
        <v>2311000</v>
      </c>
      <c r="Z35" s="42" t="s">
        <v>467</v>
      </c>
      <c r="AA35" s="42">
        <v>480</v>
      </c>
      <c r="AB35" s="42">
        <v>13</v>
      </c>
      <c r="AC35" s="42">
        <v>3017226</v>
      </c>
      <c r="AD35" s="42" t="s">
        <v>223</v>
      </c>
      <c r="AE35" s="42">
        <v>157</v>
      </c>
      <c r="AF35" s="42" t="s">
        <v>458</v>
      </c>
      <c r="AG35" s="42" t="s">
        <v>459</v>
      </c>
      <c r="AH35" s="42" t="s">
        <v>188</v>
      </c>
      <c r="AI35" s="42" t="s">
        <v>460</v>
      </c>
      <c r="AJ35" s="154">
        <v>42608</v>
      </c>
      <c r="AK35" s="42">
        <v>33</v>
      </c>
      <c r="AL35" s="154">
        <v>42607</v>
      </c>
      <c r="AM35" s="154"/>
      <c r="AN35" s="42"/>
      <c r="AO35" s="154"/>
      <c r="AP35" s="154">
        <v>43016</v>
      </c>
      <c r="AQ35" s="42"/>
      <c r="AR35" s="42"/>
      <c r="AS35" s="42"/>
      <c r="AT35" s="42"/>
      <c r="AU35" s="42"/>
      <c r="AV35" s="42"/>
      <c r="AW35" s="42"/>
      <c r="AX35" s="42"/>
    </row>
    <row r="36" spans="1:50" ht="12.75" customHeight="1">
      <c r="A36" s="42">
        <v>79749090</v>
      </c>
      <c r="B36" s="42" t="s">
        <v>1631</v>
      </c>
      <c r="C36" s="42" t="s">
        <v>513</v>
      </c>
      <c r="D36" s="42" t="s">
        <v>2065</v>
      </c>
      <c r="E36" s="42" t="s">
        <v>481</v>
      </c>
      <c r="F36" s="154">
        <v>28645</v>
      </c>
      <c r="G36" s="42" t="s">
        <v>2066</v>
      </c>
      <c r="H36" s="42">
        <v>9066979</v>
      </c>
      <c r="I36" s="42" t="s">
        <v>586</v>
      </c>
      <c r="J36" s="42">
        <v>79749090</v>
      </c>
      <c r="K36" s="42">
        <v>2</v>
      </c>
      <c r="L36" s="42">
        <v>3</v>
      </c>
      <c r="M36" s="42" t="s">
        <v>451</v>
      </c>
      <c r="N36" s="42" t="s">
        <v>452</v>
      </c>
      <c r="O36" s="42" t="s">
        <v>453</v>
      </c>
      <c r="P36" s="154">
        <v>44166</v>
      </c>
      <c r="Q36" s="154">
        <v>44166</v>
      </c>
      <c r="R36" s="154">
        <v>40749</v>
      </c>
      <c r="S36" s="42">
        <v>8</v>
      </c>
      <c r="T36" s="42" t="s">
        <v>466</v>
      </c>
      <c r="U36" s="42">
        <v>11</v>
      </c>
      <c r="V36" s="42" t="s">
        <v>456</v>
      </c>
      <c r="W36" s="42">
        <v>3</v>
      </c>
      <c r="X36" s="42" t="s">
        <v>457</v>
      </c>
      <c r="Y36" s="42">
        <v>2311000</v>
      </c>
      <c r="Z36" s="42" t="s">
        <v>467</v>
      </c>
      <c r="AA36" s="42">
        <v>222</v>
      </c>
      <c r="AB36" s="42">
        <v>27</v>
      </c>
      <c r="AC36" s="42">
        <v>7358647</v>
      </c>
      <c r="AD36" s="42" t="s">
        <v>51</v>
      </c>
      <c r="AE36" s="42">
        <v>39</v>
      </c>
      <c r="AF36" s="42" t="s">
        <v>458</v>
      </c>
      <c r="AG36" s="42" t="s">
        <v>459</v>
      </c>
      <c r="AH36" s="42" t="s">
        <v>644</v>
      </c>
      <c r="AI36" s="42" t="s">
        <v>460</v>
      </c>
      <c r="AJ36" s="154">
        <v>44166</v>
      </c>
      <c r="AK36" s="42">
        <v>207</v>
      </c>
      <c r="AL36" s="154">
        <v>44124</v>
      </c>
      <c r="AM36" s="154"/>
      <c r="AN36" s="42"/>
      <c r="AO36" s="154"/>
      <c r="AP36" s="154">
        <v>44255</v>
      </c>
      <c r="AQ36" s="42"/>
      <c r="AR36" s="42"/>
      <c r="AS36" s="42"/>
      <c r="AT36" s="42"/>
      <c r="AU36" s="42"/>
      <c r="AV36" s="42"/>
      <c r="AW36" s="42"/>
      <c r="AX36" s="42"/>
    </row>
    <row r="37" spans="1:50" ht="12.75" customHeight="1">
      <c r="A37" s="42">
        <v>79769334</v>
      </c>
      <c r="B37" s="42" t="s">
        <v>1090</v>
      </c>
      <c r="C37" s="42"/>
      <c r="D37" s="42" t="s">
        <v>1092</v>
      </c>
      <c r="E37" s="42" t="s">
        <v>448</v>
      </c>
      <c r="F37" s="154">
        <v>28231</v>
      </c>
      <c r="G37" s="42" t="s">
        <v>2069</v>
      </c>
      <c r="H37" s="42">
        <v>8140060</v>
      </c>
      <c r="I37" s="42" t="s">
        <v>586</v>
      </c>
      <c r="J37" s="42">
        <v>79769334</v>
      </c>
      <c r="K37" s="42">
        <v>1</v>
      </c>
      <c r="L37" s="42">
        <v>56</v>
      </c>
      <c r="M37" s="42" t="s">
        <v>451</v>
      </c>
      <c r="N37" s="42" t="s">
        <v>452</v>
      </c>
      <c r="O37" s="42" t="s">
        <v>453</v>
      </c>
      <c r="P37" s="154">
        <v>44166</v>
      </c>
      <c r="Q37" s="154">
        <v>44166</v>
      </c>
      <c r="R37" s="154"/>
      <c r="S37" s="42">
        <v>26</v>
      </c>
      <c r="T37" s="42" t="s">
        <v>528</v>
      </c>
      <c r="U37" s="42">
        <v>11</v>
      </c>
      <c r="V37" s="42" t="s">
        <v>456</v>
      </c>
      <c r="W37" s="42">
        <v>3</v>
      </c>
      <c r="X37" s="42" t="s">
        <v>457</v>
      </c>
      <c r="Y37" s="42">
        <v>2311000</v>
      </c>
      <c r="Z37" s="42" t="s">
        <v>467</v>
      </c>
      <c r="AA37" s="42">
        <v>480</v>
      </c>
      <c r="AB37" s="42">
        <v>13</v>
      </c>
      <c r="AC37" s="42">
        <v>3017226</v>
      </c>
      <c r="AD37" s="42" t="s">
        <v>223</v>
      </c>
      <c r="AE37" s="42">
        <v>158</v>
      </c>
      <c r="AF37" s="42" t="s">
        <v>458</v>
      </c>
      <c r="AG37" s="42" t="s">
        <v>459</v>
      </c>
      <c r="AH37" s="42" t="s">
        <v>49</v>
      </c>
      <c r="AI37" s="42" t="s">
        <v>460</v>
      </c>
      <c r="AJ37" s="154">
        <v>44166</v>
      </c>
      <c r="AK37" s="42">
        <v>180</v>
      </c>
      <c r="AL37" s="154">
        <v>44124</v>
      </c>
      <c r="AM37" s="154"/>
      <c r="AN37" s="42"/>
      <c r="AO37" s="154"/>
      <c r="AP37" s="154"/>
      <c r="AQ37" s="42"/>
      <c r="AR37" s="42"/>
      <c r="AS37" s="42"/>
      <c r="AT37" s="42"/>
      <c r="AU37" s="42"/>
      <c r="AV37" s="42"/>
      <c r="AW37" s="42"/>
      <c r="AX37" s="42"/>
    </row>
    <row r="38" spans="1:50" ht="12.75" customHeight="1">
      <c r="A38" s="42">
        <v>79802044</v>
      </c>
      <c r="B38" s="42" t="s">
        <v>1093</v>
      </c>
      <c r="C38" s="42" t="s">
        <v>1094</v>
      </c>
      <c r="D38" s="42" t="s">
        <v>1095</v>
      </c>
      <c r="E38" s="42" t="s">
        <v>448</v>
      </c>
      <c r="F38" s="154">
        <v>27934</v>
      </c>
      <c r="G38" s="42" t="s">
        <v>2071</v>
      </c>
      <c r="H38" s="42" t="s">
        <v>2072</v>
      </c>
      <c r="I38" s="42" t="s">
        <v>586</v>
      </c>
      <c r="J38" s="42"/>
      <c r="K38" s="42"/>
      <c r="L38" s="42"/>
      <c r="M38" s="42"/>
      <c r="N38" s="42"/>
      <c r="O38" s="42" t="s">
        <v>453</v>
      </c>
      <c r="P38" s="154">
        <v>42585</v>
      </c>
      <c r="Q38" s="154">
        <v>38294</v>
      </c>
      <c r="R38" s="42"/>
      <c r="S38" s="42">
        <v>5</v>
      </c>
      <c r="T38" s="42" t="s">
        <v>499</v>
      </c>
      <c r="U38" s="42">
        <v>18</v>
      </c>
      <c r="V38" s="42" t="s">
        <v>565</v>
      </c>
      <c r="W38" s="42">
        <v>18</v>
      </c>
      <c r="X38" s="42" t="s">
        <v>536</v>
      </c>
      <c r="Y38" s="42">
        <v>2310450</v>
      </c>
      <c r="Z38" s="42" t="s">
        <v>568</v>
      </c>
      <c r="AA38" s="42">
        <v>222</v>
      </c>
      <c r="AB38" s="42">
        <v>27</v>
      </c>
      <c r="AC38" s="42">
        <v>7358647</v>
      </c>
      <c r="AD38" s="42" t="s">
        <v>51</v>
      </c>
      <c r="AE38" s="42">
        <v>37</v>
      </c>
      <c r="AF38" s="42" t="s">
        <v>458</v>
      </c>
      <c r="AG38" s="42" t="s">
        <v>459</v>
      </c>
      <c r="AH38" s="42" t="s">
        <v>49</v>
      </c>
      <c r="AI38" s="42" t="s">
        <v>460</v>
      </c>
      <c r="AJ38" s="154">
        <v>44141</v>
      </c>
      <c r="AK38" s="42">
        <v>197</v>
      </c>
      <c r="AL38" s="154">
        <v>44124</v>
      </c>
      <c r="AM38" s="154">
        <v>42703</v>
      </c>
      <c r="AN38" s="42">
        <v>71</v>
      </c>
      <c r="AO38" s="154">
        <v>42702</v>
      </c>
      <c r="AP38" s="154"/>
      <c r="AQ38" s="42"/>
      <c r="AR38" s="42"/>
      <c r="AS38" s="42"/>
      <c r="AT38" s="42"/>
      <c r="AU38" s="42"/>
      <c r="AV38" s="42"/>
      <c r="AW38" s="42"/>
      <c r="AX38" s="42"/>
    </row>
    <row r="39" spans="1:50" ht="12.75" customHeight="1">
      <c r="A39" s="42">
        <v>79859483</v>
      </c>
      <c r="B39" s="42" t="s">
        <v>1780</v>
      </c>
      <c r="C39" s="42" t="s">
        <v>721</v>
      </c>
      <c r="D39" s="42" t="s">
        <v>791</v>
      </c>
      <c r="E39" s="42" t="s">
        <v>481</v>
      </c>
      <c r="F39" s="154">
        <v>27652</v>
      </c>
      <c r="G39" s="42" t="s">
        <v>2077</v>
      </c>
      <c r="H39" s="42">
        <v>2762479</v>
      </c>
      <c r="I39" s="42" t="s">
        <v>586</v>
      </c>
      <c r="J39" s="42">
        <v>79859483</v>
      </c>
      <c r="K39" s="42">
        <v>1</v>
      </c>
      <c r="L39" s="42">
        <v>55</v>
      </c>
      <c r="M39" s="42" t="s">
        <v>448</v>
      </c>
      <c r="N39" s="42" t="s">
        <v>452</v>
      </c>
      <c r="O39" s="42" t="s">
        <v>453</v>
      </c>
      <c r="P39" s="154">
        <v>44326</v>
      </c>
      <c r="Q39" s="154">
        <v>44326</v>
      </c>
      <c r="R39" s="154"/>
      <c r="S39" s="42">
        <v>16</v>
      </c>
      <c r="T39" s="42" t="s">
        <v>1186</v>
      </c>
      <c r="U39" s="42">
        <v>23</v>
      </c>
      <c r="V39" s="42" t="s">
        <v>669</v>
      </c>
      <c r="W39" s="42">
        <v>3</v>
      </c>
      <c r="X39" s="42" t="s">
        <v>457</v>
      </c>
      <c r="Y39" s="42">
        <v>2310460</v>
      </c>
      <c r="Z39" s="42" t="s">
        <v>506</v>
      </c>
      <c r="AA39" s="42">
        <v>219</v>
      </c>
      <c r="AB39" s="42">
        <v>18</v>
      </c>
      <c r="AC39" s="42">
        <v>5951245</v>
      </c>
      <c r="AD39" s="42" t="s">
        <v>72</v>
      </c>
      <c r="AE39" s="42">
        <v>85</v>
      </c>
      <c r="AF39" s="42" t="s">
        <v>458</v>
      </c>
      <c r="AG39" s="42" t="s">
        <v>459</v>
      </c>
      <c r="AH39" s="42" t="s">
        <v>188</v>
      </c>
      <c r="AI39" s="42" t="s">
        <v>460</v>
      </c>
      <c r="AJ39" s="154">
        <v>44326</v>
      </c>
      <c r="AK39" s="42">
        <v>88</v>
      </c>
      <c r="AL39" s="154">
        <v>44323</v>
      </c>
      <c r="AM39" s="154"/>
      <c r="AN39" s="42"/>
      <c r="AO39" s="154"/>
      <c r="AP39" s="154">
        <v>44399</v>
      </c>
      <c r="AQ39" s="42"/>
      <c r="AR39" s="42"/>
      <c r="AS39" s="42"/>
      <c r="AT39" s="42"/>
      <c r="AU39" s="42"/>
      <c r="AV39" s="42"/>
      <c r="AW39" s="42"/>
      <c r="AX39" s="42"/>
    </row>
    <row r="40" spans="1:50" ht="12.75" customHeight="1">
      <c r="A40" s="42">
        <v>79890393</v>
      </c>
      <c r="B40" s="42" t="s">
        <v>2078</v>
      </c>
      <c r="C40" s="42" t="s">
        <v>661</v>
      </c>
      <c r="D40" s="42" t="s">
        <v>2079</v>
      </c>
      <c r="E40" s="42" t="s">
        <v>481</v>
      </c>
      <c r="F40" s="154">
        <v>28979</v>
      </c>
      <c r="G40" s="42" t="s">
        <v>2080</v>
      </c>
      <c r="H40" s="42">
        <v>6898973</v>
      </c>
      <c r="I40" s="42" t="s">
        <v>450</v>
      </c>
      <c r="J40" s="42"/>
      <c r="K40" s="42"/>
      <c r="L40" s="42"/>
      <c r="M40" s="42" t="s">
        <v>451</v>
      </c>
      <c r="N40" s="42" t="s">
        <v>452</v>
      </c>
      <c r="O40" s="42" t="s">
        <v>453</v>
      </c>
      <c r="P40" s="154">
        <v>42803</v>
      </c>
      <c r="Q40" s="154">
        <v>42803</v>
      </c>
      <c r="R40" s="154"/>
      <c r="S40" s="42">
        <v>5</v>
      </c>
      <c r="T40" s="42" t="s">
        <v>499</v>
      </c>
      <c r="U40" s="42">
        <v>11</v>
      </c>
      <c r="V40" s="42" t="s">
        <v>456</v>
      </c>
      <c r="W40" s="42">
        <v>3</v>
      </c>
      <c r="X40" s="42" t="s">
        <v>457</v>
      </c>
      <c r="Y40" s="42">
        <v>122</v>
      </c>
      <c r="Z40" s="42" t="s">
        <v>500</v>
      </c>
      <c r="AA40" s="42">
        <v>314</v>
      </c>
      <c r="AB40" s="42">
        <v>20</v>
      </c>
      <c r="AC40" s="42">
        <v>4789274</v>
      </c>
      <c r="AD40" s="42" t="s">
        <v>517</v>
      </c>
      <c r="AE40" s="42">
        <v>122</v>
      </c>
      <c r="AF40" s="42" t="s">
        <v>458</v>
      </c>
      <c r="AG40" s="42" t="s">
        <v>459</v>
      </c>
      <c r="AH40" s="42" t="s">
        <v>188</v>
      </c>
      <c r="AI40" s="42" t="s">
        <v>460</v>
      </c>
      <c r="AJ40" s="154">
        <v>42803</v>
      </c>
      <c r="AK40" s="42">
        <v>24</v>
      </c>
      <c r="AL40" s="154">
        <v>42802</v>
      </c>
      <c r="AM40" s="154"/>
      <c r="AN40" s="42"/>
      <c r="AO40" s="154"/>
      <c r="AP40" s="154">
        <v>44138</v>
      </c>
      <c r="AQ40" s="42"/>
      <c r="AR40" s="42"/>
      <c r="AS40" s="42"/>
      <c r="AT40" s="42"/>
      <c r="AU40" s="42"/>
      <c r="AV40" s="42"/>
      <c r="AW40" s="42"/>
      <c r="AX40" s="42"/>
    </row>
    <row r="41" spans="1:50" ht="12.75" customHeight="1">
      <c r="A41" s="42">
        <v>79894605</v>
      </c>
      <c r="B41" s="42" t="s">
        <v>2082</v>
      </c>
      <c r="C41" s="42" t="s">
        <v>896</v>
      </c>
      <c r="D41" s="42" t="s">
        <v>2083</v>
      </c>
      <c r="E41" s="42" t="s">
        <v>448</v>
      </c>
      <c r="F41" s="154">
        <v>28469</v>
      </c>
      <c r="G41" s="42" t="s">
        <v>2084</v>
      </c>
      <c r="H41" s="42">
        <v>3112828860</v>
      </c>
      <c r="I41" s="42" t="s">
        <v>586</v>
      </c>
      <c r="J41" s="42"/>
      <c r="K41" s="42"/>
      <c r="L41" s="42"/>
      <c r="M41" s="42" t="s">
        <v>451</v>
      </c>
      <c r="N41" s="42" t="s">
        <v>5</v>
      </c>
      <c r="O41" s="42" t="s">
        <v>453</v>
      </c>
      <c r="P41" s="154">
        <v>45968</v>
      </c>
      <c r="Q41" s="154">
        <v>45968</v>
      </c>
      <c r="R41" s="42"/>
      <c r="S41" s="42">
        <v>8</v>
      </c>
      <c r="T41" s="42" t="s">
        <v>466</v>
      </c>
      <c r="U41" s="42">
        <v>19</v>
      </c>
      <c r="V41" s="42" t="s">
        <v>574</v>
      </c>
      <c r="W41" s="42">
        <v>19</v>
      </c>
      <c r="X41" s="42" t="s">
        <v>575</v>
      </c>
      <c r="Y41" s="42">
        <v>2310440</v>
      </c>
      <c r="Z41" s="42" t="s">
        <v>628</v>
      </c>
      <c r="AA41" s="42">
        <v>219</v>
      </c>
      <c r="AB41" s="42">
        <v>1</v>
      </c>
      <c r="AC41" s="42">
        <v>3989530</v>
      </c>
      <c r="AD41" s="42" t="s">
        <v>72</v>
      </c>
      <c r="AE41" s="42">
        <v>110</v>
      </c>
      <c r="AF41" s="42" t="s">
        <v>458</v>
      </c>
      <c r="AG41" s="42" t="s">
        <v>459</v>
      </c>
      <c r="AH41" s="42" t="s">
        <v>188</v>
      </c>
      <c r="AI41" s="42" t="s">
        <v>460</v>
      </c>
      <c r="AJ41" s="154">
        <v>45968</v>
      </c>
      <c r="AK41" s="42">
        <v>395</v>
      </c>
      <c r="AL41" s="154">
        <v>45952</v>
      </c>
      <c r="AM41" s="154"/>
      <c r="AN41" s="42"/>
      <c r="AO41" s="154"/>
      <c r="AP41" s="154"/>
      <c r="AQ41" s="42"/>
      <c r="AR41" s="42"/>
      <c r="AS41" s="42"/>
      <c r="AT41" s="42"/>
      <c r="AU41" s="42"/>
      <c r="AV41" s="42"/>
      <c r="AW41" s="42"/>
      <c r="AX41" s="42"/>
    </row>
    <row r="42" spans="1:50" ht="12.75" customHeight="1">
      <c r="A42" s="42">
        <v>79943899</v>
      </c>
      <c r="B42" s="42" t="s">
        <v>640</v>
      </c>
      <c r="C42" s="42"/>
      <c r="D42" s="42" t="s">
        <v>2085</v>
      </c>
      <c r="E42" s="42" t="s">
        <v>481</v>
      </c>
      <c r="F42" s="154">
        <v>28339</v>
      </c>
      <c r="G42" s="42" t="s">
        <v>2086</v>
      </c>
      <c r="H42" s="42">
        <v>3107931656</v>
      </c>
      <c r="I42" s="42" t="s">
        <v>586</v>
      </c>
      <c r="J42" s="42">
        <v>79943899</v>
      </c>
      <c r="K42" s="42">
        <v>2</v>
      </c>
      <c r="L42" s="42"/>
      <c r="M42" s="42" t="s">
        <v>451</v>
      </c>
      <c r="N42" s="42" t="s">
        <v>452</v>
      </c>
      <c r="O42" s="42" t="s">
        <v>453</v>
      </c>
      <c r="P42" s="154">
        <v>44476</v>
      </c>
      <c r="Q42" s="154">
        <v>44312</v>
      </c>
      <c r="R42" s="42"/>
      <c r="S42" s="42">
        <v>8</v>
      </c>
      <c r="T42" s="42" t="s">
        <v>466</v>
      </c>
      <c r="U42" s="42">
        <v>11</v>
      </c>
      <c r="V42" s="42" t="s">
        <v>456</v>
      </c>
      <c r="W42" s="42">
        <v>19</v>
      </c>
      <c r="X42" s="42" t="s">
        <v>575</v>
      </c>
      <c r="Y42" s="42">
        <v>97</v>
      </c>
      <c r="Z42" s="42" t="s">
        <v>500</v>
      </c>
      <c r="AA42" s="42">
        <v>219</v>
      </c>
      <c r="AB42" s="42">
        <v>15</v>
      </c>
      <c r="AC42" s="42">
        <v>5771486</v>
      </c>
      <c r="AD42" s="42" t="s">
        <v>72</v>
      </c>
      <c r="AE42" s="42">
        <v>97</v>
      </c>
      <c r="AF42" s="42" t="s">
        <v>458</v>
      </c>
      <c r="AG42" s="42" t="s">
        <v>459</v>
      </c>
      <c r="AH42" s="42" t="s">
        <v>188</v>
      </c>
      <c r="AI42" s="42" t="s">
        <v>460</v>
      </c>
      <c r="AJ42" s="154">
        <v>44476</v>
      </c>
      <c r="AK42" s="42">
        <v>10</v>
      </c>
      <c r="AL42" s="154">
        <v>44470</v>
      </c>
      <c r="AM42" s="154"/>
      <c r="AN42" s="42"/>
      <c r="AO42" s="154"/>
      <c r="AP42" s="154">
        <v>44836</v>
      </c>
      <c r="AQ42" s="42"/>
      <c r="AR42" s="42"/>
      <c r="AS42" s="42"/>
      <c r="AT42" s="42"/>
      <c r="AU42" s="42"/>
      <c r="AV42" s="42"/>
      <c r="AW42" s="42"/>
      <c r="AX42" s="42"/>
    </row>
    <row r="43" spans="1:50" ht="12.75" customHeight="1">
      <c r="A43" s="42">
        <v>79944353</v>
      </c>
      <c r="B43" s="42" t="s">
        <v>826</v>
      </c>
      <c r="C43" s="42" t="s">
        <v>1042</v>
      </c>
      <c r="D43" s="42" t="s">
        <v>2087</v>
      </c>
      <c r="E43" s="42" t="s">
        <v>481</v>
      </c>
      <c r="F43" s="154">
        <v>28338</v>
      </c>
      <c r="G43" s="42" t="s">
        <v>2088</v>
      </c>
      <c r="H43" s="42">
        <v>3044305041</v>
      </c>
      <c r="I43" s="42" t="s">
        <v>586</v>
      </c>
      <c r="J43" s="42">
        <v>79944353</v>
      </c>
      <c r="K43" s="42">
        <v>2</v>
      </c>
      <c r="L43" s="42">
        <v>1</v>
      </c>
      <c r="M43" s="42" t="s">
        <v>451</v>
      </c>
      <c r="N43" s="42" t="s">
        <v>452</v>
      </c>
      <c r="O43" s="42" t="s">
        <v>453</v>
      </c>
      <c r="P43" s="154">
        <v>43892</v>
      </c>
      <c r="Q43" s="154">
        <v>43892</v>
      </c>
      <c r="R43" s="42"/>
      <c r="S43" s="42">
        <v>5</v>
      </c>
      <c r="T43" s="42" t="s">
        <v>499</v>
      </c>
      <c r="U43" s="42">
        <v>18</v>
      </c>
      <c r="V43" s="42" t="s">
        <v>565</v>
      </c>
      <c r="W43" s="42">
        <v>3</v>
      </c>
      <c r="X43" s="42" t="s">
        <v>457</v>
      </c>
      <c r="Y43" s="42">
        <v>108</v>
      </c>
      <c r="Z43" s="42" t="s">
        <v>500</v>
      </c>
      <c r="AA43" s="42">
        <v>219</v>
      </c>
      <c r="AB43" s="42">
        <v>8</v>
      </c>
      <c r="AC43" s="42">
        <v>4802489</v>
      </c>
      <c r="AD43" s="42" t="s">
        <v>72</v>
      </c>
      <c r="AE43" s="42">
        <v>108</v>
      </c>
      <c r="AF43" s="42" t="s">
        <v>458</v>
      </c>
      <c r="AG43" s="42" t="s">
        <v>459</v>
      </c>
      <c r="AH43" s="42" t="s">
        <v>188</v>
      </c>
      <c r="AI43" s="42" t="s">
        <v>460</v>
      </c>
      <c r="AJ43" s="154">
        <v>43892</v>
      </c>
      <c r="AK43" s="42">
        <v>38</v>
      </c>
      <c r="AL43" s="154">
        <v>43892</v>
      </c>
      <c r="AM43" s="154"/>
      <c r="AN43" s="42"/>
      <c r="AO43" s="154"/>
      <c r="AP43" s="154">
        <v>44145</v>
      </c>
      <c r="AQ43" s="42"/>
      <c r="AR43" s="42"/>
      <c r="AS43" s="42"/>
      <c r="AT43" s="42"/>
      <c r="AU43" s="42"/>
      <c r="AV43" s="42"/>
      <c r="AW43" s="42"/>
      <c r="AX43" s="42"/>
    </row>
    <row r="44" spans="1:50" ht="12.75" customHeight="1">
      <c r="A44" s="42">
        <v>79954654</v>
      </c>
      <c r="B44" s="42" t="s">
        <v>478</v>
      </c>
      <c r="C44" s="42" t="s">
        <v>478</v>
      </c>
      <c r="D44" s="42" t="s">
        <v>1096</v>
      </c>
      <c r="E44" s="42" t="s">
        <v>448</v>
      </c>
      <c r="F44" s="154">
        <v>29293</v>
      </c>
      <c r="G44" s="42" t="s">
        <v>2089</v>
      </c>
      <c r="H44" s="42">
        <v>2778452</v>
      </c>
      <c r="I44" s="42" t="s">
        <v>586</v>
      </c>
      <c r="J44" s="42">
        <v>80031313345</v>
      </c>
      <c r="K44" s="42">
        <v>2</v>
      </c>
      <c r="L44" s="42"/>
      <c r="M44" s="42" t="s">
        <v>451</v>
      </c>
      <c r="N44" s="42" t="s">
        <v>452</v>
      </c>
      <c r="O44" s="42" t="s">
        <v>453</v>
      </c>
      <c r="P44" s="154">
        <v>42817</v>
      </c>
      <c r="Q44" s="154">
        <v>42817</v>
      </c>
      <c r="R44" s="154"/>
      <c r="S44" s="42">
        <v>8</v>
      </c>
      <c r="T44" s="42" t="s">
        <v>466</v>
      </c>
      <c r="U44" s="42">
        <v>11</v>
      </c>
      <c r="V44" s="42" t="s">
        <v>456</v>
      </c>
      <c r="W44" s="42">
        <v>3</v>
      </c>
      <c r="X44" s="42" t="s">
        <v>457</v>
      </c>
      <c r="Y44" s="42">
        <v>2310470</v>
      </c>
      <c r="Z44" s="42" t="s">
        <v>477</v>
      </c>
      <c r="AA44" s="42">
        <v>222</v>
      </c>
      <c r="AB44" s="42">
        <v>25</v>
      </c>
      <c r="AC44" s="42">
        <v>6982028</v>
      </c>
      <c r="AD44" s="42" t="s">
        <v>51</v>
      </c>
      <c r="AE44" s="42">
        <v>52</v>
      </c>
      <c r="AF44" s="42" t="s">
        <v>458</v>
      </c>
      <c r="AG44" s="42" t="s">
        <v>459</v>
      </c>
      <c r="AH44" s="42" t="s">
        <v>49</v>
      </c>
      <c r="AI44" s="42" t="s">
        <v>460</v>
      </c>
      <c r="AJ44" s="154">
        <v>44294</v>
      </c>
      <c r="AK44" s="42">
        <v>36</v>
      </c>
      <c r="AL44" s="154">
        <v>44274</v>
      </c>
      <c r="AM44" s="154">
        <v>45957</v>
      </c>
      <c r="AN44" s="42">
        <v>405</v>
      </c>
      <c r="AO44" s="154">
        <v>45957</v>
      </c>
      <c r="AP44" s="154"/>
      <c r="AQ44" s="42"/>
      <c r="AR44" s="42"/>
      <c r="AS44" s="42"/>
      <c r="AT44" s="42"/>
      <c r="AU44" s="42"/>
      <c r="AV44" s="42"/>
      <c r="AW44" s="42"/>
      <c r="AX44" s="42"/>
    </row>
    <row r="45" spans="1:50" ht="12.75" customHeight="1">
      <c r="A45" s="42">
        <v>1098774988</v>
      </c>
      <c r="B45" s="42" t="s">
        <v>823</v>
      </c>
      <c r="C45" s="42" t="s">
        <v>519</v>
      </c>
      <c r="D45" s="42" t="s">
        <v>580</v>
      </c>
      <c r="E45" s="42" t="s">
        <v>448</v>
      </c>
      <c r="F45" s="154">
        <v>34935</v>
      </c>
      <c r="G45" s="42" t="s">
        <v>1275</v>
      </c>
      <c r="H45" s="42">
        <v>3111111111</v>
      </c>
      <c r="I45" s="42" t="s">
        <v>450</v>
      </c>
      <c r="J45" s="42"/>
      <c r="K45" s="42"/>
      <c r="L45" s="42"/>
      <c r="M45" s="42" t="s">
        <v>448</v>
      </c>
      <c r="N45" s="42" t="s">
        <v>452</v>
      </c>
      <c r="O45" s="42" t="s">
        <v>453</v>
      </c>
      <c r="P45" s="154">
        <v>45757</v>
      </c>
      <c r="Q45" s="154">
        <v>45757</v>
      </c>
      <c r="R45" s="42"/>
      <c r="S45" s="42">
        <v>5</v>
      </c>
      <c r="T45" s="42" t="s">
        <v>499</v>
      </c>
      <c r="U45" s="42">
        <v>19</v>
      </c>
      <c r="V45" s="42" t="s">
        <v>574</v>
      </c>
      <c r="W45" s="42">
        <v>19</v>
      </c>
      <c r="X45" s="42" t="s">
        <v>575</v>
      </c>
      <c r="Y45" s="42">
        <v>2300100</v>
      </c>
      <c r="Z45" s="42" t="s">
        <v>483</v>
      </c>
      <c r="AA45" s="42">
        <v>105</v>
      </c>
      <c r="AB45" s="42">
        <v>5</v>
      </c>
      <c r="AC45" s="42">
        <v>9154873</v>
      </c>
      <c r="AD45" s="42" t="s">
        <v>26</v>
      </c>
      <c r="AE45" s="42">
        <v>16</v>
      </c>
      <c r="AF45" s="42" t="s">
        <v>458</v>
      </c>
      <c r="AG45" s="42" t="s">
        <v>459</v>
      </c>
      <c r="AH45" s="42" t="s">
        <v>484</v>
      </c>
      <c r="AI45" s="42" t="s">
        <v>460</v>
      </c>
      <c r="AJ45" s="154">
        <v>45757</v>
      </c>
      <c r="AK45" s="42">
        <v>141</v>
      </c>
      <c r="AL45" s="154">
        <v>45754</v>
      </c>
      <c r="AM45" s="154"/>
      <c r="AN45" s="42"/>
      <c r="AO45" s="154"/>
      <c r="AP45" s="154"/>
      <c r="AQ45" s="42"/>
      <c r="AR45" s="42"/>
      <c r="AS45" s="42"/>
      <c r="AT45" s="42"/>
      <c r="AU45" s="42"/>
      <c r="AV45" s="42"/>
      <c r="AW45" s="42"/>
      <c r="AX45" s="42"/>
    </row>
    <row r="46" spans="1:50" ht="12.75" customHeight="1">
      <c r="A46" s="42">
        <v>1098782319</v>
      </c>
      <c r="B46" s="42" t="s">
        <v>982</v>
      </c>
      <c r="C46" s="42" t="s">
        <v>1276</v>
      </c>
      <c r="D46" s="42" t="s">
        <v>1277</v>
      </c>
      <c r="E46" s="42" t="s">
        <v>481</v>
      </c>
      <c r="F46" s="154">
        <v>35154</v>
      </c>
      <c r="G46" s="42" t="s">
        <v>1278</v>
      </c>
      <c r="H46" s="42">
        <v>3162944068</v>
      </c>
      <c r="I46" s="42" t="s">
        <v>450</v>
      </c>
      <c r="J46" s="42"/>
      <c r="K46" s="42"/>
      <c r="L46" s="42"/>
      <c r="M46" s="42" t="s">
        <v>451</v>
      </c>
      <c r="N46" s="42" t="s">
        <v>452</v>
      </c>
      <c r="O46" s="42" t="s">
        <v>453</v>
      </c>
      <c r="P46" s="154">
        <v>44830</v>
      </c>
      <c r="Q46" s="154">
        <v>44830</v>
      </c>
      <c r="R46" s="154"/>
      <c r="S46" s="42">
        <v>5</v>
      </c>
      <c r="T46" s="42" t="s">
        <v>499</v>
      </c>
      <c r="U46" s="42">
        <v>19</v>
      </c>
      <c r="V46" s="42" t="s">
        <v>574</v>
      </c>
      <c r="W46" s="42">
        <v>3</v>
      </c>
      <c r="X46" s="42" t="s">
        <v>457</v>
      </c>
      <c r="Y46" s="42">
        <v>2300100</v>
      </c>
      <c r="Z46" s="42" t="s">
        <v>483</v>
      </c>
      <c r="AA46" s="42">
        <v>105</v>
      </c>
      <c r="AB46" s="42">
        <v>5</v>
      </c>
      <c r="AC46" s="42">
        <v>9154873</v>
      </c>
      <c r="AD46" s="42" t="s">
        <v>26</v>
      </c>
      <c r="AE46" s="42">
        <v>16</v>
      </c>
      <c r="AF46" s="42" t="s">
        <v>458</v>
      </c>
      <c r="AG46" s="42" t="s">
        <v>459</v>
      </c>
      <c r="AH46" s="42" t="s">
        <v>484</v>
      </c>
      <c r="AI46" s="42" t="s">
        <v>460</v>
      </c>
      <c r="AJ46" s="154">
        <v>44830</v>
      </c>
      <c r="AK46" s="42">
        <v>345</v>
      </c>
      <c r="AL46" s="154">
        <v>44827</v>
      </c>
      <c r="AM46" s="154"/>
      <c r="AN46" s="42"/>
      <c r="AO46" s="154"/>
      <c r="AP46" s="154">
        <v>45313</v>
      </c>
      <c r="AQ46" s="42"/>
      <c r="AR46" s="42"/>
      <c r="AS46" s="42"/>
      <c r="AT46" s="42"/>
      <c r="AU46" s="42"/>
      <c r="AV46" s="42"/>
      <c r="AW46" s="42"/>
      <c r="AX46" s="42"/>
    </row>
    <row r="47" spans="1:50" ht="12.75" customHeight="1">
      <c r="A47" s="42">
        <v>1098810694</v>
      </c>
      <c r="B47" s="42" t="s">
        <v>824</v>
      </c>
      <c r="C47" s="42" t="s">
        <v>502</v>
      </c>
      <c r="D47" s="42" t="s">
        <v>825</v>
      </c>
      <c r="E47" s="42" t="s">
        <v>448</v>
      </c>
      <c r="F47" s="154">
        <v>36041</v>
      </c>
      <c r="G47" s="42" t="s">
        <v>1279</v>
      </c>
      <c r="H47" s="42">
        <v>3133234384</v>
      </c>
      <c r="I47" s="42" t="s">
        <v>586</v>
      </c>
      <c r="J47" s="42"/>
      <c r="K47" s="42"/>
      <c r="L47" s="42"/>
      <c r="M47" s="42" t="s">
        <v>451</v>
      </c>
      <c r="N47" s="42" t="s">
        <v>452</v>
      </c>
      <c r="O47" s="42" t="s">
        <v>453</v>
      </c>
      <c r="P47" s="154">
        <v>45364</v>
      </c>
      <c r="Q47" s="154">
        <v>45364</v>
      </c>
      <c r="R47" s="154"/>
      <c r="S47" s="42">
        <v>5</v>
      </c>
      <c r="T47" s="42" t="s">
        <v>499</v>
      </c>
      <c r="U47" s="42">
        <v>11</v>
      </c>
      <c r="V47" s="42" t="s">
        <v>456</v>
      </c>
      <c r="W47" s="42">
        <v>18</v>
      </c>
      <c r="X47" s="42" t="s">
        <v>536</v>
      </c>
      <c r="Y47" s="42">
        <v>2310460</v>
      </c>
      <c r="Z47" s="42" t="s">
        <v>506</v>
      </c>
      <c r="AA47" s="42">
        <v>9</v>
      </c>
      <c r="AB47" s="42">
        <v>7</v>
      </c>
      <c r="AC47" s="42">
        <v>11186814</v>
      </c>
      <c r="AD47" s="42" t="s">
        <v>512</v>
      </c>
      <c r="AE47" s="42">
        <v>6</v>
      </c>
      <c r="AF47" s="42" t="s">
        <v>458</v>
      </c>
      <c r="AG47" s="42" t="s">
        <v>459</v>
      </c>
      <c r="AH47" s="42" t="s">
        <v>484</v>
      </c>
      <c r="AI47" s="42" t="s">
        <v>460</v>
      </c>
      <c r="AJ47" s="154">
        <v>45642</v>
      </c>
      <c r="AK47" s="42">
        <v>556</v>
      </c>
      <c r="AL47" s="154">
        <v>45639</v>
      </c>
      <c r="AM47" s="154">
        <v>46266</v>
      </c>
      <c r="AN47" s="42">
        <v>380</v>
      </c>
      <c r="AO47" s="154">
        <v>46265</v>
      </c>
      <c r="AP47" s="154"/>
      <c r="AQ47" s="42"/>
      <c r="AR47" s="42"/>
      <c r="AS47" s="42"/>
      <c r="AT47" s="42"/>
      <c r="AU47" s="42"/>
      <c r="AV47" s="42"/>
      <c r="AW47" s="42"/>
      <c r="AX47" s="42"/>
    </row>
    <row r="48" spans="1:50" ht="12.75" customHeight="1">
      <c r="A48" s="42">
        <v>1102833656</v>
      </c>
      <c r="B48" s="42" t="s">
        <v>523</v>
      </c>
      <c r="C48" s="42" t="s">
        <v>1280</v>
      </c>
      <c r="D48" s="42" t="s">
        <v>1281</v>
      </c>
      <c r="E48" s="42" t="s">
        <v>481</v>
      </c>
      <c r="F48" s="154">
        <v>32934</v>
      </c>
      <c r="G48" s="42" t="s">
        <v>1282</v>
      </c>
      <c r="H48" s="42">
        <v>4741681</v>
      </c>
      <c r="I48" s="42" t="s">
        <v>450</v>
      </c>
      <c r="J48" s="42"/>
      <c r="K48" s="42"/>
      <c r="L48" s="42"/>
      <c r="M48" s="42" t="s">
        <v>451</v>
      </c>
      <c r="N48" s="42" t="s">
        <v>452</v>
      </c>
      <c r="O48" s="42" t="s">
        <v>453</v>
      </c>
      <c r="P48" s="154">
        <v>43490</v>
      </c>
      <c r="Q48" s="154">
        <v>43490</v>
      </c>
      <c r="R48" s="154"/>
      <c r="S48" s="42">
        <v>8</v>
      </c>
      <c r="T48" s="42" t="s">
        <v>466</v>
      </c>
      <c r="U48" s="42">
        <v>18</v>
      </c>
      <c r="V48" s="42" t="s">
        <v>565</v>
      </c>
      <c r="W48" s="42">
        <v>18</v>
      </c>
      <c r="X48" s="42" t="s">
        <v>536</v>
      </c>
      <c r="Y48" s="42">
        <v>2310460</v>
      </c>
      <c r="Z48" s="42" t="s">
        <v>506</v>
      </c>
      <c r="AA48" s="42">
        <v>222</v>
      </c>
      <c r="AB48" s="42">
        <v>24</v>
      </c>
      <c r="AC48" s="42">
        <v>6809900</v>
      </c>
      <c r="AD48" s="42" t="s">
        <v>51</v>
      </c>
      <c r="AE48" s="42">
        <v>58</v>
      </c>
      <c r="AF48" s="42" t="s">
        <v>458</v>
      </c>
      <c r="AG48" s="42" t="s">
        <v>459</v>
      </c>
      <c r="AH48" s="42" t="s">
        <v>188</v>
      </c>
      <c r="AI48" s="42" t="s">
        <v>460</v>
      </c>
      <c r="AJ48" s="154">
        <v>43490</v>
      </c>
      <c r="AK48" s="42">
        <v>4</v>
      </c>
      <c r="AL48" s="154">
        <v>43479</v>
      </c>
      <c r="AM48" s="154"/>
      <c r="AN48" s="42"/>
      <c r="AO48" s="154"/>
      <c r="AP48" s="154">
        <v>44112</v>
      </c>
      <c r="AQ48" s="42"/>
      <c r="AR48" s="42"/>
      <c r="AS48" s="42"/>
      <c r="AT48" s="42"/>
      <c r="AU48" s="42"/>
      <c r="AV48" s="42"/>
      <c r="AW48" s="42"/>
      <c r="AX48" s="42"/>
    </row>
    <row r="49" spans="1:50" ht="12.75" customHeight="1">
      <c r="A49" s="42">
        <v>1110573560</v>
      </c>
      <c r="B49" s="42" t="s">
        <v>826</v>
      </c>
      <c r="C49" s="42" t="s">
        <v>728</v>
      </c>
      <c r="D49" s="42" t="s">
        <v>827</v>
      </c>
      <c r="E49" s="42" t="s">
        <v>448</v>
      </c>
      <c r="F49" s="154">
        <v>35285</v>
      </c>
      <c r="G49" s="42" t="s">
        <v>1284</v>
      </c>
      <c r="H49" s="42">
        <v>3212049336</v>
      </c>
      <c r="I49" s="42" t="s">
        <v>586</v>
      </c>
      <c r="J49" s="42">
        <v>1110573560</v>
      </c>
      <c r="K49" s="42">
        <v>2</v>
      </c>
      <c r="L49" s="42">
        <v>3</v>
      </c>
      <c r="M49" s="42" t="s">
        <v>448</v>
      </c>
      <c r="N49" s="42" t="s">
        <v>452</v>
      </c>
      <c r="O49" s="42" t="s">
        <v>453</v>
      </c>
      <c r="P49" s="154">
        <v>44299</v>
      </c>
      <c r="Q49" s="154">
        <v>44299</v>
      </c>
      <c r="R49" s="154"/>
      <c r="S49" s="42">
        <v>5</v>
      </c>
      <c r="T49" s="42" t="s">
        <v>499</v>
      </c>
      <c r="U49" s="42">
        <v>19</v>
      </c>
      <c r="V49" s="42" t="s">
        <v>574</v>
      </c>
      <c r="W49" s="42">
        <v>19</v>
      </c>
      <c r="X49" s="42" t="s">
        <v>575</v>
      </c>
      <c r="Y49" s="42">
        <v>2310440</v>
      </c>
      <c r="Z49" s="42" t="s">
        <v>628</v>
      </c>
      <c r="AA49" s="42">
        <v>219</v>
      </c>
      <c r="AB49" s="42">
        <v>18</v>
      </c>
      <c r="AC49" s="42">
        <v>5951245</v>
      </c>
      <c r="AD49" s="42" t="s">
        <v>72</v>
      </c>
      <c r="AE49" s="42">
        <v>87</v>
      </c>
      <c r="AF49" s="42" t="s">
        <v>458</v>
      </c>
      <c r="AG49" s="42" t="s">
        <v>459</v>
      </c>
      <c r="AH49" s="42" t="s">
        <v>49</v>
      </c>
      <c r="AI49" s="42" t="s">
        <v>460</v>
      </c>
      <c r="AJ49" s="154">
        <v>44299</v>
      </c>
      <c r="AK49" s="42">
        <v>42</v>
      </c>
      <c r="AL49" s="154">
        <v>44279</v>
      </c>
      <c r="AM49" s="154">
        <v>46043</v>
      </c>
      <c r="AN49" s="42">
        <v>483</v>
      </c>
      <c r="AO49" s="154">
        <v>46010</v>
      </c>
      <c r="AP49" s="154"/>
      <c r="AQ49" s="42"/>
      <c r="AR49" s="42"/>
      <c r="AS49" s="42"/>
      <c r="AT49" s="42"/>
      <c r="AU49" s="42"/>
      <c r="AV49" s="42"/>
      <c r="AW49" s="42"/>
      <c r="AX49" s="42"/>
    </row>
    <row r="50" spans="1:50" ht="12.75" customHeight="1">
      <c r="A50" s="42">
        <v>1113658247</v>
      </c>
      <c r="B50" s="42" t="s">
        <v>849</v>
      </c>
      <c r="C50" s="42" t="s">
        <v>1285</v>
      </c>
      <c r="D50" s="42" t="s">
        <v>1286</v>
      </c>
      <c r="E50" s="42" t="s">
        <v>481</v>
      </c>
      <c r="F50" s="154">
        <v>33751</v>
      </c>
      <c r="G50" s="42" t="s">
        <v>1287</v>
      </c>
      <c r="H50" s="42">
        <v>3218412793</v>
      </c>
      <c r="I50" s="42" t="s">
        <v>586</v>
      </c>
      <c r="J50" s="42">
        <v>1113658247</v>
      </c>
      <c r="K50" s="42">
        <v>1</v>
      </c>
      <c r="L50" s="42">
        <v>18</v>
      </c>
      <c r="M50" s="42" t="s">
        <v>448</v>
      </c>
      <c r="N50" s="42" t="s">
        <v>452</v>
      </c>
      <c r="O50" s="42" t="s">
        <v>453</v>
      </c>
      <c r="P50" s="154">
        <v>44243</v>
      </c>
      <c r="Q50" s="154">
        <v>44243</v>
      </c>
      <c r="R50" s="154">
        <v>43377</v>
      </c>
      <c r="S50" s="42">
        <v>5</v>
      </c>
      <c r="T50" s="42" t="s">
        <v>499</v>
      </c>
      <c r="U50" s="42">
        <v>19</v>
      </c>
      <c r="V50" s="42" t="s">
        <v>574</v>
      </c>
      <c r="W50" s="42">
        <v>3</v>
      </c>
      <c r="X50" s="42" t="s">
        <v>457</v>
      </c>
      <c r="Y50" s="42">
        <v>2310450</v>
      </c>
      <c r="Z50" s="42" t="s">
        <v>568</v>
      </c>
      <c r="AA50" s="42">
        <v>314</v>
      </c>
      <c r="AB50" s="42">
        <v>9</v>
      </c>
      <c r="AC50" s="42">
        <v>3687785</v>
      </c>
      <c r="AD50" s="42" t="s">
        <v>517</v>
      </c>
      <c r="AE50" s="42">
        <v>135</v>
      </c>
      <c r="AF50" s="42" t="s">
        <v>458</v>
      </c>
      <c r="AG50" s="42" t="s">
        <v>459</v>
      </c>
      <c r="AH50" s="42" t="s">
        <v>49</v>
      </c>
      <c r="AI50" s="42" t="s">
        <v>460</v>
      </c>
      <c r="AJ50" s="154">
        <v>44243</v>
      </c>
      <c r="AK50" s="42">
        <v>112</v>
      </c>
      <c r="AL50" s="154">
        <v>44118</v>
      </c>
      <c r="AM50" s="154">
        <v>45383</v>
      </c>
      <c r="AN50" s="42">
        <v>180</v>
      </c>
      <c r="AO50" s="154">
        <v>45373</v>
      </c>
      <c r="AP50" s="154">
        <v>45725</v>
      </c>
      <c r="AQ50" s="42"/>
      <c r="AR50" s="42"/>
      <c r="AS50" s="42"/>
      <c r="AT50" s="42"/>
      <c r="AU50" s="42"/>
      <c r="AV50" s="42"/>
      <c r="AW50" s="42"/>
      <c r="AX50" s="42"/>
    </row>
    <row r="51" spans="1:50" ht="12.75" customHeight="1">
      <c r="A51" s="42">
        <v>1116247853</v>
      </c>
      <c r="B51" s="42" t="s">
        <v>1288</v>
      </c>
      <c r="C51" s="42" t="s">
        <v>1289</v>
      </c>
      <c r="D51" s="42" t="s">
        <v>1290</v>
      </c>
      <c r="E51" s="42" t="s">
        <v>481</v>
      </c>
      <c r="F51" s="154">
        <v>33070</v>
      </c>
      <c r="G51" s="42" t="s">
        <v>1291</v>
      </c>
      <c r="H51" s="42">
        <v>3164509916</v>
      </c>
      <c r="I51" s="42" t="s">
        <v>586</v>
      </c>
      <c r="J51" s="42"/>
      <c r="K51" s="42"/>
      <c r="L51" s="42"/>
      <c r="M51" s="42" t="s">
        <v>448</v>
      </c>
      <c r="N51" s="42" t="s">
        <v>452</v>
      </c>
      <c r="O51" s="42" t="s">
        <v>453</v>
      </c>
      <c r="P51" s="154">
        <v>44473</v>
      </c>
      <c r="Q51" s="154">
        <v>44473</v>
      </c>
      <c r="R51" s="154"/>
      <c r="S51" s="42">
        <v>6</v>
      </c>
      <c r="T51" s="42" t="s">
        <v>511</v>
      </c>
      <c r="U51" s="42">
        <v>19</v>
      </c>
      <c r="V51" s="42" t="s">
        <v>574</v>
      </c>
      <c r="W51" s="42">
        <v>3</v>
      </c>
      <c r="X51" s="42" t="s">
        <v>457</v>
      </c>
      <c r="Y51" s="42">
        <v>2300100</v>
      </c>
      <c r="Z51" s="42" t="s">
        <v>483</v>
      </c>
      <c r="AA51" s="42">
        <v>105</v>
      </c>
      <c r="AB51" s="42">
        <v>5</v>
      </c>
      <c r="AC51" s="42">
        <v>9154873</v>
      </c>
      <c r="AD51" s="42" t="s">
        <v>26</v>
      </c>
      <c r="AE51" s="42">
        <v>16</v>
      </c>
      <c r="AF51" s="42" t="s">
        <v>458</v>
      </c>
      <c r="AG51" s="42" t="s">
        <v>459</v>
      </c>
      <c r="AH51" s="42" t="s">
        <v>484</v>
      </c>
      <c r="AI51" s="42" t="s">
        <v>460</v>
      </c>
      <c r="AJ51" s="154">
        <v>44473</v>
      </c>
      <c r="AK51" s="42">
        <v>192</v>
      </c>
      <c r="AL51" s="154">
        <v>44470</v>
      </c>
      <c r="AM51" s="154"/>
      <c r="AN51" s="42"/>
      <c r="AO51" s="154"/>
      <c r="AP51" s="154">
        <v>44804</v>
      </c>
      <c r="AQ51" s="42"/>
      <c r="AR51" s="42"/>
      <c r="AS51" s="42"/>
      <c r="AT51" s="42"/>
      <c r="AU51" s="42"/>
      <c r="AV51" s="42"/>
      <c r="AW51" s="42"/>
      <c r="AX51" s="42"/>
    </row>
    <row r="52" spans="1:50" ht="12.75" customHeight="1">
      <c r="A52" s="42">
        <v>1120368687</v>
      </c>
      <c r="B52" s="42" t="s">
        <v>982</v>
      </c>
      <c r="C52" s="42" t="s">
        <v>745</v>
      </c>
      <c r="D52" s="42" t="s">
        <v>1293</v>
      </c>
      <c r="E52" s="42" t="s">
        <v>481</v>
      </c>
      <c r="F52" s="154">
        <v>33872</v>
      </c>
      <c r="G52" s="42" t="s">
        <v>1294</v>
      </c>
      <c r="H52" s="42">
        <v>5686355</v>
      </c>
      <c r="I52" s="42" t="s">
        <v>586</v>
      </c>
      <c r="J52" s="42">
        <v>1120368687</v>
      </c>
      <c r="K52" s="42">
        <v>1</v>
      </c>
      <c r="L52" s="42">
        <v>51</v>
      </c>
      <c r="M52" s="42" t="s">
        <v>547</v>
      </c>
      <c r="N52" s="42" t="s">
        <v>452</v>
      </c>
      <c r="O52" s="42" t="s">
        <v>453</v>
      </c>
      <c r="P52" s="154">
        <v>42870</v>
      </c>
      <c r="Q52" s="154">
        <v>42870</v>
      </c>
      <c r="R52" s="154"/>
      <c r="S52" s="42">
        <v>18</v>
      </c>
      <c r="T52" s="42" t="s">
        <v>472</v>
      </c>
      <c r="U52" s="42">
        <v>11</v>
      </c>
      <c r="V52" s="42" t="s">
        <v>456</v>
      </c>
      <c r="W52" s="42">
        <v>3</v>
      </c>
      <c r="X52" s="42" t="s">
        <v>457</v>
      </c>
      <c r="Y52" s="42">
        <v>126</v>
      </c>
      <c r="Z52" s="42" t="s">
        <v>500</v>
      </c>
      <c r="AA52" s="42">
        <v>314</v>
      </c>
      <c r="AB52" s="42">
        <v>20</v>
      </c>
      <c r="AC52" s="42">
        <v>4789274</v>
      </c>
      <c r="AD52" s="42" t="s">
        <v>517</v>
      </c>
      <c r="AE52" s="42">
        <v>126</v>
      </c>
      <c r="AF52" s="42" t="s">
        <v>458</v>
      </c>
      <c r="AG52" s="42" t="s">
        <v>459</v>
      </c>
      <c r="AH52" s="42" t="s">
        <v>188</v>
      </c>
      <c r="AI52" s="42" t="s">
        <v>460</v>
      </c>
      <c r="AJ52" s="154">
        <v>43642</v>
      </c>
      <c r="AK52" s="42">
        <v>103</v>
      </c>
      <c r="AL52" s="154">
        <v>43642</v>
      </c>
      <c r="AM52" s="154"/>
      <c r="AN52" s="42"/>
      <c r="AO52" s="154"/>
      <c r="AP52" s="154">
        <v>44144</v>
      </c>
      <c r="AQ52" s="42"/>
      <c r="AR52" s="42"/>
      <c r="AS52" s="42"/>
      <c r="AT52" s="42"/>
      <c r="AU52" s="42"/>
      <c r="AV52" s="42"/>
      <c r="AW52" s="42"/>
      <c r="AX52" s="42"/>
    </row>
    <row r="53" spans="1:50" ht="12.75" customHeight="1">
      <c r="A53" s="42">
        <v>1121816584</v>
      </c>
      <c r="B53" s="42" t="s">
        <v>829</v>
      </c>
      <c r="C53" s="42" t="s">
        <v>830</v>
      </c>
      <c r="D53" s="42" t="s">
        <v>831</v>
      </c>
      <c r="E53" s="42" t="s">
        <v>448</v>
      </c>
      <c r="F53" s="154">
        <v>31404</v>
      </c>
      <c r="G53" s="42" t="s">
        <v>1295</v>
      </c>
      <c r="H53" s="42">
        <v>6013926869</v>
      </c>
      <c r="I53" s="42" t="s">
        <v>586</v>
      </c>
      <c r="J53" s="42"/>
      <c r="K53" s="42">
        <v>2</v>
      </c>
      <c r="L53" s="42"/>
      <c r="M53" s="42" t="s">
        <v>448</v>
      </c>
      <c r="N53" s="42" t="s">
        <v>452</v>
      </c>
      <c r="O53" s="42" t="s">
        <v>453</v>
      </c>
      <c r="P53" s="154">
        <v>44720</v>
      </c>
      <c r="Q53" s="154">
        <v>44720</v>
      </c>
      <c r="R53" s="154"/>
      <c r="S53" s="42">
        <v>5</v>
      </c>
      <c r="T53" s="42" t="s">
        <v>499</v>
      </c>
      <c r="U53" s="42">
        <v>18</v>
      </c>
      <c r="V53" s="42" t="s">
        <v>565</v>
      </c>
      <c r="W53" s="42">
        <v>3</v>
      </c>
      <c r="X53" s="42" t="s">
        <v>457</v>
      </c>
      <c r="Y53" s="42">
        <v>2310450</v>
      </c>
      <c r="Z53" s="42" t="s">
        <v>568</v>
      </c>
      <c r="AA53" s="42">
        <v>407</v>
      </c>
      <c r="AB53" s="42">
        <v>15</v>
      </c>
      <c r="AC53" s="42">
        <v>3212811</v>
      </c>
      <c r="AD53" s="42" t="s">
        <v>146</v>
      </c>
      <c r="AE53" s="42">
        <v>146</v>
      </c>
      <c r="AF53" s="42" t="s">
        <v>458</v>
      </c>
      <c r="AG53" s="42" t="s">
        <v>459</v>
      </c>
      <c r="AH53" s="42" t="s">
        <v>49</v>
      </c>
      <c r="AI53" s="42" t="s">
        <v>460</v>
      </c>
      <c r="AJ53" s="154">
        <v>44720</v>
      </c>
      <c r="AK53" s="42">
        <v>151</v>
      </c>
      <c r="AL53" s="154">
        <v>44686</v>
      </c>
      <c r="AM53" s="154"/>
      <c r="AN53" s="42"/>
      <c r="AO53" s="154"/>
      <c r="AP53" s="154"/>
      <c r="AQ53" s="42"/>
      <c r="AR53" s="42"/>
      <c r="AS53" s="42"/>
      <c r="AT53" s="42"/>
      <c r="AU53" s="42"/>
      <c r="AV53" s="42"/>
      <c r="AW53" s="42"/>
      <c r="AX53" s="42"/>
    </row>
    <row r="54" spans="1:50" ht="12.75" customHeight="1">
      <c r="A54" s="42">
        <v>1121857540</v>
      </c>
      <c r="B54" s="42" t="s">
        <v>832</v>
      </c>
      <c r="C54" s="42" t="s">
        <v>538</v>
      </c>
      <c r="D54" s="42" t="s">
        <v>833</v>
      </c>
      <c r="E54" s="42" t="s">
        <v>448</v>
      </c>
      <c r="F54" s="154">
        <v>32751</v>
      </c>
      <c r="G54" s="42" t="s">
        <v>1296</v>
      </c>
      <c r="H54" s="42">
        <v>3208312448</v>
      </c>
      <c r="I54" s="42" t="s">
        <v>450</v>
      </c>
      <c r="J54" s="42"/>
      <c r="K54" s="42"/>
      <c r="L54" s="42"/>
      <c r="M54" s="42" t="s">
        <v>451</v>
      </c>
      <c r="N54" s="42" t="s">
        <v>452</v>
      </c>
      <c r="O54" s="42" t="s">
        <v>453</v>
      </c>
      <c r="P54" s="154">
        <v>45371</v>
      </c>
      <c r="Q54" s="154">
        <v>45371</v>
      </c>
      <c r="R54" s="154"/>
      <c r="S54" s="42">
        <v>5</v>
      </c>
      <c r="T54" s="42" t="s">
        <v>499</v>
      </c>
      <c r="U54" s="42">
        <v>11</v>
      </c>
      <c r="V54" s="42" t="s">
        <v>456</v>
      </c>
      <c r="W54" s="42">
        <v>3</v>
      </c>
      <c r="X54" s="42" t="s">
        <v>457</v>
      </c>
      <c r="Y54" s="42">
        <v>2300100</v>
      </c>
      <c r="Z54" s="42" t="s">
        <v>483</v>
      </c>
      <c r="AA54" s="42">
        <v>105</v>
      </c>
      <c r="AB54" s="42">
        <v>5</v>
      </c>
      <c r="AC54" s="42">
        <v>9154873</v>
      </c>
      <c r="AD54" s="42" t="s">
        <v>26</v>
      </c>
      <c r="AE54" s="42">
        <v>14</v>
      </c>
      <c r="AF54" s="42" t="s">
        <v>458</v>
      </c>
      <c r="AG54" s="42" t="s">
        <v>459</v>
      </c>
      <c r="AH54" s="42" t="s">
        <v>49</v>
      </c>
      <c r="AI54" s="42" t="s">
        <v>460</v>
      </c>
      <c r="AJ54" s="154">
        <v>45371</v>
      </c>
      <c r="AK54" s="42">
        <v>166</v>
      </c>
      <c r="AL54" s="154">
        <v>45371</v>
      </c>
      <c r="AM54" s="154">
        <v>45454</v>
      </c>
      <c r="AN54" s="42">
        <v>279</v>
      </c>
      <c r="AO54" s="154">
        <v>45450</v>
      </c>
      <c r="AP54" s="154"/>
      <c r="AQ54" s="42"/>
      <c r="AR54" s="42"/>
      <c r="AS54" s="42"/>
      <c r="AT54" s="42"/>
      <c r="AU54" s="42"/>
      <c r="AV54" s="42"/>
      <c r="AW54" s="42"/>
      <c r="AX54" s="42"/>
    </row>
    <row r="55" spans="1:50" ht="12.75" customHeight="1">
      <c r="A55" s="42">
        <v>1122401417</v>
      </c>
      <c r="B55" s="42" t="s">
        <v>1063</v>
      </c>
      <c r="C55" s="42" t="s">
        <v>1304</v>
      </c>
      <c r="D55" s="42" t="s">
        <v>1305</v>
      </c>
      <c r="E55" s="42" t="s">
        <v>481</v>
      </c>
      <c r="F55" s="154">
        <v>32509</v>
      </c>
      <c r="G55" s="42" t="s">
        <v>1306</v>
      </c>
      <c r="H55" s="42">
        <v>3013452252</v>
      </c>
      <c r="I55" s="42" t="s">
        <v>450</v>
      </c>
      <c r="J55" s="42"/>
      <c r="K55" s="42"/>
      <c r="L55" s="42"/>
      <c r="M55" s="42" t="s">
        <v>527</v>
      </c>
      <c r="N55" s="42" t="s">
        <v>452</v>
      </c>
      <c r="O55" s="42" t="s">
        <v>453</v>
      </c>
      <c r="P55" s="154">
        <v>43049</v>
      </c>
      <c r="Q55" s="154">
        <v>43049</v>
      </c>
      <c r="R55" s="42"/>
      <c r="S55" s="42">
        <v>5</v>
      </c>
      <c r="T55" s="42" t="s">
        <v>499</v>
      </c>
      <c r="U55" s="42">
        <v>11</v>
      </c>
      <c r="V55" s="42" t="s">
        <v>456</v>
      </c>
      <c r="W55" s="42">
        <v>3</v>
      </c>
      <c r="X55" s="42" t="s">
        <v>457</v>
      </c>
      <c r="Y55" s="42">
        <v>2311000</v>
      </c>
      <c r="Z55" s="42" t="s">
        <v>467</v>
      </c>
      <c r="AA55" s="42">
        <v>219</v>
      </c>
      <c r="AB55" s="42">
        <v>18</v>
      </c>
      <c r="AC55" s="42">
        <v>5951245</v>
      </c>
      <c r="AD55" s="42" t="s">
        <v>72</v>
      </c>
      <c r="AE55" s="42">
        <v>26</v>
      </c>
      <c r="AF55" s="42" t="s">
        <v>458</v>
      </c>
      <c r="AG55" s="42" t="s">
        <v>459</v>
      </c>
      <c r="AH55" s="42" t="s">
        <v>188</v>
      </c>
      <c r="AI55" s="42" t="s">
        <v>460</v>
      </c>
      <c r="AJ55" s="154">
        <v>43049</v>
      </c>
      <c r="AK55" s="42">
        <v>182</v>
      </c>
      <c r="AL55" s="154">
        <v>43049</v>
      </c>
      <c r="AM55" s="154"/>
      <c r="AN55" s="42"/>
      <c r="AO55" s="154"/>
      <c r="AP55" s="154">
        <v>44227</v>
      </c>
      <c r="AQ55" s="42"/>
      <c r="AR55" s="42"/>
      <c r="AS55" s="42"/>
      <c r="AT55" s="42"/>
      <c r="AU55" s="42"/>
      <c r="AV55" s="42"/>
      <c r="AW55" s="42"/>
      <c r="AX55" s="42"/>
    </row>
    <row r="56" spans="1:50" ht="12.75" customHeight="1">
      <c r="A56" s="42">
        <v>1122727530</v>
      </c>
      <c r="B56" s="42" t="s">
        <v>1308</v>
      </c>
      <c r="C56" s="42" t="s">
        <v>917</v>
      </c>
      <c r="D56" s="42" t="s">
        <v>1309</v>
      </c>
      <c r="E56" s="42" t="s">
        <v>448</v>
      </c>
      <c r="F56" s="154">
        <v>33488</v>
      </c>
      <c r="G56" s="42" t="s">
        <v>1310</v>
      </c>
      <c r="H56" s="42">
        <v>3224218508</v>
      </c>
      <c r="I56" s="42" t="s">
        <v>586</v>
      </c>
      <c r="J56" s="42">
        <v>1122727530</v>
      </c>
      <c r="K56" s="42">
        <v>1</v>
      </c>
      <c r="L56" s="42"/>
      <c r="M56" s="42" t="s">
        <v>451</v>
      </c>
      <c r="N56" s="42" t="s">
        <v>452</v>
      </c>
      <c r="O56" s="42" t="s">
        <v>453</v>
      </c>
      <c r="P56" s="154">
        <v>46273</v>
      </c>
      <c r="Q56" s="154">
        <v>46273</v>
      </c>
      <c r="R56" s="154"/>
      <c r="S56" s="42">
        <v>8</v>
      </c>
      <c r="T56" s="42" t="s">
        <v>466</v>
      </c>
      <c r="U56" s="42">
        <v>19</v>
      </c>
      <c r="V56" s="42" t="s">
        <v>574</v>
      </c>
      <c r="W56" s="42">
        <v>19</v>
      </c>
      <c r="X56" s="42" t="s">
        <v>575</v>
      </c>
      <c r="Y56" s="42">
        <v>2310460</v>
      </c>
      <c r="Z56" s="42" t="s">
        <v>506</v>
      </c>
      <c r="AA56" s="42">
        <v>440</v>
      </c>
      <c r="AB56" s="42">
        <v>9</v>
      </c>
      <c r="AC56" s="42">
        <v>2675559</v>
      </c>
      <c r="AD56" s="42" t="s">
        <v>29</v>
      </c>
      <c r="AE56" s="42">
        <v>163</v>
      </c>
      <c r="AF56" s="42" t="s">
        <v>458</v>
      </c>
      <c r="AG56" s="42" t="s">
        <v>459</v>
      </c>
      <c r="AH56" s="42" t="s">
        <v>188</v>
      </c>
      <c r="AI56" s="42" t="s">
        <v>460</v>
      </c>
      <c r="AJ56" s="154">
        <v>46273</v>
      </c>
      <c r="AK56" s="42">
        <v>388</v>
      </c>
      <c r="AL56" s="154">
        <v>46268</v>
      </c>
      <c r="AM56" s="154"/>
      <c r="AN56" s="42"/>
      <c r="AO56" s="154"/>
      <c r="AP56" s="154"/>
      <c r="AQ56" s="42"/>
      <c r="AR56" s="42"/>
      <c r="AS56" s="42"/>
      <c r="AT56" s="42"/>
      <c r="AU56" s="42"/>
      <c r="AV56" s="42"/>
      <c r="AW56" s="42"/>
      <c r="AX56" s="42"/>
    </row>
    <row r="57" spans="1:50" ht="12.75" customHeight="1">
      <c r="A57" s="42">
        <v>1130593147</v>
      </c>
      <c r="B57" s="42" t="s">
        <v>836</v>
      </c>
      <c r="C57" s="42" t="s">
        <v>838</v>
      </c>
      <c r="D57" s="42" t="s">
        <v>839</v>
      </c>
      <c r="E57" s="42" t="s">
        <v>481</v>
      </c>
      <c r="F57" s="154">
        <v>31902</v>
      </c>
      <c r="G57" s="42" t="s">
        <v>1315</v>
      </c>
      <c r="H57" s="42">
        <v>3057266478</v>
      </c>
      <c r="I57" s="42" t="s">
        <v>450</v>
      </c>
      <c r="J57" s="42"/>
      <c r="K57" s="42"/>
      <c r="L57" s="42"/>
      <c r="M57" s="42" t="s">
        <v>451</v>
      </c>
      <c r="N57" s="42" t="s">
        <v>452</v>
      </c>
      <c r="O57" s="42" t="s">
        <v>453</v>
      </c>
      <c r="P57" s="154">
        <v>45691</v>
      </c>
      <c r="Q57" s="154">
        <v>45691</v>
      </c>
      <c r="R57" s="42"/>
      <c r="S57" s="42">
        <v>26</v>
      </c>
      <c r="T57" s="42" t="s">
        <v>528</v>
      </c>
      <c r="U57" s="42">
        <v>18</v>
      </c>
      <c r="V57" s="42" t="s">
        <v>565</v>
      </c>
      <c r="W57" s="42">
        <v>3</v>
      </c>
      <c r="X57" s="42" t="s">
        <v>457</v>
      </c>
      <c r="Y57" s="42">
        <v>2310100</v>
      </c>
      <c r="Z57" s="42" t="s">
        <v>541</v>
      </c>
      <c r="AA57" s="42">
        <v>219</v>
      </c>
      <c r="AB57" s="42">
        <v>9</v>
      </c>
      <c r="AC57" s="42">
        <v>4897424</v>
      </c>
      <c r="AD57" s="42" t="s">
        <v>72</v>
      </c>
      <c r="AE57" s="42">
        <v>106</v>
      </c>
      <c r="AF57" s="42" t="s">
        <v>458</v>
      </c>
      <c r="AG57" s="42" t="s">
        <v>459</v>
      </c>
      <c r="AH57" s="42" t="s">
        <v>188</v>
      </c>
      <c r="AI57" s="42" t="s">
        <v>460</v>
      </c>
      <c r="AJ57" s="154">
        <v>45691</v>
      </c>
      <c r="AK57" s="42">
        <v>16</v>
      </c>
      <c r="AL57" s="154">
        <v>45674</v>
      </c>
      <c r="AM57" s="154"/>
      <c r="AN57" s="42"/>
      <c r="AO57" s="154"/>
      <c r="AP57" s="154">
        <v>46203</v>
      </c>
      <c r="AQ57" s="42"/>
      <c r="AR57" s="42"/>
      <c r="AS57" s="42"/>
      <c r="AT57" s="42"/>
      <c r="AU57" s="42"/>
      <c r="AV57" s="42"/>
      <c r="AW57" s="42"/>
      <c r="AX57" s="42"/>
    </row>
    <row r="58" spans="1:50" ht="12.75" customHeight="1">
      <c r="A58" s="42">
        <v>1136879957</v>
      </c>
      <c r="B58" s="42" t="s">
        <v>843</v>
      </c>
      <c r="C58" s="42" t="s">
        <v>554</v>
      </c>
      <c r="D58" s="42" t="s">
        <v>844</v>
      </c>
      <c r="E58" s="42" t="s">
        <v>481</v>
      </c>
      <c r="F58" s="154">
        <v>32244</v>
      </c>
      <c r="G58" s="42" t="s">
        <v>1316</v>
      </c>
      <c r="H58" s="42">
        <v>3246860534</v>
      </c>
      <c r="I58" s="42" t="s">
        <v>586</v>
      </c>
      <c r="J58" s="42"/>
      <c r="K58" s="42"/>
      <c r="L58" s="42"/>
      <c r="M58" s="42" t="s">
        <v>448</v>
      </c>
      <c r="N58" s="42" t="s">
        <v>452</v>
      </c>
      <c r="O58" s="42" t="s">
        <v>453</v>
      </c>
      <c r="P58" s="154">
        <v>45566</v>
      </c>
      <c r="Q58" s="154">
        <v>45566</v>
      </c>
      <c r="R58" s="154"/>
      <c r="S58" s="42">
        <v>8</v>
      </c>
      <c r="T58" s="42" t="s">
        <v>466</v>
      </c>
      <c r="U58" s="42">
        <v>23</v>
      </c>
      <c r="V58" s="42" t="s">
        <v>669</v>
      </c>
      <c r="W58" s="42">
        <v>23</v>
      </c>
      <c r="X58" s="42" t="s">
        <v>473</v>
      </c>
      <c r="Y58" s="42">
        <v>2310460</v>
      </c>
      <c r="Z58" s="42" t="s">
        <v>506</v>
      </c>
      <c r="AA58" s="42">
        <v>440</v>
      </c>
      <c r="AB58" s="42">
        <v>9</v>
      </c>
      <c r="AC58" s="42">
        <v>2675559</v>
      </c>
      <c r="AD58" s="42" t="s">
        <v>29</v>
      </c>
      <c r="AE58" s="42">
        <v>162</v>
      </c>
      <c r="AF58" s="42" t="s">
        <v>458</v>
      </c>
      <c r="AG58" s="42" t="s">
        <v>459</v>
      </c>
      <c r="AH58" s="42" t="s">
        <v>188</v>
      </c>
      <c r="AI58" s="42" t="s">
        <v>460</v>
      </c>
      <c r="AJ58" s="154">
        <v>45791</v>
      </c>
      <c r="AK58" s="42">
        <v>176</v>
      </c>
      <c r="AL58" s="154">
        <v>45779</v>
      </c>
      <c r="AM58" s="154"/>
      <c r="AN58" s="42"/>
      <c r="AO58" s="154"/>
      <c r="AP58" s="154">
        <v>46037</v>
      </c>
      <c r="AQ58" s="42"/>
      <c r="AR58" s="42"/>
      <c r="AS58" s="42"/>
      <c r="AT58" s="42"/>
      <c r="AU58" s="42"/>
      <c r="AV58" s="42"/>
      <c r="AW58" s="42"/>
      <c r="AX58" s="42"/>
    </row>
    <row r="59" spans="1:50" ht="12.75" customHeight="1">
      <c r="A59" s="42">
        <v>1136880003</v>
      </c>
      <c r="B59" s="42" t="s">
        <v>664</v>
      </c>
      <c r="C59" s="42" t="s">
        <v>518</v>
      </c>
      <c r="D59" s="42" t="s">
        <v>846</v>
      </c>
      <c r="E59" s="42" t="s">
        <v>448</v>
      </c>
      <c r="F59" s="154">
        <v>32245</v>
      </c>
      <c r="G59" s="42" t="s">
        <v>1320</v>
      </c>
      <c r="H59" s="42">
        <v>3125246576</v>
      </c>
      <c r="I59" s="42" t="s">
        <v>450</v>
      </c>
      <c r="J59" s="42"/>
      <c r="K59" s="42"/>
      <c r="L59" s="42"/>
      <c r="M59" s="42" t="s">
        <v>448</v>
      </c>
      <c r="N59" s="42" t="s">
        <v>452</v>
      </c>
      <c r="O59" s="42" t="s">
        <v>453</v>
      </c>
      <c r="P59" s="154">
        <v>45426</v>
      </c>
      <c r="Q59" s="154">
        <v>45426</v>
      </c>
      <c r="R59" s="154"/>
      <c r="S59" s="42">
        <v>2</v>
      </c>
      <c r="T59" s="42" t="s">
        <v>455</v>
      </c>
      <c r="U59" s="42">
        <v>23</v>
      </c>
      <c r="V59" s="42" t="s">
        <v>669</v>
      </c>
      <c r="W59" s="42">
        <v>23</v>
      </c>
      <c r="X59" s="42" t="s">
        <v>473</v>
      </c>
      <c r="Y59" s="42">
        <v>2310200</v>
      </c>
      <c r="Z59" s="42" t="s">
        <v>623</v>
      </c>
      <c r="AA59" s="42">
        <v>219</v>
      </c>
      <c r="AB59" s="42">
        <v>8</v>
      </c>
      <c r="AC59" s="42">
        <v>4802489</v>
      </c>
      <c r="AD59" s="42" t="s">
        <v>72</v>
      </c>
      <c r="AE59" s="42">
        <v>107</v>
      </c>
      <c r="AF59" s="42" t="s">
        <v>458</v>
      </c>
      <c r="AG59" s="42" t="s">
        <v>459</v>
      </c>
      <c r="AH59" s="42" t="s">
        <v>188</v>
      </c>
      <c r="AI59" s="42" t="s">
        <v>460</v>
      </c>
      <c r="AJ59" s="154">
        <v>45426</v>
      </c>
      <c r="AK59" s="42">
        <v>233</v>
      </c>
      <c r="AL59" s="154">
        <v>45412</v>
      </c>
      <c r="AM59" s="154"/>
      <c r="AN59" s="42"/>
      <c r="AO59" s="154"/>
      <c r="AP59" s="154"/>
      <c r="AQ59" s="42"/>
      <c r="AR59" s="42"/>
      <c r="AS59" s="42"/>
      <c r="AT59" s="42"/>
      <c r="AU59" s="42"/>
      <c r="AV59" s="42"/>
      <c r="AW59" s="42"/>
      <c r="AX59" s="42"/>
    </row>
    <row r="60" spans="1:50" ht="12.75" customHeight="1">
      <c r="A60" s="42">
        <v>1136882557</v>
      </c>
      <c r="B60" s="42" t="s">
        <v>706</v>
      </c>
      <c r="C60" s="42" t="s">
        <v>1322</v>
      </c>
      <c r="D60" s="42" t="s">
        <v>1323</v>
      </c>
      <c r="E60" s="42" t="s">
        <v>481</v>
      </c>
      <c r="F60" s="154">
        <v>33116</v>
      </c>
      <c r="G60" s="42" t="s">
        <v>1324</v>
      </c>
      <c r="H60" s="42">
        <v>2139631</v>
      </c>
      <c r="I60" s="42" t="s">
        <v>450</v>
      </c>
      <c r="J60" s="42"/>
      <c r="K60" s="42"/>
      <c r="L60" s="42"/>
      <c r="M60" s="42" t="s">
        <v>451</v>
      </c>
      <c r="N60" s="42" t="s">
        <v>452</v>
      </c>
      <c r="O60" s="42" t="s">
        <v>453</v>
      </c>
      <c r="P60" s="154">
        <v>42809</v>
      </c>
      <c r="Q60" s="154">
        <v>42809</v>
      </c>
      <c r="R60" s="154"/>
      <c r="S60" s="42">
        <v>38</v>
      </c>
      <c r="T60" s="42" t="s">
        <v>1325</v>
      </c>
      <c r="U60" s="42">
        <v>19</v>
      </c>
      <c r="V60" s="42" t="s">
        <v>574</v>
      </c>
      <c r="W60" s="42">
        <v>19</v>
      </c>
      <c r="X60" s="42" t="s">
        <v>575</v>
      </c>
      <c r="Y60" s="42">
        <v>2310440</v>
      </c>
      <c r="Z60" s="42" t="s">
        <v>628</v>
      </c>
      <c r="AA60" s="42">
        <v>219</v>
      </c>
      <c r="AB60" s="42">
        <v>1</v>
      </c>
      <c r="AC60" s="42">
        <v>3989530</v>
      </c>
      <c r="AD60" s="42" t="s">
        <v>72</v>
      </c>
      <c r="AE60" s="42">
        <v>111</v>
      </c>
      <c r="AF60" s="42" t="s">
        <v>458</v>
      </c>
      <c r="AG60" s="42" t="s">
        <v>459</v>
      </c>
      <c r="AH60" s="42" t="s">
        <v>188</v>
      </c>
      <c r="AI60" s="42" t="s">
        <v>460</v>
      </c>
      <c r="AJ60" s="154">
        <v>42809</v>
      </c>
      <c r="AK60" s="42">
        <v>30</v>
      </c>
      <c r="AL60" s="154">
        <v>42808</v>
      </c>
      <c r="AM60" s="154"/>
      <c r="AN60" s="42"/>
      <c r="AO60" s="154"/>
      <c r="AP60" s="154">
        <v>43283</v>
      </c>
      <c r="AQ60" s="42"/>
      <c r="AR60" s="42"/>
      <c r="AS60" s="42"/>
      <c r="AT60" s="42"/>
      <c r="AU60" s="42"/>
      <c r="AV60" s="42"/>
      <c r="AW60" s="42"/>
      <c r="AX60" s="42"/>
    </row>
    <row r="61" spans="1:50" ht="12.75" customHeight="1">
      <c r="A61" s="42">
        <v>11446004</v>
      </c>
      <c r="B61" s="42" t="s">
        <v>847</v>
      </c>
      <c r="C61" s="42" t="s">
        <v>790</v>
      </c>
      <c r="D61" s="42" t="s">
        <v>848</v>
      </c>
      <c r="E61" s="42" t="s">
        <v>481</v>
      </c>
      <c r="F61" s="154">
        <v>29793</v>
      </c>
      <c r="G61" s="42" t="s">
        <v>1327</v>
      </c>
      <c r="H61" s="42">
        <v>3195034904</v>
      </c>
      <c r="I61" s="42" t="s">
        <v>586</v>
      </c>
      <c r="J61" s="42"/>
      <c r="K61" s="42"/>
      <c r="L61" s="42"/>
      <c r="M61" s="42" t="s">
        <v>448</v>
      </c>
      <c r="N61" s="42" t="s">
        <v>452</v>
      </c>
      <c r="O61" s="42" t="s">
        <v>453</v>
      </c>
      <c r="P61" s="154">
        <v>45170</v>
      </c>
      <c r="Q61" s="154">
        <v>45170</v>
      </c>
      <c r="R61" s="154"/>
      <c r="S61" s="42">
        <v>5</v>
      </c>
      <c r="T61" s="42" t="s">
        <v>499</v>
      </c>
      <c r="U61" s="42">
        <v>11</v>
      </c>
      <c r="V61" s="42" t="s">
        <v>456</v>
      </c>
      <c r="W61" s="42">
        <v>3</v>
      </c>
      <c r="X61" s="42" t="s">
        <v>457</v>
      </c>
      <c r="Y61" s="42">
        <v>0</v>
      </c>
      <c r="Z61" s="42" t="s">
        <v>500</v>
      </c>
      <c r="AA61" s="42">
        <v>219</v>
      </c>
      <c r="AB61" s="42">
        <v>10</v>
      </c>
      <c r="AC61" s="42">
        <v>4938935</v>
      </c>
      <c r="AD61" s="42" t="s">
        <v>72</v>
      </c>
      <c r="AE61" s="42">
        <v>103</v>
      </c>
      <c r="AF61" s="42" t="s">
        <v>458</v>
      </c>
      <c r="AG61" s="42" t="s">
        <v>459</v>
      </c>
      <c r="AH61" s="42" t="s">
        <v>49</v>
      </c>
      <c r="AI61" s="42" t="s">
        <v>460</v>
      </c>
      <c r="AJ61" s="154">
        <v>45170</v>
      </c>
      <c r="AK61" s="42">
        <v>429</v>
      </c>
      <c r="AL61" s="154">
        <v>45153</v>
      </c>
      <c r="AM61" s="154">
        <v>45873</v>
      </c>
      <c r="AN61" s="42">
        <v>276</v>
      </c>
      <c r="AO61" s="154">
        <v>45866</v>
      </c>
      <c r="AP61" s="154">
        <v>46271</v>
      </c>
      <c r="AQ61" s="42"/>
      <c r="AR61" s="42"/>
      <c r="AS61" s="42"/>
      <c r="AT61" s="42"/>
      <c r="AU61" s="42"/>
      <c r="AV61" s="42"/>
      <c r="AW61" s="42"/>
      <c r="AX61" s="42"/>
    </row>
    <row r="62" spans="1:50" ht="12.75" customHeight="1">
      <c r="A62" s="42">
        <v>79957111</v>
      </c>
      <c r="B62" s="42" t="s">
        <v>2091</v>
      </c>
      <c r="C62" s="42" t="s">
        <v>2092</v>
      </c>
      <c r="D62" s="42" t="s">
        <v>2093</v>
      </c>
      <c r="E62" s="42" t="s">
        <v>481</v>
      </c>
      <c r="F62" s="154">
        <v>29458</v>
      </c>
      <c r="G62" s="42" t="s">
        <v>2094</v>
      </c>
      <c r="H62" s="42">
        <v>5772588</v>
      </c>
      <c r="I62" s="42" t="s">
        <v>586</v>
      </c>
      <c r="J62" s="42">
        <v>80082506849</v>
      </c>
      <c r="K62" s="42">
        <v>1</v>
      </c>
      <c r="L62" s="42"/>
      <c r="M62" s="42" t="s">
        <v>451</v>
      </c>
      <c r="N62" s="42" t="s">
        <v>452</v>
      </c>
      <c r="O62" s="42" t="s">
        <v>453</v>
      </c>
      <c r="P62" s="154">
        <v>42809</v>
      </c>
      <c r="Q62" s="154">
        <v>42809</v>
      </c>
      <c r="R62" s="154"/>
      <c r="S62" s="42">
        <v>5</v>
      </c>
      <c r="T62" s="42" t="s">
        <v>499</v>
      </c>
      <c r="U62" s="42">
        <v>19</v>
      </c>
      <c r="V62" s="42" t="s">
        <v>574</v>
      </c>
      <c r="W62" s="42">
        <v>19</v>
      </c>
      <c r="X62" s="42" t="s">
        <v>575</v>
      </c>
      <c r="Y62" s="42">
        <v>107</v>
      </c>
      <c r="Z62" s="42" t="s">
        <v>500</v>
      </c>
      <c r="AA62" s="42">
        <v>219</v>
      </c>
      <c r="AB62" s="42">
        <v>8</v>
      </c>
      <c r="AC62" s="42">
        <v>4802489</v>
      </c>
      <c r="AD62" s="42" t="s">
        <v>72</v>
      </c>
      <c r="AE62" s="42">
        <v>107</v>
      </c>
      <c r="AF62" s="42" t="s">
        <v>458</v>
      </c>
      <c r="AG62" s="42" t="s">
        <v>459</v>
      </c>
      <c r="AH62" s="42" t="s">
        <v>188</v>
      </c>
      <c r="AI62" s="42" t="s">
        <v>460</v>
      </c>
      <c r="AJ62" s="154">
        <v>42809</v>
      </c>
      <c r="AK62" s="42">
        <v>28</v>
      </c>
      <c r="AL62" s="154">
        <v>42808</v>
      </c>
      <c r="AM62" s="154"/>
      <c r="AN62" s="42"/>
      <c r="AO62" s="154"/>
      <c r="AP62" s="154">
        <v>44472</v>
      </c>
      <c r="AQ62" s="42"/>
      <c r="AR62" s="42"/>
      <c r="AS62" s="42"/>
      <c r="AT62" s="42"/>
      <c r="AU62" s="42"/>
      <c r="AV62" s="42"/>
      <c r="AW62" s="42"/>
      <c r="AX62" s="42"/>
    </row>
    <row r="63" spans="1:50" ht="12.75" customHeight="1">
      <c r="A63" s="42">
        <v>79959508</v>
      </c>
      <c r="B63" s="42" t="s">
        <v>631</v>
      </c>
      <c r="C63" s="42" t="s">
        <v>636</v>
      </c>
      <c r="D63" s="42" t="s">
        <v>2097</v>
      </c>
      <c r="E63" s="42" t="s">
        <v>481</v>
      </c>
      <c r="F63" s="154">
        <v>28179</v>
      </c>
      <c r="G63" s="42" t="s">
        <v>2098</v>
      </c>
      <c r="H63" s="42">
        <v>3519715</v>
      </c>
      <c r="I63" s="42" t="s">
        <v>586</v>
      </c>
      <c r="J63" s="42">
        <v>79959508</v>
      </c>
      <c r="K63" s="42">
        <v>2</v>
      </c>
      <c r="L63" s="42">
        <v>3</v>
      </c>
      <c r="M63" s="42" t="s">
        <v>451</v>
      </c>
      <c r="N63" s="42" t="s">
        <v>452</v>
      </c>
      <c r="O63" s="42" t="s">
        <v>453</v>
      </c>
      <c r="P63" s="154">
        <v>42872</v>
      </c>
      <c r="Q63" s="154">
        <v>42872</v>
      </c>
      <c r="R63" s="154"/>
      <c r="S63" s="42">
        <v>8</v>
      </c>
      <c r="T63" s="42" t="s">
        <v>466</v>
      </c>
      <c r="U63" s="42">
        <v>11</v>
      </c>
      <c r="V63" s="42" t="s">
        <v>456</v>
      </c>
      <c r="W63" s="42">
        <v>19</v>
      </c>
      <c r="X63" s="42" t="s">
        <v>575</v>
      </c>
      <c r="Y63" s="42">
        <v>2310470</v>
      </c>
      <c r="Z63" s="42" t="s">
        <v>477</v>
      </c>
      <c r="AA63" s="42">
        <v>219</v>
      </c>
      <c r="AB63" s="42">
        <v>15</v>
      </c>
      <c r="AC63" s="42">
        <v>5771486</v>
      </c>
      <c r="AD63" s="42" t="s">
        <v>72</v>
      </c>
      <c r="AE63" s="42">
        <v>96</v>
      </c>
      <c r="AF63" s="42" t="s">
        <v>458</v>
      </c>
      <c r="AG63" s="42" t="s">
        <v>459</v>
      </c>
      <c r="AH63" s="42" t="s">
        <v>188</v>
      </c>
      <c r="AI63" s="42" t="s">
        <v>460</v>
      </c>
      <c r="AJ63" s="154">
        <v>42872</v>
      </c>
      <c r="AK63" s="42">
        <v>71</v>
      </c>
      <c r="AL63" s="154">
        <v>42865</v>
      </c>
      <c r="AM63" s="154"/>
      <c r="AN63" s="42"/>
      <c r="AO63" s="154"/>
      <c r="AP63" s="154">
        <v>43380</v>
      </c>
      <c r="AQ63" s="42"/>
      <c r="AR63" s="42"/>
      <c r="AS63" s="42"/>
      <c r="AT63" s="42"/>
      <c r="AU63" s="42"/>
      <c r="AV63" s="42"/>
      <c r="AW63" s="42"/>
      <c r="AX63" s="42"/>
    </row>
    <row r="64" spans="1:50" ht="12.75" customHeight="1">
      <c r="A64" s="42">
        <v>79964172</v>
      </c>
      <c r="B64" s="42" t="s">
        <v>907</v>
      </c>
      <c r="C64" s="42" t="s">
        <v>2100</v>
      </c>
      <c r="D64" s="42" t="s">
        <v>2101</v>
      </c>
      <c r="E64" s="42" t="s">
        <v>481</v>
      </c>
      <c r="F64" s="154">
        <v>28472</v>
      </c>
      <c r="G64" s="42" t="s">
        <v>2102</v>
      </c>
      <c r="H64" s="42">
        <v>6317069</v>
      </c>
      <c r="I64" s="42" t="s">
        <v>586</v>
      </c>
      <c r="J64" s="42">
        <v>77121307068</v>
      </c>
      <c r="K64" s="42">
        <v>1</v>
      </c>
      <c r="L64" s="42">
        <v>51</v>
      </c>
      <c r="M64" s="42" t="s">
        <v>451</v>
      </c>
      <c r="N64" s="42" t="s">
        <v>452</v>
      </c>
      <c r="O64" s="42" t="s">
        <v>453</v>
      </c>
      <c r="P64" s="154">
        <v>43831</v>
      </c>
      <c r="Q64" s="154">
        <v>43831</v>
      </c>
      <c r="R64" s="154"/>
      <c r="S64" s="42">
        <v>26</v>
      </c>
      <c r="T64" s="42" t="s">
        <v>528</v>
      </c>
      <c r="U64" s="42">
        <v>31</v>
      </c>
      <c r="V64" s="42" t="s">
        <v>1038</v>
      </c>
      <c r="W64" s="42">
        <v>22</v>
      </c>
      <c r="X64" s="42" t="s">
        <v>1038</v>
      </c>
      <c r="Y64" s="42">
        <v>2300100</v>
      </c>
      <c r="Z64" s="42" t="s">
        <v>483</v>
      </c>
      <c r="AA64" s="42">
        <v>20</v>
      </c>
      <c r="AB64" s="42">
        <v>9</v>
      </c>
      <c r="AC64" s="42">
        <v>14052600</v>
      </c>
      <c r="AD64" s="42" t="s">
        <v>1121</v>
      </c>
      <c r="AE64" s="42">
        <v>1</v>
      </c>
      <c r="AF64" s="42" t="s">
        <v>458</v>
      </c>
      <c r="AG64" s="42" t="s">
        <v>459</v>
      </c>
      <c r="AH64" s="42" t="s">
        <v>484</v>
      </c>
      <c r="AI64" s="42" t="s">
        <v>460</v>
      </c>
      <c r="AJ64" s="154">
        <v>43831</v>
      </c>
      <c r="AK64" s="42">
        <v>1</v>
      </c>
      <c r="AL64" s="154">
        <v>43831</v>
      </c>
      <c r="AM64" s="154"/>
      <c r="AN64" s="42"/>
      <c r="AO64" s="154"/>
      <c r="AP64" s="154">
        <v>45291</v>
      </c>
      <c r="AQ64" s="42"/>
      <c r="AR64" s="42"/>
      <c r="AS64" s="42"/>
      <c r="AT64" s="42"/>
      <c r="AU64" s="42"/>
      <c r="AV64" s="42"/>
      <c r="AW64" s="42"/>
      <c r="AX64" s="42"/>
    </row>
    <row r="65" spans="1:50" ht="12.75" customHeight="1">
      <c r="A65" s="42">
        <v>79967554</v>
      </c>
      <c r="B65" s="42" t="s">
        <v>1042</v>
      </c>
      <c r="C65" s="42" t="s">
        <v>1075</v>
      </c>
      <c r="D65" s="42" t="s">
        <v>2103</v>
      </c>
      <c r="E65" s="42" t="s">
        <v>448</v>
      </c>
      <c r="F65" s="154">
        <v>28624</v>
      </c>
      <c r="G65" s="42" t="s">
        <v>2104</v>
      </c>
      <c r="H65" s="42">
        <v>3173079852</v>
      </c>
      <c r="I65" s="42" t="s">
        <v>586</v>
      </c>
      <c r="J65" s="42"/>
      <c r="K65" s="42"/>
      <c r="L65" s="42"/>
      <c r="M65" s="42" t="s">
        <v>451</v>
      </c>
      <c r="N65" s="42" t="s">
        <v>452</v>
      </c>
      <c r="O65" s="42" t="s">
        <v>453</v>
      </c>
      <c r="P65" s="154">
        <v>46086</v>
      </c>
      <c r="Q65" s="154">
        <v>40106</v>
      </c>
      <c r="R65" s="42"/>
      <c r="S65" s="42">
        <v>8</v>
      </c>
      <c r="T65" s="42" t="s">
        <v>466</v>
      </c>
      <c r="U65" s="42">
        <v>11</v>
      </c>
      <c r="V65" s="42" t="s">
        <v>456</v>
      </c>
      <c r="W65" s="42">
        <v>3</v>
      </c>
      <c r="X65" s="42" t="s">
        <v>457</v>
      </c>
      <c r="Y65" s="42">
        <v>2311000</v>
      </c>
      <c r="Z65" s="42" t="s">
        <v>467</v>
      </c>
      <c r="AA65" s="42">
        <v>219</v>
      </c>
      <c r="AB65" s="42">
        <v>18</v>
      </c>
      <c r="AC65" s="42">
        <v>5951245</v>
      </c>
      <c r="AD65" s="42" t="s">
        <v>72</v>
      </c>
      <c r="AE65" s="42">
        <v>76</v>
      </c>
      <c r="AF65" s="42" t="s">
        <v>458</v>
      </c>
      <c r="AG65" s="42" t="s">
        <v>459</v>
      </c>
      <c r="AH65" s="42" t="s">
        <v>49</v>
      </c>
      <c r="AI65" s="42" t="s">
        <v>460</v>
      </c>
      <c r="AJ65" s="154">
        <v>46086</v>
      </c>
      <c r="AK65" s="42">
        <v>55</v>
      </c>
      <c r="AL65" s="154">
        <v>46059</v>
      </c>
      <c r="AM65" s="154"/>
      <c r="AN65" s="42"/>
      <c r="AO65" s="154"/>
      <c r="AP65" s="154"/>
      <c r="AQ65" s="42"/>
      <c r="AR65" s="42"/>
      <c r="AS65" s="42"/>
      <c r="AT65" s="42"/>
      <c r="AU65" s="42"/>
      <c r="AV65" s="42"/>
      <c r="AW65" s="42"/>
      <c r="AX65" s="42"/>
    </row>
    <row r="66" spans="1:50" ht="12.75" customHeight="1">
      <c r="A66" s="42">
        <v>79994178</v>
      </c>
      <c r="B66" s="42" t="s">
        <v>1041</v>
      </c>
      <c r="C66" s="42" t="s">
        <v>524</v>
      </c>
      <c r="D66" s="42" t="s">
        <v>2105</v>
      </c>
      <c r="E66" s="42" t="s">
        <v>448</v>
      </c>
      <c r="F66" s="154">
        <v>32706</v>
      </c>
      <c r="G66" s="42" t="s">
        <v>2106</v>
      </c>
      <c r="H66" s="42">
        <v>6017774517</v>
      </c>
      <c r="I66" s="42" t="s">
        <v>586</v>
      </c>
      <c r="J66" s="42">
        <v>79994178</v>
      </c>
      <c r="K66" s="42"/>
      <c r="L66" s="42"/>
      <c r="M66" s="42" t="s">
        <v>451</v>
      </c>
      <c r="N66" s="42" t="s">
        <v>452</v>
      </c>
      <c r="O66" s="42" t="s">
        <v>453</v>
      </c>
      <c r="P66" s="154">
        <v>46134</v>
      </c>
      <c r="Q66" s="154">
        <v>46134</v>
      </c>
      <c r="R66" s="154"/>
      <c r="S66" s="42">
        <v>8</v>
      </c>
      <c r="T66" s="42" t="s">
        <v>466</v>
      </c>
      <c r="U66" s="42">
        <v>11</v>
      </c>
      <c r="V66" s="42" t="s">
        <v>456</v>
      </c>
      <c r="W66" s="42">
        <v>3</v>
      </c>
      <c r="X66" s="42" t="s">
        <v>457</v>
      </c>
      <c r="Y66" s="42">
        <v>2310200</v>
      </c>
      <c r="Z66" s="42" t="s">
        <v>623</v>
      </c>
      <c r="AA66" s="42">
        <v>314</v>
      </c>
      <c r="AB66" s="42">
        <v>20</v>
      </c>
      <c r="AC66" s="42">
        <v>4789274</v>
      </c>
      <c r="AD66" s="42" t="s">
        <v>517</v>
      </c>
      <c r="AE66" s="42">
        <v>118</v>
      </c>
      <c r="AF66" s="42" t="s">
        <v>458</v>
      </c>
      <c r="AG66" s="42" t="s">
        <v>459</v>
      </c>
      <c r="AH66" s="42" t="s">
        <v>644</v>
      </c>
      <c r="AI66" s="42" t="s">
        <v>460</v>
      </c>
      <c r="AJ66" s="154">
        <v>46134</v>
      </c>
      <c r="AK66" s="42">
        <v>59</v>
      </c>
      <c r="AL66" s="154">
        <v>46059</v>
      </c>
      <c r="AM66" s="154"/>
      <c r="AN66" s="42"/>
      <c r="AO66" s="154"/>
      <c r="AP66" s="154"/>
      <c r="AQ66" s="42"/>
      <c r="AR66" s="42"/>
      <c r="AS66" s="42"/>
      <c r="AT66" s="42"/>
      <c r="AU66" s="42"/>
      <c r="AV66" s="42"/>
      <c r="AW66" s="42"/>
      <c r="AX66" s="42"/>
    </row>
    <row r="67" spans="1:50" ht="12.75" customHeight="1">
      <c r="A67" s="42">
        <v>80005851</v>
      </c>
      <c r="B67" s="42" t="s">
        <v>1114</v>
      </c>
      <c r="C67" s="42" t="s">
        <v>637</v>
      </c>
      <c r="D67" s="42" t="s">
        <v>2107</v>
      </c>
      <c r="E67" s="42" t="s">
        <v>481</v>
      </c>
      <c r="F67" s="154">
        <v>29127</v>
      </c>
      <c r="G67" s="42" t="s">
        <v>2109</v>
      </c>
      <c r="H67" s="42">
        <v>2604545</v>
      </c>
      <c r="I67" s="42" t="s">
        <v>586</v>
      </c>
      <c r="J67" s="42">
        <v>80005851</v>
      </c>
      <c r="K67" s="42">
        <v>2</v>
      </c>
      <c r="L67" s="42">
        <v>15</v>
      </c>
      <c r="M67" s="42" t="s">
        <v>451</v>
      </c>
      <c r="N67" s="42" t="s">
        <v>5</v>
      </c>
      <c r="O67" s="42" t="s">
        <v>453</v>
      </c>
      <c r="P67" s="154">
        <v>44208</v>
      </c>
      <c r="Q67" s="154">
        <v>44208</v>
      </c>
      <c r="R67" s="154"/>
      <c r="S67" s="42">
        <v>8</v>
      </c>
      <c r="T67" s="42" t="s">
        <v>466</v>
      </c>
      <c r="U67" s="42">
        <v>11</v>
      </c>
      <c r="V67" s="42" t="s">
        <v>456</v>
      </c>
      <c r="W67" s="42">
        <v>3</v>
      </c>
      <c r="X67" s="42" t="s">
        <v>457</v>
      </c>
      <c r="Y67" s="42">
        <v>2310450</v>
      </c>
      <c r="Z67" s="42" t="s">
        <v>568</v>
      </c>
      <c r="AA67" s="42">
        <v>219</v>
      </c>
      <c r="AB67" s="42">
        <v>18</v>
      </c>
      <c r="AC67" s="42">
        <v>5951245</v>
      </c>
      <c r="AD67" s="42" t="s">
        <v>72</v>
      </c>
      <c r="AE67" s="42">
        <v>80</v>
      </c>
      <c r="AF67" s="42" t="s">
        <v>458</v>
      </c>
      <c r="AG67" s="42" t="s">
        <v>459</v>
      </c>
      <c r="AH67" s="42" t="s">
        <v>644</v>
      </c>
      <c r="AI67" s="42" t="s">
        <v>460</v>
      </c>
      <c r="AJ67" s="154">
        <v>44208</v>
      </c>
      <c r="AK67" s="42">
        <v>148</v>
      </c>
      <c r="AL67" s="154">
        <v>44118</v>
      </c>
      <c r="AM67" s="154"/>
      <c r="AN67" s="42"/>
      <c r="AO67" s="154"/>
      <c r="AP67" s="154">
        <v>44263</v>
      </c>
      <c r="AQ67" s="42"/>
      <c r="AR67" s="42"/>
      <c r="AS67" s="42"/>
      <c r="AT67" s="42"/>
      <c r="AU67" s="42"/>
      <c r="AV67" s="42"/>
      <c r="AW67" s="42"/>
      <c r="AX67" s="42"/>
    </row>
    <row r="68" spans="1:50" ht="12.75" customHeight="1">
      <c r="A68" s="42">
        <v>80022321</v>
      </c>
      <c r="B68" s="42" t="s">
        <v>554</v>
      </c>
      <c r="C68" s="42" t="s">
        <v>1099</v>
      </c>
      <c r="D68" s="42" t="s">
        <v>1101</v>
      </c>
      <c r="E68" s="42" t="s">
        <v>448</v>
      </c>
      <c r="F68" s="154">
        <v>28980</v>
      </c>
      <c r="G68" s="42" t="s">
        <v>916</v>
      </c>
      <c r="H68" s="42" t="s">
        <v>2110</v>
      </c>
      <c r="I68" s="42" t="s">
        <v>586</v>
      </c>
      <c r="J68" s="42">
        <v>80022321</v>
      </c>
      <c r="K68" s="42">
        <v>1</v>
      </c>
      <c r="L68" s="42"/>
      <c r="M68" s="42" t="s">
        <v>547</v>
      </c>
      <c r="N68" s="42" t="s">
        <v>452</v>
      </c>
      <c r="O68" s="42" t="s">
        <v>453</v>
      </c>
      <c r="P68" s="154">
        <v>44652</v>
      </c>
      <c r="Q68" s="154">
        <v>44652</v>
      </c>
      <c r="R68" s="154"/>
      <c r="S68" s="42">
        <v>8</v>
      </c>
      <c r="T68" s="42" t="s">
        <v>466</v>
      </c>
      <c r="U68" s="42">
        <v>11</v>
      </c>
      <c r="V68" s="42" t="s">
        <v>456</v>
      </c>
      <c r="W68" s="42">
        <v>3</v>
      </c>
      <c r="X68" s="42" t="s">
        <v>457</v>
      </c>
      <c r="Y68" s="42">
        <v>2311000</v>
      </c>
      <c r="Z68" s="42" t="s">
        <v>467</v>
      </c>
      <c r="AA68" s="42">
        <v>222</v>
      </c>
      <c r="AB68" s="42">
        <v>21</v>
      </c>
      <c r="AC68" s="42">
        <v>6566429</v>
      </c>
      <c r="AD68" s="42" t="s">
        <v>51</v>
      </c>
      <c r="AE68" s="42">
        <v>19</v>
      </c>
      <c r="AF68" s="42" t="s">
        <v>458</v>
      </c>
      <c r="AG68" s="42" t="s">
        <v>459</v>
      </c>
      <c r="AH68" s="42" t="s">
        <v>49</v>
      </c>
      <c r="AI68" s="42" t="s">
        <v>460</v>
      </c>
      <c r="AJ68" s="154">
        <v>44652</v>
      </c>
      <c r="AK68" s="42">
        <v>91</v>
      </c>
      <c r="AL68" s="154">
        <v>44636</v>
      </c>
      <c r="AM68" s="154"/>
      <c r="AN68" s="42"/>
      <c r="AO68" s="154"/>
      <c r="AP68" s="154"/>
      <c r="AQ68" s="42"/>
      <c r="AR68" s="42"/>
      <c r="AS68" s="42"/>
      <c r="AT68" s="42"/>
      <c r="AU68" s="42"/>
      <c r="AV68" s="42"/>
      <c r="AW68" s="42"/>
      <c r="AX68" s="42"/>
    </row>
    <row r="69" spans="1:50" ht="12.75" customHeight="1">
      <c r="A69" s="42">
        <v>80024418</v>
      </c>
      <c r="B69" s="42" t="s">
        <v>2111</v>
      </c>
      <c r="C69" s="42" t="s">
        <v>1010</v>
      </c>
      <c r="D69" s="42" t="s">
        <v>2112</v>
      </c>
      <c r="E69" s="42" t="s">
        <v>481</v>
      </c>
      <c r="F69" s="154">
        <v>29118</v>
      </c>
      <c r="G69" s="42" t="s">
        <v>2113</v>
      </c>
      <c r="H69" s="42">
        <v>75666577</v>
      </c>
      <c r="I69" s="42" t="s">
        <v>586</v>
      </c>
      <c r="J69" s="42">
        <v>79092005419</v>
      </c>
      <c r="K69" s="42">
        <v>1</v>
      </c>
      <c r="L69" s="42">
        <v>13</v>
      </c>
      <c r="M69" s="42" t="s">
        <v>547</v>
      </c>
      <c r="N69" s="42" t="s">
        <v>452</v>
      </c>
      <c r="O69" s="42" t="s">
        <v>453</v>
      </c>
      <c r="P69" s="154">
        <v>42843</v>
      </c>
      <c r="Q69" s="154">
        <v>42843</v>
      </c>
      <c r="R69" s="154"/>
      <c r="S69" s="42">
        <v>8</v>
      </c>
      <c r="T69" s="42" t="s">
        <v>466</v>
      </c>
      <c r="U69" s="42">
        <v>11</v>
      </c>
      <c r="V69" s="42" t="s">
        <v>456</v>
      </c>
      <c r="W69" s="42">
        <v>18</v>
      </c>
      <c r="X69" s="42" t="s">
        <v>536</v>
      </c>
      <c r="Y69" s="42">
        <v>2311000</v>
      </c>
      <c r="Z69" s="42" t="s">
        <v>467</v>
      </c>
      <c r="AA69" s="42">
        <v>219</v>
      </c>
      <c r="AB69" s="42">
        <v>18</v>
      </c>
      <c r="AC69" s="42">
        <v>5951245</v>
      </c>
      <c r="AD69" s="42" t="s">
        <v>72</v>
      </c>
      <c r="AE69" s="42">
        <v>25</v>
      </c>
      <c r="AF69" s="42" t="s">
        <v>458</v>
      </c>
      <c r="AG69" s="42" t="s">
        <v>459</v>
      </c>
      <c r="AH69" s="42" t="s">
        <v>188</v>
      </c>
      <c r="AI69" s="42" t="s">
        <v>460</v>
      </c>
      <c r="AJ69" s="154">
        <v>42843</v>
      </c>
      <c r="AK69" s="42">
        <v>54</v>
      </c>
      <c r="AL69" s="154">
        <v>42832</v>
      </c>
      <c r="AM69" s="154"/>
      <c r="AN69" s="42"/>
      <c r="AO69" s="154"/>
      <c r="AP69" s="154">
        <v>42844</v>
      </c>
      <c r="AQ69" s="42"/>
      <c r="AR69" s="42"/>
      <c r="AS69" s="42"/>
      <c r="AT69" s="42"/>
      <c r="AU69" s="42"/>
      <c r="AV69" s="42"/>
      <c r="AW69" s="42"/>
      <c r="AX69" s="42"/>
    </row>
    <row r="70" spans="1:50" ht="12.75" customHeight="1">
      <c r="A70" s="42">
        <v>80031312</v>
      </c>
      <c r="B70" s="42" t="s">
        <v>826</v>
      </c>
      <c r="C70" s="42" t="s">
        <v>636</v>
      </c>
      <c r="D70" s="42" t="s">
        <v>2115</v>
      </c>
      <c r="E70" s="42" t="s">
        <v>481</v>
      </c>
      <c r="F70" s="154">
        <v>29779</v>
      </c>
      <c r="G70" s="42" t="s">
        <v>2116</v>
      </c>
      <c r="H70" s="42">
        <v>2316923</v>
      </c>
      <c r="I70" s="42" t="s">
        <v>586</v>
      </c>
      <c r="J70" s="42">
        <v>81071207843</v>
      </c>
      <c r="K70" s="42">
        <v>2</v>
      </c>
      <c r="L70" s="42">
        <v>4</v>
      </c>
      <c r="M70" s="42" t="s">
        <v>448</v>
      </c>
      <c r="N70" s="42" t="s">
        <v>452</v>
      </c>
      <c r="O70" s="42" t="s">
        <v>453</v>
      </c>
      <c r="P70" s="154">
        <v>42801</v>
      </c>
      <c r="Q70" s="154">
        <v>42801</v>
      </c>
      <c r="R70" s="154"/>
      <c r="S70" s="42">
        <v>8</v>
      </c>
      <c r="T70" s="42" t="s">
        <v>466</v>
      </c>
      <c r="U70" s="42">
        <v>11</v>
      </c>
      <c r="V70" s="42" t="s">
        <v>456</v>
      </c>
      <c r="W70" s="42">
        <v>19</v>
      </c>
      <c r="X70" s="42" t="s">
        <v>575</v>
      </c>
      <c r="Y70" s="42">
        <v>2311000</v>
      </c>
      <c r="Z70" s="42" t="s">
        <v>467</v>
      </c>
      <c r="AA70" s="42">
        <v>222</v>
      </c>
      <c r="AB70" s="42">
        <v>21</v>
      </c>
      <c r="AC70" s="42">
        <v>6566429</v>
      </c>
      <c r="AD70" s="42" t="s">
        <v>51</v>
      </c>
      <c r="AE70" s="42">
        <v>20</v>
      </c>
      <c r="AF70" s="42" t="s">
        <v>458</v>
      </c>
      <c r="AG70" s="42" t="s">
        <v>459</v>
      </c>
      <c r="AH70" s="42" t="s">
        <v>188</v>
      </c>
      <c r="AI70" s="42" t="s">
        <v>460</v>
      </c>
      <c r="AJ70" s="154">
        <v>42801</v>
      </c>
      <c r="AK70" s="42">
        <v>13</v>
      </c>
      <c r="AL70" s="154">
        <v>42800</v>
      </c>
      <c r="AM70" s="154"/>
      <c r="AN70" s="42"/>
      <c r="AO70" s="154"/>
      <c r="AP70" s="154">
        <v>44199</v>
      </c>
      <c r="AQ70" s="42"/>
      <c r="AR70" s="42"/>
      <c r="AS70" s="42"/>
      <c r="AT70" s="42"/>
      <c r="AU70" s="42"/>
      <c r="AV70" s="42"/>
      <c r="AW70" s="42"/>
      <c r="AX70" s="42"/>
    </row>
    <row r="71" spans="1:50" ht="12.75" customHeight="1">
      <c r="A71" s="42">
        <v>80040965</v>
      </c>
      <c r="B71" s="42" t="s">
        <v>2117</v>
      </c>
      <c r="C71" s="42" t="s">
        <v>593</v>
      </c>
      <c r="D71" s="42" t="s">
        <v>2118</v>
      </c>
      <c r="E71" s="42" t="s">
        <v>481</v>
      </c>
      <c r="F71" s="154">
        <v>30326</v>
      </c>
      <c r="G71" s="42" t="s">
        <v>2119</v>
      </c>
      <c r="H71" s="42">
        <v>4824597</v>
      </c>
      <c r="I71" s="42" t="s">
        <v>586</v>
      </c>
      <c r="J71" s="42">
        <v>80040965</v>
      </c>
      <c r="K71" s="42">
        <v>2</v>
      </c>
      <c r="L71" s="42"/>
      <c r="M71" s="42" t="s">
        <v>451</v>
      </c>
      <c r="N71" s="42" t="s">
        <v>452</v>
      </c>
      <c r="O71" s="42" t="s">
        <v>453</v>
      </c>
      <c r="P71" s="154">
        <v>42585</v>
      </c>
      <c r="Q71" s="154">
        <v>42401</v>
      </c>
      <c r="R71" s="154"/>
      <c r="S71" s="42">
        <v>38</v>
      </c>
      <c r="T71" s="42" t="s">
        <v>1325</v>
      </c>
      <c r="U71" s="42">
        <v>11</v>
      </c>
      <c r="V71" s="42" t="s">
        <v>456</v>
      </c>
      <c r="W71" s="42">
        <v>3</v>
      </c>
      <c r="X71" s="42" t="s">
        <v>457</v>
      </c>
      <c r="Y71" s="42">
        <v>2300100</v>
      </c>
      <c r="Z71" s="42" t="s">
        <v>483</v>
      </c>
      <c r="AA71" s="42">
        <v>105</v>
      </c>
      <c r="AB71" s="42">
        <v>5</v>
      </c>
      <c r="AC71" s="42">
        <v>9154873</v>
      </c>
      <c r="AD71" s="42" t="s">
        <v>26</v>
      </c>
      <c r="AE71" s="42">
        <v>13</v>
      </c>
      <c r="AF71" s="42" t="s">
        <v>458</v>
      </c>
      <c r="AG71" s="42" t="s">
        <v>459</v>
      </c>
      <c r="AH71" s="42" t="s">
        <v>484</v>
      </c>
      <c r="AI71" s="42" t="s">
        <v>460</v>
      </c>
      <c r="AJ71" s="154">
        <v>42585</v>
      </c>
      <c r="AK71" s="42">
        <v>10</v>
      </c>
      <c r="AL71" s="154">
        <v>42585</v>
      </c>
      <c r="AM71" s="154">
        <v>42585</v>
      </c>
      <c r="AN71" s="42">
        <v>13</v>
      </c>
      <c r="AO71" s="154">
        <v>42585</v>
      </c>
      <c r="AP71" s="154">
        <v>43863</v>
      </c>
      <c r="AQ71" s="42"/>
      <c r="AR71" s="42"/>
      <c r="AS71" s="42"/>
      <c r="AT71" s="42"/>
      <c r="AU71" s="42"/>
      <c r="AV71" s="42"/>
      <c r="AW71" s="42"/>
      <c r="AX71" s="42"/>
    </row>
    <row r="72" spans="1:50" ht="12.75" customHeight="1">
      <c r="A72" s="42">
        <v>80060729</v>
      </c>
      <c r="B72" s="42" t="s">
        <v>2120</v>
      </c>
      <c r="C72" s="42" t="s">
        <v>2121</v>
      </c>
      <c r="D72" s="42" t="s">
        <v>2122</v>
      </c>
      <c r="E72" s="42" t="s">
        <v>481</v>
      </c>
      <c r="F72" s="154">
        <v>28782</v>
      </c>
      <c r="G72" s="42" t="s">
        <v>2123</v>
      </c>
      <c r="H72" s="42">
        <v>3003249566</v>
      </c>
      <c r="I72" s="42" t="s">
        <v>586</v>
      </c>
      <c r="J72" s="42"/>
      <c r="K72" s="42"/>
      <c r="L72" s="42"/>
      <c r="M72" s="42"/>
      <c r="N72" s="42"/>
      <c r="O72" s="42" t="s">
        <v>453</v>
      </c>
      <c r="P72" s="154">
        <v>44272</v>
      </c>
      <c r="Q72" s="154">
        <v>38443</v>
      </c>
      <c r="R72" s="154"/>
      <c r="S72" s="42">
        <v>42</v>
      </c>
      <c r="T72" s="42" t="s">
        <v>1166</v>
      </c>
      <c r="U72" s="42">
        <v>11</v>
      </c>
      <c r="V72" s="42" t="s">
        <v>456</v>
      </c>
      <c r="W72" s="42">
        <v>3</v>
      </c>
      <c r="X72" s="42" t="s">
        <v>457</v>
      </c>
      <c r="Y72" s="42">
        <v>2310470</v>
      </c>
      <c r="Z72" s="42" t="s">
        <v>477</v>
      </c>
      <c r="AA72" s="42">
        <v>222</v>
      </c>
      <c r="AB72" s="42">
        <v>27</v>
      </c>
      <c r="AC72" s="42">
        <v>7358647</v>
      </c>
      <c r="AD72" s="42" t="s">
        <v>51</v>
      </c>
      <c r="AE72" s="42">
        <v>97</v>
      </c>
      <c r="AF72" s="42" t="s">
        <v>458</v>
      </c>
      <c r="AG72" s="42" t="s">
        <v>459</v>
      </c>
      <c r="AH72" s="42" t="s">
        <v>644</v>
      </c>
      <c r="AI72" s="42" t="s">
        <v>460</v>
      </c>
      <c r="AJ72" s="154">
        <v>44272</v>
      </c>
      <c r="AK72" s="42">
        <v>203</v>
      </c>
      <c r="AL72" s="154">
        <v>44124</v>
      </c>
      <c r="AM72" s="154">
        <v>42703</v>
      </c>
      <c r="AN72" s="42">
        <v>71</v>
      </c>
      <c r="AO72" s="154">
        <v>42702</v>
      </c>
      <c r="AP72" s="154">
        <v>44294</v>
      </c>
      <c r="AQ72" s="42"/>
      <c r="AR72" s="42"/>
      <c r="AS72" s="42"/>
      <c r="AT72" s="42"/>
      <c r="AU72" s="42"/>
      <c r="AV72" s="42"/>
      <c r="AW72" s="42"/>
      <c r="AX72" s="42"/>
    </row>
    <row r="73" spans="1:50" ht="12.75" customHeight="1">
      <c r="A73" s="42">
        <v>80063723</v>
      </c>
      <c r="B73" s="42" t="s">
        <v>728</v>
      </c>
      <c r="C73" s="42" t="s">
        <v>645</v>
      </c>
      <c r="D73" s="42" t="s">
        <v>2124</v>
      </c>
      <c r="E73" s="42" t="s">
        <v>481</v>
      </c>
      <c r="F73" s="154">
        <v>28954</v>
      </c>
      <c r="G73" s="42" t="s">
        <v>2125</v>
      </c>
      <c r="H73" s="42">
        <v>3877239</v>
      </c>
      <c r="I73" s="42" t="s">
        <v>586</v>
      </c>
      <c r="J73" s="42">
        <v>79040907802</v>
      </c>
      <c r="K73" s="42">
        <v>1</v>
      </c>
      <c r="L73" s="42"/>
      <c r="M73" s="42" t="s">
        <v>451</v>
      </c>
      <c r="N73" s="42" t="s">
        <v>452</v>
      </c>
      <c r="O73" s="42" t="s">
        <v>453</v>
      </c>
      <c r="P73" s="154">
        <v>43049</v>
      </c>
      <c r="Q73" s="154">
        <v>43049</v>
      </c>
      <c r="R73" s="154"/>
      <c r="S73" s="42">
        <v>8</v>
      </c>
      <c r="T73" s="42" t="s">
        <v>466</v>
      </c>
      <c r="U73" s="42">
        <v>18</v>
      </c>
      <c r="V73" s="42" t="s">
        <v>565</v>
      </c>
      <c r="W73" s="42">
        <v>3</v>
      </c>
      <c r="X73" s="42" t="s">
        <v>457</v>
      </c>
      <c r="Y73" s="42">
        <v>2311000</v>
      </c>
      <c r="Z73" s="42" t="s">
        <v>467</v>
      </c>
      <c r="AA73" s="42">
        <v>440</v>
      </c>
      <c r="AB73" s="42">
        <v>9</v>
      </c>
      <c r="AC73" s="42">
        <v>2675559</v>
      </c>
      <c r="AD73" s="42" t="s">
        <v>29</v>
      </c>
      <c r="AE73" s="42">
        <v>164</v>
      </c>
      <c r="AF73" s="42" t="s">
        <v>458</v>
      </c>
      <c r="AG73" s="42" t="s">
        <v>459</v>
      </c>
      <c r="AH73" s="42" t="s">
        <v>188</v>
      </c>
      <c r="AI73" s="42" t="s">
        <v>460</v>
      </c>
      <c r="AJ73" s="154">
        <v>43049</v>
      </c>
      <c r="AK73" s="42">
        <v>172</v>
      </c>
      <c r="AL73" s="154">
        <v>43049</v>
      </c>
      <c r="AM73" s="154"/>
      <c r="AN73" s="42"/>
      <c r="AO73" s="154"/>
      <c r="AP73" s="154">
        <v>44269</v>
      </c>
      <c r="AQ73" s="42"/>
      <c r="AR73" s="42"/>
      <c r="AS73" s="42"/>
      <c r="AT73" s="42"/>
      <c r="AU73" s="42"/>
      <c r="AV73" s="42"/>
      <c r="AW73" s="42"/>
      <c r="AX73" s="42"/>
    </row>
    <row r="74" spans="1:50" ht="12.75" customHeight="1">
      <c r="A74" s="42">
        <v>80093870</v>
      </c>
      <c r="B74" s="42" t="s">
        <v>2126</v>
      </c>
      <c r="C74" s="42" t="s">
        <v>1077</v>
      </c>
      <c r="D74" s="42" t="s">
        <v>825</v>
      </c>
      <c r="E74" s="42" t="s">
        <v>481</v>
      </c>
      <c r="F74" s="154">
        <v>29969</v>
      </c>
      <c r="G74" s="42" t="s">
        <v>2127</v>
      </c>
      <c r="H74" s="42">
        <v>6318813</v>
      </c>
      <c r="I74" s="42" t="s">
        <v>586</v>
      </c>
      <c r="J74" s="42">
        <v>80093870</v>
      </c>
      <c r="K74" s="42">
        <v>2</v>
      </c>
      <c r="L74" s="42">
        <v>4</v>
      </c>
      <c r="M74" s="42" t="s">
        <v>448</v>
      </c>
      <c r="N74" s="42" t="s">
        <v>452</v>
      </c>
      <c r="O74" s="42" t="s">
        <v>453</v>
      </c>
      <c r="P74" s="154">
        <v>44348</v>
      </c>
      <c r="Q74" s="154">
        <v>44348</v>
      </c>
      <c r="R74" s="154"/>
      <c r="S74" s="42">
        <v>26</v>
      </c>
      <c r="T74" s="42" t="s">
        <v>528</v>
      </c>
      <c r="U74" s="42">
        <v>11</v>
      </c>
      <c r="V74" s="42" t="s">
        <v>456</v>
      </c>
      <c r="W74" s="42">
        <v>3</v>
      </c>
      <c r="X74" s="42" t="s">
        <v>457</v>
      </c>
      <c r="Y74" s="42">
        <v>2310430</v>
      </c>
      <c r="Z74" s="42" t="s">
        <v>494</v>
      </c>
      <c r="AA74" s="42">
        <v>222</v>
      </c>
      <c r="AB74" s="42">
        <v>19</v>
      </c>
      <c r="AC74" s="42">
        <v>6258912</v>
      </c>
      <c r="AD74" s="42" t="s">
        <v>51</v>
      </c>
      <c r="AE74" s="42">
        <v>70</v>
      </c>
      <c r="AF74" s="42" t="s">
        <v>458</v>
      </c>
      <c r="AG74" s="42" t="s">
        <v>459</v>
      </c>
      <c r="AH74" s="42" t="s">
        <v>188</v>
      </c>
      <c r="AI74" s="42" t="s">
        <v>460</v>
      </c>
      <c r="AJ74" s="154">
        <v>44348</v>
      </c>
      <c r="AK74" s="42">
        <v>91</v>
      </c>
      <c r="AL74" s="154">
        <v>44330</v>
      </c>
      <c r="AM74" s="154"/>
      <c r="AN74" s="42"/>
      <c r="AO74" s="154"/>
      <c r="AP74" s="154">
        <v>45061</v>
      </c>
      <c r="AQ74" s="42"/>
      <c r="AR74" s="42"/>
      <c r="AS74" s="42"/>
      <c r="AT74" s="42"/>
      <c r="AU74" s="42"/>
      <c r="AV74" s="42"/>
      <c r="AW74" s="42"/>
      <c r="AX74" s="42"/>
    </row>
    <row r="75" spans="1:50" ht="12.75" customHeight="1">
      <c r="A75" s="42">
        <v>80096113</v>
      </c>
      <c r="B75" s="42" t="s">
        <v>790</v>
      </c>
      <c r="C75" s="42" t="s">
        <v>923</v>
      </c>
      <c r="D75" s="42" t="s">
        <v>1027</v>
      </c>
      <c r="E75" s="42" t="s">
        <v>448</v>
      </c>
      <c r="F75" s="154">
        <v>30189</v>
      </c>
      <c r="G75" s="42" t="s">
        <v>2128</v>
      </c>
      <c r="H75" s="42">
        <v>6012326864</v>
      </c>
      <c r="I75" s="42" t="s">
        <v>450</v>
      </c>
      <c r="J75" s="42"/>
      <c r="K75" s="42"/>
      <c r="L75" s="42"/>
      <c r="M75" s="42"/>
      <c r="N75" s="42"/>
      <c r="O75" s="42" t="s">
        <v>453</v>
      </c>
      <c r="P75" s="154">
        <v>45463</v>
      </c>
      <c r="Q75" s="154">
        <v>45463</v>
      </c>
      <c r="R75" s="42"/>
      <c r="S75" s="42">
        <v>5</v>
      </c>
      <c r="T75" s="42" t="s">
        <v>499</v>
      </c>
      <c r="U75" s="42">
        <v>11</v>
      </c>
      <c r="V75" s="42" t="s">
        <v>456</v>
      </c>
      <c r="W75" s="42">
        <v>19</v>
      </c>
      <c r="X75" s="42" t="s">
        <v>575</v>
      </c>
      <c r="Y75" s="42">
        <v>2300100</v>
      </c>
      <c r="Z75" s="42" t="s">
        <v>483</v>
      </c>
      <c r="AA75" s="42">
        <v>105</v>
      </c>
      <c r="AB75" s="42">
        <v>5</v>
      </c>
      <c r="AC75" s="42">
        <v>9154873</v>
      </c>
      <c r="AD75" s="42" t="s">
        <v>26</v>
      </c>
      <c r="AE75" s="42">
        <v>15</v>
      </c>
      <c r="AF75" s="42" t="s">
        <v>458</v>
      </c>
      <c r="AG75" s="42" t="s">
        <v>459</v>
      </c>
      <c r="AH75" s="42" t="s">
        <v>484</v>
      </c>
      <c r="AI75" s="42" t="s">
        <v>460</v>
      </c>
      <c r="AJ75" s="154">
        <v>45463</v>
      </c>
      <c r="AK75" s="42">
        <v>290</v>
      </c>
      <c r="AL75" s="154">
        <v>45456</v>
      </c>
      <c r="AM75" s="154">
        <v>46195</v>
      </c>
      <c r="AN75" s="42">
        <v>265</v>
      </c>
      <c r="AO75" s="154">
        <v>46195</v>
      </c>
      <c r="AP75" s="154"/>
      <c r="AQ75" s="42"/>
      <c r="AR75" s="42"/>
      <c r="AS75" s="42"/>
      <c r="AT75" s="42"/>
      <c r="AU75" s="42"/>
      <c r="AV75" s="42"/>
      <c r="AW75" s="42"/>
      <c r="AX75" s="42"/>
    </row>
    <row r="76" spans="1:50" ht="12.75" customHeight="1">
      <c r="A76" s="42">
        <v>80100027</v>
      </c>
      <c r="B76" s="42" t="s">
        <v>1103</v>
      </c>
      <c r="C76" s="42" t="s">
        <v>677</v>
      </c>
      <c r="D76" s="42" t="s">
        <v>1104</v>
      </c>
      <c r="E76" s="42" t="s">
        <v>448</v>
      </c>
      <c r="F76" s="154">
        <v>30577</v>
      </c>
      <c r="G76" s="42" t="s">
        <v>2133</v>
      </c>
      <c r="H76" s="42">
        <v>2367294</v>
      </c>
      <c r="I76" s="42" t="s">
        <v>586</v>
      </c>
      <c r="J76" s="42">
        <v>80100027</v>
      </c>
      <c r="K76" s="42">
        <v>2</v>
      </c>
      <c r="L76" s="42">
        <v>53</v>
      </c>
      <c r="M76" s="42" t="s">
        <v>547</v>
      </c>
      <c r="N76" s="42" t="s">
        <v>452</v>
      </c>
      <c r="O76" s="42" t="s">
        <v>453</v>
      </c>
      <c r="P76" s="154">
        <v>44145</v>
      </c>
      <c r="Q76" s="154">
        <v>44145</v>
      </c>
      <c r="R76" s="154"/>
      <c r="S76" s="42">
        <v>8</v>
      </c>
      <c r="T76" s="42" t="s">
        <v>466</v>
      </c>
      <c r="U76" s="42">
        <v>11</v>
      </c>
      <c r="V76" s="42" t="s">
        <v>456</v>
      </c>
      <c r="W76" s="42">
        <v>3</v>
      </c>
      <c r="X76" s="42" t="s">
        <v>457</v>
      </c>
      <c r="Y76" s="42">
        <v>2311000</v>
      </c>
      <c r="Z76" s="42" t="s">
        <v>467</v>
      </c>
      <c r="AA76" s="42">
        <v>480</v>
      </c>
      <c r="AB76" s="42">
        <v>13</v>
      </c>
      <c r="AC76" s="42">
        <v>3017226</v>
      </c>
      <c r="AD76" s="42" t="s">
        <v>223</v>
      </c>
      <c r="AE76" s="42">
        <v>157</v>
      </c>
      <c r="AF76" s="42" t="s">
        <v>458</v>
      </c>
      <c r="AG76" s="42" t="s">
        <v>459</v>
      </c>
      <c r="AH76" s="42" t="s">
        <v>49</v>
      </c>
      <c r="AI76" s="42" t="s">
        <v>460</v>
      </c>
      <c r="AJ76" s="154">
        <v>44145</v>
      </c>
      <c r="AK76" s="42">
        <v>172</v>
      </c>
      <c r="AL76" s="154">
        <v>44124</v>
      </c>
      <c r="AM76" s="154"/>
      <c r="AN76" s="42"/>
      <c r="AO76" s="154"/>
      <c r="AP76" s="154"/>
      <c r="AQ76" s="42"/>
      <c r="AR76" s="42"/>
      <c r="AS76" s="42"/>
      <c r="AT76" s="42"/>
      <c r="AU76" s="42"/>
      <c r="AV76" s="42"/>
      <c r="AW76" s="42"/>
      <c r="AX76" s="42"/>
    </row>
    <row r="77" spans="1:50" ht="12.75" customHeight="1">
      <c r="A77" s="42">
        <v>80154878</v>
      </c>
      <c r="B77" s="42" t="s">
        <v>1098</v>
      </c>
      <c r="C77" s="42" t="s">
        <v>1105</v>
      </c>
      <c r="D77" s="42" t="s">
        <v>1106</v>
      </c>
      <c r="E77" s="42" t="s">
        <v>448</v>
      </c>
      <c r="F77" s="154">
        <v>29764</v>
      </c>
      <c r="G77" s="42" t="s">
        <v>2134</v>
      </c>
      <c r="H77" s="42">
        <v>6094533</v>
      </c>
      <c r="I77" s="42" t="s">
        <v>586</v>
      </c>
      <c r="J77" s="42">
        <v>80154878</v>
      </c>
      <c r="K77" s="42">
        <v>2</v>
      </c>
      <c r="L77" s="42">
        <v>3</v>
      </c>
      <c r="M77" s="42" t="s">
        <v>451</v>
      </c>
      <c r="N77" s="42" t="s">
        <v>452</v>
      </c>
      <c r="O77" s="42" t="s">
        <v>453</v>
      </c>
      <c r="P77" s="154">
        <v>44146</v>
      </c>
      <c r="Q77" s="154">
        <v>43843</v>
      </c>
      <c r="R77" s="42">
        <v>42283</v>
      </c>
      <c r="S77" s="42">
        <v>26</v>
      </c>
      <c r="T77" s="42" t="s">
        <v>528</v>
      </c>
      <c r="U77" s="42">
        <v>11</v>
      </c>
      <c r="V77" s="42" t="s">
        <v>456</v>
      </c>
      <c r="W77" s="42">
        <v>3</v>
      </c>
      <c r="X77" s="42" t="s">
        <v>457</v>
      </c>
      <c r="Y77" s="42">
        <v>2310470</v>
      </c>
      <c r="Z77" s="42" t="s">
        <v>477</v>
      </c>
      <c r="AA77" s="42">
        <v>219</v>
      </c>
      <c r="AB77" s="42">
        <v>15</v>
      </c>
      <c r="AC77" s="42">
        <v>5771486</v>
      </c>
      <c r="AD77" s="42" t="s">
        <v>72</v>
      </c>
      <c r="AE77" s="42">
        <v>97</v>
      </c>
      <c r="AF77" s="42" t="s">
        <v>458</v>
      </c>
      <c r="AG77" s="42" t="s">
        <v>459</v>
      </c>
      <c r="AH77" s="42" t="s">
        <v>49</v>
      </c>
      <c r="AI77" s="42" t="s">
        <v>460</v>
      </c>
      <c r="AJ77" s="154">
        <v>44146</v>
      </c>
      <c r="AK77" s="42">
        <v>133</v>
      </c>
      <c r="AL77" s="154">
        <v>44118</v>
      </c>
      <c r="AM77" s="154">
        <v>45855</v>
      </c>
      <c r="AN77" s="42">
        <v>268</v>
      </c>
      <c r="AO77" s="154">
        <v>45855</v>
      </c>
      <c r="AP77" s="154"/>
      <c r="AQ77" s="42"/>
      <c r="AR77" s="42"/>
      <c r="AS77" s="42"/>
      <c r="AT77" s="42"/>
      <c r="AU77" s="42"/>
      <c r="AV77" s="42"/>
      <c r="AW77" s="42"/>
      <c r="AX77" s="42"/>
    </row>
    <row r="78" spans="1:50" ht="12.75" customHeight="1">
      <c r="A78" s="42">
        <v>80165110</v>
      </c>
      <c r="B78" s="42" t="s">
        <v>578</v>
      </c>
      <c r="C78" s="42" t="s">
        <v>734</v>
      </c>
      <c r="D78" s="42" t="s">
        <v>791</v>
      </c>
      <c r="E78" s="42" t="s">
        <v>481</v>
      </c>
      <c r="F78" s="154">
        <v>29819</v>
      </c>
      <c r="G78" s="42" t="s">
        <v>2136</v>
      </c>
      <c r="H78" s="42"/>
      <c r="I78" s="42" t="s">
        <v>586</v>
      </c>
      <c r="J78" s="42">
        <v>80165110</v>
      </c>
      <c r="K78" s="42">
        <v>2</v>
      </c>
      <c r="L78" s="42">
        <v>2</v>
      </c>
      <c r="M78" s="42" t="s">
        <v>448</v>
      </c>
      <c r="N78" s="42" t="s">
        <v>452</v>
      </c>
      <c r="O78" s="42" t="s">
        <v>453</v>
      </c>
      <c r="P78" s="154">
        <v>42803</v>
      </c>
      <c r="Q78" s="154">
        <v>42803</v>
      </c>
      <c r="R78" s="154"/>
      <c r="S78" s="42">
        <v>8</v>
      </c>
      <c r="T78" s="42" t="s">
        <v>466</v>
      </c>
      <c r="U78" s="42">
        <v>11</v>
      </c>
      <c r="V78" s="42" t="s">
        <v>456</v>
      </c>
      <c r="W78" s="42">
        <v>3</v>
      </c>
      <c r="X78" s="42" t="s">
        <v>457</v>
      </c>
      <c r="Y78" s="42">
        <v>97</v>
      </c>
      <c r="Z78" s="42" t="s">
        <v>500</v>
      </c>
      <c r="AA78" s="42">
        <v>219</v>
      </c>
      <c r="AB78" s="42">
        <v>15</v>
      </c>
      <c r="AC78" s="42">
        <v>5771486</v>
      </c>
      <c r="AD78" s="42" t="s">
        <v>72</v>
      </c>
      <c r="AE78" s="42">
        <v>97</v>
      </c>
      <c r="AF78" s="42" t="s">
        <v>458</v>
      </c>
      <c r="AG78" s="42" t="s">
        <v>459</v>
      </c>
      <c r="AH78" s="42" t="s">
        <v>188</v>
      </c>
      <c r="AI78" s="42" t="s">
        <v>460</v>
      </c>
      <c r="AJ78" s="154">
        <v>43642</v>
      </c>
      <c r="AK78" s="42">
        <v>86</v>
      </c>
      <c r="AL78" s="154">
        <v>43642</v>
      </c>
      <c r="AM78" s="154"/>
      <c r="AN78" s="42"/>
      <c r="AO78" s="154"/>
      <c r="AP78" s="154">
        <v>44145</v>
      </c>
      <c r="AQ78" s="42"/>
      <c r="AR78" s="42"/>
      <c r="AS78" s="42"/>
      <c r="AT78" s="42"/>
      <c r="AU78" s="42"/>
      <c r="AV78" s="42"/>
      <c r="AW78" s="42"/>
      <c r="AX78" s="42"/>
    </row>
    <row r="79" spans="1:50" ht="12.75" customHeight="1">
      <c r="A79" s="42">
        <v>11807282</v>
      </c>
      <c r="B79" s="42" t="s">
        <v>1330</v>
      </c>
      <c r="C79" s="42" t="s">
        <v>1331</v>
      </c>
      <c r="D79" s="42" t="s">
        <v>1332</v>
      </c>
      <c r="E79" s="42" t="s">
        <v>481</v>
      </c>
      <c r="F79" s="154">
        <v>28299</v>
      </c>
      <c r="G79" s="42" t="s">
        <v>1333</v>
      </c>
      <c r="H79" s="42">
        <v>3936817</v>
      </c>
      <c r="I79" s="42" t="s">
        <v>586</v>
      </c>
      <c r="J79" s="42">
        <v>11807282</v>
      </c>
      <c r="K79" s="42">
        <v>1</v>
      </c>
      <c r="L79" s="42"/>
      <c r="M79" s="42" t="s">
        <v>451</v>
      </c>
      <c r="N79" s="42" t="s">
        <v>452</v>
      </c>
      <c r="O79" s="42" t="s">
        <v>453</v>
      </c>
      <c r="P79" s="154">
        <v>43049</v>
      </c>
      <c r="Q79" s="154">
        <v>43049</v>
      </c>
      <c r="R79" s="154"/>
      <c r="S79" s="42">
        <v>5</v>
      </c>
      <c r="T79" s="42" t="s">
        <v>499</v>
      </c>
      <c r="U79" s="42">
        <v>18</v>
      </c>
      <c r="V79" s="42" t="s">
        <v>565</v>
      </c>
      <c r="W79" s="42">
        <v>3</v>
      </c>
      <c r="X79" s="42" t="s">
        <v>457</v>
      </c>
      <c r="Y79" s="42">
        <v>94</v>
      </c>
      <c r="Z79" s="42" t="s">
        <v>500</v>
      </c>
      <c r="AA79" s="42">
        <v>219</v>
      </c>
      <c r="AB79" s="42">
        <v>18</v>
      </c>
      <c r="AC79" s="42">
        <v>5951245</v>
      </c>
      <c r="AD79" s="42" t="s">
        <v>72</v>
      </c>
      <c r="AE79" s="42">
        <v>94</v>
      </c>
      <c r="AF79" s="42" t="s">
        <v>458</v>
      </c>
      <c r="AG79" s="42" t="s">
        <v>459</v>
      </c>
      <c r="AH79" s="42" t="s">
        <v>188</v>
      </c>
      <c r="AI79" s="42" t="s">
        <v>460</v>
      </c>
      <c r="AJ79" s="154">
        <v>43049</v>
      </c>
      <c r="AK79" s="42">
        <v>174</v>
      </c>
      <c r="AL79" s="154">
        <v>43049</v>
      </c>
      <c r="AM79" s="154"/>
      <c r="AN79" s="42"/>
      <c r="AO79" s="154"/>
      <c r="AP79" s="154">
        <v>44137</v>
      </c>
      <c r="AQ79" s="42"/>
      <c r="AR79" s="42"/>
      <c r="AS79" s="42"/>
      <c r="AT79" s="42"/>
      <c r="AU79" s="42"/>
      <c r="AV79" s="42"/>
      <c r="AW79" s="42"/>
      <c r="AX79" s="42"/>
    </row>
    <row r="80" spans="1:50" ht="12.75" customHeight="1">
      <c r="A80" s="42">
        <v>1193101660</v>
      </c>
      <c r="B80" s="42" t="s">
        <v>1336</v>
      </c>
      <c r="C80" s="42" t="s">
        <v>1247</v>
      </c>
      <c r="D80" s="42" t="s">
        <v>1337</v>
      </c>
      <c r="E80" s="42" t="s">
        <v>448</v>
      </c>
      <c r="F80" s="154">
        <v>37218</v>
      </c>
      <c r="G80" s="42" t="s">
        <v>1338</v>
      </c>
      <c r="H80" s="42">
        <v>3172798916</v>
      </c>
      <c r="I80" s="42" t="s">
        <v>450</v>
      </c>
      <c r="J80" s="42"/>
      <c r="K80" s="42"/>
      <c r="L80" s="42"/>
      <c r="M80" s="42" t="s">
        <v>451</v>
      </c>
      <c r="N80" s="42" t="s">
        <v>452</v>
      </c>
      <c r="O80" s="42" t="s">
        <v>453</v>
      </c>
      <c r="P80" s="154">
        <v>46237</v>
      </c>
      <c r="Q80" s="154">
        <v>46237</v>
      </c>
      <c r="R80" s="154"/>
      <c r="S80" s="42">
        <v>5</v>
      </c>
      <c r="T80" s="42" t="s">
        <v>499</v>
      </c>
      <c r="U80" s="42">
        <v>18</v>
      </c>
      <c r="V80" s="42" t="s">
        <v>565</v>
      </c>
      <c r="W80" s="42">
        <v>3</v>
      </c>
      <c r="X80" s="42" t="s">
        <v>457</v>
      </c>
      <c r="Y80" s="42">
        <v>2310460</v>
      </c>
      <c r="Z80" s="42" t="s">
        <v>506</v>
      </c>
      <c r="AA80" s="42">
        <v>407</v>
      </c>
      <c r="AB80" s="42">
        <v>15</v>
      </c>
      <c r="AC80" s="42">
        <v>3212811</v>
      </c>
      <c r="AD80" s="42" t="s">
        <v>146</v>
      </c>
      <c r="AE80" s="42">
        <v>147</v>
      </c>
      <c r="AF80" s="42" t="s">
        <v>458</v>
      </c>
      <c r="AG80" s="42" t="s">
        <v>459</v>
      </c>
      <c r="AH80" s="42" t="s">
        <v>188</v>
      </c>
      <c r="AI80" s="42" t="s">
        <v>460</v>
      </c>
      <c r="AJ80" s="154">
        <v>46237</v>
      </c>
      <c r="AK80" s="42">
        <v>340</v>
      </c>
      <c r="AL80" s="154">
        <v>46234</v>
      </c>
      <c r="AM80" s="154"/>
      <c r="AN80" s="42"/>
      <c r="AO80" s="154"/>
      <c r="AP80" s="154"/>
      <c r="AQ80" s="42"/>
      <c r="AR80" s="42"/>
      <c r="AS80" s="42"/>
      <c r="AT80" s="42"/>
      <c r="AU80" s="42"/>
      <c r="AV80" s="42"/>
      <c r="AW80" s="42"/>
      <c r="AX80" s="42"/>
    </row>
    <row r="81" spans="1:50" ht="12.75" customHeight="1">
      <c r="A81" s="42">
        <v>12198272</v>
      </c>
      <c r="B81" s="42" t="s">
        <v>1099</v>
      </c>
      <c r="C81" s="42" t="s">
        <v>859</v>
      </c>
      <c r="D81" s="42" t="s">
        <v>1339</v>
      </c>
      <c r="E81" s="42" t="s">
        <v>481</v>
      </c>
      <c r="F81" s="154">
        <v>28847</v>
      </c>
      <c r="G81" s="42" t="s">
        <v>1340</v>
      </c>
      <c r="H81" s="42">
        <v>3173009894</v>
      </c>
      <c r="I81" s="42" t="s">
        <v>586</v>
      </c>
      <c r="J81" s="42">
        <v>12198272</v>
      </c>
      <c r="K81" s="42">
        <v>2</v>
      </c>
      <c r="L81" s="42"/>
      <c r="M81" s="42" t="s">
        <v>448</v>
      </c>
      <c r="N81" s="42" t="s">
        <v>452</v>
      </c>
      <c r="O81" s="42" t="s">
        <v>453</v>
      </c>
      <c r="P81" s="154">
        <v>42879</v>
      </c>
      <c r="Q81" s="154">
        <v>42879</v>
      </c>
      <c r="R81" s="154"/>
      <c r="S81" s="42">
        <v>18</v>
      </c>
      <c r="T81" s="42" t="s">
        <v>472</v>
      </c>
      <c r="U81" s="42">
        <v>11</v>
      </c>
      <c r="V81" s="42" t="s">
        <v>456</v>
      </c>
      <c r="W81" s="42">
        <v>3</v>
      </c>
      <c r="X81" s="42" t="s">
        <v>457</v>
      </c>
      <c r="Y81" s="42">
        <v>2310470</v>
      </c>
      <c r="Z81" s="42" t="s">
        <v>477</v>
      </c>
      <c r="AA81" s="42">
        <v>222</v>
      </c>
      <c r="AB81" s="42">
        <v>27</v>
      </c>
      <c r="AC81" s="42">
        <v>7358647</v>
      </c>
      <c r="AD81" s="42" t="s">
        <v>51</v>
      </c>
      <c r="AE81" s="42">
        <v>42</v>
      </c>
      <c r="AF81" s="42" t="s">
        <v>458</v>
      </c>
      <c r="AG81" s="42" t="s">
        <v>459</v>
      </c>
      <c r="AH81" s="42" t="s">
        <v>188</v>
      </c>
      <c r="AI81" s="42" t="s">
        <v>460</v>
      </c>
      <c r="AJ81" s="154">
        <v>42879</v>
      </c>
      <c r="AK81" s="42">
        <v>78</v>
      </c>
      <c r="AL81" s="154">
        <v>42873</v>
      </c>
      <c r="AM81" s="154"/>
      <c r="AN81" s="42"/>
      <c r="AO81" s="154"/>
      <c r="AP81" s="154">
        <v>43849</v>
      </c>
      <c r="AQ81" s="42"/>
      <c r="AR81" s="42"/>
      <c r="AS81" s="42"/>
      <c r="AT81" s="42"/>
      <c r="AU81" s="42"/>
      <c r="AV81" s="42"/>
      <c r="AW81" s="42"/>
      <c r="AX81" s="42"/>
    </row>
    <row r="82" spans="1:50" ht="12.75" customHeight="1">
      <c r="A82" s="42">
        <v>16077540</v>
      </c>
      <c r="B82" s="42" t="s">
        <v>721</v>
      </c>
      <c r="C82" s="42" t="s">
        <v>849</v>
      </c>
      <c r="D82" s="42" t="s">
        <v>837</v>
      </c>
      <c r="E82" s="42" t="s">
        <v>448</v>
      </c>
      <c r="F82" s="154">
        <v>30626</v>
      </c>
      <c r="G82" s="42" t="s">
        <v>1342</v>
      </c>
      <c r="H82" s="42">
        <v>6360599</v>
      </c>
      <c r="I82" s="42" t="s">
        <v>586</v>
      </c>
      <c r="J82" s="42">
        <v>16077540</v>
      </c>
      <c r="K82" s="42">
        <v>2</v>
      </c>
      <c r="L82" s="42">
        <v>31</v>
      </c>
      <c r="M82" s="42" t="s">
        <v>451</v>
      </c>
      <c r="N82" s="42" t="s">
        <v>452</v>
      </c>
      <c r="O82" s="42" t="s">
        <v>453</v>
      </c>
      <c r="P82" s="154">
        <v>44166</v>
      </c>
      <c r="Q82" s="154">
        <v>44166</v>
      </c>
      <c r="R82" s="42">
        <v>40452</v>
      </c>
      <c r="S82" s="42">
        <v>8</v>
      </c>
      <c r="T82" s="42" t="s">
        <v>466</v>
      </c>
      <c r="U82" s="42">
        <v>11</v>
      </c>
      <c r="V82" s="42" t="s">
        <v>456</v>
      </c>
      <c r="W82" s="42">
        <v>3</v>
      </c>
      <c r="X82" s="42" t="s">
        <v>457</v>
      </c>
      <c r="Y82" s="42">
        <v>2310470</v>
      </c>
      <c r="Z82" s="42" t="s">
        <v>477</v>
      </c>
      <c r="AA82" s="42">
        <v>219</v>
      </c>
      <c r="AB82" s="42">
        <v>18</v>
      </c>
      <c r="AC82" s="42">
        <v>5951245</v>
      </c>
      <c r="AD82" s="42" t="s">
        <v>72</v>
      </c>
      <c r="AE82" s="42">
        <v>92</v>
      </c>
      <c r="AF82" s="42" t="s">
        <v>458</v>
      </c>
      <c r="AG82" s="42" t="s">
        <v>459</v>
      </c>
      <c r="AH82" s="42" t="s">
        <v>49</v>
      </c>
      <c r="AI82" s="42" t="s">
        <v>460</v>
      </c>
      <c r="AJ82" s="154">
        <v>44166</v>
      </c>
      <c r="AK82" s="42">
        <v>209</v>
      </c>
      <c r="AL82" s="154">
        <v>44124</v>
      </c>
      <c r="AM82" s="154"/>
      <c r="AN82" s="42"/>
      <c r="AO82" s="154"/>
      <c r="AP82" s="154"/>
      <c r="AQ82" s="42"/>
      <c r="AR82" s="42"/>
      <c r="AS82" s="42"/>
      <c r="AT82" s="42"/>
      <c r="AU82" s="42"/>
      <c r="AV82" s="42"/>
      <c r="AW82" s="42"/>
      <c r="AX82" s="42"/>
    </row>
    <row r="83" spans="1:50" ht="12.75" customHeight="1">
      <c r="A83" s="42">
        <v>16359534</v>
      </c>
      <c r="B83" s="42" t="s">
        <v>556</v>
      </c>
      <c r="C83" s="42" t="s">
        <v>896</v>
      </c>
      <c r="D83" s="42" t="s">
        <v>1344</v>
      </c>
      <c r="E83" s="42" t="s">
        <v>481</v>
      </c>
      <c r="F83" s="154">
        <v>23396</v>
      </c>
      <c r="G83" s="42" t="s">
        <v>1345</v>
      </c>
      <c r="H83" s="42">
        <v>3024601102</v>
      </c>
      <c r="I83" s="42" t="s">
        <v>586</v>
      </c>
      <c r="J83" s="42">
        <v>70255</v>
      </c>
      <c r="K83" s="42">
        <v>2</v>
      </c>
      <c r="L83" s="42">
        <v>19</v>
      </c>
      <c r="M83" s="42" t="s">
        <v>451</v>
      </c>
      <c r="N83" s="42" t="s">
        <v>452</v>
      </c>
      <c r="O83" s="42" t="s">
        <v>453</v>
      </c>
      <c r="P83" s="154">
        <v>43642</v>
      </c>
      <c r="Q83" s="154">
        <v>43642</v>
      </c>
      <c r="R83" s="154"/>
      <c r="S83" s="42">
        <v>5</v>
      </c>
      <c r="T83" s="42" t="s">
        <v>499</v>
      </c>
      <c r="U83" s="42">
        <v>11</v>
      </c>
      <c r="V83" s="42" t="s">
        <v>456</v>
      </c>
      <c r="W83" s="42">
        <v>23</v>
      </c>
      <c r="X83" s="42" t="s">
        <v>473</v>
      </c>
      <c r="Y83" s="42">
        <v>2310460</v>
      </c>
      <c r="Z83" s="42" t="s">
        <v>506</v>
      </c>
      <c r="AA83" s="42">
        <v>219</v>
      </c>
      <c r="AB83" s="42">
        <v>18</v>
      </c>
      <c r="AC83" s="42">
        <v>5951245</v>
      </c>
      <c r="AD83" s="42" t="s">
        <v>72</v>
      </c>
      <c r="AE83" s="42">
        <v>83</v>
      </c>
      <c r="AF83" s="42" t="s">
        <v>458</v>
      </c>
      <c r="AG83" s="42" t="s">
        <v>459</v>
      </c>
      <c r="AH83" s="42" t="s">
        <v>188</v>
      </c>
      <c r="AI83" s="42" t="s">
        <v>460</v>
      </c>
      <c r="AJ83" s="154">
        <v>43642</v>
      </c>
      <c r="AK83" s="42">
        <v>93</v>
      </c>
      <c r="AL83" s="154">
        <v>43642</v>
      </c>
      <c r="AM83" s="154"/>
      <c r="AN83" s="42"/>
      <c r="AO83" s="154"/>
      <c r="AP83" s="154">
        <v>45306</v>
      </c>
      <c r="AQ83" s="42"/>
      <c r="AR83" s="42"/>
      <c r="AS83" s="42"/>
      <c r="AT83" s="42"/>
      <c r="AU83" s="42"/>
      <c r="AV83" s="42"/>
      <c r="AW83" s="42"/>
      <c r="AX83" s="42"/>
    </row>
    <row r="84" spans="1:50" ht="12.75" customHeight="1">
      <c r="A84" s="42">
        <v>17326101</v>
      </c>
      <c r="B84" s="42" t="s">
        <v>445</v>
      </c>
      <c r="C84" s="42" t="s">
        <v>740</v>
      </c>
      <c r="D84" s="42" t="s">
        <v>1349</v>
      </c>
      <c r="E84" s="42" t="s">
        <v>481</v>
      </c>
      <c r="F84" s="154">
        <v>23274</v>
      </c>
      <c r="G84" s="42" t="s">
        <v>1350</v>
      </c>
      <c r="H84" s="42">
        <v>2680448</v>
      </c>
      <c r="I84" s="42" t="s">
        <v>586</v>
      </c>
      <c r="J84" s="42">
        <v>17326101</v>
      </c>
      <c r="K84" s="42">
        <v>2</v>
      </c>
      <c r="L84" s="42"/>
      <c r="M84" s="42" t="s">
        <v>448</v>
      </c>
      <c r="N84" s="42" t="s">
        <v>452</v>
      </c>
      <c r="O84" s="42" t="s">
        <v>453</v>
      </c>
      <c r="P84" s="154">
        <v>43103</v>
      </c>
      <c r="Q84" s="154">
        <v>42178</v>
      </c>
      <c r="R84" s="42"/>
      <c r="S84" s="42">
        <v>8</v>
      </c>
      <c r="T84" s="42" t="s">
        <v>466</v>
      </c>
      <c r="U84" s="42">
        <v>11</v>
      </c>
      <c r="V84" s="42" t="s">
        <v>456</v>
      </c>
      <c r="W84" s="42">
        <v>3</v>
      </c>
      <c r="X84" s="42" t="s">
        <v>457</v>
      </c>
      <c r="Y84" s="42">
        <v>10</v>
      </c>
      <c r="Z84" s="42" t="s">
        <v>500</v>
      </c>
      <c r="AA84" s="42">
        <v>6</v>
      </c>
      <c r="AB84" s="42">
        <v>6</v>
      </c>
      <c r="AC84" s="42">
        <v>10208470</v>
      </c>
      <c r="AD84" s="42" t="s">
        <v>28</v>
      </c>
      <c r="AE84" s="42">
        <v>10</v>
      </c>
      <c r="AF84" s="42" t="s">
        <v>458</v>
      </c>
      <c r="AG84" s="42" t="s">
        <v>459</v>
      </c>
      <c r="AH84" s="42" t="s">
        <v>484</v>
      </c>
      <c r="AI84" s="42" t="s">
        <v>460</v>
      </c>
      <c r="AJ84" s="154">
        <v>43103</v>
      </c>
      <c r="AK84" s="42">
        <v>755</v>
      </c>
      <c r="AL84" s="154">
        <v>43095</v>
      </c>
      <c r="AM84" s="154"/>
      <c r="AN84" s="42"/>
      <c r="AO84" s="154"/>
      <c r="AP84" s="154">
        <v>44561</v>
      </c>
      <c r="AQ84" s="42"/>
      <c r="AR84" s="42"/>
      <c r="AS84" s="42"/>
      <c r="AT84" s="42"/>
      <c r="AU84" s="42"/>
      <c r="AV84" s="42"/>
      <c r="AW84" s="42"/>
      <c r="AX84" s="42"/>
    </row>
    <row r="85" spans="1:50" ht="12.75" customHeight="1">
      <c r="A85" s="42">
        <v>19209798</v>
      </c>
      <c r="B85" s="42" t="s">
        <v>826</v>
      </c>
      <c r="C85" s="42" t="s">
        <v>1352</v>
      </c>
      <c r="D85" s="42" t="s">
        <v>1353</v>
      </c>
      <c r="E85" s="42" t="s">
        <v>481</v>
      </c>
      <c r="F85" s="154">
        <v>19425</v>
      </c>
      <c r="G85" s="42" t="s">
        <v>1354</v>
      </c>
      <c r="H85" s="42" t="s">
        <v>1355</v>
      </c>
      <c r="I85" s="42" t="s">
        <v>586</v>
      </c>
      <c r="J85" s="42" t="s">
        <v>1356</v>
      </c>
      <c r="K85" s="42">
        <v>2</v>
      </c>
      <c r="L85" s="42">
        <v>3</v>
      </c>
      <c r="M85" s="42"/>
      <c r="N85" s="42"/>
      <c r="O85" s="42" t="s">
        <v>453</v>
      </c>
      <c r="P85" s="154">
        <v>42585</v>
      </c>
      <c r="Q85" s="154">
        <v>35815</v>
      </c>
      <c r="R85" s="154"/>
      <c r="S85" s="42">
        <v>8</v>
      </c>
      <c r="T85" s="42" t="s">
        <v>466</v>
      </c>
      <c r="U85" s="42">
        <v>11</v>
      </c>
      <c r="V85" s="42" t="s">
        <v>456</v>
      </c>
      <c r="W85" s="42">
        <v>3</v>
      </c>
      <c r="X85" s="42" t="s">
        <v>457</v>
      </c>
      <c r="Y85" s="42">
        <v>137</v>
      </c>
      <c r="Z85" s="42" t="s">
        <v>500</v>
      </c>
      <c r="AA85" s="42">
        <v>407</v>
      </c>
      <c r="AB85" s="42">
        <v>27</v>
      </c>
      <c r="AC85" s="42">
        <v>4316673</v>
      </c>
      <c r="AD85" s="42" t="s">
        <v>146</v>
      </c>
      <c r="AE85" s="42">
        <v>137</v>
      </c>
      <c r="AF85" s="42" t="s">
        <v>458</v>
      </c>
      <c r="AG85" s="42" t="s">
        <v>459</v>
      </c>
      <c r="AH85" s="42" t="s">
        <v>49</v>
      </c>
      <c r="AI85" s="42" t="s">
        <v>460</v>
      </c>
      <c r="AJ85" s="154">
        <v>42585</v>
      </c>
      <c r="AK85" s="42">
        <v>2</v>
      </c>
      <c r="AL85" s="154">
        <v>42585</v>
      </c>
      <c r="AM85" s="154"/>
      <c r="AN85" s="42"/>
      <c r="AO85" s="154"/>
      <c r="AP85" s="154">
        <v>44408</v>
      </c>
      <c r="AQ85" s="42"/>
      <c r="AR85" s="42"/>
      <c r="AS85" s="42"/>
      <c r="AT85" s="42"/>
      <c r="AU85" s="42"/>
      <c r="AV85" s="42"/>
      <c r="AW85" s="42"/>
      <c r="AX85" s="42"/>
    </row>
    <row r="86" spans="1:50" ht="12.75" customHeight="1">
      <c r="A86" s="42">
        <v>19299567</v>
      </c>
      <c r="B86" s="42" t="s">
        <v>1358</v>
      </c>
      <c r="C86" s="42" t="s">
        <v>1359</v>
      </c>
      <c r="D86" s="42" t="s">
        <v>1360</v>
      </c>
      <c r="E86" s="42" t="s">
        <v>481</v>
      </c>
      <c r="F86" s="154">
        <v>20141</v>
      </c>
      <c r="G86" s="42" t="s">
        <v>1361</v>
      </c>
      <c r="H86" s="42">
        <v>4933705</v>
      </c>
      <c r="I86" s="42" t="s">
        <v>586</v>
      </c>
      <c r="J86" s="42">
        <v>576978</v>
      </c>
      <c r="K86" s="42">
        <v>2</v>
      </c>
      <c r="L86" s="42">
        <v>3</v>
      </c>
      <c r="M86" s="42"/>
      <c r="N86" s="42"/>
      <c r="O86" s="42" t="s">
        <v>453</v>
      </c>
      <c r="P86" s="154">
        <v>42585</v>
      </c>
      <c r="Q86" s="154">
        <v>34775</v>
      </c>
      <c r="R86" s="154"/>
      <c r="S86" s="42">
        <v>8</v>
      </c>
      <c r="T86" s="42" t="s">
        <v>466</v>
      </c>
      <c r="U86" s="42">
        <v>11</v>
      </c>
      <c r="V86" s="42" t="s">
        <v>456</v>
      </c>
      <c r="W86" s="42">
        <v>23</v>
      </c>
      <c r="X86" s="42" t="s">
        <v>473</v>
      </c>
      <c r="Y86" s="42">
        <v>2310470</v>
      </c>
      <c r="Z86" s="42" t="s">
        <v>477</v>
      </c>
      <c r="AA86" s="42">
        <v>219</v>
      </c>
      <c r="AB86" s="42">
        <v>18</v>
      </c>
      <c r="AC86" s="42">
        <v>5951245</v>
      </c>
      <c r="AD86" s="42" t="s">
        <v>72</v>
      </c>
      <c r="AE86" s="42">
        <v>90</v>
      </c>
      <c r="AF86" s="42" t="s">
        <v>458</v>
      </c>
      <c r="AG86" s="42" t="s">
        <v>459</v>
      </c>
      <c r="AH86" s="42" t="s">
        <v>49</v>
      </c>
      <c r="AI86" s="42" t="s">
        <v>460</v>
      </c>
      <c r="AJ86" s="154">
        <v>42585</v>
      </c>
      <c r="AK86" s="42">
        <v>2</v>
      </c>
      <c r="AL86" s="154">
        <v>42585</v>
      </c>
      <c r="AM86" s="154">
        <v>42703</v>
      </c>
      <c r="AN86" s="42">
        <v>71</v>
      </c>
      <c r="AO86" s="154">
        <v>42702</v>
      </c>
      <c r="AP86" s="154">
        <v>42932</v>
      </c>
      <c r="AQ86" s="42"/>
      <c r="AR86" s="42"/>
      <c r="AS86" s="42"/>
      <c r="AT86" s="42"/>
      <c r="AU86" s="42"/>
      <c r="AV86" s="42"/>
      <c r="AW86" s="42"/>
      <c r="AX86" s="42"/>
    </row>
    <row r="87" spans="1:50" ht="12.75" customHeight="1">
      <c r="A87" s="42">
        <v>19347862</v>
      </c>
      <c r="B87" s="42" t="s">
        <v>554</v>
      </c>
      <c r="C87" s="42" t="s">
        <v>852</v>
      </c>
      <c r="D87" s="42" t="s">
        <v>853</v>
      </c>
      <c r="E87" s="42" t="s">
        <v>448</v>
      </c>
      <c r="F87" s="154">
        <v>20940</v>
      </c>
      <c r="G87" s="42" t="s">
        <v>1362</v>
      </c>
      <c r="H87" s="42">
        <v>6143835</v>
      </c>
      <c r="I87" s="42" t="s">
        <v>586</v>
      </c>
      <c r="J87" s="42">
        <v>19347862</v>
      </c>
      <c r="K87" s="42">
        <v>2</v>
      </c>
      <c r="L87" s="42">
        <v>55</v>
      </c>
      <c r="M87" s="42"/>
      <c r="N87" s="42"/>
      <c r="O87" s="42" t="s">
        <v>453</v>
      </c>
      <c r="P87" s="154">
        <v>42585</v>
      </c>
      <c r="Q87" s="154">
        <v>34696</v>
      </c>
      <c r="R87" s="154"/>
      <c r="S87" s="42">
        <v>5</v>
      </c>
      <c r="T87" s="42" t="s">
        <v>499</v>
      </c>
      <c r="U87" s="42">
        <v>11</v>
      </c>
      <c r="V87" s="42" t="s">
        <v>456</v>
      </c>
      <c r="W87" s="42">
        <v>3</v>
      </c>
      <c r="X87" s="42" t="s">
        <v>457</v>
      </c>
      <c r="Y87" s="42">
        <v>2310470</v>
      </c>
      <c r="Z87" s="42" t="s">
        <v>477</v>
      </c>
      <c r="AA87" s="42">
        <v>222</v>
      </c>
      <c r="AB87" s="42">
        <v>27</v>
      </c>
      <c r="AC87" s="42">
        <v>7358647</v>
      </c>
      <c r="AD87" s="42" t="s">
        <v>51</v>
      </c>
      <c r="AE87" s="42">
        <v>46</v>
      </c>
      <c r="AF87" s="42" t="s">
        <v>458</v>
      </c>
      <c r="AG87" s="42" t="s">
        <v>459</v>
      </c>
      <c r="AH87" s="42" t="s">
        <v>49</v>
      </c>
      <c r="AI87" s="42" t="s">
        <v>460</v>
      </c>
      <c r="AJ87" s="154">
        <v>42585</v>
      </c>
      <c r="AK87" s="42">
        <v>2</v>
      </c>
      <c r="AL87" s="154">
        <v>42585</v>
      </c>
      <c r="AM87" s="154"/>
      <c r="AN87" s="42"/>
      <c r="AO87" s="154"/>
      <c r="AP87" s="154"/>
      <c r="AQ87" s="42"/>
      <c r="AR87" s="42"/>
      <c r="AS87" s="42"/>
      <c r="AT87" s="42"/>
      <c r="AU87" s="42"/>
      <c r="AV87" s="42"/>
      <c r="AW87" s="42"/>
      <c r="AX87" s="42"/>
    </row>
    <row r="88" spans="1:50" ht="12.75" customHeight="1">
      <c r="A88" s="42">
        <v>19443235</v>
      </c>
      <c r="B88" s="42" t="s">
        <v>1365</v>
      </c>
      <c r="C88" s="42"/>
      <c r="D88" s="42" t="s">
        <v>1367</v>
      </c>
      <c r="E88" s="42" t="s">
        <v>481</v>
      </c>
      <c r="F88" s="154">
        <v>22104</v>
      </c>
      <c r="G88" s="42" t="s">
        <v>1369</v>
      </c>
      <c r="H88" s="42">
        <v>7521614</v>
      </c>
      <c r="I88" s="42" t="s">
        <v>586</v>
      </c>
      <c r="J88" s="42"/>
      <c r="K88" s="42"/>
      <c r="L88" s="42"/>
      <c r="M88" s="42" t="s">
        <v>451</v>
      </c>
      <c r="N88" s="42" t="s">
        <v>5</v>
      </c>
      <c r="O88" s="42" t="s">
        <v>453</v>
      </c>
      <c r="P88" s="154">
        <v>42585</v>
      </c>
      <c r="Q88" s="154">
        <v>33462</v>
      </c>
      <c r="R88" s="154"/>
      <c r="S88" s="42">
        <v>8</v>
      </c>
      <c r="T88" s="42" t="s">
        <v>466</v>
      </c>
      <c r="U88" s="42">
        <v>11</v>
      </c>
      <c r="V88" s="42" t="s">
        <v>456</v>
      </c>
      <c r="W88" s="42">
        <v>1</v>
      </c>
      <c r="X88" s="42" t="s">
        <v>1370</v>
      </c>
      <c r="Y88" s="42">
        <v>146</v>
      </c>
      <c r="Z88" s="42" t="s">
        <v>500</v>
      </c>
      <c r="AA88" s="42">
        <v>407</v>
      </c>
      <c r="AB88" s="42">
        <v>15</v>
      </c>
      <c r="AC88" s="42">
        <v>3212811</v>
      </c>
      <c r="AD88" s="42" t="s">
        <v>146</v>
      </c>
      <c r="AE88" s="42">
        <v>142</v>
      </c>
      <c r="AF88" s="42" t="s">
        <v>458</v>
      </c>
      <c r="AG88" s="42" t="s">
        <v>459</v>
      </c>
      <c r="AH88" s="42" t="s">
        <v>49</v>
      </c>
      <c r="AI88" s="42" t="s">
        <v>460</v>
      </c>
      <c r="AJ88" s="154">
        <v>42585</v>
      </c>
      <c r="AK88" s="42">
        <v>2</v>
      </c>
      <c r="AL88" s="154">
        <v>42585</v>
      </c>
      <c r="AM88" s="154">
        <v>44291</v>
      </c>
      <c r="AN88" s="42">
        <v>61</v>
      </c>
      <c r="AO88" s="154">
        <v>44291</v>
      </c>
      <c r="AP88" s="154">
        <v>44524</v>
      </c>
      <c r="AQ88" s="42"/>
      <c r="AR88" s="42"/>
      <c r="AS88" s="42"/>
      <c r="AT88" s="42"/>
      <c r="AU88" s="42"/>
      <c r="AV88" s="42"/>
      <c r="AW88" s="42"/>
      <c r="AX88" s="42"/>
    </row>
    <row r="89" spans="1:50" ht="12.75" customHeight="1">
      <c r="A89" s="42">
        <v>19444915</v>
      </c>
      <c r="B89" s="42" t="s">
        <v>856</v>
      </c>
      <c r="C89" s="42" t="s">
        <v>475</v>
      </c>
      <c r="D89" s="42" t="s">
        <v>857</v>
      </c>
      <c r="E89" s="42" t="s">
        <v>448</v>
      </c>
      <c r="F89" s="154">
        <v>22524</v>
      </c>
      <c r="G89" s="42" t="s">
        <v>1373</v>
      </c>
      <c r="H89" s="42">
        <v>9060938</v>
      </c>
      <c r="I89" s="42" t="s">
        <v>586</v>
      </c>
      <c r="J89" s="42"/>
      <c r="K89" s="42"/>
      <c r="L89" s="42"/>
      <c r="M89" s="42" t="s">
        <v>451</v>
      </c>
      <c r="N89" s="42" t="s">
        <v>452</v>
      </c>
      <c r="O89" s="42" t="s">
        <v>453</v>
      </c>
      <c r="P89" s="154">
        <v>44400</v>
      </c>
      <c r="Q89" s="154">
        <v>44400</v>
      </c>
      <c r="R89" s="154">
        <v>43488</v>
      </c>
      <c r="S89" s="42">
        <v>5</v>
      </c>
      <c r="T89" s="42" t="s">
        <v>499</v>
      </c>
      <c r="U89" s="42">
        <v>11</v>
      </c>
      <c r="V89" s="42" t="s">
        <v>456</v>
      </c>
      <c r="W89" s="42">
        <v>3</v>
      </c>
      <c r="X89" s="42" t="s">
        <v>457</v>
      </c>
      <c r="Y89" s="42">
        <v>2310470</v>
      </c>
      <c r="Z89" s="42" t="s">
        <v>477</v>
      </c>
      <c r="AA89" s="42">
        <v>222</v>
      </c>
      <c r="AB89" s="42">
        <v>27</v>
      </c>
      <c r="AC89" s="42">
        <v>7358647</v>
      </c>
      <c r="AD89" s="42" t="s">
        <v>51</v>
      </c>
      <c r="AE89" s="42">
        <v>48</v>
      </c>
      <c r="AF89" s="42" t="s">
        <v>458</v>
      </c>
      <c r="AG89" s="42" t="s">
        <v>459</v>
      </c>
      <c r="AH89" s="42" t="s">
        <v>49</v>
      </c>
      <c r="AI89" s="42" t="s">
        <v>460</v>
      </c>
      <c r="AJ89" s="154">
        <v>44400</v>
      </c>
      <c r="AK89" s="42">
        <v>119</v>
      </c>
      <c r="AL89" s="154">
        <v>44371</v>
      </c>
      <c r="AM89" s="154"/>
      <c r="AN89" s="42"/>
      <c r="AO89" s="154"/>
      <c r="AP89" s="154"/>
      <c r="AQ89" s="42"/>
      <c r="AR89" s="42"/>
      <c r="AS89" s="42"/>
      <c r="AT89" s="42"/>
      <c r="AU89" s="42"/>
      <c r="AV89" s="42"/>
      <c r="AW89" s="42"/>
      <c r="AX89" s="42"/>
    </row>
    <row r="90" spans="1:50" ht="12.75" customHeight="1">
      <c r="A90" s="42">
        <v>19492469</v>
      </c>
      <c r="B90" s="42" t="s">
        <v>1129</v>
      </c>
      <c r="C90" s="42" t="s">
        <v>1376</v>
      </c>
      <c r="D90" s="42" t="s">
        <v>1377</v>
      </c>
      <c r="E90" s="42" t="s">
        <v>481</v>
      </c>
      <c r="F90" s="154">
        <v>22941</v>
      </c>
      <c r="G90" s="42" t="s">
        <v>1378</v>
      </c>
      <c r="H90" s="42">
        <v>2215621</v>
      </c>
      <c r="I90" s="42" t="s">
        <v>586</v>
      </c>
      <c r="J90" s="42">
        <v>19492469</v>
      </c>
      <c r="K90" s="42">
        <v>2</v>
      </c>
      <c r="L90" s="42">
        <v>1</v>
      </c>
      <c r="M90" s="42" t="s">
        <v>451</v>
      </c>
      <c r="N90" s="42" t="s">
        <v>452</v>
      </c>
      <c r="O90" s="42" t="s">
        <v>453</v>
      </c>
      <c r="P90" s="154">
        <v>43049</v>
      </c>
      <c r="Q90" s="154">
        <v>43049</v>
      </c>
      <c r="R90" s="42"/>
      <c r="S90" s="42">
        <v>8</v>
      </c>
      <c r="T90" s="42" t="s">
        <v>466</v>
      </c>
      <c r="U90" s="42">
        <v>11</v>
      </c>
      <c r="V90" s="42" t="s">
        <v>456</v>
      </c>
      <c r="W90" s="42">
        <v>3</v>
      </c>
      <c r="X90" s="42" t="s">
        <v>457</v>
      </c>
      <c r="Y90" s="42">
        <v>23</v>
      </c>
      <c r="Z90" s="42" t="s">
        <v>500</v>
      </c>
      <c r="AA90" s="42">
        <v>222</v>
      </c>
      <c r="AB90" s="42">
        <v>21</v>
      </c>
      <c r="AC90" s="42">
        <v>6566429</v>
      </c>
      <c r="AD90" s="42" t="s">
        <v>51</v>
      </c>
      <c r="AE90" s="42">
        <v>23</v>
      </c>
      <c r="AF90" s="42" t="s">
        <v>458</v>
      </c>
      <c r="AG90" s="42" t="s">
        <v>459</v>
      </c>
      <c r="AH90" s="42" t="s">
        <v>188</v>
      </c>
      <c r="AI90" s="42" t="s">
        <v>460</v>
      </c>
      <c r="AJ90" s="154">
        <v>43049</v>
      </c>
      <c r="AK90" s="42">
        <v>177</v>
      </c>
      <c r="AL90" s="154">
        <v>43049</v>
      </c>
      <c r="AM90" s="154"/>
      <c r="AN90" s="42"/>
      <c r="AO90" s="154"/>
      <c r="AP90" s="154">
        <v>44165</v>
      </c>
      <c r="AQ90" s="42"/>
      <c r="AR90" s="42"/>
      <c r="AS90" s="42"/>
      <c r="AT90" s="42"/>
      <c r="AU90" s="42"/>
      <c r="AV90" s="42"/>
      <c r="AW90" s="42"/>
      <c r="AX90" s="42"/>
    </row>
    <row r="91" spans="1:50" ht="12.75" customHeight="1">
      <c r="A91" s="42">
        <v>19498970</v>
      </c>
      <c r="B91" s="42" t="s">
        <v>1125</v>
      </c>
      <c r="C91" s="42" t="s">
        <v>1119</v>
      </c>
      <c r="D91" s="42" t="s">
        <v>1379</v>
      </c>
      <c r="E91" s="42" t="s">
        <v>481</v>
      </c>
      <c r="F91" s="154">
        <v>22999</v>
      </c>
      <c r="G91" s="42" t="s">
        <v>1380</v>
      </c>
      <c r="H91" s="42">
        <v>2443598</v>
      </c>
      <c r="I91" s="42" t="s">
        <v>586</v>
      </c>
      <c r="J91" s="42">
        <v>19498970</v>
      </c>
      <c r="K91" s="42">
        <v>2</v>
      </c>
      <c r="L91" s="42">
        <v>55</v>
      </c>
      <c r="M91" s="42" t="s">
        <v>547</v>
      </c>
      <c r="N91" s="42" t="s">
        <v>452</v>
      </c>
      <c r="O91" s="42" t="s">
        <v>453</v>
      </c>
      <c r="P91" s="154">
        <v>42622</v>
      </c>
      <c r="Q91" s="154">
        <v>42622</v>
      </c>
      <c r="R91" s="42"/>
      <c r="S91" s="42">
        <v>5</v>
      </c>
      <c r="T91" s="42" t="s">
        <v>499</v>
      </c>
      <c r="U91" s="42">
        <v>11</v>
      </c>
      <c r="V91" s="42" t="s">
        <v>456</v>
      </c>
      <c r="W91" s="42">
        <v>3</v>
      </c>
      <c r="X91" s="42" t="s">
        <v>457</v>
      </c>
      <c r="Y91" s="42">
        <v>2310200</v>
      </c>
      <c r="Z91" s="42" t="s">
        <v>623</v>
      </c>
      <c r="AA91" s="42">
        <v>6</v>
      </c>
      <c r="AB91" s="42">
        <v>6</v>
      </c>
      <c r="AC91" s="42">
        <v>10208470</v>
      </c>
      <c r="AD91" s="42" t="s">
        <v>28</v>
      </c>
      <c r="AE91" s="42">
        <v>9</v>
      </c>
      <c r="AF91" s="42" t="s">
        <v>458</v>
      </c>
      <c r="AG91" s="42" t="s">
        <v>459</v>
      </c>
      <c r="AH91" s="42" t="s">
        <v>484</v>
      </c>
      <c r="AI91" s="42" t="s">
        <v>460</v>
      </c>
      <c r="AJ91" s="154">
        <v>42657</v>
      </c>
      <c r="AK91" s="42">
        <v>60</v>
      </c>
      <c r="AL91" s="154">
        <v>42657</v>
      </c>
      <c r="AM91" s="154"/>
      <c r="AN91" s="42"/>
      <c r="AO91" s="154"/>
      <c r="AP91" s="154">
        <v>43849</v>
      </c>
      <c r="AQ91" s="42"/>
      <c r="AR91" s="42"/>
      <c r="AS91" s="42"/>
      <c r="AT91" s="42"/>
      <c r="AU91" s="42"/>
      <c r="AV91" s="42"/>
      <c r="AW91" s="42"/>
      <c r="AX91" s="42"/>
    </row>
    <row r="92" spans="1:50" ht="12.75" customHeight="1">
      <c r="A92" s="42">
        <v>19768492</v>
      </c>
      <c r="B92" s="42" t="s">
        <v>1382</v>
      </c>
      <c r="C92" s="42" t="s">
        <v>1383</v>
      </c>
      <c r="D92" s="42" t="s">
        <v>757</v>
      </c>
      <c r="E92" s="42" t="s">
        <v>481</v>
      </c>
      <c r="F92" s="154">
        <v>30624</v>
      </c>
      <c r="G92" s="42" t="s">
        <v>1385</v>
      </c>
      <c r="H92" s="42">
        <v>3193354332</v>
      </c>
      <c r="I92" s="42" t="s">
        <v>586</v>
      </c>
      <c r="J92" s="42">
        <v>19768492</v>
      </c>
      <c r="K92" s="42">
        <v>2</v>
      </c>
      <c r="L92" s="42"/>
      <c r="M92" s="42" t="s">
        <v>451</v>
      </c>
      <c r="N92" s="42" t="s">
        <v>452</v>
      </c>
      <c r="O92" s="42" t="s">
        <v>453</v>
      </c>
      <c r="P92" s="154">
        <v>42870</v>
      </c>
      <c r="Q92" s="154">
        <v>42870</v>
      </c>
      <c r="R92" s="154"/>
      <c r="S92" s="42">
        <v>8</v>
      </c>
      <c r="T92" s="42" t="s">
        <v>466</v>
      </c>
      <c r="U92" s="42">
        <v>18</v>
      </c>
      <c r="V92" s="42" t="s">
        <v>565</v>
      </c>
      <c r="W92" s="42">
        <v>3</v>
      </c>
      <c r="X92" s="42" t="s">
        <v>457</v>
      </c>
      <c r="Y92" s="42">
        <v>118</v>
      </c>
      <c r="Z92" s="42" t="s">
        <v>500</v>
      </c>
      <c r="AA92" s="42">
        <v>314</v>
      </c>
      <c r="AB92" s="42">
        <v>20</v>
      </c>
      <c r="AC92" s="42">
        <v>4789274</v>
      </c>
      <c r="AD92" s="42" t="s">
        <v>517</v>
      </c>
      <c r="AE92" s="42">
        <v>118</v>
      </c>
      <c r="AF92" s="42" t="s">
        <v>458</v>
      </c>
      <c r="AG92" s="42" t="s">
        <v>459</v>
      </c>
      <c r="AH92" s="42" t="s">
        <v>188</v>
      </c>
      <c r="AI92" s="42" t="s">
        <v>460</v>
      </c>
      <c r="AJ92" s="154">
        <v>42870</v>
      </c>
      <c r="AK92" s="42">
        <v>69</v>
      </c>
      <c r="AL92" s="154">
        <v>42865</v>
      </c>
      <c r="AM92" s="154"/>
      <c r="AN92" s="42"/>
      <c r="AO92" s="154"/>
      <c r="AP92" s="154">
        <v>44152</v>
      </c>
      <c r="AQ92" s="42"/>
      <c r="AR92" s="42"/>
      <c r="AS92" s="42"/>
      <c r="AT92" s="42"/>
      <c r="AU92" s="42"/>
      <c r="AV92" s="42"/>
      <c r="AW92" s="42"/>
      <c r="AX92" s="42"/>
    </row>
    <row r="93" spans="1:50" ht="12.75" customHeight="1">
      <c r="A93" s="42">
        <v>20699098</v>
      </c>
      <c r="B93" s="42" t="s">
        <v>858</v>
      </c>
      <c r="C93" s="42" t="s">
        <v>859</v>
      </c>
      <c r="D93" s="42" t="s">
        <v>860</v>
      </c>
      <c r="E93" s="42" t="s">
        <v>448</v>
      </c>
      <c r="F93" s="154">
        <v>23753</v>
      </c>
      <c r="G93" s="42" t="s">
        <v>1392</v>
      </c>
      <c r="H93" s="42">
        <v>3209622667</v>
      </c>
      <c r="I93" s="42" t="s">
        <v>450</v>
      </c>
      <c r="J93" s="42"/>
      <c r="K93" s="42"/>
      <c r="L93" s="42"/>
      <c r="M93" s="42" t="s">
        <v>451</v>
      </c>
      <c r="N93" s="42" t="s">
        <v>452</v>
      </c>
      <c r="O93" s="42" t="s">
        <v>453</v>
      </c>
      <c r="P93" s="154">
        <v>45176</v>
      </c>
      <c r="Q93" s="154">
        <v>45176</v>
      </c>
      <c r="R93" s="154"/>
      <c r="S93" s="42">
        <v>26</v>
      </c>
      <c r="T93" s="42" t="s">
        <v>528</v>
      </c>
      <c r="U93" s="42">
        <v>0</v>
      </c>
      <c r="V93" s="42" t="s">
        <v>1393</v>
      </c>
      <c r="W93" s="42">
        <v>3</v>
      </c>
      <c r="X93" s="42" t="s">
        <v>457</v>
      </c>
      <c r="Y93" s="42">
        <v>2311000</v>
      </c>
      <c r="Z93" s="42" t="s">
        <v>467</v>
      </c>
      <c r="AA93" s="42">
        <v>407</v>
      </c>
      <c r="AB93" s="42">
        <v>20</v>
      </c>
      <c r="AC93" s="42">
        <v>3799538</v>
      </c>
      <c r="AD93" s="42" t="s">
        <v>146</v>
      </c>
      <c r="AE93" s="42">
        <v>140</v>
      </c>
      <c r="AF93" s="42" t="s">
        <v>458</v>
      </c>
      <c r="AG93" s="42" t="s">
        <v>459</v>
      </c>
      <c r="AH93" s="42" t="s">
        <v>49</v>
      </c>
      <c r="AI93" s="42" t="s">
        <v>460</v>
      </c>
      <c r="AJ93" s="154">
        <v>45176</v>
      </c>
      <c r="AK93" s="42">
        <v>433</v>
      </c>
      <c r="AL93" s="154">
        <v>45155</v>
      </c>
      <c r="AM93" s="154">
        <v>46279</v>
      </c>
      <c r="AN93" s="42">
        <v>395</v>
      </c>
      <c r="AO93" s="154">
        <v>46274</v>
      </c>
      <c r="AP93" s="154"/>
      <c r="AQ93" s="42"/>
      <c r="AR93" s="42"/>
      <c r="AS93" s="42"/>
      <c r="AT93" s="42"/>
      <c r="AU93" s="42"/>
      <c r="AV93" s="42"/>
      <c r="AW93" s="42"/>
      <c r="AX93" s="42"/>
    </row>
    <row r="94" spans="1:50" ht="12.75" customHeight="1">
      <c r="A94" s="42">
        <v>20737393</v>
      </c>
      <c r="B94" s="42" t="s">
        <v>1398</v>
      </c>
      <c r="C94" s="42" t="s">
        <v>878</v>
      </c>
      <c r="D94" s="42" t="s">
        <v>1399</v>
      </c>
      <c r="E94" s="42" t="s">
        <v>481</v>
      </c>
      <c r="F94" s="154">
        <v>23205</v>
      </c>
      <c r="G94" s="42" t="s">
        <v>1400</v>
      </c>
      <c r="H94" s="42">
        <v>8007995</v>
      </c>
      <c r="I94" s="42" t="s">
        <v>450</v>
      </c>
      <c r="J94" s="42"/>
      <c r="K94" s="42"/>
      <c r="L94" s="42"/>
      <c r="M94" s="42"/>
      <c r="N94" s="42"/>
      <c r="O94" s="42" t="s">
        <v>453</v>
      </c>
      <c r="P94" s="154">
        <v>42585</v>
      </c>
      <c r="Q94" s="154">
        <v>32237</v>
      </c>
      <c r="R94" s="42"/>
      <c r="S94" s="42">
        <v>18</v>
      </c>
      <c r="T94" s="42" t="s">
        <v>472</v>
      </c>
      <c r="U94" s="42">
        <v>11</v>
      </c>
      <c r="V94" s="42" t="s">
        <v>456</v>
      </c>
      <c r="W94" s="42">
        <v>1</v>
      </c>
      <c r="X94" s="42" t="s">
        <v>1370</v>
      </c>
      <c r="Y94" s="42">
        <v>168</v>
      </c>
      <c r="Z94" s="42" t="s">
        <v>500</v>
      </c>
      <c r="AA94" s="42">
        <v>425</v>
      </c>
      <c r="AB94" s="42">
        <v>20</v>
      </c>
      <c r="AC94" s="42">
        <v>3799538</v>
      </c>
      <c r="AD94" s="42" t="s">
        <v>255</v>
      </c>
      <c r="AE94" s="42">
        <v>168</v>
      </c>
      <c r="AF94" s="42" t="s">
        <v>458</v>
      </c>
      <c r="AG94" s="42" t="s">
        <v>459</v>
      </c>
      <c r="AH94" s="42" t="s">
        <v>49</v>
      </c>
      <c r="AI94" s="42" t="s">
        <v>460</v>
      </c>
      <c r="AJ94" s="154">
        <v>42585</v>
      </c>
      <c r="AK94" s="42">
        <v>2</v>
      </c>
      <c r="AL94" s="154">
        <v>42585</v>
      </c>
      <c r="AM94" s="154">
        <v>42727</v>
      </c>
      <c r="AN94" s="42">
        <v>78</v>
      </c>
      <c r="AO94" s="154">
        <v>42726</v>
      </c>
      <c r="AP94" s="154">
        <v>44089</v>
      </c>
      <c r="AQ94" s="42"/>
      <c r="AR94" s="42"/>
      <c r="AS94" s="42"/>
      <c r="AT94" s="42"/>
      <c r="AU94" s="42"/>
      <c r="AV94" s="42"/>
      <c r="AW94" s="42"/>
      <c r="AX94" s="42"/>
    </row>
    <row r="95" spans="1:50" ht="12.75" customHeight="1">
      <c r="A95" s="42">
        <v>22446641</v>
      </c>
      <c r="B95" s="42" t="s">
        <v>861</v>
      </c>
      <c r="C95" s="42" t="s">
        <v>862</v>
      </c>
      <c r="D95" s="42" t="s">
        <v>863</v>
      </c>
      <c r="E95" s="42" t="s">
        <v>448</v>
      </c>
      <c r="F95" s="154">
        <v>25046</v>
      </c>
      <c r="G95" s="42" t="s">
        <v>1403</v>
      </c>
      <c r="H95" s="42">
        <v>3003158312</v>
      </c>
      <c r="I95" s="42" t="s">
        <v>450</v>
      </c>
      <c r="J95" s="42"/>
      <c r="K95" s="42"/>
      <c r="L95" s="42"/>
      <c r="M95" s="42" t="s">
        <v>448</v>
      </c>
      <c r="N95" s="42" t="s">
        <v>452</v>
      </c>
      <c r="O95" s="42" t="s">
        <v>453</v>
      </c>
      <c r="P95" s="154">
        <v>44525</v>
      </c>
      <c r="Q95" s="154">
        <v>44525</v>
      </c>
      <c r="R95" s="42"/>
      <c r="S95" s="42">
        <v>26</v>
      </c>
      <c r="T95" s="42" t="s">
        <v>528</v>
      </c>
      <c r="U95" s="42">
        <v>11</v>
      </c>
      <c r="V95" s="42" t="s">
        <v>456</v>
      </c>
      <c r="W95" s="42">
        <v>3</v>
      </c>
      <c r="X95" s="42" t="s">
        <v>457</v>
      </c>
      <c r="Y95" s="42">
        <v>2310440</v>
      </c>
      <c r="Z95" s="42" t="s">
        <v>628</v>
      </c>
      <c r="AA95" s="42">
        <v>219</v>
      </c>
      <c r="AB95" s="42">
        <v>3</v>
      </c>
      <c r="AC95" s="42">
        <v>4244468</v>
      </c>
      <c r="AD95" s="42" t="s">
        <v>72</v>
      </c>
      <c r="AE95" s="42">
        <v>109</v>
      </c>
      <c r="AF95" s="42" t="s">
        <v>458</v>
      </c>
      <c r="AG95" s="42" t="s">
        <v>459</v>
      </c>
      <c r="AH95" s="42" t="s">
        <v>49</v>
      </c>
      <c r="AI95" s="42" t="s">
        <v>460</v>
      </c>
      <c r="AJ95" s="154">
        <v>44525</v>
      </c>
      <c r="AK95" s="42">
        <v>118</v>
      </c>
      <c r="AL95" s="154">
        <v>44371</v>
      </c>
      <c r="AM95" s="154">
        <v>45855</v>
      </c>
      <c r="AN95" s="42">
        <v>267</v>
      </c>
      <c r="AO95" s="154">
        <v>45855</v>
      </c>
      <c r="AP95" s="154"/>
      <c r="AQ95" s="42"/>
      <c r="AR95" s="42"/>
      <c r="AS95" s="42"/>
      <c r="AT95" s="42"/>
      <c r="AU95" s="42"/>
      <c r="AV95" s="42"/>
      <c r="AW95" s="42"/>
      <c r="AX95" s="42"/>
    </row>
    <row r="96" spans="1:50" ht="12.75" customHeight="1">
      <c r="A96" s="42">
        <v>80188856</v>
      </c>
      <c r="B96" s="42" t="s">
        <v>446</v>
      </c>
      <c r="C96" s="42" t="s">
        <v>664</v>
      </c>
      <c r="D96" s="42" t="s">
        <v>1108</v>
      </c>
      <c r="E96" s="42" t="s">
        <v>481</v>
      </c>
      <c r="F96" s="154">
        <v>30709</v>
      </c>
      <c r="G96" s="42" t="s">
        <v>2137</v>
      </c>
      <c r="H96" s="42">
        <v>3103091259</v>
      </c>
      <c r="I96" s="42" t="s">
        <v>586</v>
      </c>
      <c r="J96" s="42">
        <v>80188856</v>
      </c>
      <c r="K96" s="42">
        <v>2</v>
      </c>
      <c r="L96" s="42">
        <v>45</v>
      </c>
      <c r="M96" s="42" t="s">
        <v>451</v>
      </c>
      <c r="N96" s="42" t="s">
        <v>452</v>
      </c>
      <c r="O96" s="42" t="s">
        <v>453</v>
      </c>
      <c r="P96" s="154">
        <v>44147</v>
      </c>
      <c r="Q96" s="154">
        <v>44147</v>
      </c>
      <c r="R96" s="42"/>
      <c r="S96" s="42">
        <v>8</v>
      </c>
      <c r="T96" s="42" t="s">
        <v>466</v>
      </c>
      <c r="U96" s="42">
        <v>11</v>
      </c>
      <c r="V96" s="42" t="s">
        <v>456</v>
      </c>
      <c r="W96" s="42">
        <v>18</v>
      </c>
      <c r="X96" s="42" t="s">
        <v>536</v>
      </c>
      <c r="Y96" s="42">
        <v>2311000</v>
      </c>
      <c r="Z96" s="42" t="s">
        <v>467</v>
      </c>
      <c r="AA96" s="42">
        <v>440</v>
      </c>
      <c r="AB96" s="42">
        <v>9</v>
      </c>
      <c r="AC96" s="42">
        <v>2675559</v>
      </c>
      <c r="AD96" s="42" t="s">
        <v>29</v>
      </c>
      <c r="AE96" s="42">
        <v>162</v>
      </c>
      <c r="AF96" s="42" t="s">
        <v>458</v>
      </c>
      <c r="AG96" s="42" t="s">
        <v>459</v>
      </c>
      <c r="AH96" s="42" t="s">
        <v>49</v>
      </c>
      <c r="AI96" s="42" t="s">
        <v>460</v>
      </c>
      <c r="AJ96" s="154">
        <v>44147</v>
      </c>
      <c r="AK96" s="42">
        <v>177</v>
      </c>
      <c r="AL96" s="154">
        <v>44124</v>
      </c>
      <c r="AM96" s="154">
        <v>45293</v>
      </c>
      <c r="AN96" s="42">
        <v>675</v>
      </c>
      <c r="AO96" s="154">
        <v>45287</v>
      </c>
      <c r="AP96" s="154"/>
      <c r="AQ96" s="42"/>
      <c r="AR96" s="42"/>
      <c r="AS96" s="42"/>
      <c r="AT96" s="42"/>
      <c r="AU96" s="42"/>
      <c r="AV96" s="42"/>
      <c r="AW96" s="42"/>
      <c r="AX96" s="42"/>
    </row>
    <row r="97" spans="1:50" ht="12.75" customHeight="1">
      <c r="A97" s="42">
        <v>80197320</v>
      </c>
      <c r="B97" s="42" t="s">
        <v>978</v>
      </c>
      <c r="C97" s="42" t="s">
        <v>1707</v>
      </c>
      <c r="D97" s="42" t="s">
        <v>2138</v>
      </c>
      <c r="E97" s="42" t="s">
        <v>448</v>
      </c>
      <c r="F97" s="154">
        <v>30551</v>
      </c>
      <c r="G97" s="42" t="s">
        <v>2139</v>
      </c>
      <c r="H97" s="42">
        <v>3223502090</v>
      </c>
      <c r="I97" s="42" t="s">
        <v>586</v>
      </c>
      <c r="J97" s="42"/>
      <c r="K97" s="42"/>
      <c r="L97" s="42"/>
      <c r="M97" s="42" t="s">
        <v>448</v>
      </c>
      <c r="N97" s="42" t="s">
        <v>452</v>
      </c>
      <c r="O97" s="42" t="s">
        <v>453</v>
      </c>
      <c r="P97" s="154">
        <v>45968</v>
      </c>
      <c r="Q97" s="154">
        <v>45968</v>
      </c>
      <c r="R97" s="154"/>
      <c r="S97" s="42">
        <v>5</v>
      </c>
      <c r="T97" s="42" t="s">
        <v>499</v>
      </c>
      <c r="U97" s="42">
        <v>19</v>
      </c>
      <c r="V97" s="42" t="s">
        <v>574</v>
      </c>
      <c r="W97" s="42">
        <v>19</v>
      </c>
      <c r="X97" s="42" t="s">
        <v>575</v>
      </c>
      <c r="Y97" s="42">
        <v>2310400</v>
      </c>
      <c r="Z97" s="42" t="s">
        <v>841</v>
      </c>
      <c r="AA97" s="42">
        <v>45</v>
      </c>
      <c r="AB97" s="42">
        <v>8</v>
      </c>
      <c r="AC97" s="42">
        <v>12531747</v>
      </c>
      <c r="AD97" s="42" t="s">
        <v>842</v>
      </c>
      <c r="AE97" s="42">
        <v>2</v>
      </c>
      <c r="AF97" s="42" t="s">
        <v>458</v>
      </c>
      <c r="AG97" s="42" t="s">
        <v>459</v>
      </c>
      <c r="AH97" s="42" t="s">
        <v>49</v>
      </c>
      <c r="AI97" s="42" t="s">
        <v>460</v>
      </c>
      <c r="AJ97" s="154">
        <v>45968</v>
      </c>
      <c r="AK97" s="42">
        <v>414</v>
      </c>
      <c r="AL97" s="154">
        <v>45967</v>
      </c>
      <c r="AM97" s="154">
        <v>46272</v>
      </c>
      <c r="AN97" s="42">
        <v>380</v>
      </c>
      <c r="AO97" s="154">
        <v>46265</v>
      </c>
      <c r="AP97" s="154"/>
      <c r="AQ97" s="42"/>
      <c r="AR97" s="42"/>
      <c r="AS97" s="42"/>
      <c r="AT97" s="42"/>
      <c r="AU97" s="42"/>
      <c r="AV97" s="42"/>
      <c r="AW97" s="42"/>
      <c r="AX97" s="42"/>
    </row>
    <row r="98" spans="1:50" ht="12.75" customHeight="1">
      <c r="A98" s="42">
        <v>80204155</v>
      </c>
      <c r="B98" s="42" t="s">
        <v>503</v>
      </c>
      <c r="C98" s="42" t="s">
        <v>2140</v>
      </c>
      <c r="D98" s="42" t="s">
        <v>2141</v>
      </c>
      <c r="E98" s="42" t="s">
        <v>481</v>
      </c>
      <c r="F98" s="154">
        <v>30624</v>
      </c>
      <c r="G98" s="42" t="s">
        <v>2142</v>
      </c>
      <c r="H98" s="42">
        <v>7572426</v>
      </c>
      <c r="I98" s="42" t="s">
        <v>586</v>
      </c>
      <c r="J98" s="42">
        <v>80204155</v>
      </c>
      <c r="K98" s="42">
        <v>2</v>
      </c>
      <c r="L98" s="42">
        <v>51</v>
      </c>
      <c r="M98" s="42" t="s">
        <v>451</v>
      </c>
      <c r="N98" s="42" t="s">
        <v>452</v>
      </c>
      <c r="O98" s="42" t="s">
        <v>453</v>
      </c>
      <c r="P98" s="154">
        <v>43906</v>
      </c>
      <c r="Q98" s="154">
        <v>43906</v>
      </c>
      <c r="R98" s="154"/>
      <c r="S98" s="42">
        <v>8</v>
      </c>
      <c r="T98" s="42" t="s">
        <v>466</v>
      </c>
      <c r="U98" s="42">
        <v>31</v>
      </c>
      <c r="V98" s="42" t="s">
        <v>1038</v>
      </c>
      <c r="W98" s="42">
        <v>19</v>
      </c>
      <c r="X98" s="42" t="s">
        <v>575</v>
      </c>
      <c r="Y98" s="42">
        <v>2300100</v>
      </c>
      <c r="Z98" s="42" t="s">
        <v>483</v>
      </c>
      <c r="AA98" s="42">
        <v>105</v>
      </c>
      <c r="AB98" s="42">
        <v>5</v>
      </c>
      <c r="AC98" s="42">
        <v>9154873</v>
      </c>
      <c r="AD98" s="42" t="s">
        <v>26</v>
      </c>
      <c r="AE98" s="42">
        <v>14</v>
      </c>
      <c r="AF98" s="42" t="s">
        <v>458</v>
      </c>
      <c r="AG98" s="42" t="s">
        <v>459</v>
      </c>
      <c r="AH98" s="42" t="s">
        <v>484</v>
      </c>
      <c r="AI98" s="42" t="s">
        <v>460</v>
      </c>
      <c r="AJ98" s="154">
        <v>43906</v>
      </c>
      <c r="AK98" s="42">
        <v>42</v>
      </c>
      <c r="AL98" s="154">
        <v>43902</v>
      </c>
      <c r="AM98" s="154">
        <v>44348</v>
      </c>
      <c r="AN98" s="42">
        <v>101</v>
      </c>
      <c r="AO98" s="154">
        <v>44348</v>
      </c>
      <c r="AP98" s="154">
        <v>44588</v>
      </c>
      <c r="AQ98" s="42"/>
      <c r="AR98" s="42"/>
      <c r="AS98" s="42"/>
      <c r="AT98" s="42"/>
      <c r="AU98" s="42"/>
      <c r="AV98" s="42"/>
      <c r="AW98" s="42"/>
      <c r="AX98" s="42"/>
    </row>
    <row r="99" spans="1:50" ht="12.75" customHeight="1">
      <c r="A99" s="42">
        <v>80221328</v>
      </c>
      <c r="B99" s="42" t="s">
        <v>1099</v>
      </c>
      <c r="C99" s="42" t="s">
        <v>2143</v>
      </c>
      <c r="D99" s="42" t="s">
        <v>2144</v>
      </c>
      <c r="E99" s="42" t="s">
        <v>481</v>
      </c>
      <c r="F99" s="154">
        <v>30178</v>
      </c>
      <c r="G99" s="42" t="s">
        <v>2145</v>
      </c>
      <c r="H99" s="42">
        <v>2099392</v>
      </c>
      <c r="I99" s="42" t="s">
        <v>586</v>
      </c>
      <c r="J99" s="42">
        <v>80221328</v>
      </c>
      <c r="K99" s="42">
        <v>1</v>
      </c>
      <c r="L99" s="42"/>
      <c r="M99" s="42" t="s">
        <v>448</v>
      </c>
      <c r="N99" s="42" t="s">
        <v>452</v>
      </c>
      <c r="O99" s="42" t="s">
        <v>453</v>
      </c>
      <c r="P99" s="154">
        <v>44165</v>
      </c>
      <c r="Q99" s="154">
        <v>44165</v>
      </c>
      <c r="R99" s="154">
        <v>43803</v>
      </c>
      <c r="S99" s="42">
        <v>5</v>
      </c>
      <c r="T99" s="42" t="s">
        <v>499</v>
      </c>
      <c r="U99" s="42">
        <v>11</v>
      </c>
      <c r="V99" s="42" t="s">
        <v>456</v>
      </c>
      <c r="W99" s="42">
        <v>3</v>
      </c>
      <c r="X99" s="42" t="s">
        <v>457</v>
      </c>
      <c r="Y99" s="42">
        <v>2310300</v>
      </c>
      <c r="Z99" s="42" t="s">
        <v>138</v>
      </c>
      <c r="AA99" s="42">
        <v>219</v>
      </c>
      <c r="AB99" s="42">
        <v>10</v>
      </c>
      <c r="AC99" s="42">
        <v>4938935</v>
      </c>
      <c r="AD99" s="42" t="s">
        <v>72</v>
      </c>
      <c r="AE99" s="42">
        <v>103</v>
      </c>
      <c r="AF99" s="42" t="s">
        <v>458</v>
      </c>
      <c r="AG99" s="42" t="s">
        <v>459</v>
      </c>
      <c r="AH99" s="42" t="s">
        <v>49</v>
      </c>
      <c r="AI99" s="42" t="s">
        <v>460</v>
      </c>
      <c r="AJ99" s="154">
        <v>44165</v>
      </c>
      <c r="AK99" s="42">
        <v>144</v>
      </c>
      <c r="AL99" s="154">
        <v>44118</v>
      </c>
      <c r="AM99" s="154"/>
      <c r="AN99" s="42"/>
      <c r="AO99" s="154"/>
      <c r="AP99" s="154">
        <v>44776</v>
      </c>
      <c r="AQ99" s="42"/>
      <c r="AR99" s="42"/>
      <c r="AS99" s="42"/>
      <c r="AT99" s="42"/>
      <c r="AU99" s="42"/>
      <c r="AV99" s="42"/>
      <c r="AW99" s="42"/>
      <c r="AX99" s="42"/>
    </row>
    <row r="100" spans="1:50" ht="12.75" customHeight="1">
      <c r="A100" s="42">
        <v>80222608</v>
      </c>
      <c r="B100" s="42" t="s">
        <v>797</v>
      </c>
      <c r="C100" s="42" t="s">
        <v>797</v>
      </c>
      <c r="D100" s="42" t="s">
        <v>1109</v>
      </c>
      <c r="E100" s="42" t="s">
        <v>448</v>
      </c>
      <c r="F100" s="154">
        <v>30314</v>
      </c>
      <c r="G100" s="42" t="s">
        <v>2146</v>
      </c>
      <c r="H100" s="42">
        <v>3103024647</v>
      </c>
      <c r="I100" s="42" t="s">
        <v>586</v>
      </c>
      <c r="J100" s="42">
        <v>80222608</v>
      </c>
      <c r="K100" s="42">
        <v>2</v>
      </c>
      <c r="L100" s="42">
        <v>3</v>
      </c>
      <c r="M100" s="42" t="s">
        <v>451</v>
      </c>
      <c r="N100" s="42" t="s">
        <v>452</v>
      </c>
      <c r="O100" s="42" t="s">
        <v>453</v>
      </c>
      <c r="P100" s="154">
        <v>44294</v>
      </c>
      <c r="Q100" s="154">
        <v>40598</v>
      </c>
      <c r="R100" s="42"/>
      <c r="S100" s="42">
        <v>8</v>
      </c>
      <c r="T100" s="42" t="s">
        <v>466</v>
      </c>
      <c r="U100" s="42">
        <v>11</v>
      </c>
      <c r="V100" s="42" t="s">
        <v>456</v>
      </c>
      <c r="W100" s="42">
        <v>19</v>
      </c>
      <c r="X100" s="42" t="s">
        <v>575</v>
      </c>
      <c r="Y100" s="42">
        <v>2310100</v>
      </c>
      <c r="Z100" s="42" t="s">
        <v>541</v>
      </c>
      <c r="AA100" s="42">
        <v>115</v>
      </c>
      <c r="AB100" s="42">
        <v>6</v>
      </c>
      <c r="AC100" s="42">
        <v>10208470</v>
      </c>
      <c r="AD100" s="42" t="s">
        <v>635</v>
      </c>
      <c r="AE100" s="42">
        <v>11</v>
      </c>
      <c r="AF100" s="42" t="s">
        <v>458</v>
      </c>
      <c r="AG100" s="42" t="s">
        <v>459</v>
      </c>
      <c r="AH100" s="42" t="s">
        <v>49</v>
      </c>
      <c r="AI100" s="42" t="s">
        <v>460</v>
      </c>
      <c r="AJ100" s="154">
        <v>44294</v>
      </c>
      <c r="AK100" s="42">
        <v>214</v>
      </c>
      <c r="AL100" s="154">
        <v>44124</v>
      </c>
      <c r="AM100" s="154">
        <v>46254</v>
      </c>
      <c r="AN100" s="42">
        <v>364</v>
      </c>
      <c r="AO100" s="154">
        <v>46253</v>
      </c>
      <c r="AP100" s="154"/>
      <c r="AQ100" s="42"/>
      <c r="AR100" s="42"/>
      <c r="AS100" s="42"/>
      <c r="AT100" s="42"/>
      <c r="AU100" s="42"/>
      <c r="AV100" s="42"/>
      <c r="AW100" s="42"/>
      <c r="AX100" s="42"/>
    </row>
    <row r="101" spans="1:50" ht="12.75" customHeight="1">
      <c r="A101" s="42">
        <v>80229481</v>
      </c>
      <c r="B101" s="42" t="s">
        <v>1002</v>
      </c>
      <c r="C101" s="42" t="s">
        <v>2147</v>
      </c>
      <c r="D101" s="42" t="s">
        <v>2148</v>
      </c>
      <c r="E101" s="42" t="s">
        <v>481</v>
      </c>
      <c r="F101" s="154">
        <v>29355</v>
      </c>
      <c r="G101" s="42" t="s">
        <v>2149</v>
      </c>
      <c r="H101" s="42">
        <v>8004769</v>
      </c>
      <c r="I101" s="42" t="s">
        <v>586</v>
      </c>
      <c r="J101" s="42">
        <v>80051401402</v>
      </c>
      <c r="K101" s="42">
        <v>2</v>
      </c>
      <c r="L101" s="42"/>
      <c r="M101" s="42" t="s">
        <v>451</v>
      </c>
      <c r="N101" s="42" t="s">
        <v>452</v>
      </c>
      <c r="O101" s="42" t="s">
        <v>453</v>
      </c>
      <c r="P101" s="154">
        <v>43642</v>
      </c>
      <c r="Q101" s="154">
        <v>43642</v>
      </c>
      <c r="R101" s="154"/>
      <c r="S101" s="42">
        <v>2</v>
      </c>
      <c r="T101" s="42" t="s">
        <v>455</v>
      </c>
      <c r="U101" s="42">
        <v>19</v>
      </c>
      <c r="V101" s="42" t="s">
        <v>574</v>
      </c>
      <c r="W101" s="42">
        <v>19</v>
      </c>
      <c r="X101" s="42" t="s">
        <v>575</v>
      </c>
      <c r="Y101" s="42">
        <v>130</v>
      </c>
      <c r="Z101" s="42" t="s">
        <v>500</v>
      </c>
      <c r="AA101" s="42">
        <v>314</v>
      </c>
      <c r="AB101" s="42">
        <v>15</v>
      </c>
      <c r="AC101" s="42">
        <v>4226650</v>
      </c>
      <c r="AD101" s="42" t="s">
        <v>517</v>
      </c>
      <c r="AE101" s="42">
        <v>130</v>
      </c>
      <c r="AF101" s="42" t="s">
        <v>458</v>
      </c>
      <c r="AG101" s="42" t="s">
        <v>459</v>
      </c>
      <c r="AH101" s="42" t="s">
        <v>188</v>
      </c>
      <c r="AI101" s="42" t="s">
        <v>460</v>
      </c>
      <c r="AJ101" s="154">
        <v>43642</v>
      </c>
      <c r="AK101" s="42">
        <v>76</v>
      </c>
      <c r="AL101" s="154">
        <v>43642</v>
      </c>
      <c r="AM101" s="154"/>
      <c r="AN101" s="42"/>
      <c r="AO101" s="154"/>
      <c r="AP101" s="154">
        <v>44146</v>
      </c>
      <c r="AQ101" s="42"/>
      <c r="AR101" s="42"/>
      <c r="AS101" s="42"/>
      <c r="AT101" s="42"/>
      <c r="AU101" s="42"/>
      <c r="AV101" s="42"/>
      <c r="AW101" s="42"/>
      <c r="AX101" s="42"/>
    </row>
    <row r="102" spans="1:50" ht="12.75" customHeight="1">
      <c r="A102" s="42">
        <v>80247325</v>
      </c>
      <c r="B102" s="42" t="s">
        <v>889</v>
      </c>
      <c r="C102" s="42" t="s">
        <v>578</v>
      </c>
      <c r="D102" s="42" t="s">
        <v>2153</v>
      </c>
      <c r="E102" s="42" t="s">
        <v>481</v>
      </c>
      <c r="F102" s="154">
        <v>30657</v>
      </c>
      <c r="G102" s="42" t="s">
        <v>2154</v>
      </c>
      <c r="H102" s="42">
        <v>7164237</v>
      </c>
      <c r="I102" s="42" t="s">
        <v>586</v>
      </c>
      <c r="J102" s="42">
        <v>80247325</v>
      </c>
      <c r="K102" s="42">
        <v>1</v>
      </c>
      <c r="L102" s="42">
        <v>52</v>
      </c>
      <c r="M102" s="42" t="s">
        <v>448</v>
      </c>
      <c r="N102" s="42" t="s">
        <v>452</v>
      </c>
      <c r="O102" s="42" t="s">
        <v>453</v>
      </c>
      <c r="P102" s="154">
        <v>42585</v>
      </c>
      <c r="Q102" s="154">
        <v>42128</v>
      </c>
      <c r="R102" s="154"/>
      <c r="S102" s="42">
        <v>8</v>
      </c>
      <c r="T102" s="42" t="s">
        <v>466</v>
      </c>
      <c r="U102" s="42">
        <v>11</v>
      </c>
      <c r="V102" s="42" t="s">
        <v>456</v>
      </c>
      <c r="W102" s="42">
        <v>3</v>
      </c>
      <c r="X102" s="42" t="s">
        <v>457</v>
      </c>
      <c r="Y102" s="42">
        <v>144</v>
      </c>
      <c r="Z102" s="42" t="s">
        <v>500</v>
      </c>
      <c r="AA102" s="42">
        <v>407</v>
      </c>
      <c r="AB102" s="42">
        <v>16</v>
      </c>
      <c r="AC102" s="42">
        <v>3338526</v>
      </c>
      <c r="AD102" s="42" t="s">
        <v>146</v>
      </c>
      <c r="AE102" s="42">
        <v>144</v>
      </c>
      <c r="AF102" s="42" t="s">
        <v>458</v>
      </c>
      <c r="AG102" s="42" t="s">
        <v>459</v>
      </c>
      <c r="AH102" s="42" t="s">
        <v>188</v>
      </c>
      <c r="AI102" s="42" t="s">
        <v>460</v>
      </c>
      <c r="AJ102" s="154">
        <v>42815</v>
      </c>
      <c r="AK102" s="42">
        <v>31</v>
      </c>
      <c r="AL102" s="154">
        <v>42810</v>
      </c>
      <c r="AM102" s="154"/>
      <c r="AN102" s="42"/>
      <c r="AO102" s="154"/>
      <c r="AP102" s="154">
        <v>44143</v>
      </c>
      <c r="AQ102" s="42"/>
      <c r="AR102" s="42"/>
      <c r="AS102" s="42"/>
      <c r="AT102" s="42"/>
      <c r="AU102" s="42"/>
      <c r="AV102" s="42"/>
      <c r="AW102" s="42"/>
      <c r="AX102" s="42"/>
    </row>
    <row r="103" spans="1:50" ht="12.75" customHeight="1">
      <c r="A103" s="42">
        <v>80249870</v>
      </c>
      <c r="B103" s="42" t="s">
        <v>2155</v>
      </c>
      <c r="C103" s="42" t="s">
        <v>1176</v>
      </c>
      <c r="D103" s="42" t="s">
        <v>2156</v>
      </c>
      <c r="E103" s="42" t="s">
        <v>481</v>
      </c>
      <c r="F103" s="154">
        <v>30864</v>
      </c>
      <c r="G103" s="42" t="s">
        <v>2157</v>
      </c>
      <c r="H103" s="42">
        <v>3003263320</v>
      </c>
      <c r="I103" s="42" t="s">
        <v>586</v>
      </c>
      <c r="J103" s="42">
        <v>80249870</v>
      </c>
      <c r="K103" s="42">
        <v>2</v>
      </c>
      <c r="L103" s="42">
        <v>59</v>
      </c>
      <c r="M103" s="42" t="s">
        <v>451</v>
      </c>
      <c r="N103" s="42" t="s">
        <v>452</v>
      </c>
      <c r="O103" s="42" t="s">
        <v>453</v>
      </c>
      <c r="P103" s="154">
        <v>43406</v>
      </c>
      <c r="Q103" s="154">
        <v>43406</v>
      </c>
      <c r="R103" s="154"/>
      <c r="S103" s="42">
        <v>2</v>
      </c>
      <c r="T103" s="42" t="s">
        <v>455</v>
      </c>
      <c r="U103" s="42">
        <v>19</v>
      </c>
      <c r="V103" s="42" t="s">
        <v>574</v>
      </c>
      <c r="W103" s="42">
        <v>3</v>
      </c>
      <c r="X103" s="42" t="s">
        <v>457</v>
      </c>
      <c r="Y103" s="42">
        <v>161</v>
      </c>
      <c r="Z103" s="42" t="s">
        <v>500</v>
      </c>
      <c r="AA103" s="42">
        <v>440</v>
      </c>
      <c r="AB103" s="42">
        <v>9</v>
      </c>
      <c r="AC103" s="42">
        <v>2675559</v>
      </c>
      <c r="AD103" s="42" t="s">
        <v>29</v>
      </c>
      <c r="AE103" s="42">
        <v>161</v>
      </c>
      <c r="AF103" s="42" t="s">
        <v>458</v>
      </c>
      <c r="AG103" s="42" t="s">
        <v>459</v>
      </c>
      <c r="AH103" s="42" t="s">
        <v>188</v>
      </c>
      <c r="AI103" s="42" t="s">
        <v>460</v>
      </c>
      <c r="AJ103" s="154">
        <v>43406</v>
      </c>
      <c r="AK103" s="42">
        <v>118</v>
      </c>
      <c r="AL103" s="154">
        <v>43405</v>
      </c>
      <c r="AM103" s="154"/>
      <c r="AN103" s="42"/>
      <c r="AO103" s="154"/>
      <c r="AP103" s="154">
        <v>44143</v>
      </c>
      <c r="AQ103" s="42"/>
      <c r="AR103" s="42"/>
      <c r="AS103" s="42"/>
      <c r="AT103" s="42"/>
      <c r="AU103" s="42"/>
      <c r="AV103" s="42"/>
      <c r="AW103" s="42"/>
      <c r="AX103" s="42"/>
    </row>
    <row r="104" spans="1:50" ht="12.75" customHeight="1">
      <c r="A104" s="42">
        <v>80267904</v>
      </c>
      <c r="B104" s="42" t="s">
        <v>721</v>
      </c>
      <c r="C104" s="42" t="s">
        <v>1041</v>
      </c>
      <c r="D104" s="42" t="s">
        <v>1112</v>
      </c>
      <c r="E104" s="42" t="s">
        <v>448</v>
      </c>
      <c r="F104" s="154">
        <v>23793</v>
      </c>
      <c r="G104" s="42" t="s">
        <v>2159</v>
      </c>
      <c r="H104" s="42">
        <v>7176142</v>
      </c>
      <c r="I104" s="42" t="s">
        <v>586</v>
      </c>
      <c r="J104" s="42">
        <v>80267904</v>
      </c>
      <c r="K104" s="42">
        <v>2</v>
      </c>
      <c r="L104" s="42">
        <v>55</v>
      </c>
      <c r="M104" s="42" t="s">
        <v>451</v>
      </c>
      <c r="N104" s="42" t="s">
        <v>452</v>
      </c>
      <c r="O104" s="42" t="s">
        <v>453</v>
      </c>
      <c r="P104" s="154">
        <v>44400</v>
      </c>
      <c r="Q104" s="154">
        <v>44400</v>
      </c>
      <c r="R104" s="154"/>
      <c r="S104" s="42">
        <v>5</v>
      </c>
      <c r="T104" s="42" t="s">
        <v>499</v>
      </c>
      <c r="U104" s="42">
        <v>11</v>
      </c>
      <c r="V104" s="42" t="s">
        <v>456</v>
      </c>
      <c r="W104" s="42">
        <v>3</v>
      </c>
      <c r="X104" s="42" t="s">
        <v>457</v>
      </c>
      <c r="Y104" s="42">
        <v>2310460</v>
      </c>
      <c r="Z104" s="42" t="s">
        <v>506</v>
      </c>
      <c r="AA104" s="42">
        <v>219</v>
      </c>
      <c r="AB104" s="42">
        <v>18</v>
      </c>
      <c r="AC104" s="42">
        <v>5951245</v>
      </c>
      <c r="AD104" s="42" t="s">
        <v>72</v>
      </c>
      <c r="AE104" s="42">
        <v>85</v>
      </c>
      <c r="AF104" s="42" t="s">
        <v>458</v>
      </c>
      <c r="AG104" s="42" t="s">
        <v>459</v>
      </c>
      <c r="AH104" s="42" t="s">
        <v>49</v>
      </c>
      <c r="AI104" s="42" t="s">
        <v>460</v>
      </c>
      <c r="AJ104" s="154">
        <v>44400</v>
      </c>
      <c r="AK104" s="42">
        <v>117</v>
      </c>
      <c r="AL104" s="154">
        <v>44371</v>
      </c>
      <c r="AM104" s="154"/>
      <c r="AN104" s="42"/>
      <c r="AO104" s="154"/>
      <c r="AP104" s="154"/>
      <c r="AQ104" s="42"/>
      <c r="AR104" s="42"/>
      <c r="AS104" s="42"/>
      <c r="AT104" s="42"/>
      <c r="AU104" s="42"/>
      <c r="AV104" s="42"/>
      <c r="AW104" s="42"/>
      <c r="AX104" s="42"/>
    </row>
    <row r="105" spans="1:50" ht="12.75" customHeight="1">
      <c r="A105" s="42">
        <v>80423284</v>
      </c>
      <c r="B105" s="42" t="s">
        <v>856</v>
      </c>
      <c r="C105" s="42" t="s">
        <v>890</v>
      </c>
      <c r="D105" s="42" t="s">
        <v>1113</v>
      </c>
      <c r="E105" s="42" t="s">
        <v>481</v>
      </c>
      <c r="F105" s="154">
        <v>26312</v>
      </c>
      <c r="G105" s="42" t="s">
        <v>2162</v>
      </c>
      <c r="H105" s="42">
        <v>3163054219</v>
      </c>
      <c r="I105" s="42" t="s">
        <v>586</v>
      </c>
      <c r="J105" s="42"/>
      <c r="K105" s="42"/>
      <c r="L105" s="42"/>
      <c r="M105" s="42" t="s">
        <v>451</v>
      </c>
      <c r="N105" s="42" t="s">
        <v>452</v>
      </c>
      <c r="O105" s="42" t="s">
        <v>453</v>
      </c>
      <c r="P105" s="154">
        <v>45404</v>
      </c>
      <c r="Q105" s="154">
        <v>45404</v>
      </c>
      <c r="R105" s="154"/>
      <c r="S105" s="42">
        <v>5</v>
      </c>
      <c r="T105" s="42" t="s">
        <v>499</v>
      </c>
      <c r="U105" s="42">
        <v>18</v>
      </c>
      <c r="V105" s="42" t="s">
        <v>565</v>
      </c>
      <c r="W105" s="42">
        <v>18</v>
      </c>
      <c r="X105" s="42" t="s">
        <v>536</v>
      </c>
      <c r="Y105" s="42">
        <v>2310200</v>
      </c>
      <c r="Z105" s="42" t="s">
        <v>623</v>
      </c>
      <c r="AA105" s="42">
        <v>6</v>
      </c>
      <c r="AB105" s="42">
        <v>6</v>
      </c>
      <c r="AC105" s="42">
        <v>10208470</v>
      </c>
      <c r="AD105" s="42" t="s">
        <v>28</v>
      </c>
      <c r="AE105" s="42">
        <v>171</v>
      </c>
      <c r="AF105" s="42" t="s">
        <v>458</v>
      </c>
      <c r="AG105" s="42" t="s">
        <v>459</v>
      </c>
      <c r="AH105" s="42" t="s">
        <v>484</v>
      </c>
      <c r="AI105" s="42" t="s">
        <v>460</v>
      </c>
      <c r="AJ105" s="154">
        <v>45404</v>
      </c>
      <c r="AK105" s="42">
        <v>219</v>
      </c>
      <c r="AL105" s="154">
        <v>45400</v>
      </c>
      <c r="AM105" s="154"/>
      <c r="AN105" s="42"/>
      <c r="AO105" s="154"/>
      <c r="AP105" s="154">
        <v>45909</v>
      </c>
      <c r="AQ105" s="42"/>
      <c r="AR105" s="42"/>
      <c r="AS105" s="42"/>
      <c r="AT105" s="42"/>
      <c r="AU105" s="42"/>
      <c r="AV105" s="42"/>
      <c r="AW105" s="42"/>
      <c r="AX105" s="42"/>
    </row>
    <row r="106" spans="1:50" ht="12.75" customHeight="1">
      <c r="A106" s="42">
        <v>80767640</v>
      </c>
      <c r="B106" s="42" t="s">
        <v>685</v>
      </c>
      <c r="C106" s="42" t="s">
        <v>2163</v>
      </c>
      <c r="D106" s="42" t="s">
        <v>1096</v>
      </c>
      <c r="E106" s="42" t="s">
        <v>481</v>
      </c>
      <c r="F106" s="154">
        <v>30849</v>
      </c>
      <c r="G106" s="42" t="s">
        <v>2164</v>
      </c>
      <c r="H106" s="42">
        <v>2610310</v>
      </c>
      <c r="I106" s="42" t="s">
        <v>586</v>
      </c>
      <c r="J106" s="42">
        <v>84061603300</v>
      </c>
      <c r="K106" s="42">
        <v>2</v>
      </c>
      <c r="L106" s="42"/>
      <c r="M106" s="42" t="s">
        <v>451</v>
      </c>
      <c r="N106" s="42" t="s">
        <v>452</v>
      </c>
      <c r="O106" s="42" t="s">
        <v>453</v>
      </c>
      <c r="P106" s="154">
        <v>42656</v>
      </c>
      <c r="Q106" s="154">
        <v>40413</v>
      </c>
      <c r="R106" s="154"/>
      <c r="S106" s="42">
        <v>8</v>
      </c>
      <c r="T106" s="42" t="s">
        <v>466</v>
      </c>
      <c r="U106" s="42">
        <v>11</v>
      </c>
      <c r="V106" s="42" t="s">
        <v>456</v>
      </c>
      <c r="W106" s="42">
        <v>3</v>
      </c>
      <c r="X106" s="42" t="s">
        <v>457</v>
      </c>
      <c r="Y106" s="42">
        <v>2310100</v>
      </c>
      <c r="Z106" s="42" t="s">
        <v>541</v>
      </c>
      <c r="AA106" s="42">
        <v>115</v>
      </c>
      <c r="AB106" s="42">
        <v>6</v>
      </c>
      <c r="AC106" s="42">
        <v>10208470</v>
      </c>
      <c r="AD106" s="42" t="s">
        <v>635</v>
      </c>
      <c r="AE106" s="42">
        <v>11</v>
      </c>
      <c r="AF106" s="42" t="s">
        <v>458</v>
      </c>
      <c r="AG106" s="42" t="s">
        <v>459</v>
      </c>
      <c r="AH106" s="42" t="s">
        <v>484</v>
      </c>
      <c r="AI106" s="42" t="s">
        <v>460</v>
      </c>
      <c r="AJ106" s="154">
        <v>42656</v>
      </c>
      <c r="AK106" s="42">
        <v>56</v>
      </c>
      <c r="AL106" s="154">
        <v>42654</v>
      </c>
      <c r="AM106" s="154">
        <v>45369</v>
      </c>
      <c r="AN106" s="42">
        <v>155</v>
      </c>
      <c r="AO106" s="154">
        <v>45365</v>
      </c>
      <c r="AP106" s="154">
        <v>45634</v>
      </c>
      <c r="AQ106" s="42"/>
      <c r="AR106" s="42"/>
      <c r="AS106" s="42"/>
      <c r="AT106" s="42"/>
      <c r="AU106" s="42"/>
      <c r="AV106" s="42"/>
      <c r="AW106" s="42"/>
      <c r="AX106" s="42"/>
    </row>
    <row r="107" spans="1:50" ht="12.75" customHeight="1">
      <c r="A107" s="42">
        <v>80775238</v>
      </c>
      <c r="B107" s="42" t="s">
        <v>759</v>
      </c>
      <c r="C107" s="42" t="s">
        <v>1129</v>
      </c>
      <c r="D107" s="42" t="s">
        <v>2165</v>
      </c>
      <c r="E107" s="42" t="s">
        <v>481</v>
      </c>
      <c r="F107" s="154">
        <v>31393</v>
      </c>
      <c r="G107" s="42" t="s">
        <v>2166</v>
      </c>
      <c r="H107" s="42">
        <v>6782225</v>
      </c>
      <c r="I107" s="42" t="s">
        <v>586</v>
      </c>
      <c r="J107" s="42">
        <v>80775238</v>
      </c>
      <c r="K107" s="42">
        <v>2</v>
      </c>
      <c r="L107" s="42"/>
      <c r="M107" s="42" t="s">
        <v>451</v>
      </c>
      <c r="N107" s="42" t="s">
        <v>452</v>
      </c>
      <c r="O107" s="42" t="s">
        <v>453</v>
      </c>
      <c r="P107" s="154">
        <v>42585</v>
      </c>
      <c r="Q107" s="154">
        <v>39892</v>
      </c>
      <c r="R107" s="154"/>
      <c r="S107" s="42">
        <v>8</v>
      </c>
      <c r="T107" s="42" t="s">
        <v>466</v>
      </c>
      <c r="U107" s="42">
        <v>11</v>
      </c>
      <c r="V107" s="42" t="s">
        <v>456</v>
      </c>
      <c r="W107" s="42">
        <v>3</v>
      </c>
      <c r="X107" s="42" t="s">
        <v>457</v>
      </c>
      <c r="Y107" s="42">
        <v>105</v>
      </c>
      <c r="Z107" s="42" t="s">
        <v>500</v>
      </c>
      <c r="AA107" s="42">
        <v>219</v>
      </c>
      <c r="AB107" s="42">
        <v>10</v>
      </c>
      <c r="AC107" s="42">
        <v>4938935</v>
      </c>
      <c r="AD107" s="42" t="s">
        <v>72</v>
      </c>
      <c r="AE107" s="42">
        <v>119</v>
      </c>
      <c r="AF107" s="42" t="s">
        <v>458</v>
      </c>
      <c r="AG107" s="42" t="s">
        <v>459</v>
      </c>
      <c r="AH107" s="42" t="s">
        <v>188</v>
      </c>
      <c r="AI107" s="42" t="s">
        <v>460</v>
      </c>
      <c r="AJ107" s="154">
        <v>43518</v>
      </c>
      <c r="AK107" s="42">
        <v>18</v>
      </c>
      <c r="AL107" s="154">
        <v>43517</v>
      </c>
      <c r="AM107" s="154"/>
      <c r="AN107" s="42"/>
      <c r="AO107" s="154"/>
      <c r="AP107" s="154">
        <v>44153</v>
      </c>
      <c r="AQ107" s="42"/>
      <c r="AR107" s="42"/>
      <c r="AS107" s="42"/>
      <c r="AT107" s="42"/>
      <c r="AU107" s="42"/>
      <c r="AV107" s="42"/>
      <c r="AW107" s="42"/>
      <c r="AX107" s="42"/>
    </row>
    <row r="108" spans="1:50" ht="12.75" customHeight="1">
      <c r="A108" s="42">
        <v>80809603</v>
      </c>
      <c r="B108" s="42" t="s">
        <v>759</v>
      </c>
      <c r="C108" s="42" t="s">
        <v>554</v>
      </c>
      <c r="D108" s="42" t="s">
        <v>2171</v>
      </c>
      <c r="E108" s="42" t="s">
        <v>481</v>
      </c>
      <c r="F108" s="154">
        <v>30942</v>
      </c>
      <c r="G108" s="42" t="s">
        <v>2172</v>
      </c>
      <c r="H108" s="42">
        <v>7589624</v>
      </c>
      <c r="I108" s="42" t="s">
        <v>586</v>
      </c>
      <c r="J108" s="42">
        <v>80809603</v>
      </c>
      <c r="K108" s="42">
        <v>2</v>
      </c>
      <c r="L108" s="42"/>
      <c r="M108" s="42" t="s">
        <v>451</v>
      </c>
      <c r="N108" s="42" t="s">
        <v>452</v>
      </c>
      <c r="O108" s="42" t="s">
        <v>453</v>
      </c>
      <c r="P108" s="154">
        <v>44153</v>
      </c>
      <c r="Q108" s="154">
        <v>44153</v>
      </c>
      <c r="R108" s="42"/>
      <c r="S108" s="42">
        <v>26</v>
      </c>
      <c r="T108" s="42" t="s">
        <v>528</v>
      </c>
      <c r="U108" s="42">
        <v>23</v>
      </c>
      <c r="V108" s="42" t="s">
        <v>669</v>
      </c>
      <c r="W108" s="42">
        <v>3</v>
      </c>
      <c r="X108" s="42" t="s">
        <v>457</v>
      </c>
      <c r="Y108" s="42">
        <v>118</v>
      </c>
      <c r="Z108" s="42" t="s">
        <v>500</v>
      </c>
      <c r="AA108" s="42">
        <v>314</v>
      </c>
      <c r="AB108" s="42">
        <v>20</v>
      </c>
      <c r="AC108" s="42">
        <v>4789274</v>
      </c>
      <c r="AD108" s="42" t="s">
        <v>517</v>
      </c>
      <c r="AE108" s="42">
        <v>118</v>
      </c>
      <c r="AF108" s="42" t="s">
        <v>458</v>
      </c>
      <c r="AG108" s="42" t="s">
        <v>459</v>
      </c>
      <c r="AH108" s="42" t="s">
        <v>49</v>
      </c>
      <c r="AI108" s="42" t="s">
        <v>460</v>
      </c>
      <c r="AJ108" s="154">
        <v>44153</v>
      </c>
      <c r="AK108" s="42">
        <v>186</v>
      </c>
      <c r="AL108" s="154">
        <v>44124</v>
      </c>
      <c r="AM108" s="154"/>
      <c r="AN108" s="42"/>
      <c r="AO108" s="154"/>
      <c r="AP108" s="154">
        <v>44881</v>
      </c>
      <c r="AQ108" s="42"/>
      <c r="AR108" s="42"/>
      <c r="AS108" s="42"/>
      <c r="AT108" s="42"/>
      <c r="AU108" s="42"/>
      <c r="AV108" s="42"/>
      <c r="AW108" s="42"/>
      <c r="AX108" s="42"/>
    </row>
    <row r="109" spans="1:50" ht="12.75" customHeight="1">
      <c r="A109" s="42">
        <v>80810770</v>
      </c>
      <c r="B109" s="42" t="s">
        <v>780</v>
      </c>
      <c r="C109" s="42" t="s">
        <v>2173</v>
      </c>
      <c r="D109" s="42" t="s">
        <v>2174</v>
      </c>
      <c r="E109" s="42" t="s">
        <v>481</v>
      </c>
      <c r="F109" s="154">
        <v>30979</v>
      </c>
      <c r="G109" s="42" t="s">
        <v>2175</v>
      </c>
      <c r="H109" s="42">
        <v>6019261182</v>
      </c>
      <c r="I109" s="42" t="s">
        <v>586</v>
      </c>
      <c r="J109" s="42"/>
      <c r="K109" s="42"/>
      <c r="L109" s="42"/>
      <c r="M109" s="42" t="s">
        <v>451</v>
      </c>
      <c r="N109" s="42" t="s">
        <v>452</v>
      </c>
      <c r="O109" s="42" t="s">
        <v>453</v>
      </c>
      <c r="P109" s="154">
        <v>45111</v>
      </c>
      <c r="Q109" s="154">
        <v>45111</v>
      </c>
      <c r="R109" s="42"/>
      <c r="S109" s="42">
        <v>18</v>
      </c>
      <c r="T109" s="42" t="s">
        <v>472</v>
      </c>
      <c r="U109" s="42">
        <v>18</v>
      </c>
      <c r="V109" s="42" t="s">
        <v>565</v>
      </c>
      <c r="W109" s="42">
        <v>18</v>
      </c>
      <c r="X109" s="42" t="s">
        <v>536</v>
      </c>
      <c r="Y109" s="42">
        <v>2310300</v>
      </c>
      <c r="Z109" s="42" t="s">
        <v>138</v>
      </c>
      <c r="AA109" s="42">
        <v>440</v>
      </c>
      <c r="AB109" s="42">
        <v>9</v>
      </c>
      <c r="AC109" s="42">
        <v>2675559</v>
      </c>
      <c r="AD109" s="42" t="s">
        <v>29</v>
      </c>
      <c r="AE109" s="42">
        <v>161</v>
      </c>
      <c r="AF109" s="42" t="s">
        <v>458</v>
      </c>
      <c r="AG109" s="42" t="s">
        <v>459</v>
      </c>
      <c r="AH109" s="42" t="s">
        <v>188</v>
      </c>
      <c r="AI109" s="42" t="s">
        <v>460</v>
      </c>
      <c r="AJ109" s="154">
        <v>45111</v>
      </c>
      <c r="AK109" s="42">
        <v>350</v>
      </c>
      <c r="AL109" s="154">
        <v>45098</v>
      </c>
      <c r="AM109" s="154"/>
      <c r="AN109" s="42"/>
      <c r="AO109" s="154"/>
      <c r="AP109" s="154">
        <v>45271</v>
      </c>
      <c r="AQ109" s="42"/>
      <c r="AR109" s="42"/>
      <c r="AS109" s="42"/>
      <c r="AT109" s="42"/>
      <c r="AU109" s="42"/>
      <c r="AV109" s="42"/>
      <c r="AW109" s="42"/>
      <c r="AX109" s="42"/>
    </row>
    <row r="110" spans="1:50" ht="12.75" customHeight="1">
      <c r="A110" s="42">
        <v>80826518</v>
      </c>
      <c r="B110" s="42" t="s">
        <v>2176</v>
      </c>
      <c r="C110" s="42" t="s">
        <v>523</v>
      </c>
      <c r="D110" s="42" t="s">
        <v>2177</v>
      </c>
      <c r="E110" s="42" t="s">
        <v>448</v>
      </c>
      <c r="F110" s="154">
        <v>30795</v>
      </c>
      <c r="G110" s="42" t="s">
        <v>2178</v>
      </c>
      <c r="H110" s="42">
        <v>3057709902</v>
      </c>
      <c r="I110" s="42" t="s">
        <v>586</v>
      </c>
      <c r="J110" s="42">
        <v>8088826518</v>
      </c>
      <c r="K110" s="42">
        <v>1</v>
      </c>
      <c r="L110" s="42"/>
      <c r="M110" s="42" t="s">
        <v>451</v>
      </c>
      <c r="N110" s="42" t="s">
        <v>452</v>
      </c>
      <c r="O110" s="42" t="s">
        <v>453</v>
      </c>
      <c r="P110" s="154">
        <v>46190</v>
      </c>
      <c r="Q110" s="154">
        <v>46190</v>
      </c>
      <c r="R110" s="154"/>
      <c r="S110" s="42">
        <v>8</v>
      </c>
      <c r="T110" s="42" t="s">
        <v>466</v>
      </c>
      <c r="U110" s="42">
        <v>11</v>
      </c>
      <c r="V110" s="42" t="s">
        <v>456</v>
      </c>
      <c r="W110" s="42">
        <v>3</v>
      </c>
      <c r="X110" s="42" t="s">
        <v>457</v>
      </c>
      <c r="Y110" s="42">
        <v>2310470</v>
      </c>
      <c r="Z110" s="42" t="s">
        <v>477</v>
      </c>
      <c r="AA110" s="42">
        <v>219</v>
      </c>
      <c r="AB110" s="42">
        <v>18</v>
      </c>
      <c r="AC110" s="42">
        <v>5951245</v>
      </c>
      <c r="AD110" s="42" t="s">
        <v>72</v>
      </c>
      <c r="AE110" s="42">
        <v>94</v>
      </c>
      <c r="AF110" s="42" t="s">
        <v>458</v>
      </c>
      <c r="AG110" s="42" t="s">
        <v>459</v>
      </c>
      <c r="AH110" s="42" t="s">
        <v>644</v>
      </c>
      <c r="AI110" s="42" t="s">
        <v>460</v>
      </c>
      <c r="AJ110" s="154">
        <v>46190</v>
      </c>
      <c r="AK110" s="42">
        <v>219</v>
      </c>
      <c r="AL110" s="154">
        <v>46162</v>
      </c>
      <c r="AM110" s="154"/>
      <c r="AN110" s="42"/>
      <c r="AO110" s="154"/>
      <c r="AP110" s="154"/>
      <c r="AQ110" s="42"/>
      <c r="AR110" s="42"/>
      <c r="AS110" s="42"/>
      <c r="AT110" s="42"/>
      <c r="AU110" s="42"/>
      <c r="AV110" s="42"/>
      <c r="AW110" s="42"/>
      <c r="AX110" s="42"/>
    </row>
    <row r="111" spans="1:50" ht="12.75" customHeight="1">
      <c r="A111" s="42">
        <v>80842817</v>
      </c>
      <c r="B111" s="42" t="s">
        <v>1114</v>
      </c>
      <c r="C111" s="42" t="s">
        <v>637</v>
      </c>
      <c r="D111" s="42" t="s">
        <v>1115</v>
      </c>
      <c r="E111" s="42" t="s">
        <v>448</v>
      </c>
      <c r="F111" s="154">
        <v>30861</v>
      </c>
      <c r="G111" s="42" t="s">
        <v>2179</v>
      </c>
      <c r="H111" s="42">
        <v>6018256336</v>
      </c>
      <c r="I111" s="42" t="s">
        <v>586</v>
      </c>
      <c r="J111" s="42"/>
      <c r="K111" s="42"/>
      <c r="L111" s="42"/>
      <c r="M111" s="42" t="s">
        <v>448</v>
      </c>
      <c r="N111" s="42" t="s">
        <v>452</v>
      </c>
      <c r="O111" s="42" t="s">
        <v>453</v>
      </c>
      <c r="P111" s="154">
        <v>45048</v>
      </c>
      <c r="Q111" s="154">
        <v>45048</v>
      </c>
      <c r="R111" s="154"/>
      <c r="S111" s="42">
        <v>5</v>
      </c>
      <c r="T111" s="42" t="s">
        <v>499</v>
      </c>
      <c r="U111" s="42">
        <v>23</v>
      </c>
      <c r="V111" s="42" t="s">
        <v>669</v>
      </c>
      <c r="W111" s="42">
        <v>3</v>
      </c>
      <c r="X111" s="42" t="s">
        <v>457</v>
      </c>
      <c r="Y111" s="42">
        <v>2310450</v>
      </c>
      <c r="Z111" s="42" t="s">
        <v>568</v>
      </c>
      <c r="AA111" s="42">
        <v>440</v>
      </c>
      <c r="AB111" s="42">
        <v>19</v>
      </c>
      <c r="AC111" s="42">
        <v>3687785</v>
      </c>
      <c r="AD111" s="42" t="s">
        <v>29</v>
      </c>
      <c r="AE111" s="42">
        <v>159</v>
      </c>
      <c r="AF111" s="42" t="s">
        <v>458</v>
      </c>
      <c r="AG111" s="42" t="s">
        <v>459</v>
      </c>
      <c r="AH111" s="42" t="s">
        <v>49</v>
      </c>
      <c r="AI111" s="42" t="s">
        <v>460</v>
      </c>
      <c r="AJ111" s="154">
        <v>45048</v>
      </c>
      <c r="AK111" s="42">
        <v>190</v>
      </c>
      <c r="AL111" s="154">
        <v>45013</v>
      </c>
      <c r="AM111" s="154">
        <v>45698</v>
      </c>
      <c r="AN111" s="42">
        <v>55</v>
      </c>
      <c r="AO111" s="154">
        <v>45688</v>
      </c>
      <c r="AP111" s="154"/>
      <c r="AQ111" s="42"/>
      <c r="AR111" s="42"/>
      <c r="AS111" s="42"/>
      <c r="AT111" s="42"/>
      <c r="AU111" s="42"/>
      <c r="AV111" s="42"/>
      <c r="AW111" s="42"/>
      <c r="AX111" s="42"/>
    </row>
    <row r="112" spans="1:50" ht="12.75" customHeight="1">
      <c r="A112" s="42">
        <v>80850931</v>
      </c>
      <c r="B112" s="42" t="s">
        <v>1116</v>
      </c>
      <c r="C112" s="42" t="s">
        <v>636</v>
      </c>
      <c r="D112" s="42" t="s">
        <v>1117</v>
      </c>
      <c r="E112" s="42" t="s">
        <v>448</v>
      </c>
      <c r="F112" s="154">
        <v>30949</v>
      </c>
      <c r="G112" s="42" t="s">
        <v>2180</v>
      </c>
      <c r="H112" s="42">
        <v>5210486</v>
      </c>
      <c r="I112" s="42" t="s">
        <v>586</v>
      </c>
      <c r="J112" s="42">
        <v>80850931</v>
      </c>
      <c r="K112" s="42">
        <v>2</v>
      </c>
      <c r="L112" s="42">
        <v>11</v>
      </c>
      <c r="M112" s="42" t="s">
        <v>451</v>
      </c>
      <c r="N112" s="42" t="s">
        <v>452</v>
      </c>
      <c r="O112" s="42" t="s">
        <v>453</v>
      </c>
      <c r="P112" s="154">
        <v>43049</v>
      </c>
      <c r="Q112" s="154">
        <v>43049</v>
      </c>
      <c r="R112" s="154"/>
      <c r="S112" s="42">
        <v>42</v>
      </c>
      <c r="T112" s="42" t="s">
        <v>1166</v>
      </c>
      <c r="U112" s="42">
        <v>11</v>
      </c>
      <c r="V112" s="42" t="s">
        <v>456</v>
      </c>
      <c r="W112" s="42">
        <v>3</v>
      </c>
      <c r="X112" s="42" t="s">
        <v>457</v>
      </c>
      <c r="Y112" s="42">
        <v>2310400</v>
      </c>
      <c r="Z112" s="42" t="s">
        <v>841</v>
      </c>
      <c r="AA112" s="42">
        <v>222</v>
      </c>
      <c r="AB112" s="42">
        <v>27</v>
      </c>
      <c r="AC112" s="42">
        <v>7358647</v>
      </c>
      <c r="AD112" s="42" t="s">
        <v>51</v>
      </c>
      <c r="AE112" s="42">
        <v>31</v>
      </c>
      <c r="AF112" s="42" t="s">
        <v>458</v>
      </c>
      <c r="AG112" s="42" t="s">
        <v>459</v>
      </c>
      <c r="AH112" s="42" t="s">
        <v>49</v>
      </c>
      <c r="AI112" s="42" t="s">
        <v>460</v>
      </c>
      <c r="AJ112" s="154">
        <v>44141</v>
      </c>
      <c r="AK112" s="42">
        <v>163</v>
      </c>
      <c r="AL112" s="154">
        <v>44124</v>
      </c>
      <c r="AM112" s="154">
        <v>45307</v>
      </c>
      <c r="AN112" s="42">
        <v>19</v>
      </c>
      <c r="AO112" s="154">
        <v>45307</v>
      </c>
      <c r="AP112" s="154"/>
      <c r="AQ112" s="42"/>
      <c r="AR112" s="42"/>
      <c r="AS112" s="42"/>
      <c r="AT112" s="42"/>
      <c r="AU112" s="42"/>
      <c r="AV112" s="42"/>
      <c r="AW112" s="42"/>
      <c r="AX112" s="42"/>
    </row>
    <row r="113" spans="1:50" ht="12.75" customHeight="1">
      <c r="A113" s="42">
        <v>22520512</v>
      </c>
      <c r="B113" s="42" t="s">
        <v>1410</v>
      </c>
      <c r="C113" s="42" t="s">
        <v>728</v>
      </c>
      <c r="D113" s="42" t="s">
        <v>1411</v>
      </c>
      <c r="E113" s="42" t="s">
        <v>481</v>
      </c>
      <c r="F113" s="154">
        <v>29409</v>
      </c>
      <c r="G113" s="42" t="s">
        <v>1412</v>
      </c>
      <c r="H113" s="42">
        <v>3090700</v>
      </c>
      <c r="I113" s="42" t="s">
        <v>450</v>
      </c>
      <c r="J113" s="42"/>
      <c r="K113" s="42"/>
      <c r="L113" s="42"/>
      <c r="M113" s="42" t="s">
        <v>448</v>
      </c>
      <c r="N113" s="42" t="s">
        <v>452</v>
      </c>
      <c r="O113" s="42" t="s">
        <v>453</v>
      </c>
      <c r="P113" s="154">
        <v>42928</v>
      </c>
      <c r="Q113" s="154">
        <v>42928</v>
      </c>
      <c r="R113" s="154"/>
      <c r="S113" s="42">
        <v>26</v>
      </c>
      <c r="T113" s="42" t="s">
        <v>528</v>
      </c>
      <c r="U113" s="42">
        <v>19</v>
      </c>
      <c r="V113" s="42" t="s">
        <v>574</v>
      </c>
      <c r="W113" s="42">
        <v>3</v>
      </c>
      <c r="X113" s="42" t="s">
        <v>457</v>
      </c>
      <c r="Y113" s="42">
        <v>2310100</v>
      </c>
      <c r="Z113" s="42" t="s">
        <v>541</v>
      </c>
      <c r="AA113" s="42">
        <v>219</v>
      </c>
      <c r="AB113" s="42">
        <v>9</v>
      </c>
      <c r="AC113" s="42">
        <v>4897424</v>
      </c>
      <c r="AD113" s="42" t="s">
        <v>72</v>
      </c>
      <c r="AE113" s="42">
        <v>106</v>
      </c>
      <c r="AF113" s="42" t="s">
        <v>458</v>
      </c>
      <c r="AG113" s="42" t="s">
        <v>459</v>
      </c>
      <c r="AH113" s="42" t="s">
        <v>188</v>
      </c>
      <c r="AI113" s="42" t="s">
        <v>460</v>
      </c>
      <c r="AJ113" s="154">
        <v>42928</v>
      </c>
      <c r="AK113" s="42">
        <v>103</v>
      </c>
      <c r="AL113" s="154">
        <v>42922</v>
      </c>
      <c r="AM113" s="154"/>
      <c r="AN113" s="42"/>
      <c r="AO113" s="154"/>
      <c r="AP113" s="154">
        <v>43403</v>
      </c>
      <c r="AQ113" s="42"/>
      <c r="AR113" s="42"/>
      <c r="AS113" s="42"/>
      <c r="AT113" s="42"/>
      <c r="AU113" s="42"/>
      <c r="AV113" s="42"/>
      <c r="AW113" s="42"/>
      <c r="AX113" s="42"/>
    </row>
    <row r="114" spans="1:50" ht="12.75" customHeight="1">
      <c r="A114" s="42">
        <v>23582747</v>
      </c>
      <c r="B114" s="42" t="s">
        <v>491</v>
      </c>
      <c r="C114" s="42" t="s">
        <v>866</v>
      </c>
      <c r="D114" s="42" t="s">
        <v>868</v>
      </c>
      <c r="E114" s="42" t="s">
        <v>448</v>
      </c>
      <c r="F114" s="154">
        <v>28265</v>
      </c>
      <c r="G114" s="42" t="s">
        <v>1415</v>
      </c>
      <c r="H114" s="42">
        <v>3102007739</v>
      </c>
      <c r="I114" s="42" t="s">
        <v>450</v>
      </c>
      <c r="J114" s="42"/>
      <c r="K114" s="42"/>
      <c r="L114" s="42"/>
      <c r="M114" s="42" t="s">
        <v>451</v>
      </c>
      <c r="N114" s="42" t="s">
        <v>452</v>
      </c>
      <c r="O114" s="42" t="s">
        <v>453</v>
      </c>
      <c r="P114" s="154">
        <v>44267</v>
      </c>
      <c r="Q114" s="154">
        <v>44267</v>
      </c>
      <c r="R114" s="42"/>
      <c r="S114" s="42">
        <v>24</v>
      </c>
      <c r="T114" s="42" t="s">
        <v>619</v>
      </c>
      <c r="U114" s="42">
        <v>11</v>
      </c>
      <c r="V114" s="42" t="s">
        <v>456</v>
      </c>
      <c r="W114" s="42">
        <v>3</v>
      </c>
      <c r="X114" s="42" t="s">
        <v>457</v>
      </c>
      <c r="Y114" s="42">
        <v>2310450</v>
      </c>
      <c r="Z114" s="42" t="s">
        <v>568</v>
      </c>
      <c r="AA114" s="42">
        <v>222</v>
      </c>
      <c r="AB114" s="42">
        <v>27</v>
      </c>
      <c r="AC114" s="42">
        <v>7358647</v>
      </c>
      <c r="AD114" s="42" t="s">
        <v>51</v>
      </c>
      <c r="AE114" s="42">
        <v>36</v>
      </c>
      <c r="AF114" s="42" t="s">
        <v>458</v>
      </c>
      <c r="AG114" s="42" t="s">
        <v>459</v>
      </c>
      <c r="AH114" s="42" t="s">
        <v>49</v>
      </c>
      <c r="AI114" s="42" t="s">
        <v>460</v>
      </c>
      <c r="AJ114" s="154">
        <v>44267</v>
      </c>
      <c r="AK114" s="42">
        <v>159</v>
      </c>
      <c r="AL114" s="154">
        <v>44118</v>
      </c>
      <c r="AM114" s="154"/>
      <c r="AN114" s="42"/>
      <c r="AO114" s="154"/>
      <c r="AP114" s="154"/>
      <c r="AQ114" s="42"/>
      <c r="AR114" s="42"/>
      <c r="AS114" s="42"/>
      <c r="AT114" s="42"/>
      <c r="AU114" s="42"/>
      <c r="AV114" s="42"/>
      <c r="AW114" s="42"/>
      <c r="AX114" s="42"/>
    </row>
    <row r="115" spans="1:50" ht="12.75" customHeight="1">
      <c r="A115" s="42">
        <v>24179106</v>
      </c>
      <c r="B115" s="42" t="s">
        <v>538</v>
      </c>
      <c r="C115" s="42" t="s">
        <v>870</v>
      </c>
      <c r="D115" s="42" t="s">
        <v>871</v>
      </c>
      <c r="E115" s="42" t="s">
        <v>448</v>
      </c>
      <c r="F115" s="154">
        <v>28004</v>
      </c>
      <c r="G115" s="42" t="s">
        <v>1418</v>
      </c>
      <c r="H115" s="42">
        <v>2039277</v>
      </c>
      <c r="I115" s="42" t="s">
        <v>450</v>
      </c>
      <c r="J115" s="42"/>
      <c r="K115" s="42"/>
      <c r="L115" s="42"/>
      <c r="M115" s="42"/>
      <c r="N115" s="42"/>
      <c r="O115" s="42" t="s">
        <v>453</v>
      </c>
      <c r="P115" s="154">
        <v>42585</v>
      </c>
      <c r="Q115" s="154">
        <v>38343</v>
      </c>
      <c r="R115" s="154"/>
      <c r="S115" s="42">
        <v>26</v>
      </c>
      <c r="T115" s="42" t="s">
        <v>528</v>
      </c>
      <c r="U115" s="42">
        <v>11</v>
      </c>
      <c r="V115" s="42" t="s">
        <v>456</v>
      </c>
      <c r="W115" s="42">
        <v>18</v>
      </c>
      <c r="X115" s="42" t="s">
        <v>536</v>
      </c>
      <c r="Y115" s="42">
        <v>2310460</v>
      </c>
      <c r="Z115" s="42" t="s">
        <v>506</v>
      </c>
      <c r="AA115" s="42">
        <v>222</v>
      </c>
      <c r="AB115" s="42">
        <v>27</v>
      </c>
      <c r="AC115" s="42">
        <v>7358647</v>
      </c>
      <c r="AD115" s="42" t="s">
        <v>51</v>
      </c>
      <c r="AE115" s="42">
        <v>44</v>
      </c>
      <c r="AF115" s="42" t="s">
        <v>458</v>
      </c>
      <c r="AG115" s="42" t="s">
        <v>459</v>
      </c>
      <c r="AH115" s="42" t="s">
        <v>49</v>
      </c>
      <c r="AI115" s="42" t="s">
        <v>460</v>
      </c>
      <c r="AJ115" s="154">
        <v>42585</v>
      </c>
      <c r="AK115" s="42">
        <v>2</v>
      </c>
      <c r="AL115" s="154">
        <v>42585</v>
      </c>
      <c r="AM115" s="154">
        <v>45362</v>
      </c>
      <c r="AN115" s="42">
        <v>132</v>
      </c>
      <c r="AO115" s="154">
        <v>45359</v>
      </c>
      <c r="AP115" s="154"/>
      <c r="AQ115" s="42"/>
      <c r="AR115" s="42"/>
      <c r="AS115" s="42"/>
      <c r="AT115" s="42"/>
      <c r="AU115" s="42"/>
      <c r="AV115" s="42"/>
      <c r="AW115" s="42"/>
      <c r="AX115" s="42"/>
    </row>
    <row r="116" spans="1:50" ht="12.75" customHeight="1">
      <c r="A116" s="42">
        <v>28488940</v>
      </c>
      <c r="B116" s="42" t="s">
        <v>873</v>
      </c>
      <c r="C116" s="42" t="s">
        <v>874</v>
      </c>
      <c r="D116" s="42" t="s">
        <v>726</v>
      </c>
      <c r="E116" s="42" t="s">
        <v>448</v>
      </c>
      <c r="F116" s="154">
        <v>30093</v>
      </c>
      <c r="G116" s="42" t="s">
        <v>1420</v>
      </c>
      <c r="H116" s="42">
        <v>6995285</v>
      </c>
      <c r="I116" s="42" t="s">
        <v>450</v>
      </c>
      <c r="J116" s="42"/>
      <c r="K116" s="42"/>
      <c r="L116" s="42"/>
      <c r="M116" s="42" t="s">
        <v>448</v>
      </c>
      <c r="N116" s="42" t="s">
        <v>452</v>
      </c>
      <c r="O116" s="42" t="s">
        <v>453</v>
      </c>
      <c r="P116" s="154">
        <v>44138</v>
      </c>
      <c r="Q116" s="154">
        <v>44138</v>
      </c>
      <c r="R116" s="154"/>
      <c r="S116" s="42">
        <v>5</v>
      </c>
      <c r="T116" s="42" t="s">
        <v>499</v>
      </c>
      <c r="U116" s="42">
        <v>11</v>
      </c>
      <c r="V116" s="42" t="s">
        <v>456</v>
      </c>
      <c r="W116" s="42">
        <v>3</v>
      </c>
      <c r="X116" s="42" t="s">
        <v>457</v>
      </c>
      <c r="Y116" s="42">
        <v>2310450</v>
      </c>
      <c r="Z116" s="42" t="s">
        <v>568</v>
      </c>
      <c r="AA116" s="42">
        <v>219</v>
      </c>
      <c r="AB116" s="42">
        <v>1</v>
      </c>
      <c r="AC116" s="42">
        <v>3989530</v>
      </c>
      <c r="AD116" s="42" t="s">
        <v>72</v>
      </c>
      <c r="AE116" s="42">
        <v>112</v>
      </c>
      <c r="AF116" s="42" t="s">
        <v>458</v>
      </c>
      <c r="AG116" s="42" t="s">
        <v>459</v>
      </c>
      <c r="AH116" s="42" t="s">
        <v>49</v>
      </c>
      <c r="AI116" s="42" t="s">
        <v>460</v>
      </c>
      <c r="AJ116" s="154">
        <v>44138</v>
      </c>
      <c r="AK116" s="42">
        <v>138</v>
      </c>
      <c r="AL116" s="154">
        <v>44118</v>
      </c>
      <c r="AM116" s="154">
        <v>45691</v>
      </c>
      <c r="AN116" s="42">
        <v>14</v>
      </c>
      <c r="AO116" s="154">
        <v>45704</v>
      </c>
      <c r="AP116" s="154"/>
      <c r="AQ116" s="42"/>
      <c r="AR116" s="42"/>
      <c r="AS116" s="42"/>
      <c r="AT116" s="42"/>
      <c r="AU116" s="42"/>
      <c r="AV116" s="42"/>
      <c r="AW116" s="42"/>
      <c r="AX116" s="42"/>
    </row>
    <row r="117" spans="1:50" ht="12.75" customHeight="1">
      <c r="A117" s="42">
        <v>28496885</v>
      </c>
      <c r="B117" s="42" t="s">
        <v>877</v>
      </c>
      <c r="C117" s="42" t="s">
        <v>878</v>
      </c>
      <c r="D117" s="42" t="s">
        <v>879</v>
      </c>
      <c r="E117" s="42" t="s">
        <v>448</v>
      </c>
      <c r="F117" s="154">
        <v>26412</v>
      </c>
      <c r="G117" s="42" t="s">
        <v>1422</v>
      </c>
      <c r="H117" s="42">
        <v>3015042</v>
      </c>
      <c r="I117" s="42" t="s">
        <v>450</v>
      </c>
      <c r="J117" s="42"/>
      <c r="K117" s="42"/>
      <c r="L117" s="42"/>
      <c r="M117" s="42" t="s">
        <v>448</v>
      </c>
      <c r="N117" s="42" t="s">
        <v>5</v>
      </c>
      <c r="O117" s="42" t="s">
        <v>453</v>
      </c>
      <c r="P117" s="154">
        <v>44229</v>
      </c>
      <c r="Q117" s="154">
        <v>44229</v>
      </c>
      <c r="R117" s="154"/>
      <c r="S117" s="42">
        <v>8</v>
      </c>
      <c r="T117" s="42" t="s">
        <v>466</v>
      </c>
      <c r="U117" s="42">
        <v>11</v>
      </c>
      <c r="V117" s="42" t="s">
        <v>456</v>
      </c>
      <c r="W117" s="42">
        <v>3</v>
      </c>
      <c r="X117" s="42" t="s">
        <v>457</v>
      </c>
      <c r="Y117" s="42">
        <v>2310400</v>
      </c>
      <c r="Z117" s="42" t="s">
        <v>841</v>
      </c>
      <c r="AA117" s="42">
        <v>222</v>
      </c>
      <c r="AB117" s="42">
        <v>27</v>
      </c>
      <c r="AC117" s="42">
        <v>7358647</v>
      </c>
      <c r="AD117" s="42" t="s">
        <v>51</v>
      </c>
      <c r="AE117" s="42">
        <v>30</v>
      </c>
      <c r="AF117" s="42" t="s">
        <v>458</v>
      </c>
      <c r="AG117" s="42" t="s">
        <v>459</v>
      </c>
      <c r="AH117" s="42" t="s">
        <v>49</v>
      </c>
      <c r="AI117" s="42" t="s">
        <v>460</v>
      </c>
      <c r="AJ117" s="154">
        <v>44229</v>
      </c>
      <c r="AK117" s="42">
        <v>211</v>
      </c>
      <c r="AL117" s="154">
        <v>44124</v>
      </c>
      <c r="AM117" s="154"/>
      <c r="AN117" s="42"/>
      <c r="AO117" s="154"/>
      <c r="AP117" s="154"/>
      <c r="AQ117" s="42"/>
      <c r="AR117" s="42"/>
      <c r="AS117" s="42"/>
      <c r="AT117" s="42"/>
      <c r="AU117" s="42"/>
      <c r="AV117" s="42"/>
      <c r="AW117" s="42"/>
      <c r="AX117" s="42"/>
    </row>
    <row r="118" spans="1:50" ht="12.75" customHeight="1">
      <c r="A118" s="42">
        <v>28891891</v>
      </c>
      <c r="B118" s="42" t="s">
        <v>880</v>
      </c>
      <c r="C118" s="42" t="s">
        <v>728</v>
      </c>
      <c r="D118" s="42" t="s">
        <v>881</v>
      </c>
      <c r="E118" s="42" t="s">
        <v>481</v>
      </c>
      <c r="F118" s="154">
        <v>21375</v>
      </c>
      <c r="G118" s="42" t="s">
        <v>1424</v>
      </c>
      <c r="H118" s="42" t="s">
        <v>1425</v>
      </c>
      <c r="I118" s="42" t="s">
        <v>450</v>
      </c>
      <c r="J118" s="42"/>
      <c r="K118" s="42"/>
      <c r="L118" s="42"/>
      <c r="M118" s="42"/>
      <c r="N118" s="42"/>
      <c r="O118" s="42" t="s">
        <v>453</v>
      </c>
      <c r="P118" s="154">
        <v>42585</v>
      </c>
      <c r="Q118" s="154">
        <v>33171</v>
      </c>
      <c r="R118" s="154"/>
      <c r="S118" s="42">
        <v>8</v>
      </c>
      <c r="T118" s="42" t="s">
        <v>466</v>
      </c>
      <c r="U118" s="42">
        <v>11</v>
      </c>
      <c r="V118" s="42" t="s">
        <v>456</v>
      </c>
      <c r="W118" s="42">
        <v>1</v>
      </c>
      <c r="X118" s="42" t="s">
        <v>1370</v>
      </c>
      <c r="Y118" s="42">
        <v>2310450</v>
      </c>
      <c r="Z118" s="42" t="s">
        <v>568</v>
      </c>
      <c r="AA118" s="42">
        <v>222</v>
      </c>
      <c r="AB118" s="42">
        <v>26</v>
      </c>
      <c r="AC118" s="42">
        <v>7296816</v>
      </c>
      <c r="AD118" s="42" t="s">
        <v>51</v>
      </c>
      <c r="AE118" s="42">
        <v>50</v>
      </c>
      <c r="AF118" s="42" t="s">
        <v>458</v>
      </c>
      <c r="AG118" s="42" t="s">
        <v>459</v>
      </c>
      <c r="AH118" s="42" t="s">
        <v>49</v>
      </c>
      <c r="AI118" s="42" t="s">
        <v>460</v>
      </c>
      <c r="AJ118" s="154">
        <v>42585</v>
      </c>
      <c r="AK118" s="42">
        <v>2</v>
      </c>
      <c r="AL118" s="154">
        <v>42585</v>
      </c>
      <c r="AM118" s="154"/>
      <c r="AN118" s="42"/>
      <c r="AO118" s="154"/>
      <c r="AP118" s="154">
        <v>45961</v>
      </c>
      <c r="AQ118" s="42"/>
      <c r="AR118" s="42"/>
      <c r="AS118" s="42"/>
      <c r="AT118" s="42"/>
      <c r="AU118" s="42"/>
      <c r="AV118" s="42"/>
      <c r="AW118" s="42"/>
      <c r="AX118" s="42"/>
    </row>
    <row r="119" spans="1:50" ht="12.75" customHeight="1">
      <c r="A119" s="42">
        <v>28915546</v>
      </c>
      <c r="B119" s="42" t="s">
        <v>478</v>
      </c>
      <c r="C119" s="42" t="s">
        <v>1432</v>
      </c>
      <c r="D119" s="42" t="s">
        <v>1433</v>
      </c>
      <c r="E119" s="42" t="s">
        <v>481</v>
      </c>
      <c r="F119" s="154">
        <v>25739</v>
      </c>
      <c r="G119" s="42" t="s">
        <v>1435</v>
      </c>
      <c r="H119" s="42">
        <v>7037628</v>
      </c>
      <c r="I119" s="42" t="s">
        <v>450</v>
      </c>
      <c r="J119" s="42"/>
      <c r="K119" s="42"/>
      <c r="L119" s="42"/>
      <c r="M119" s="42" t="s">
        <v>451</v>
      </c>
      <c r="N119" s="42" t="s">
        <v>452</v>
      </c>
      <c r="O119" s="42" t="s">
        <v>453</v>
      </c>
      <c r="P119" s="154">
        <v>42585</v>
      </c>
      <c r="Q119" s="154">
        <v>42493</v>
      </c>
      <c r="R119" s="42"/>
      <c r="S119" s="42">
        <v>8</v>
      </c>
      <c r="T119" s="42" t="s">
        <v>466</v>
      </c>
      <c r="U119" s="42">
        <v>11</v>
      </c>
      <c r="V119" s="42" t="s">
        <v>456</v>
      </c>
      <c r="W119" s="42">
        <v>3</v>
      </c>
      <c r="X119" s="42" t="s">
        <v>457</v>
      </c>
      <c r="Y119" s="42">
        <v>2310450</v>
      </c>
      <c r="Z119" s="42" t="s">
        <v>568</v>
      </c>
      <c r="AA119" s="42">
        <v>9</v>
      </c>
      <c r="AB119" s="42">
        <v>7</v>
      </c>
      <c r="AC119" s="42">
        <v>11186814</v>
      </c>
      <c r="AD119" s="42" t="s">
        <v>512</v>
      </c>
      <c r="AE119" s="42">
        <v>7</v>
      </c>
      <c r="AF119" s="42" t="s">
        <v>458</v>
      </c>
      <c r="AG119" s="42" t="s">
        <v>459</v>
      </c>
      <c r="AH119" s="42" t="s">
        <v>484</v>
      </c>
      <c r="AI119" s="42" t="s">
        <v>460</v>
      </c>
      <c r="AJ119" s="154">
        <v>42585</v>
      </c>
      <c r="AK119" s="42">
        <v>5</v>
      </c>
      <c r="AL119" s="154">
        <v>42585</v>
      </c>
      <c r="AM119" s="154">
        <v>45337</v>
      </c>
      <c r="AN119" s="42">
        <v>105</v>
      </c>
      <c r="AO119" s="154">
        <v>45337</v>
      </c>
      <c r="AP119" s="154">
        <v>45361</v>
      </c>
      <c r="AQ119" s="42"/>
      <c r="AR119" s="42"/>
      <c r="AS119" s="42"/>
      <c r="AT119" s="42"/>
      <c r="AU119" s="42"/>
      <c r="AV119" s="42"/>
      <c r="AW119" s="42"/>
      <c r="AX119" s="42"/>
    </row>
    <row r="120" spans="1:50" ht="12.75" customHeight="1">
      <c r="A120" s="42">
        <v>28963444</v>
      </c>
      <c r="B120" s="42" t="s">
        <v>882</v>
      </c>
      <c r="C120" s="42" t="s">
        <v>884</v>
      </c>
      <c r="D120" s="42" t="s">
        <v>886</v>
      </c>
      <c r="E120" s="42" t="s">
        <v>448</v>
      </c>
      <c r="F120" s="154">
        <v>23514</v>
      </c>
      <c r="G120" s="42" t="s">
        <v>1437</v>
      </c>
      <c r="H120" s="42">
        <v>2167981</v>
      </c>
      <c r="I120" s="42" t="s">
        <v>450</v>
      </c>
      <c r="J120" s="42"/>
      <c r="K120" s="42"/>
      <c r="L120" s="42"/>
      <c r="M120" s="42"/>
      <c r="N120" s="42"/>
      <c r="O120" s="42" t="s">
        <v>453</v>
      </c>
      <c r="P120" s="154">
        <v>42585</v>
      </c>
      <c r="Q120" s="154">
        <v>34257</v>
      </c>
      <c r="R120" s="42"/>
      <c r="S120" s="42">
        <v>5</v>
      </c>
      <c r="T120" s="42" t="s">
        <v>499</v>
      </c>
      <c r="U120" s="42">
        <v>11</v>
      </c>
      <c r="V120" s="42" t="s">
        <v>456</v>
      </c>
      <c r="W120" s="42">
        <v>1</v>
      </c>
      <c r="X120" s="42" t="s">
        <v>1370</v>
      </c>
      <c r="Y120" s="42">
        <v>0</v>
      </c>
      <c r="Z120" s="42" t="s">
        <v>500</v>
      </c>
      <c r="AA120" s="42">
        <v>0</v>
      </c>
      <c r="AB120" s="42">
        <v>24</v>
      </c>
      <c r="AC120" s="42"/>
      <c r="AD120" s="42" t="s">
        <v>529</v>
      </c>
      <c r="AE120" s="42">
        <v>45</v>
      </c>
      <c r="AF120" s="42" t="s">
        <v>458</v>
      </c>
      <c r="AG120" s="42" t="s">
        <v>459</v>
      </c>
      <c r="AH120" s="42" t="s">
        <v>49</v>
      </c>
      <c r="AI120" s="42" t="s">
        <v>460</v>
      </c>
      <c r="AJ120" s="154">
        <v>42585</v>
      </c>
      <c r="AK120" s="42">
        <v>2</v>
      </c>
      <c r="AL120" s="154">
        <v>42585</v>
      </c>
      <c r="AM120" s="154">
        <v>44914</v>
      </c>
      <c r="AN120" s="42">
        <v>497</v>
      </c>
      <c r="AO120" s="154">
        <v>44911</v>
      </c>
      <c r="AP120" s="154"/>
      <c r="AQ120" s="42"/>
      <c r="AR120" s="42"/>
      <c r="AS120" s="42"/>
      <c r="AT120" s="42"/>
      <c r="AU120" s="42"/>
      <c r="AV120" s="42"/>
      <c r="AW120" s="42"/>
      <c r="AX120" s="42"/>
    </row>
    <row r="121" spans="1:50" ht="12.75" customHeight="1">
      <c r="A121" s="42">
        <v>2968815</v>
      </c>
      <c r="B121" s="42" t="s">
        <v>870</v>
      </c>
      <c r="C121" s="42" t="s">
        <v>681</v>
      </c>
      <c r="D121" s="42" t="s">
        <v>1441</v>
      </c>
      <c r="E121" s="42" t="s">
        <v>448</v>
      </c>
      <c r="F121" s="154">
        <v>28591</v>
      </c>
      <c r="G121" s="42" t="s">
        <v>1442</v>
      </c>
      <c r="H121" s="42">
        <v>3168779076</v>
      </c>
      <c r="I121" s="42" t="s">
        <v>586</v>
      </c>
      <c r="J121" s="42"/>
      <c r="K121" s="42"/>
      <c r="L121" s="42"/>
      <c r="M121" s="42" t="s">
        <v>547</v>
      </c>
      <c r="N121" s="42" t="s">
        <v>452</v>
      </c>
      <c r="O121" s="42" t="s">
        <v>453</v>
      </c>
      <c r="P121" s="154">
        <v>45923</v>
      </c>
      <c r="Q121" s="154">
        <v>45923</v>
      </c>
      <c r="R121" s="154"/>
      <c r="S121" s="42">
        <v>5</v>
      </c>
      <c r="T121" s="42" t="s">
        <v>499</v>
      </c>
      <c r="U121" s="42">
        <v>18</v>
      </c>
      <c r="V121" s="42" t="s">
        <v>565</v>
      </c>
      <c r="W121" s="42">
        <v>3</v>
      </c>
      <c r="X121" s="42" t="s">
        <v>457</v>
      </c>
      <c r="Y121" s="42">
        <v>2310200</v>
      </c>
      <c r="Z121" s="42" t="s">
        <v>623</v>
      </c>
      <c r="AA121" s="42">
        <v>6</v>
      </c>
      <c r="AB121" s="42">
        <v>6</v>
      </c>
      <c r="AC121" s="42">
        <v>10208470</v>
      </c>
      <c r="AD121" s="42" t="s">
        <v>28</v>
      </c>
      <c r="AE121" s="42">
        <v>171</v>
      </c>
      <c r="AF121" s="42" t="s">
        <v>458</v>
      </c>
      <c r="AG121" s="42" t="s">
        <v>459</v>
      </c>
      <c r="AH121" s="42" t="s">
        <v>484</v>
      </c>
      <c r="AI121" s="42" t="s">
        <v>460</v>
      </c>
      <c r="AJ121" s="154">
        <v>45923</v>
      </c>
      <c r="AK121" s="42">
        <v>358</v>
      </c>
      <c r="AL121" s="154">
        <v>45922</v>
      </c>
      <c r="AM121" s="154"/>
      <c r="AN121" s="42"/>
      <c r="AO121" s="154"/>
      <c r="AP121" s="154"/>
      <c r="AQ121" s="42"/>
      <c r="AR121" s="42"/>
      <c r="AS121" s="42"/>
      <c r="AT121" s="42"/>
      <c r="AU121" s="42"/>
      <c r="AV121" s="42"/>
      <c r="AW121" s="42"/>
      <c r="AX121" s="42"/>
    </row>
    <row r="122" spans="1:50" ht="12.75" customHeight="1">
      <c r="A122" s="42">
        <v>30082628</v>
      </c>
      <c r="B122" s="42" t="s">
        <v>578</v>
      </c>
      <c r="C122" s="42" t="s">
        <v>685</v>
      </c>
      <c r="D122" s="42" t="s">
        <v>888</v>
      </c>
      <c r="E122" s="42" t="s">
        <v>481</v>
      </c>
      <c r="F122" s="154">
        <v>29014</v>
      </c>
      <c r="G122" s="42" t="s">
        <v>1444</v>
      </c>
      <c r="H122" s="42">
        <v>6638728</v>
      </c>
      <c r="I122" s="42" t="s">
        <v>450</v>
      </c>
      <c r="J122" s="42"/>
      <c r="K122" s="42"/>
      <c r="L122" s="42"/>
      <c r="M122" s="42" t="s">
        <v>451</v>
      </c>
      <c r="N122" s="42" t="s">
        <v>452</v>
      </c>
      <c r="O122" s="42" t="s">
        <v>453</v>
      </c>
      <c r="P122" s="154">
        <v>44148</v>
      </c>
      <c r="Q122" s="154">
        <v>44005</v>
      </c>
      <c r="R122" s="42"/>
      <c r="S122" s="42">
        <v>8</v>
      </c>
      <c r="T122" s="42" t="s">
        <v>466</v>
      </c>
      <c r="U122" s="42">
        <v>11</v>
      </c>
      <c r="V122" s="42" t="s">
        <v>456</v>
      </c>
      <c r="W122" s="42">
        <v>3</v>
      </c>
      <c r="X122" s="42" t="s">
        <v>457</v>
      </c>
      <c r="Y122" s="42">
        <v>2310430</v>
      </c>
      <c r="Z122" s="42" t="s">
        <v>494</v>
      </c>
      <c r="AA122" s="42">
        <v>222</v>
      </c>
      <c r="AB122" s="42">
        <v>19</v>
      </c>
      <c r="AC122" s="42">
        <v>6258912</v>
      </c>
      <c r="AD122" s="42" t="s">
        <v>51</v>
      </c>
      <c r="AE122" s="42">
        <v>69</v>
      </c>
      <c r="AF122" s="42" t="s">
        <v>458</v>
      </c>
      <c r="AG122" s="42" t="s">
        <v>459</v>
      </c>
      <c r="AH122" s="42" t="s">
        <v>49</v>
      </c>
      <c r="AI122" s="42" t="s">
        <v>460</v>
      </c>
      <c r="AJ122" s="154">
        <v>44148</v>
      </c>
      <c r="AK122" s="42">
        <v>111</v>
      </c>
      <c r="AL122" s="154">
        <v>44118</v>
      </c>
      <c r="AM122" s="154"/>
      <c r="AN122" s="42"/>
      <c r="AO122" s="154"/>
      <c r="AP122" s="154">
        <v>45901</v>
      </c>
      <c r="AQ122" s="42"/>
      <c r="AR122" s="42"/>
      <c r="AS122" s="42"/>
      <c r="AT122" s="42"/>
      <c r="AU122" s="42"/>
      <c r="AV122" s="42"/>
      <c r="AW122" s="42"/>
      <c r="AX122" s="42"/>
    </row>
    <row r="123" spans="1:50" ht="12.75" customHeight="1">
      <c r="A123" s="42">
        <v>30333406</v>
      </c>
      <c r="B123" s="42" t="s">
        <v>889</v>
      </c>
      <c r="C123" s="42" t="s">
        <v>890</v>
      </c>
      <c r="D123" s="42" t="s">
        <v>891</v>
      </c>
      <c r="E123" s="42" t="s">
        <v>448</v>
      </c>
      <c r="F123" s="154">
        <v>27388</v>
      </c>
      <c r="G123" s="42" t="s">
        <v>1446</v>
      </c>
      <c r="H123" s="42">
        <v>5365866</v>
      </c>
      <c r="I123" s="42" t="s">
        <v>450</v>
      </c>
      <c r="J123" s="42"/>
      <c r="K123" s="42"/>
      <c r="L123" s="42"/>
      <c r="M123" s="42" t="s">
        <v>451</v>
      </c>
      <c r="N123" s="42" t="s">
        <v>452</v>
      </c>
      <c r="O123" s="42" t="s">
        <v>453</v>
      </c>
      <c r="P123" s="154">
        <v>44396</v>
      </c>
      <c r="Q123" s="154">
        <v>44396</v>
      </c>
      <c r="R123" s="154"/>
      <c r="S123" s="42">
        <v>2</v>
      </c>
      <c r="T123" s="42" t="s">
        <v>455</v>
      </c>
      <c r="U123" s="42">
        <v>11</v>
      </c>
      <c r="V123" s="42" t="s">
        <v>456</v>
      </c>
      <c r="W123" s="42">
        <v>3</v>
      </c>
      <c r="X123" s="42" t="s">
        <v>457</v>
      </c>
      <c r="Y123" s="42">
        <v>2310440</v>
      </c>
      <c r="Z123" s="42" t="s">
        <v>628</v>
      </c>
      <c r="AA123" s="42">
        <v>219</v>
      </c>
      <c r="AB123" s="42">
        <v>1</v>
      </c>
      <c r="AC123" s="42">
        <v>3989530</v>
      </c>
      <c r="AD123" s="42" t="s">
        <v>72</v>
      </c>
      <c r="AE123" s="42">
        <v>111</v>
      </c>
      <c r="AF123" s="42" t="s">
        <v>458</v>
      </c>
      <c r="AG123" s="42" t="s">
        <v>459</v>
      </c>
      <c r="AH123" s="42" t="s">
        <v>49</v>
      </c>
      <c r="AI123" s="42" t="s">
        <v>460</v>
      </c>
      <c r="AJ123" s="154">
        <v>44396</v>
      </c>
      <c r="AK123" s="42">
        <v>120</v>
      </c>
      <c r="AL123" s="154">
        <v>44371</v>
      </c>
      <c r="AM123" s="154"/>
      <c r="AN123" s="42"/>
      <c r="AO123" s="154"/>
      <c r="AP123" s="154"/>
      <c r="AQ123" s="42"/>
      <c r="AR123" s="42"/>
      <c r="AS123" s="42"/>
      <c r="AT123" s="42"/>
      <c r="AU123" s="42"/>
      <c r="AV123" s="42"/>
      <c r="AW123" s="42"/>
      <c r="AX123" s="42"/>
    </row>
    <row r="124" spans="1:50" ht="12.75" customHeight="1">
      <c r="A124" s="42">
        <v>3085860</v>
      </c>
      <c r="B124" s="42" t="s">
        <v>469</v>
      </c>
      <c r="C124" s="42" t="s">
        <v>893</v>
      </c>
      <c r="D124" s="42" t="s">
        <v>894</v>
      </c>
      <c r="E124" s="42" t="s">
        <v>448</v>
      </c>
      <c r="F124" s="154">
        <v>24777</v>
      </c>
      <c r="G124" s="42" t="s">
        <v>1448</v>
      </c>
      <c r="H124" s="42">
        <v>5996161</v>
      </c>
      <c r="I124" s="42" t="s">
        <v>586</v>
      </c>
      <c r="J124" s="42"/>
      <c r="K124" s="42"/>
      <c r="L124" s="42"/>
      <c r="M124" s="42"/>
      <c r="N124" s="42"/>
      <c r="O124" s="42" t="s">
        <v>453</v>
      </c>
      <c r="P124" s="154">
        <v>42585</v>
      </c>
      <c r="Q124" s="154">
        <v>38443</v>
      </c>
      <c r="R124" s="154">
        <v>36332</v>
      </c>
      <c r="S124" s="42">
        <v>8</v>
      </c>
      <c r="T124" s="42" t="s">
        <v>466</v>
      </c>
      <c r="U124" s="42">
        <v>11</v>
      </c>
      <c r="V124" s="42" t="s">
        <v>456</v>
      </c>
      <c r="W124" s="42">
        <v>3</v>
      </c>
      <c r="X124" s="42" t="s">
        <v>457</v>
      </c>
      <c r="Y124" s="42">
        <v>2310450</v>
      </c>
      <c r="Z124" s="42" t="s">
        <v>568</v>
      </c>
      <c r="AA124" s="42">
        <v>222</v>
      </c>
      <c r="AB124" s="42">
        <v>27</v>
      </c>
      <c r="AC124" s="42">
        <v>7358647</v>
      </c>
      <c r="AD124" s="42" t="s">
        <v>51</v>
      </c>
      <c r="AE124" s="42">
        <v>33</v>
      </c>
      <c r="AF124" s="42" t="s">
        <v>458</v>
      </c>
      <c r="AG124" s="42" t="s">
        <v>459</v>
      </c>
      <c r="AH124" s="42" t="s">
        <v>644</v>
      </c>
      <c r="AI124" s="42" t="s">
        <v>460</v>
      </c>
      <c r="AJ124" s="154">
        <v>46286</v>
      </c>
      <c r="AK124" s="42">
        <v>391</v>
      </c>
      <c r="AL124" s="154">
        <v>46272</v>
      </c>
      <c r="AM124" s="154">
        <v>45880</v>
      </c>
      <c r="AN124" s="42">
        <v>441</v>
      </c>
      <c r="AO124" s="154">
        <v>45162</v>
      </c>
      <c r="AP124" s="154"/>
      <c r="AQ124" s="42"/>
      <c r="AR124" s="42"/>
      <c r="AS124" s="42"/>
      <c r="AT124" s="42"/>
      <c r="AU124" s="42"/>
      <c r="AV124" s="42"/>
      <c r="AW124" s="42"/>
      <c r="AX124" s="42"/>
    </row>
    <row r="125" spans="1:50" ht="12.75" customHeight="1">
      <c r="A125" s="42">
        <v>32702802</v>
      </c>
      <c r="B125" s="42" t="s">
        <v>893</v>
      </c>
      <c r="C125" s="42" t="s">
        <v>1452</v>
      </c>
      <c r="D125" s="42" t="s">
        <v>1453</v>
      </c>
      <c r="E125" s="42" t="s">
        <v>481</v>
      </c>
      <c r="F125" s="154">
        <v>24166</v>
      </c>
      <c r="G125" s="42" t="s">
        <v>1456</v>
      </c>
      <c r="H125" s="42">
        <v>3164531354</v>
      </c>
      <c r="I125" s="42" t="s">
        <v>450</v>
      </c>
      <c r="J125" s="42"/>
      <c r="K125" s="42"/>
      <c r="L125" s="42"/>
      <c r="M125" s="42" t="s">
        <v>448</v>
      </c>
      <c r="N125" s="42" t="s">
        <v>452</v>
      </c>
      <c r="O125" s="42" t="s">
        <v>453</v>
      </c>
      <c r="P125" s="154">
        <v>43878</v>
      </c>
      <c r="Q125" s="154">
        <v>43878</v>
      </c>
      <c r="R125" s="154"/>
      <c r="S125" s="42">
        <v>16</v>
      </c>
      <c r="T125" s="42" t="s">
        <v>1186</v>
      </c>
      <c r="U125" s="42">
        <v>11</v>
      </c>
      <c r="V125" s="42" t="s">
        <v>456</v>
      </c>
      <c r="W125" s="42">
        <v>3</v>
      </c>
      <c r="X125" s="42" t="s">
        <v>457</v>
      </c>
      <c r="Y125" s="42">
        <v>134</v>
      </c>
      <c r="Z125" s="42" t="s">
        <v>500</v>
      </c>
      <c r="AA125" s="42">
        <v>314</v>
      </c>
      <c r="AB125" s="42">
        <v>15</v>
      </c>
      <c r="AC125" s="42">
        <v>4226650</v>
      </c>
      <c r="AD125" s="42" t="s">
        <v>517</v>
      </c>
      <c r="AE125" s="42">
        <v>134</v>
      </c>
      <c r="AF125" s="42" t="s">
        <v>458</v>
      </c>
      <c r="AG125" s="42" t="s">
        <v>459</v>
      </c>
      <c r="AH125" s="42" t="s">
        <v>188</v>
      </c>
      <c r="AI125" s="42" t="s">
        <v>460</v>
      </c>
      <c r="AJ125" s="154">
        <v>43878</v>
      </c>
      <c r="AK125" s="42">
        <v>30</v>
      </c>
      <c r="AL125" s="154">
        <v>43875</v>
      </c>
      <c r="AM125" s="154"/>
      <c r="AN125" s="42"/>
      <c r="AO125" s="154"/>
      <c r="AP125" s="154">
        <v>44143</v>
      </c>
      <c r="AQ125" s="42"/>
      <c r="AR125" s="42"/>
      <c r="AS125" s="42"/>
      <c r="AT125" s="42"/>
      <c r="AU125" s="42"/>
      <c r="AV125" s="42"/>
      <c r="AW125" s="42"/>
      <c r="AX125" s="42"/>
    </row>
    <row r="126" spans="1:50" ht="12.75" customHeight="1">
      <c r="A126" s="42">
        <v>33368317</v>
      </c>
      <c r="B126" s="42" t="s">
        <v>569</v>
      </c>
      <c r="C126" s="42" t="s">
        <v>896</v>
      </c>
      <c r="D126" s="42" t="s">
        <v>897</v>
      </c>
      <c r="E126" s="42" t="s">
        <v>448</v>
      </c>
      <c r="F126" s="154">
        <v>30381</v>
      </c>
      <c r="G126" s="42" t="s">
        <v>1460</v>
      </c>
      <c r="H126" s="42">
        <v>4744661</v>
      </c>
      <c r="I126" s="42" t="s">
        <v>450</v>
      </c>
      <c r="J126" s="42"/>
      <c r="K126" s="42"/>
      <c r="L126" s="42"/>
      <c r="M126" s="42" t="s">
        <v>448</v>
      </c>
      <c r="N126" s="42" t="s">
        <v>452</v>
      </c>
      <c r="O126" s="42" t="s">
        <v>453</v>
      </c>
      <c r="P126" s="154">
        <v>44774</v>
      </c>
      <c r="Q126" s="154">
        <v>44774</v>
      </c>
      <c r="R126" s="42"/>
      <c r="S126" s="42">
        <v>5</v>
      </c>
      <c r="T126" s="42" t="s">
        <v>499</v>
      </c>
      <c r="U126" s="42">
        <v>11</v>
      </c>
      <c r="V126" s="42" t="s">
        <v>456</v>
      </c>
      <c r="W126" s="42">
        <v>19</v>
      </c>
      <c r="X126" s="42" t="s">
        <v>575</v>
      </c>
      <c r="Y126" s="42">
        <v>2310440</v>
      </c>
      <c r="Z126" s="42" t="s">
        <v>628</v>
      </c>
      <c r="AA126" s="42">
        <v>440</v>
      </c>
      <c r="AB126" s="42">
        <v>9</v>
      </c>
      <c r="AC126" s="42">
        <v>2675559</v>
      </c>
      <c r="AD126" s="42" t="s">
        <v>29</v>
      </c>
      <c r="AE126" s="42">
        <v>164</v>
      </c>
      <c r="AF126" s="42" t="s">
        <v>458</v>
      </c>
      <c r="AG126" s="42" t="s">
        <v>459</v>
      </c>
      <c r="AH126" s="42" t="s">
        <v>188</v>
      </c>
      <c r="AI126" s="42" t="s">
        <v>460</v>
      </c>
      <c r="AJ126" s="154">
        <v>44774</v>
      </c>
      <c r="AK126" s="42">
        <v>265</v>
      </c>
      <c r="AL126" s="154">
        <v>44771</v>
      </c>
      <c r="AM126" s="154"/>
      <c r="AN126" s="42"/>
      <c r="AO126" s="154"/>
      <c r="AP126" s="154"/>
      <c r="AQ126" s="42"/>
      <c r="AR126" s="42"/>
      <c r="AS126" s="42"/>
      <c r="AT126" s="42"/>
      <c r="AU126" s="42"/>
      <c r="AV126" s="42"/>
      <c r="AW126" s="42"/>
      <c r="AX126" s="42"/>
    </row>
    <row r="127" spans="1:50" ht="12.75" customHeight="1">
      <c r="A127" s="42">
        <v>35312719</v>
      </c>
      <c r="B127" s="42" t="s">
        <v>1464</v>
      </c>
      <c r="C127" s="42" t="s">
        <v>712</v>
      </c>
      <c r="D127" s="42" t="s">
        <v>1465</v>
      </c>
      <c r="E127" s="42" t="s">
        <v>481</v>
      </c>
      <c r="F127" s="154">
        <v>20842</v>
      </c>
      <c r="G127" s="42" t="s">
        <v>1466</v>
      </c>
      <c r="H127" s="42">
        <v>7675038</v>
      </c>
      <c r="I127" s="42" t="s">
        <v>450</v>
      </c>
      <c r="J127" s="42"/>
      <c r="K127" s="42"/>
      <c r="L127" s="42"/>
      <c r="M127" s="42"/>
      <c r="N127" s="42"/>
      <c r="O127" s="42" t="s">
        <v>453</v>
      </c>
      <c r="P127" s="154">
        <v>42585</v>
      </c>
      <c r="Q127" s="154">
        <v>34265</v>
      </c>
      <c r="R127" s="154"/>
      <c r="S127" s="42">
        <v>21</v>
      </c>
      <c r="T127" s="42" t="s">
        <v>1467</v>
      </c>
      <c r="U127" s="42">
        <v>23</v>
      </c>
      <c r="V127" s="42" t="s">
        <v>669</v>
      </c>
      <c r="W127" s="42">
        <v>23</v>
      </c>
      <c r="X127" s="42" t="s">
        <v>473</v>
      </c>
      <c r="Y127" s="42">
        <v>2310470</v>
      </c>
      <c r="Z127" s="42" t="s">
        <v>477</v>
      </c>
      <c r="AA127" s="42">
        <v>222</v>
      </c>
      <c r="AB127" s="42">
        <v>24</v>
      </c>
      <c r="AC127" s="42">
        <v>6809900</v>
      </c>
      <c r="AD127" s="42" t="s">
        <v>51</v>
      </c>
      <c r="AE127" s="42">
        <v>60</v>
      </c>
      <c r="AF127" s="42" t="s">
        <v>458</v>
      </c>
      <c r="AG127" s="42" t="s">
        <v>459</v>
      </c>
      <c r="AH127" s="42" t="s">
        <v>49</v>
      </c>
      <c r="AI127" s="42" t="s">
        <v>460</v>
      </c>
      <c r="AJ127" s="154">
        <v>42585</v>
      </c>
      <c r="AK127" s="42">
        <v>2</v>
      </c>
      <c r="AL127" s="154">
        <v>42585</v>
      </c>
      <c r="AM127" s="154">
        <v>42703</v>
      </c>
      <c r="AN127" s="42">
        <v>71</v>
      </c>
      <c r="AO127" s="154">
        <v>42702</v>
      </c>
      <c r="AP127" s="154">
        <v>43198</v>
      </c>
      <c r="AQ127" s="42"/>
      <c r="AR127" s="42"/>
      <c r="AS127" s="42"/>
      <c r="AT127" s="42"/>
      <c r="AU127" s="42"/>
      <c r="AV127" s="42"/>
      <c r="AW127" s="42"/>
      <c r="AX127" s="42"/>
    </row>
    <row r="128" spans="1:50" ht="12.75" customHeight="1">
      <c r="A128" s="42">
        <v>35337860</v>
      </c>
      <c r="B128" s="42" t="s">
        <v>1468</v>
      </c>
      <c r="C128" s="42" t="s">
        <v>878</v>
      </c>
      <c r="D128" s="42" t="s">
        <v>1469</v>
      </c>
      <c r="E128" s="42" t="s">
        <v>481</v>
      </c>
      <c r="F128" s="154">
        <v>20373</v>
      </c>
      <c r="G128" s="42" t="s">
        <v>1470</v>
      </c>
      <c r="H128" s="42" t="s">
        <v>1471</v>
      </c>
      <c r="I128" s="42" t="s">
        <v>450</v>
      </c>
      <c r="J128" s="42"/>
      <c r="K128" s="42"/>
      <c r="L128" s="42"/>
      <c r="M128" s="42"/>
      <c r="N128" s="42"/>
      <c r="O128" s="42" t="s">
        <v>453</v>
      </c>
      <c r="P128" s="154">
        <v>42585</v>
      </c>
      <c r="Q128" s="154">
        <v>38443</v>
      </c>
      <c r="R128" s="154"/>
      <c r="S128" s="42">
        <v>8</v>
      </c>
      <c r="T128" s="42" t="s">
        <v>466</v>
      </c>
      <c r="U128" s="42">
        <v>11</v>
      </c>
      <c r="V128" s="42" t="s">
        <v>456</v>
      </c>
      <c r="W128" s="42">
        <v>3</v>
      </c>
      <c r="X128" s="42" t="s">
        <v>457</v>
      </c>
      <c r="Y128" s="42">
        <v>2311000</v>
      </c>
      <c r="Z128" s="42" t="s">
        <v>467</v>
      </c>
      <c r="AA128" s="42">
        <v>407</v>
      </c>
      <c r="AB128" s="42">
        <v>17</v>
      </c>
      <c r="AC128" s="42">
        <v>3436326</v>
      </c>
      <c r="AD128" s="42" t="s">
        <v>146</v>
      </c>
      <c r="AE128" s="42">
        <v>143</v>
      </c>
      <c r="AF128" s="42" t="s">
        <v>458</v>
      </c>
      <c r="AG128" s="42" t="s">
        <v>459</v>
      </c>
      <c r="AH128" s="42" t="s">
        <v>188</v>
      </c>
      <c r="AI128" s="42" t="s">
        <v>460</v>
      </c>
      <c r="AJ128" s="154">
        <v>42585</v>
      </c>
      <c r="AK128" s="42">
        <v>2</v>
      </c>
      <c r="AL128" s="154">
        <v>42585</v>
      </c>
      <c r="AM128" s="154"/>
      <c r="AN128" s="42"/>
      <c r="AO128" s="154"/>
      <c r="AP128" s="154">
        <v>42613</v>
      </c>
      <c r="AQ128" s="42"/>
      <c r="AR128" s="42"/>
      <c r="AS128" s="42"/>
      <c r="AT128" s="42"/>
      <c r="AU128" s="42"/>
      <c r="AV128" s="42"/>
      <c r="AW128" s="42"/>
      <c r="AX128" s="42"/>
    </row>
    <row r="129" spans="1:50" ht="12.75" customHeight="1">
      <c r="A129" s="42">
        <v>35415925</v>
      </c>
      <c r="B129" s="42" t="s">
        <v>1474</v>
      </c>
      <c r="C129" s="42" t="s">
        <v>1475</v>
      </c>
      <c r="D129" s="42" t="s">
        <v>1476</v>
      </c>
      <c r="E129" s="42" t="s">
        <v>448</v>
      </c>
      <c r="F129" s="154">
        <v>26617</v>
      </c>
      <c r="G129" s="42" t="s">
        <v>1477</v>
      </c>
      <c r="H129" s="42">
        <v>6018210269</v>
      </c>
      <c r="I129" s="42" t="s">
        <v>450</v>
      </c>
      <c r="J129" s="42"/>
      <c r="K129" s="42"/>
      <c r="L129" s="42"/>
      <c r="M129" s="42" t="s">
        <v>451</v>
      </c>
      <c r="N129" s="42" t="s">
        <v>452</v>
      </c>
      <c r="O129" s="42" t="s">
        <v>453</v>
      </c>
      <c r="P129" s="154">
        <v>46275</v>
      </c>
      <c r="Q129" s="154">
        <v>46275</v>
      </c>
      <c r="R129" s="154"/>
      <c r="S129" s="42">
        <v>2</v>
      </c>
      <c r="T129" s="42" t="s">
        <v>455</v>
      </c>
      <c r="U129" s="42">
        <v>11</v>
      </c>
      <c r="V129" s="42" t="s">
        <v>456</v>
      </c>
      <c r="W129" s="42">
        <v>18</v>
      </c>
      <c r="X129" s="42" t="s">
        <v>536</v>
      </c>
      <c r="Y129" s="42">
        <v>2311000</v>
      </c>
      <c r="Z129" s="42" t="s">
        <v>467</v>
      </c>
      <c r="AA129" s="42">
        <v>470</v>
      </c>
      <c r="AB129" s="42">
        <v>3</v>
      </c>
      <c r="AC129" s="42">
        <v>2188251</v>
      </c>
      <c r="AD129" s="42" t="s">
        <v>813</v>
      </c>
      <c r="AE129" s="42">
        <v>170</v>
      </c>
      <c r="AF129" s="42" t="s">
        <v>458</v>
      </c>
      <c r="AG129" s="42" t="s">
        <v>459</v>
      </c>
      <c r="AH129" s="42" t="s">
        <v>188</v>
      </c>
      <c r="AI129" s="42" t="s">
        <v>460</v>
      </c>
      <c r="AJ129" s="154">
        <v>46275</v>
      </c>
      <c r="AK129" s="42">
        <v>373</v>
      </c>
      <c r="AL129" s="154">
        <v>46261</v>
      </c>
      <c r="AM129" s="154"/>
      <c r="AN129" s="42"/>
      <c r="AO129" s="154"/>
      <c r="AP129" s="154"/>
      <c r="AQ129" s="42"/>
      <c r="AR129" s="42"/>
      <c r="AS129" s="42"/>
      <c r="AT129" s="42"/>
      <c r="AU129" s="42"/>
      <c r="AV129" s="42"/>
      <c r="AW129" s="42"/>
      <c r="AX129" s="42"/>
    </row>
    <row r="130" spans="1:50" ht="12.75" customHeight="1">
      <c r="A130" s="42">
        <v>80851299</v>
      </c>
      <c r="B130" s="42" t="s">
        <v>2182</v>
      </c>
      <c r="C130" s="42" t="s">
        <v>2183</v>
      </c>
      <c r="D130" s="42" t="s">
        <v>2184</v>
      </c>
      <c r="E130" s="42" t="s">
        <v>481</v>
      </c>
      <c r="F130" s="154">
        <v>30966</v>
      </c>
      <c r="G130" s="42" t="s">
        <v>2185</v>
      </c>
      <c r="H130" s="42">
        <v>3134523004</v>
      </c>
      <c r="I130" s="42" t="s">
        <v>586</v>
      </c>
      <c r="J130" s="42"/>
      <c r="K130" s="42"/>
      <c r="L130" s="42"/>
      <c r="M130" s="42" t="s">
        <v>451</v>
      </c>
      <c r="N130" s="42" t="s">
        <v>452</v>
      </c>
      <c r="O130" s="42" t="s">
        <v>453</v>
      </c>
      <c r="P130" s="154">
        <v>45372</v>
      </c>
      <c r="Q130" s="154">
        <v>45372</v>
      </c>
      <c r="R130" s="154"/>
      <c r="S130" s="42">
        <v>26</v>
      </c>
      <c r="T130" s="42" t="s">
        <v>528</v>
      </c>
      <c r="U130" s="42">
        <v>31</v>
      </c>
      <c r="V130" s="42" t="s">
        <v>1038</v>
      </c>
      <c r="W130" s="42">
        <v>3</v>
      </c>
      <c r="X130" s="42" t="s">
        <v>457</v>
      </c>
      <c r="Y130" s="42">
        <v>2311000</v>
      </c>
      <c r="Z130" s="42" t="s">
        <v>467</v>
      </c>
      <c r="AA130" s="42">
        <v>9</v>
      </c>
      <c r="AB130" s="42">
        <v>7</v>
      </c>
      <c r="AC130" s="42">
        <v>11186814</v>
      </c>
      <c r="AD130" s="42" t="s">
        <v>512</v>
      </c>
      <c r="AE130" s="42">
        <v>8</v>
      </c>
      <c r="AF130" s="42" t="s">
        <v>458</v>
      </c>
      <c r="AG130" s="42" t="s">
        <v>459</v>
      </c>
      <c r="AH130" s="42" t="s">
        <v>484</v>
      </c>
      <c r="AI130" s="42" t="s">
        <v>460</v>
      </c>
      <c r="AJ130" s="154">
        <v>45372</v>
      </c>
      <c r="AK130" s="42">
        <v>172</v>
      </c>
      <c r="AL130" s="154">
        <v>45371</v>
      </c>
      <c r="AM130" s="154"/>
      <c r="AN130" s="42"/>
      <c r="AO130" s="154"/>
      <c r="AP130" s="154">
        <v>45796</v>
      </c>
      <c r="AQ130" s="42"/>
      <c r="AR130" s="42"/>
      <c r="AS130" s="42"/>
      <c r="AT130" s="42"/>
      <c r="AU130" s="42"/>
      <c r="AV130" s="42"/>
      <c r="AW130" s="42"/>
      <c r="AX130" s="42"/>
    </row>
    <row r="131" spans="1:50" ht="12.75" customHeight="1">
      <c r="A131" s="42">
        <v>80854795</v>
      </c>
      <c r="B131" s="42" t="s">
        <v>578</v>
      </c>
      <c r="C131" s="42" t="s">
        <v>2187</v>
      </c>
      <c r="D131" s="42" t="s">
        <v>2188</v>
      </c>
      <c r="E131" s="42" t="s">
        <v>481</v>
      </c>
      <c r="F131" s="154">
        <v>31409</v>
      </c>
      <c r="G131" s="42" t="s">
        <v>2190</v>
      </c>
      <c r="H131" s="42">
        <v>4762168</v>
      </c>
      <c r="I131" s="42" t="s">
        <v>586</v>
      </c>
      <c r="J131" s="42">
        <v>80854795</v>
      </c>
      <c r="K131" s="42">
        <v>2</v>
      </c>
      <c r="L131" s="42"/>
      <c r="M131" s="42" t="s">
        <v>448</v>
      </c>
      <c r="N131" s="42" t="s">
        <v>452</v>
      </c>
      <c r="O131" s="42" t="s">
        <v>453</v>
      </c>
      <c r="P131" s="154">
        <v>44299</v>
      </c>
      <c r="Q131" s="154">
        <v>44299</v>
      </c>
      <c r="R131" s="154"/>
      <c r="S131" s="42">
        <v>8</v>
      </c>
      <c r="T131" s="42" t="s">
        <v>466</v>
      </c>
      <c r="U131" s="42">
        <v>11</v>
      </c>
      <c r="V131" s="42" t="s">
        <v>456</v>
      </c>
      <c r="W131" s="42">
        <v>18</v>
      </c>
      <c r="X131" s="42" t="s">
        <v>536</v>
      </c>
      <c r="Y131" s="42">
        <v>2310450</v>
      </c>
      <c r="Z131" s="42" t="s">
        <v>568</v>
      </c>
      <c r="AA131" s="42">
        <v>219</v>
      </c>
      <c r="AB131" s="42">
        <v>18</v>
      </c>
      <c r="AC131" s="42">
        <v>5951245</v>
      </c>
      <c r="AD131" s="42" t="s">
        <v>72</v>
      </c>
      <c r="AE131" s="42">
        <v>84</v>
      </c>
      <c r="AF131" s="42" t="s">
        <v>458</v>
      </c>
      <c r="AG131" s="42" t="s">
        <v>459</v>
      </c>
      <c r="AH131" s="42" t="s">
        <v>188</v>
      </c>
      <c r="AI131" s="42" t="s">
        <v>460</v>
      </c>
      <c r="AJ131" s="154">
        <v>44299</v>
      </c>
      <c r="AK131" s="42">
        <v>71</v>
      </c>
      <c r="AL131" s="154">
        <v>44298</v>
      </c>
      <c r="AM131" s="154"/>
      <c r="AN131" s="42"/>
      <c r="AO131" s="154"/>
      <c r="AP131" s="154">
        <v>44773</v>
      </c>
      <c r="AQ131" s="42"/>
      <c r="AR131" s="42"/>
      <c r="AS131" s="42"/>
      <c r="AT131" s="42"/>
      <c r="AU131" s="42"/>
      <c r="AV131" s="42"/>
      <c r="AW131" s="42"/>
      <c r="AX131" s="42"/>
    </row>
    <row r="132" spans="1:50" ht="12.75" customHeight="1">
      <c r="A132" s="42">
        <v>80872961</v>
      </c>
      <c r="B132" s="42" t="s">
        <v>1119</v>
      </c>
      <c r="C132" s="42" t="s">
        <v>849</v>
      </c>
      <c r="D132" s="42" t="s">
        <v>1120</v>
      </c>
      <c r="E132" s="42" t="s">
        <v>448</v>
      </c>
      <c r="F132" s="154">
        <v>31085</v>
      </c>
      <c r="G132" s="42" t="s">
        <v>2193</v>
      </c>
      <c r="H132" s="42">
        <v>3007877517</v>
      </c>
      <c r="I132" s="42" t="s">
        <v>586</v>
      </c>
      <c r="J132" s="42"/>
      <c r="K132" s="42"/>
      <c r="L132" s="42"/>
      <c r="M132" s="42" t="s">
        <v>451</v>
      </c>
      <c r="N132" s="42" t="s">
        <v>452</v>
      </c>
      <c r="O132" s="42" t="s">
        <v>453</v>
      </c>
      <c r="P132" s="154">
        <v>45337</v>
      </c>
      <c r="Q132" s="154">
        <v>45337</v>
      </c>
      <c r="R132" s="42"/>
      <c r="S132" s="42">
        <v>6</v>
      </c>
      <c r="T132" s="42" t="s">
        <v>511</v>
      </c>
      <c r="U132" s="42">
        <v>19</v>
      </c>
      <c r="V132" s="42" t="s">
        <v>574</v>
      </c>
      <c r="W132" s="42">
        <v>3</v>
      </c>
      <c r="X132" s="42" t="s">
        <v>457</v>
      </c>
      <c r="Y132" s="42">
        <v>2300100</v>
      </c>
      <c r="Z132" s="42" t="s">
        <v>483</v>
      </c>
      <c r="AA132" s="42">
        <v>20</v>
      </c>
      <c r="AB132" s="42">
        <v>9</v>
      </c>
      <c r="AC132" s="42">
        <v>14052600</v>
      </c>
      <c r="AD132" s="42" t="s">
        <v>1121</v>
      </c>
      <c r="AE132" s="42">
        <v>1</v>
      </c>
      <c r="AF132" s="42" t="s">
        <v>458</v>
      </c>
      <c r="AG132" s="42" t="s">
        <v>459</v>
      </c>
      <c r="AH132" s="42" t="s">
        <v>484</v>
      </c>
      <c r="AI132" s="42" t="s">
        <v>460</v>
      </c>
      <c r="AJ132" s="154">
        <v>45337</v>
      </c>
      <c r="AK132" s="42">
        <v>69</v>
      </c>
      <c r="AL132" s="154">
        <v>45337</v>
      </c>
      <c r="AM132" s="154"/>
      <c r="AN132" s="42"/>
      <c r="AO132" s="154"/>
      <c r="AP132" s="154"/>
      <c r="AQ132" s="42"/>
      <c r="AR132" s="42"/>
      <c r="AS132" s="42"/>
      <c r="AT132" s="42"/>
      <c r="AU132" s="42"/>
      <c r="AV132" s="42"/>
      <c r="AW132" s="42"/>
      <c r="AX132" s="42"/>
    </row>
    <row r="133" spans="1:50" ht="12.75" customHeight="1">
      <c r="A133" s="42">
        <v>83169105</v>
      </c>
      <c r="B133" s="42" t="s">
        <v>829</v>
      </c>
      <c r="C133" s="42" t="s">
        <v>631</v>
      </c>
      <c r="D133" s="42" t="s">
        <v>2194</v>
      </c>
      <c r="E133" s="42" t="s">
        <v>481</v>
      </c>
      <c r="F133" s="154">
        <v>29152</v>
      </c>
      <c r="G133" s="42" t="s">
        <v>2196</v>
      </c>
      <c r="H133" s="42">
        <v>8224457</v>
      </c>
      <c r="I133" s="42" t="s">
        <v>586</v>
      </c>
      <c r="J133" s="42">
        <v>83169105</v>
      </c>
      <c r="K133" s="42">
        <v>2</v>
      </c>
      <c r="L133" s="42"/>
      <c r="M133" s="42" t="s">
        <v>448</v>
      </c>
      <c r="N133" s="42" t="s">
        <v>452</v>
      </c>
      <c r="O133" s="42" t="s">
        <v>453</v>
      </c>
      <c r="P133" s="154">
        <v>44200</v>
      </c>
      <c r="Q133" s="154">
        <v>44200</v>
      </c>
      <c r="R133" s="42"/>
      <c r="S133" s="42">
        <v>8</v>
      </c>
      <c r="T133" s="42" t="s">
        <v>466</v>
      </c>
      <c r="U133" s="42">
        <v>11</v>
      </c>
      <c r="V133" s="42" t="s">
        <v>456</v>
      </c>
      <c r="W133" s="42">
        <v>3</v>
      </c>
      <c r="X133" s="42" t="s">
        <v>457</v>
      </c>
      <c r="Y133" s="42">
        <v>2310470</v>
      </c>
      <c r="Z133" s="42" t="s">
        <v>477</v>
      </c>
      <c r="AA133" s="42">
        <v>219</v>
      </c>
      <c r="AB133" s="42">
        <v>18</v>
      </c>
      <c r="AC133" s="42">
        <v>5951245</v>
      </c>
      <c r="AD133" s="42" t="s">
        <v>72</v>
      </c>
      <c r="AE133" s="42">
        <v>89</v>
      </c>
      <c r="AF133" s="42" t="s">
        <v>458</v>
      </c>
      <c r="AG133" s="42" t="s">
        <v>459</v>
      </c>
      <c r="AH133" s="42" t="s">
        <v>49</v>
      </c>
      <c r="AI133" s="42" t="s">
        <v>460</v>
      </c>
      <c r="AJ133" s="154">
        <v>44200</v>
      </c>
      <c r="AK133" s="42">
        <v>168</v>
      </c>
      <c r="AL133" s="154">
        <v>44124</v>
      </c>
      <c r="AM133" s="154">
        <v>45026</v>
      </c>
      <c r="AN133" s="42">
        <v>187</v>
      </c>
      <c r="AO133" s="154">
        <v>45012</v>
      </c>
      <c r="AP133" s="154">
        <v>45812</v>
      </c>
      <c r="AQ133" s="42"/>
      <c r="AR133" s="42"/>
      <c r="AS133" s="42"/>
      <c r="AT133" s="42"/>
      <c r="AU133" s="42"/>
      <c r="AV133" s="42"/>
      <c r="AW133" s="42"/>
      <c r="AX133" s="42"/>
    </row>
    <row r="134" spans="1:50" ht="12.75" customHeight="1">
      <c r="A134" s="42">
        <v>8526853</v>
      </c>
      <c r="B134" s="42" t="s">
        <v>1122</v>
      </c>
      <c r="C134" s="42" t="s">
        <v>1123</v>
      </c>
      <c r="D134" s="42" t="s">
        <v>1124</v>
      </c>
      <c r="E134" s="42" t="s">
        <v>448</v>
      </c>
      <c r="F134" s="154">
        <v>30518</v>
      </c>
      <c r="G134" s="42" t="s">
        <v>2197</v>
      </c>
      <c r="H134" s="42">
        <v>3004530277</v>
      </c>
      <c r="I134" s="42" t="s">
        <v>586</v>
      </c>
      <c r="J134" s="42"/>
      <c r="K134" s="42"/>
      <c r="L134" s="42"/>
      <c r="M134" s="42" t="s">
        <v>448</v>
      </c>
      <c r="N134" s="42" t="s">
        <v>452</v>
      </c>
      <c r="O134" s="42" t="s">
        <v>453</v>
      </c>
      <c r="P134" s="154">
        <v>45048</v>
      </c>
      <c r="Q134" s="154">
        <v>45048</v>
      </c>
      <c r="R134" s="42"/>
      <c r="S134" s="42">
        <v>5</v>
      </c>
      <c r="T134" s="42" t="s">
        <v>499</v>
      </c>
      <c r="U134" s="42">
        <v>11</v>
      </c>
      <c r="V134" s="42" t="s">
        <v>456</v>
      </c>
      <c r="W134" s="42">
        <v>3</v>
      </c>
      <c r="X134" s="42" t="s">
        <v>457</v>
      </c>
      <c r="Y134" s="42">
        <v>2310450</v>
      </c>
      <c r="Z134" s="42" t="s">
        <v>568</v>
      </c>
      <c r="AA134" s="42">
        <v>222</v>
      </c>
      <c r="AB134" s="42">
        <v>20</v>
      </c>
      <c r="AC134" s="42">
        <v>6405934</v>
      </c>
      <c r="AD134" s="42" t="s">
        <v>51</v>
      </c>
      <c r="AE134" s="42">
        <v>67</v>
      </c>
      <c r="AF134" s="42" t="s">
        <v>458</v>
      </c>
      <c r="AG134" s="42" t="s">
        <v>459</v>
      </c>
      <c r="AH134" s="42" t="s">
        <v>49</v>
      </c>
      <c r="AI134" s="42" t="s">
        <v>460</v>
      </c>
      <c r="AJ134" s="154">
        <v>45048</v>
      </c>
      <c r="AK134" s="42">
        <v>192</v>
      </c>
      <c r="AL134" s="154">
        <v>45013</v>
      </c>
      <c r="AM134" s="154">
        <v>45779</v>
      </c>
      <c r="AN134" s="42">
        <v>162</v>
      </c>
      <c r="AO134" s="154">
        <v>45772</v>
      </c>
      <c r="AP134" s="154"/>
      <c r="AQ134" s="42"/>
      <c r="AR134" s="42"/>
      <c r="AS134" s="42"/>
      <c r="AT134" s="42"/>
      <c r="AU134" s="42"/>
      <c r="AV134" s="42"/>
      <c r="AW134" s="42"/>
      <c r="AX134" s="42"/>
    </row>
    <row r="135" spans="1:50" ht="12.75" customHeight="1">
      <c r="A135" s="42">
        <v>86058268</v>
      </c>
      <c r="B135" s="42" t="s">
        <v>1125</v>
      </c>
      <c r="C135" s="42" t="s">
        <v>722</v>
      </c>
      <c r="D135" s="42" t="s">
        <v>1126</v>
      </c>
      <c r="E135" s="42" t="s">
        <v>448</v>
      </c>
      <c r="F135" s="154">
        <v>28754</v>
      </c>
      <c r="G135" s="42" t="s">
        <v>2198</v>
      </c>
      <c r="H135" s="42">
        <v>4724266</v>
      </c>
      <c r="I135" s="42" t="s">
        <v>586</v>
      </c>
      <c r="J135" s="42">
        <v>86058268</v>
      </c>
      <c r="K135" s="42">
        <v>2</v>
      </c>
      <c r="L135" s="42"/>
      <c r="M135" s="42" t="s">
        <v>451</v>
      </c>
      <c r="N135" s="42" t="s">
        <v>452</v>
      </c>
      <c r="O135" s="42" t="s">
        <v>453</v>
      </c>
      <c r="P135" s="154">
        <v>44152</v>
      </c>
      <c r="Q135" s="154">
        <v>44152</v>
      </c>
      <c r="R135" s="154">
        <v>43969</v>
      </c>
      <c r="S135" s="42">
        <v>5</v>
      </c>
      <c r="T135" s="42" t="s">
        <v>499</v>
      </c>
      <c r="U135" s="42">
        <v>11</v>
      </c>
      <c r="V135" s="42" t="s">
        <v>456</v>
      </c>
      <c r="W135" s="42">
        <v>3</v>
      </c>
      <c r="X135" s="42" t="s">
        <v>457</v>
      </c>
      <c r="Y135" s="42">
        <v>2310200</v>
      </c>
      <c r="Z135" s="42" t="s">
        <v>623</v>
      </c>
      <c r="AA135" s="42">
        <v>222</v>
      </c>
      <c r="AB135" s="42">
        <v>24</v>
      </c>
      <c r="AC135" s="42">
        <v>6809900</v>
      </c>
      <c r="AD135" s="42" t="s">
        <v>51</v>
      </c>
      <c r="AE135" s="42">
        <v>54</v>
      </c>
      <c r="AF135" s="42" t="s">
        <v>458</v>
      </c>
      <c r="AG135" s="42" t="s">
        <v>459</v>
      </c>
      <c r="AH135" s="42" t="s">
        <v>49</v>
      </c>
      <c r="AI135" s="42" t="s">
        <v>460</v>
      </c>
      <c r="AJ135" s="154">
        <v>44152</v>
      </c>
      <c r="AK135" s="42">
        <v>195</v>
      </c>
      <c r="AL135" s="154">
        <v>44124</v>
      </c>
      <c r="AM135" s="154">
        <v>45505</v>
      </c>
      <c r="AN135" s="42">
        <v>359</v>
      </c>
      <c r="AO135" s="154">
        <v>45499</v>
      </c>
      <c r="AP135" s="154"/>
      <c r="AQ135" s="42"/>
      <c r="AR135" s="42"/>
      <c r="AS135" s="42"/>
      <c r="AT135" s="42"/>
      <c r="AU135" s="42"/>
      <c r="AV135" s="42"/>
      <c r="AW135" s="42"/>
      <c r="AX135" s="42"/>
    </row>
    <row r="136" spans="1:50" ht="12.75" customHeight="1">
      <c r="A136" s="42">
        <v>8740572</v>
      </c>
      <c r="B136" s="42" t="s">
        <v>2200</v>
      </c>
      <c r="C136" s="42" t="s">
        <v>1549</v>
      </c>
      <c r="D136" s="42" t="s">
        <v>2201</v>
      </c>
      <c r="E136" s="42" t="s">
        <v>481</v>
      </c>
      <c r="F136" s="154">
        <v>23501</v>
      </c>
      <c r="G136" s="42" t="s">
        <v>2202</v>
      </c>
      <c r="H136" s="42">
        <v>9004209</v>
      </c>
      <c r="I136" s="42" t="s">
        <v>586</v>
      </c>
      <c r="J136" s="42"/>
      <c r="K136" s="42"/>
      <c r="L136" s="42"/>
      <c r="M136" s="42" t="s">
        <v>451</v>
      </c>
      <c r="N136" s="42" t="s">
        <v>452</v>
      </c>
      <c r="O136" s="42" t="s">
        <v>453</v>
      </c>
      <c r="P136" s="154">
        <v>42803</v>
      </c>
      <c r="Q136" s="154">
        <v>42803</v>
      </c>
      <c r="R136" s="154"/>
      <c r="S136" s="42">
        <v>8</v>
      </c>
      <c r="T136" s="42" t="s">
        <v>466</v>
      </c>
      <c r="U136" s="42">
        <v>19</v>
      </c>
      <c r="V136" s="42" t="s">
        <v>574</v>
      </c>
      <c r="W136" s="42">
        <v>23</v>
      </c>
      <c r="X136" s="42" t="s">
        <v>473</v>
      </c>
      <c r="Y136" s="42">
        <v>123</v>
      </c>
      <c r="Z136" s="42" t="s">
        <v>500</v>
      </c>
      <c r="AA136" s="42">
        <v>314</v>
      </c>
      <c r="AB136" s="42">
        <v>20</v>
      </c>
      <c r="AC136" s="42">
        <v>4789274</v>
      </c>
      <c r="AD136" s="42" t="s">
        <v>517</v>
      </c>
      <c r="AE136" s="42">
        <v>123</v>
      </c>
      <c r="AF136" s="42" t="s">
        <v>458</v>
      </c>
      <c r="AG136" s="42" t="s">
        <v>459</v>
      </c>
      <c r="AH136" s="42" t="s">
        <v>188</v>
      </c>
      <c r="AI136" s="42" t="s">
        <v>460</v>
      </c>
      <c r="AJ136" s="154">
        <v>42803</v>
      </c>
      <c r="AK136" s="42">
        <v>23</v>
      </c>
      <c r="AL136" s="154">
        <v>42802</v>
      </c>
      <c r="AM136" s="154"/>
      <c r="AN136" s="42"/>
      <c r="AO136" s="154"/>
      <c r="AP136" s="154">
        <v>44144</v>
      </c>
      <c r="AQ136" s="42"/>
      <c r="AR136" s="42"/>
      <c r="AS136" s="42"/>
      <c r="AT136" s="42"/>
      <c r="AU136" s="42"/>
      <c r="AV136" s="42"/>
      <c r="AW136" s="42"/>
      <c r="AX136" s="42"/>
    </row>
    <row r="137" spans="1:50" ht="12.75" customHeight="1">
      <c r="A137" s="42">
        <v>8980601</v>
      </c>
      <c r="B137" s="42" t="s">
        <v>2203</v>
      </c>
      <c r="C137" s="42" t="s">
        <v>2204</v>
      </c>
      <c r="D137" s="42" t="s">
        <v>2205</v>
      </c>
      <c r="E137" s="42" t="s">
        <v>448</v>
      </c>
      <c r="F137" s="154">
        <v>29983</v>
      </c>
      <c r="G137" s="42" t="s">
        <v>2206</v>
      </c>
      <c r="H137" s="42">
        <v>3103433828</v>
      </c>
      <c r="I137" s="42" t="s">
        <v>586</v>
      </c>
      <c r="J137" s="42"/>
      <c r="K137" s="42"/>
      <c r="L137" s="42"/>
      <c r="M137" s="42" t="s">
        <v>451</v>
      </c>
      <c r="N137" s="42" t="s">
        <v>452</v>
      </c>
      <c r="O137" s="42" t="s">
        <v>453</v>
      </c>
      <c r="P137" s="154">
        <v>46091</v>
      </c>
      <c r="Q137" s="154">
        <v>46091</v>
      </c>
      <c r="R137" s="154"/>
      <c r="S137" s="42">
        <v>6</v>
      </c>
      <c r="T137" s="42" t="s">
        <v>511</v>
      </c>
      <c r="U137" s="42">
        <v>19</v>
      </c>
      <c r="V137" s="42" t="s">
        <v>574</v>
      </c>
      <c r="W137" s="42">
        <v>3</v>
      </c>
      <c r="X137" s="42" t="s">
        <v>457</v>
      </c>
      <c r="Y137" s="42">
        <v>2310470</v>
      </c>
      <c r="Z137" s="42" t="s">
        <v>477</v>
      </c>
      <c r="AA137" s="42">
        <v>219</v>
      </c>
      <c r="AB137" s="42">
        <v>18</v>
      </c>
      <c r="AC137" s="42">
        <v>5951245</v>
      </c>
      <c r="AD137" s="42" t="s">
        <v>72</v>
      </c>
      <c r="AE137" s="42">
        <v>88</v>
      </c>
      <c r="AF137" s="42" t="s">
        <v>458</v>
      </c>
      <c r="AG137" s="42" t="s">
        <v>459</v>
      </c>
      <c r="AH137" s="42" t="s">
        <v>49</v>
      </c>
      <c r="AI137" s="42" t="s">
        <v>460</v>
      </c>
      <c r="AJ137" s="154">
        <v>46091</v>
      </c>
      <c r="AK137" s="42">
        <v>63</v>
      </c>
      <c r="AL137" s="154">
        <v>46059</v>
      </c>
      <c r="AM137" s="154"/>
      <c r="AN137" s="42"/>
      <c r="AO137" s="154"/>
      <c r="AP137" s="154"/>
      <c r="AQ137" s="42"/>
      <c r="AR137" s="42"/>
      <c r="AS137" s="42"/>
      <c r="AT137" s="42"/>
      <c r="AU137" s="42"/>
      <c r="AV137" s="42"/>
      <c r="AW137" s="42"/>
      <c r="AX137" s="42"/>
    </row>
    <row r="138" spans="1:50" ht="12.75" customHeight="1">
      <c r="A138" s="42">
        <v>91201798</v>
      </c>
      <c r="B138" s="42" t="s">
        <v>792</v>
      </c>
      <c r="C138" s="42" t="s">
        <v>896</v>
      </c>
      <c r="D138" s="42" t="s">
        <v>2209</v>
      </c>
      <c r="E138" s="42" t="s">
        <v>481</v>
      </c>
      <c r="F138" s="154">
        <v>21727</v>
      </c>
      <c r="G138" s="42" t="s">
        <v>2210</v>
      </c>
      <c r="H138" s="42">
        <v>3213201472</v>
      </c>
      <c r="I138" s="42" t="s">
        <v>586</v>
      </c>
      <c r="J138" s="42"/>
      <c r="K138" s="42"/>
      <c r="L138" s="42"/>
      <c r="M138" s="42" t="s">
        <v>448</v>
      </c>
      <c r="N138" s="42" t="s">
        <v>5</v>
      </c>
      <c r="O138" s="42" t="s">
        <v>453</v>
      </c>
      <c r="P138" s="154">
        <v>45030</v>
      </c>
      <c r="Q138" s="154">
        <v>45030</v>
      </c>
      <c r="R138" s="154"/>
      <c r="S138" s="42">
        <v>5</v>
      </c>
      <c r="T138" s="42" t="s">
        <v>499</v>
      </c>
      <c r="U138" s="42">
        <v>0</v>
      </c>
      <c r="V138" s="42" t="s">
        <v>1393</v>
      </c>
      <c r="W138" s="42">
        <v>18</v>
      </c>
      <c r="X138" s="42" t="s">
        <v>536</v>
      </c>
      <c r="Y138" s="42">
        <v>2310470</v>
      </c>
      <c r="Z138" s="42" t="s">
        <v>477</v>
      </c>
      <c r="AA138" s="42">
        <v>222</v>
      </c>
      <c r="AB138" s="42">
        <v>19</v>
      </c>
      <c r="AC138" s="42">
        <v>6258912</v>
      </c>
      <c r="AD138" s="42" t="s">
        <v>51</v>
      </c>
      <c r="AE138" s="42">
        <v>72</v>
      </c>
      <c r="AF138" s="42" t="s">
        <v>458</v>
      </c>
      <c r="AG138" s="42" t="s">
        <v>459</v>
      </c>
      <c r="AH138" s="42" t="s">
        <v>188</v>
      </c>
      <c r="AI138" s="42" t="s">
        <v>460</v>
      </c>
      <c r="AJ138" s="154">
        <v>45030</v>
      </c>
      <c r="AK138" s="42">
        <v>219</v>
      </c>
      <c r="AL138" s="154">
        <v>45021</v>
      </c>
      <c r="AM138" s="154"/>
      <c r="AN138" s="42"/>
      <c r="AO138" s="154"/>
      <c r="AP138" s="154">
        <v>45250</v>
      </c>
      <c r="AQ138" s="42"/>
      <c r="AR138" s="42"/>
      <c r="AS138" s="42"/>
      <c r="AT138" s="42"/>
      <c r="AU138" s="42"/>
      <c r="AV138" s="42"/>
      <c r="AW138" s="42"/>
      <c r="AX138" s="42"/>
    </row>
    <row r="139" spans="1:50" ht="12.75" customHeight="1">
      <c r="A139" s="42">
        <v>91437535</v>
      </c>
      <c r="B139" s="42" t="s">
        <v>773</v>
      </c>
      <c r="C139" s="42" t="s">
        <v>2211</v>
      </c>
      <c r="D139" s="42" t="s">
        <v>2212</v>
      </c>
      <c r="E139" s="42" t="s">
        <v>481</v>
      </c>
      <c r="F139" s="154">
        <v>26167</v>
      </c>
      <c r="G139" s="42" t="s">
        <v>2213</v>
      </c>
      <c r="H139" s="42">
        <v>7032599</v>
      </c>
      <c r="I139" s="42" t="s">
        <v>586</v>
      </c>
      <c r="J139" s="42">
        <v>91437535</v>
      </c>
      <c r="K139" s="42">
        <v>2</v>
      </c>
      <c r="L139" s="42">
        <v>55</v>
      </c>
      <c r="M139" s="42" t="s">
        <v>451</v>
      </c>
      <c r="N139" s="42" t="s">
        <v>452</v>
      </c>
      <c r="O139" s="42" t="s">
        <v>453</v>
      </c>
      <c r="P139" s="154">
        <v>42843</v>
      </c>
      <c r="Q139" s="154">
        <v>42843</v>
      </c>
      <c r="R139" s="154"/>
      <c r="S139" s="42">
        <v>8</v>
      </c>
      <c r="T139" s="42" t="s">
        <v>466</v>
      </c>
      <c r="U139" s="42">
        <v>11</v>
      </c>
      <c r="V139" s="42" t="s">
        <v>456</v>
      </c>
      <c r="W139" s="42">
        <v>3</v>
      </c>
      <c r="X139" s="42" t="s">
        <v>457</v>
      </c>
      <c r="Y139" s="42">
        <v>70</v>
      </c>
      <c r="Z139" s="42" t="s">
        <v>500</v>
      </c>
      <c r="AA139" s="42">
        <v>222</v>
      </c>
      <c r="AB139" s="42">
        <v>19</v>
      </c>
      <c r="AC139" s="42">
        <v>6258912</v>
      </c>
      <c r="AD139" s="42" t="s">
        <v>51</v>
      </c>
      <c r="AE139" s="42">
        <v>70</v>
      </c>
      <c r="AF139" s="42" t="s">
        <v>458</v>
      </c>
      <c r="AG139" s="42" t="s">
        <v>459</v>
      </c>
      <c r="AH139" s="42" t="s">
        <v>188</v>
      </c>
      <c r="AI139" s="42" t="s">
        <v>460</v>
      </c>
      <c r="AJ139" s="154">
        <v>42843</v>
      </c>
      <c r="AK139" s="42">
        <v>47</v>
      </c>
      <c r="AL139" s="154">
        <v>42830</v>
      </c>
      <c r="AM139" s="154"/>
      <c r="AN139" s="42"/>
      <c r="AO139" s="154"/>
      <c r="AP139" s="154">
        <v>44179</v>
      </c>
      <c r="AQ139" s="42"/>
      <c r="AR139" s="42"/>
      <c r="AS139" s="42"/>
      <c r="AT139" s="42"/>
      <c r="AU139" s="42"/>
      <c r="AV139" s="42"/>
      <c r="AW139" s="42"/>
      <c r="AX139" s="42"/>
    </row>
    <row r="140" spans="1:50" ht="12.75" customHeight="1">
      <c r="A140" s="42">
        <v>91526810</v>
      </c>
      <c r="B140" s="42" t="s">
        <v>1129</v>
      </c>
      <c r="C140" s="42" t="s">
        <v>1130</v>
      </c>
      <c r="D140" s="42" t="s">
        <v>1132</v>
      </c>
      <c r="E140" s="42" t="s">
        <v>481</v>
      </c>
      <c r="F140" s="154">
        <v>30594</v>
      </c>
      <c r="G140" s="42" t="s">
        <v>2214</v>
      </c>
      <c r="H140" s="42">
        <v>8837859</v>
      </c>
      <c r="I140" s="42" t="s">
        <v>586</v>
      </c>
      <c r="J140" s="42">
        <v>91526810</v>
      </c>
      <c r="K140" s="42">
        <v>2</v>
      </c>
      <c r="L140" s="42"/>
      <c r="M140" s="42" t="s">
        <v>448</v>
      </c>
      <c r="N140" s="42" t="s">
        <v>452</v>
      </c>
      <c r="O140" s="42" t="s">
        <v>453</v>
      </c>
      <c r="P140" s="154">
        <v>44228</v>
      </c>
      <c r="Q140" s="154">
        <v>44228</v>
      </c>
      <c r="R140" s="154"/>
      <c r="S140" s="42">
        <v>5</v>
      </c>
      <c r="T140" s="42" t="s">
        <v>499</v>
      </c>
      <c r="U140" s="42">
        <v>11</v>
      </c>
      <c r="V140" s="42" t="s">
        <v>456</v>
      </c>
      <c r="W140" s="42">
        <v>3</v>
      </c>
      <c r="X140" s="42" t="s">
        <v>457</v>
      </c>
      <c r="Y140" s="42">
        <v>2310460</v>
      </c>
      <c r="Z140" s="42" t="s">
        <v>506</v>
      </c>
      <c r="AA140" s="42">
        <v>222</v>
      </c>
      <c r="AB140" s="42">
        <v>24</v>
      </c>
      <c r="AC140" s="42">
        <v>6809900</v>
      </c>
      <c r="AD140" s="42" t="s">
        <v>51</v>
      </c>
      <c r="AE140" s="42">
        <v>58</v>
      </c>
      <c r="AF140" s="42" t="s">
        <v>458</v>
      </c>
      <c r="AG140" s="42" t="s">
        <v>459</v>
      </c>
      <c r="AH140" s="42" t="s">
        <v>49</v>
      </c>
      <c r="AI140" s="42" t="s">
        <v>460</v>
      </c>
      <c r="AJ140" s="154">
        <v>46232</v>
      </c>
      <c r="AK140" s="42">
        <v>330</v>
      </c>
      <c r="AL140" s="154">
        <v>46232</v>
      </c>
      <c r="AM140" s="154">
        <v>45569</v>
      </c>
      <c r="AN140" s="42">
        <v>450</v>
      </c>
      <c r="AO140" s="154">
        <v>45558</v>
      </c>
      <c r="AP140" s="154"/>
      <c r="AQ140" s="42"/>
      <c r="AR140" s="42"/>
      <c r="AS140" s="42"/>
      <c r="AT140" s="42"/>
      <c r="AU140" s="42"/>
      <c r="AV140" s="42"/>
      <c r="AW140" s="42"/>
      <c r="AX140" s="42"/>
    </row>
    <row r="141" spans="1:50" ht="12.75" customHeight="1">
      <c r="A141" s="42">
        <v>93371977</v>
      </c>
      <c r="B141" s="42" t="s">
        <v>1133</v>
      </c>
      <c r="C141" s="42" t="s">
        <v>478</v>
      </c>
      <c r="D141" s="42" t="s">
        <v>1134</v>
      </c>
      <c r="E141" s="42" t="s">
        <v>448</v>
      </c>
      <c r="F141" s="154">
        <v>24803</v>
      </c>
      <c r="G141" s="42" t="s">
        <v>2215</v>
      </c>
      <c r="H141" s="42">
        <v>7521014</v>
      </c>
      <c r="I141" s="42" t="s">
        <v>586</v>
      </c>
      <c r="J141" s="42">
        <v>74464</v>
      </c>
      <c r="K141" s="42">
        <v>2</v>
      </c>
      <c r="L141" s="42">
        <v>38</v>
      </c>
      <c r="M141" s="42" t="s">
        <v>448</v>
      </c>
      <c r="N141" s="42" t="s">
        <v>452</v>
      </c>
      <c r="O141" s="42" t="s">
        <v>453</v>
      </c>
      <c r="P141" s="154">
        <v>42585</v>
      </c>
      <c r="Q141" s="154">
        <v>40267</v>
      </c>
      <c r="R141" s="154"/>
      <c r="S141" s="42">
        <v>2</v>
      </c>
      <c r="T141" s="42" t="s">
        <v>455</v>
      </c>
      <c r="U141" s="42">
        <v>11</v>
      </c>
      <c r="V141" s="42" t="s">
        <v>456</v>
      </c>
      <c r="W141" s="42">
        <v>3</v>
      </c>
      <c r="X141" s="42" t="s">
        <v>457</v>
      </c>
      <c r="Y141" s="42">
        <v>2310460</v>
      </c>
      <c r="Z141" s="42" t="s">
        <v>506</v>
      </c>
      <c r="AA141" s="42">
        <v>219</v>
      </c>
      <c r="AB141" s="42">
        <v>18</v>
      </c>
      <c r="AC141" s="42">
        <v>5951245</v>
      </c>
      <c r="AD141" s="42" t="s">
        <v>72</v>
      </c>
      <c r="AE141" s="42">
        <v>84</v>
      </c>
      <c r="AF141" s="42" t="s">
        <v>458</v>
      </c>
      <c r="AG141" s="42" t="s">
        <v>459</v>
      </c>
      <c r="AH141" s="42" t="s">
        <v>49</v>
      </c>
      <c r="AI141" s="42" t="s">
        <v>460</v>
      </c>
      <c r="AJ141" s="154">
        <v>42585</v>
      </c>
      <c r="AK141" s="42">
        <v>2</v>
      </c>
      <c r="AL141" s="154">
        <v>42585</v>
      </c>
      <c r="AM141" s="154">
        <v>45580</v>
      </c>
      <c r="AN141" s="42">
        <v>460</v>
      </c>
      <c r="AO141" s="154">
        <v>45566</v>
      </c>
      <c r="AP141" s="154"/>
      <c r="AQ141" s="42"/>
      <c r="AR141" s="42"/>
      <c r="AS141" s="42"/>
      <c r="AT141" s="42"/>
      <c r="AU141" s="42"/>
      <c r="AV141" s="42"/>
      <c r="AW141" s="42"/>
      <c r="AX141" s="42"/>
    </row>
    <row r="142" spans="1:50" ht="12.75" customHeight="1">
      <c r="A142" s="42">
        <v>94361153</v>
      </c>
      <c r="B142" s="42" t="s">
        <v>712</v>
      </c>
      <c r="C142" s="42" t="s">
        <v>533</v>
      </c>
      <c r="D142" s="42" t="s">
        <v>2216</v>
      </c>
      <c r="E142" s="42" t="s">
        <v>481</v>
      </c>
      <c r="F142" s="154">
        <v>26882</v>
      </c>
      <c r="G142" s="42" t="s">
        <v>2217</v>
      </c>
      <c r="H142" s="42">
        <v>2520718</v>
      </c>
      <c r="I142" s="42" t="s">
        <v>586</v>
      </c>
      <c r="J142" s="42">
        <v>94361153</v>
      </c>
      <c r="K142" s="42">
        <v>2</v>
      </c>
      <c r="L142" s="42"/>
      <c r="M142" s="42" t="s">
        <v>448</v>
      </c>
      <c r="N142" s="42" t="s">
        <v>452</v>
      </c>
      <c r="O142" s="42" t="s">
        <v>453</v>
      </c>
      <c r="P142" s="154">
        <v>44270</v>
      </c>
      <c r="Q142" s="154">
        <v>44270</v>
      </c>
      <c r="R142" s="42"/>
      <c r="S142" s="42">
        <v>26</v>
      </c>
      <c r="T142" s="42" t="s">
        <v>528</v>
      </c>
      <c r="U142" s="42">
        <v>11</v>
      </c>
      <c r="V142" s="42" t="s">
        <v>456</v>
      </c>
      <c r="W142" s="42">
        <v>19</v>
      </c>
      <c r="X142" s="42" t="s">
        <v>575</v>
      </c>
      <c r="Y142" s="42">
        <v>2311000</v>
      </c>
      <c r="Z142" s="42" t="s">
        <v>467</v>
      </c>
      <c r="AA142" s="42">
        <v>407</v>
      </c>
      <c r="AB142" s="42">
        <v>16</v>
      </c>
      <c r="AC142" s="42">
        <v>3338526</v>
      </c>
      <c r="AD142" s="42" t="s">
        <v>146</v>
      </c>
      <c r="AE142" s="42">
        <v>145</v>
      </c>
      <c r="AF142" s="42" t="s">
        <v>458</v>
      </c>
      <c r="AG142" s="42" t="s">
        <v>459</v>
      </c>
      <c r="AH142" s="42" t="s">
        <v>49</v>
      </c>
      <c r="AI142" s="42" t="s">
        <v>460</v>
      </c>
      <c r="AJ142" s="154">
        <v>44270</v>
      </c>
      <c r="AK142" s="42">
        <v>206</v>
      </c>
      <c r="AL142" s="154">
        <v>44124</v>
      </c>
      <c r="AM142" s="154"/>
      <c r="AN142" s="42"/>
      <c r="AO142" s="154"/>
      <c r="AP142" s="154">
        <v>44472</v>
      </c>
      <c r="AQ142" s="42"/>
      <c r="AR142" s="42"/>
      <c r="AS142" s="42"/>
      <c r="AT142" s="42"/>
      <c r="AU142" s="42"/>
      <c r="AV142" s="42"/>
      <c r="AW142" s="42"/>
      <c r="AX142" s="42"/>
    </row>
    <row r="143" spans="1:50" ht="12.75" customHeight="1">
      <c r="A143" s="42">
        <v>98400244</v>
      </c>
      <c r="B143" s="42" t="s">
        <v>446</v>
      </c>
      <c r="C143" s="42" t="s">
        <v>579</v>
      </c>
      <c r="D143" s="42" t="s">
        <v>1136</v>
      </c>
      <c r="E143" s="42" t="s">
        <v>481</v>
      </c>
      <c r="F143" s="154">
        <v>28593</v>
      </c>
      <c r="G143" s="42" t="s">
        <v>2218</v>
      </c>
      <c r="H143" s="42">
        <v>3163017912</v>
      </c>
      <c r="I143" s="42" t="s">
        <v>586</v>
      </c>
      <c r="J143" s="42"/>
      <c r="K143" s="42"/>
      <c r="L143" s="42"/>
      <c r="M143" s="42" t="s">
        <v>451</v>
      </c>
      <c r="N143" s="42" t="s">
        <v>452</v>
      </c>
      <c r="O143" s="42" t="s">
        <v>453</v>
      </c>
      <c r="P143" s="154">
        <v>45874</v>
      </c>
      <c r="Q143" s="154">
        <v>45874</v>
      </c>
      <c r="R143" s="154"/>
      <c r="S143" s="42">
        <v>18</v>
      </c>
      <c r="T143" s="42" t="s">
        <v>472</v>
      </c>
      <c r="U143" s="42">
        <v>11</v>
      </c>
      <c r="V143" s="42" t="s">
        <v>456</v>
      </c>
      <c r="W143" s="42">
        <v>19</v>
      </c>
      <c r="X143" s="42" t="s">
        <v>575</v>
      </c>
      <c r="Y143" s="42">
        <v>2310100</v>
      </c>
      <c r="Z143" s="42" t="s">
        <v>541</v>
      </c>
      <c r="AA143" s="42">
        <v>115</v>
      </c>
      <c r="AB143" s="42">
        <v>6</v>
      </c>
      <c r="AC143" s="42">
        <v>10208470</v>
      </c>
      <c r="AD143" s="42" t="s">
        <v>635</v>
      </c>
      <c r="AE143" s="42">
        <v>11</v>
      </c>
      <c r="AF143" s="42" t="s">
        <v>458</v>
      </c>
      <c r="AG143" s="42" t="s">
        <v>459</v>
      </c>
      <c r="AH143" s="42" t="s">
        <v>484</v>
      </c>
      <c r="AI143" s="42" t="s">
        <v>460</v>
      </c>
      <c r="AJ143" s="154">
        <v>45874</v>
      </c>
      <c r="AK143" s="42">
        <v>290</v>
      </c>
      <c r="AL143" s="154">
        <v>45870</v>
      </c>
      <c r="AM143" s="154"/>
      <c r="AN143" s="42"/>
      <c r="AO143" s="154"/>
      <c r="AP143" s="154">
        <v>45952</v>
      </c>
      <c r="AQ143" s="42"/>
      <c r="AR143" s="42"/>
      <c r="AS143" s="42"/>
      <c r="AT143" s="42"/>
      <c r="AU143" s="42"/>
      <c r="AV143" s="42"/>
      <c r="AW143" s="42"/>
      <c r="AX143" s="42"/>
    </row>
    <row r="144" spans="1:50" ht="12.75" customHeight="1">
      <c r="A144" s="42">
        <v>35521959</v>
      </c>
      <c r="B144" s="42" t="s">
        <v>445</v>
      </c>
      <c r="C144" s="42" t="s">
        <v>861</v>
      </c>
      <c r="D144" s="42" t="s">
        <v>1480</v>
      </c>
      <c r="E144" s="42" t="s">
        <v>481</v>
      </c>
      <c r="F144" s="154">
        <v>25198</v>
      </c>
      <c r="G144" s="42" t="s">
        <v>1481</v>
      </c>
      <c r="H144" s="42">
        <v>2748493</v>
      </c>
      <c r="I144" s="42" t="s">
        <v>450</v>
      </c>
      <c r="J144" s="42"/>
      <c r="K144" s="42"/>
      <c r="L144" s="42"/>
      <c r="M144" s="42" t="s">
        <v>451</v>
      </c>
      <c r="N144" s="42" t="s">
        <v>452</v>
      </c>
      <c r="O144" s="42" t="s">
        <v>453</v>
      </c>
      <c r="P144" s="154">
        <v>42585</v>
      </c>
      <c r="Q144" s="154">
        <v>42461</v>
      </c>
      <c r="R144" s="154">
        <v>41537</v>
      </c>
      <c r="S144" s="42">
        <v>5</v>
      </c>
      <c r="T144" s="42" t="s">
        <v>499</v>
      </c>
      <c r="U144" s="42">
        <v>11</v>
      </c>
      <c r="V144" s="42" t="s">
        <v>456</v>
      </c>
      <c r="W144" s="42">
        <v>3</v>
      </c>
      <c r="X144" s="42" t="s">
        <v>457</v>
      </c>
      <c r="Y144" s="42">
        <v>2310440</v>
      </c>
      <c r="Z144" s="42" t="s">
        <v>628</v>
      </c>
      <c r="AA144" s="42">
        <v>9</v>
      </c>
      <c r="AB144" s="42">
        <v>7</v>
      </c>
      <c r="AC144" s="42">
        <v>11186814</v>
      </c>
      <c r="AD144" s="42" t="s">
        <v>512</v>
      </c>
      <c r="AE144" s="42">
        <v>3</v>
      </c>
      <c r="AF144" s="42" t="s">
        <v>458</v>
      </c>
      <c r="AG144" s="42" t="s">
        <v>459</v>
      </c>
      <c r="AH144" s="42" t="s">
        <v>484</v>
      </c>
      <c r="AI144" s="42" t="s">
        <v>460</v>
      </c>
      <c r="AJ144" s="154">
        <v>43851</v>
      </c>
      <c r="AK144" s="42">
        <v>11</v>
      </c>
      <c r="AL144" s="154">
        <v>43851</v>
      </c>
      <c r="AM144" s="154">
        <v>42585</v>
      </c>
      <c r="AN144" s="42">
        <v>7</v>
      </c>
      <c r="AO144" s="154">
        <v>42585</v>
      </c>
      <c r="AP144" s="154">
        <v>43891</v>
      </c>
      <c r="AQ144" s="42"/>
      <c r="AR144" s="42"/>
      <c r="AS144" s="42"/>
      <c r="AT144" s="42"/>
      <c r="AU144" s="42"/>
      <c r="AV144" s="42"/>
      <c r="AW144" s="42"/>
      <c r="AX144" s="42"/>
    </row>
    <row r="145" spans="1:50" ht="12.75" customHeight="1">
      <c r="A145" s="42">
        <v>35535070</v>
      </c>
      <c r="B145" s="42" t="s">
        <v>1484</v>
      </c>
      <c r="C145" s="42" t="s">
        <v>870</v>
      </c>
      <c r="D145" s="42" t="s">
        <v>1485</v>
      </c>
      <c r="E145" s="42" t="s">
        <v>481</v>
      </c>
      <c r="F145" s="154">
        <v>30314</v>
      </c>
      <c r="G145" s="42" t="s">
        <v>1487</v>
      </c>
      <c r="H145" s="42">
        <v>8920201</v>
      </c>
      <c r="I145" s="42" t="s">
        <v>450</v>
      </c>
      <c r="J145" s="42"/>
      <c r="K145" s="42"/>
      <c r="L145" s="42"/>
      <c r="M145" s="42" t="s">
        <v>451</v>
      </c>
      <c r="N145" s="42" t="s">
        <v>452</v>
      </c>
      <c r="O145" s="42" t="s">
        <v>453</v>
      </c>
      <c r="P145" s="154">
        <v>42857</v>
      </c>
      <c r="Q145" s="154">
        <v>40593</v>
      </c>
      <c r="R145" s="154"/>
      <c r="S145" s="42">
        <v>8</v>
      </c>
      <c r="T145" s="42" t="s">
        <v>466</v>
      </c>
      <c r="U145" s="42">
        <v>11</v>
      </c>
      <c r="V145" s="42" t="s">
        <v>456</v>
      </c>
      <c r="W145" s="42">
        <v>3</v>
      </c>
      <c r="X145" s="42" t="s">
        <v>457</v>
      </c>
      <c r="Y145" s="42">
        <v>63</v>
      </c>
      <c r="Z145" s="42" t="s">
        <v>500</v>
      </c>
      <c r="AA145" s="42">
        <v>222</v>
      </c>
      <c r="AB145" s="42">
        <v>21</v>
      </c>
      <c r="AC145" s="42">
        <v>6566429</v>
      </c>
      <c r="AD145" s="42" t="s">
        <v>51</v>
      </c>
      <c r="AE145" s="42">
        <v>63</v>
      </c>
      <c r="AF145" s="42" t="s">
        <v>458</v>
      </c>
      <c r="AG145" s="42" t="s">
        <v>459</v>
      </c>
      <c r="AH145" s="42" t="s">
        <v>188</v>
      </c>
      <c r="AI145" s="42" t="s">
        <v>460</v>
      </c>
      <c r="AJ145" s="154">
        <v>42857</v>
      </c>
      <c r="AK145" s="42">
        <v>46</v>
      </c>
      <c r="AL145" s="154">
        <v>42830</v>
      </c>
      <c r="AM145" s="154"/>
      <c r="AN145" s="42"/>
      <c r="AO145" s="154"/>
      <c r="AP145" s="154">
        <v>44151</v>
      </c>
      <c r="AQ145" s="42"/>
      <c r="AR145" s="42"/>
      <c r="AS145" s="42"/>
      <c r="AT145" s="42"/>
      <c r="AU145" s="42"/>
      <c r="AV145" s="42"/>
      <c r="AW145" s="42"/>
      <c r="AX145" s="42"/>
    </row>
    <row r="146" spans="1:50" ht="12.75" customHeight="1">
      <c r="A146" s="42">
        <v>35871163</v>
      </c>
      <c r="B146" s="42" t="s">
        <v>1491</v>
      </c>
      <c r="C146" s="42" t="s">
        <v>463</v>
      </c>
      <c r="D146" s="42" t="s">
        <v>1492</v>
      </c>
      <c r="E146" s="42" t="s">
        <v>481</v>
      </c>
      <c r="F146" s="154">
        <v>28875</v>
      </c>
      <c r="G146" s="42" t="s">
        <v>1493</v>
      </c>
      <c r="H146" s="42">
        <v>3123474523</v>
      </c>
      <c r="I146" s="42" t="s">
        <v>450</v>
      </c>
      <c r="J146" s="42"/>
      <c r="K146" s="42"/>
      <c r="L146" s="42"/>
      <c r="M146" s="42" t="s">
        <v>451</v>
      </c>
      <c r="N146" s="42" t="s">
        <v>452</v>
      </c>
      <c r="O146" s="42" t="s">
        <v>453</v>
      </c>
      <c r="P146" s="154">
        <v>43406</v>
      </c>
      <c r="Q146" s="154">
        <v>43406</v>
      </c>
      <c r="R146" s="42"/>
      <c r="S146" s="42">
        <v>8</v>
      </c>
      <c r="T146" s="42" t="s">
        <v>466</v>
      </c>
      <c r="U146" s="42">
        <v>18</v>
      </c>
      <c r="V146" s="42" t="s">
        <v>565</v>
      </c>
      <c r="W146" s="42">
        <v>3</v>
      </c>
      <c r="X146" s="42" t="s">
        <v>457</v>
      </c>
      <c r="Y146" s="42">
        <v>136</v>
      </c>
      <c r="Z146" s="42" t="s">
        <v>500</v>
      </c>
      <c r="AA146" s="42">
        <v>314</v>
      </c>
      <c r="AB146" s="42">
        <v>9</v>
      </c>
      <c r="AC146" s="42">
        <v>3687785</v>
      </c>
      <c r="AD146" s="42" t="s">
        <v>517</v>
      </c>
      <c r="AE146" s="42">
        <v>136</v>
      </c>
      <c r="AF146" s="42" t="s">
        <v>458</v>
      </c>
      <c r="AG146" s="42" t="s">
        <v>459</v>
      </c>
      <c r="AH146" s="42" t="s">
        <v>188</v>
      </c>
      <c r="AI146" s="42" t="s">
        <v>460</v>
      </c>
      <c r="AJ146" s="154">
        <v>43406</v>
      </c>
      <c r="AK146" s="42">
        <v>119</v>
      </c>
      <c r="AL146" s="154">
        <v>43405</v>
      </c>
      <c r="AM146" s="154"/>
      <c r="AN146" s="42"/>
      <c r="AO146" s="154"/>
      <c r="AP146" s="154">
        <v>44137</v>
      </c>
      <c r="AQ146" s="42"/>
      <c r="AR146" s="42"/>
      <c r="AS146" s="42"/>
      <c r="AT146" s="42"/>
      <c r="AU146" s="42"/>
      <c r="AV146" s="42"/>
      <c r="AW146" s="42"/>
      <c r="AX146" s="42"/>
    </row>
    <row r="147" spans="1:50" ht="12.75" customHeight="1">
      <c r="A147" s="42">
        <v>36283216</v>
      </c>
      <c r="B147" s="42" t="s">
        <v>1497</v>
      </c>
      <c r="C147" s="42" t="s">
        <v>1498</v>
      </c>
      <c r="D147" s="42" t="s">
        <v>1499</v>
      </c>
      <c r="E147" s="42" t="s">
        <v>481</v>
      </c>
      <c r="F147" s="154">
        <v>26787</v>
      </c>
      <c r="G147" s="42" t="s">
        <v>1500</v>
      </c>
      <c r="H147" s="42">
        <v>3503393760</v>
      </c>
      <c r="I147" s="42" t="s">
        <v>450</v>
      </c>
      <c r="J147" s="42"/>
      <c r="K147" s="42"/>
      <c r="L147" s="42"/>
      <c r="M147" s="42" t="s">
        <v>448</v>
      </c>
      <c r="N147" s="42" t="s">
        <v>452</v>
      </c>
      <c r="O147" s="42" t="s">
        <v>453</v>
      </c>
      <c r="P147" s="154">
        <v>43642</v>
      </c>
      <c r="Q147" s="154">
        <v>43642</v>
      </c>
      <c r="R147" s="154"/>
      <c r="S147" s="42">
        <v>5</v>
      </c>
      <c r="T147" s="42" t="s">
        <v>499</v>
      </c>
      <c r="U147" s="42">
        <v>19</v>
      </c>
      <c r="V147" s="42" t="s">
        <v>574</v>
      </c>
      <c r="W147" s="42">
        <v>3</v>
      </c>
      <c r="X147" s="42" t="s">
        <v>457</v>
      </c>
      <c r="Y147" s="42">
        <v>91</v>
      </c>
      <c r="Z147" s="42" t="s">
        <v>500</v>
      </c>
      <c r="AA147" s="42">
        <v>219</v>
      </c>
      <c r="AB147" s="42">
        <v>18</v>
      </c>
      <c r="AC147" s="42">
        <v>5951245</v>
      </c>
      <c r="AD147" s="42" t="s">
        <v>72</v>
      </c>
      <c r="AE147" s="42">
        <v>91</v>
      </c>
      <c r="AF147" s="42" t="s">
        <v>458</v>
      </c>
      <c r="AG147" s="42" t="s">
        <v>459</v>
      </c>
      <c r="AH147" s="42" t="s">
        <v>188</v>
      </c>
      <c r="AI147" s="42" t="s">
        <v>460</v>
      </c>
      <c r="AJ147" s="154">
        <v>43642</v>
      </c>
      <c r="AK147" s="42">
        <v>98</v>
      </c>
      <c r="AL147" s="154">
        <v>43642</v>
      </c>
      <c r="AM147" s="154"/>
      <c r="AN147" s="42"/>
      <c r="AO147" s="154"/>
      <c r="AP147" s="154">
        <v>44137</v>
      </c>
      <c r="AQ147" s="42"/>
      <c r="AR147" s="42"/>
      <c r="AS147" s="42"/>
      <c r="AT147" s="42"/>
      <c r="AU147" s="42"/>
      <c r="AV147" s="42"/>
      <c r="AW147" s="42"/>
      <c r="AX147" s="42"/>
    </row>
    <row r="148" spans="1:50" ht="12.75" customHeight="1">
      <c r="A148" s="42">
        <v>36302955</v>
      </c>
      <c r="B148" s="42" t="s">
        <v>1502</v>
      </c>
      <c r="C148" s="42" t="s">
        <v>985</v>
      </c>
      <c r="D148" s="42" t="s">
        <v>1503</v>
      </c>
      <c r="E148" s="42" t="s">
        <v>481</v>
      </c>
      <c r="F148" s="154">
        <v>29558</v>
      </c>
      <c r="G148" s="42" t="s">
        <v>1504</v>
      </c>
      <c r="H148" s="42">
        <v>3176696230</v>
      </c>
      <c r="I148" s="42" t="s">
        <v>450</v>
      </c>
      <c r="J148" s="42"/>
      <c r="K148" s="42"/>
      <c r="L148" s="42"/>
      <c r="M148" s="42" t="s">
        <v>547</v>
      </c>
      <c r="N148" s="42" t="s">
        <v>452</v>
      </c>
      <c r="O148" s="42" t="s">
        <v>453</v>
      </c>
      <c r="P148" s="154">
        <v>43473</v>
      </c>
      <c r="Q148" s="154">
        <v>43473</v>
      </c>
      <c r="R148" s="154"/>
      <c r="S148" s="42">
        <v>26</v>
      </c>
      <c r="T148" s="42" t="s">
        <v>528</v>
      </c>
      <c r="U148" s="42">
        <v>11</v>
      </c>
      <c r="V148" s="42" t="s">
        <v>456</v>
      </c>
      <c r="W148" s="42">
        <v>3</v>
      </c>
      <c r="X148" s="42" t="s">
        <v>457</v>
      </c>
      <c r="Y148" s="42">
        <v>2300100</v>
      </c>
      <c r="Z148" s="42" t="s">
        <v>483</v>
      </c>
      <c r="AA148" s="42">
        <v>105</v>
      </c>
      <c r="AB148" s="42">
        <v>5</v>
      </c>
      <c r="AC148" s="42">
        <v>9154873</v>
      </c>
      <c r="AD148" s="42" t="s">
        <v>26</v>
      </c>
      <c r="AE148" s="42">
        <v>14</v>
      </c>
      <c r="AF148" s="42" t="s">
        <v>458</v>
      </c>
      <c r="AG148" s="42" t="s">
        <v>459</v>
      </c>
      <c r="AH148" s="42" t="s">
        <v>484</v>
      </c>
      <c r="AI148" s="42" t="s">
        <v>460</v>
      </c>
      <c r="AJ148" s="154">
        <v>43473</v>
      </c>
      <c r="AK148" s="42">
        <v>152</v>
      </c>
      <c r="AL148" s="154">
        <v>43462</v>
      </c>
      <c r="AM148" s="154"/>
      <c r="AN148" s="42"/>
      <c r="AO148" s="154"/>
      <c r="AP148" s="154">
        <v>43877</v>
      </c>
      <c r="AQ148" s="42"/>
      <c r="AR148" s="42"/>
      <c r="AS148" s="42"/>
      <c r="AT148" s="42"/>
      <c r="AU148" s="42"/>
      <c r="AV148" s="42"/>
      <c r="AW148" s="42"/>
      <c r="AX148" s="42"/>
    </row>
    <row r="149" spans="1:50" ht="12.75" customHeight="1">
      <c r="A149" s="42">
        <v>36311056</v>
      </c>
      <c r="B149" s="42" t="s">
        <v>1506</v>
      </c>
      <c r="C149" s="42" t="s">
        <v>982</v>
      </c>
      <c r="D149" s="42" t="s">
        <v>1507</v>
      </c>
      <c r="E149" s="42" t="s">
        <v>481</v>
      </c>
      <c r="F149" s="154">
        <v>30386</v>
      </c>
      <c r="G149" s="42" t="s">
        <v>1508</v>
      </c>
      <c r="H149" s="42">
        <v>3006080410</v>
      </c>
      <c r="I149" s="42" t="s">
        <v>450</v>
      </c>
      <c r="J149" s="42"/>
      <c r="K149" s="42"/>
      <c r="L149" s="42"/>
      <c r="M149" s="42" t="s">
        <v>448</v>
      </c>
      <c r="N149" s="42" t="s">
        <v>452</v>
      </c>
      <c r="O149" s="42" t="s">
        <v>453</v>
      </c>
      <c r="P149" s="154">
        <v>43873</v>
      </c>
      <c r="Q149" s="154">
        <v>43873</v>
      </c>
      <c r="R149" s="154"/>
      <c r="S149" s="42">
        <v>8</v>
      </c>
      <c r="T149" s="42" t="s">
        <v>466</v>
      </c>
      <c r="U149" s="42">
        <v>18</v>
      </c>
      <c r="V149" s="42" t="s">
        <v>565</v>
      </c>
      <c r="W149" s="42">
        <v>23</v>
      </c>
      <c r="X149" s="42" t="s">
        <v>473</v>
      </c>
      <c r="Y149" s="42">
        <v>2310450</v>
      </c>
      <c r="Z149" s="42" t="s">
        <v>568</v>
      </c>
      <c r="AA149" s="42">
        <v>219</v>
      </c>
      <c r="AB149" s="42">
        <v>18</v>
      </c>
      <c r="AC149" s="42">
        <v>5951245</v>
      </c>
      <c r="AD149" s="42" t="s">
        <v>72</v>
      </c>
      <c r="AE149" s="42">
        <v>80</v>
      </c>
      <c r="AF149" s="42" t="s">
        <v>458</v>
      </c>
      <c r="AG149" s="42" t="s">
        <v>459</v>
      </c>
      <c r="AH149" s="42" t="s">
        <v>188</v>
      </c>
      <c r="AI149" s="42" t="s">
        <v>460</v>
      </c>
      <c r="AJ149" s="154">
        <v>43873</v>
      </c>
      <c r="AK149" s="42">
        <v>28</v>
      </c>
      <c r="AL149" s="154">
        <v>43872</v>
      </c>
      <c r="AM149" s="154"/>
      <c r="AN149" s="42"/>
      <c r="AO149" s="154"/>
      <c r="AP149" s="154">
        <v>44207</v>
      </c>
      <c r="AQ149" s="42"/>
      <c r="AR149" s="42"/>
      <c r="AS149" s="42"/>
      <c r="AT149" s="42"/>
      <c r="AU149" s="42"/>
      <c r="AV149" s="42"/>
      <c r="AW149" s="42"/>
      <c r="AX149" s="42"/>
    </row>
    <row r="150" spans="1:50" ht="12.75" customHeight="1">
      <c r="A150" s="42">
        <v>36697863</v>
      </c>
      <c r="B150" s="42" t="s">
        <v>1509</v>
      </c>
      <c r="C150" s="42" t="s">
        <v>1033</v>
      </c>
      <c r="D150" s="42" t="s">
        <v>1510</v>
      </c>
      <c r="E150" s="42" t="s">
        <v>481</v>
      </c>
      <c r="F150" s="154">
        <v>29766</v>
      </c>
      <c r="G150" s="42" t="s">
        <v>1512</v>
      </c>
      <c r="H150" s="42">
        <v>3114400445</v>
      </c>
      <c r="I150" s="42" t="s">
        <v>450</v>
      </c>
      <c r="J150" s="42"/>
      <c r="K150" s="42"/>
      <c r="L150" s="42"/>
      <c r="M150" s="42" t="s">
        <v>451</v>
      </c>
      <c r="N150" s="42" t="s">
        <v>452</v>
      </c>
      <c r="O150" s="42" t="s">
        <v>453</v>
      </c>
      <c r="P150" s="154">
        <v>45968</v>
      </c>
      <c r="Q150" s="154">
        <v>45968</v>
      </c>
      <c r="R150" s="154"/>
      <c r="S150" s="42">
        <v>42</v>
      </c>
      <c r="T150" s="42" t="s">
        <v>1166</v>
      </c>
      <c r="U150" s="42">
        <v>11</v>
      </c>
      <c r="V150" s="42" t="s">
        <v>456</v>
      </c>
      <c r="W150" s="42">
        <v>3</v>
      </c>
      <c r="X150" s="42" t="s">
        <v>457</v>
      </c>
      <c r="Y150" s="42">
        <v>2310100</v>
      </c>
      <c r="Z150" s="42" t="s">
        <v>541</v>
      </c>
      <c r="AA150" s="42">
        <v>115</v>
      </c>
      <c r="AB150" s="42">
        <v>6</v>
      </c>
      <c r="AC150" s="42">
        <v>10208470</v>
      </c>
      <c r="AD150" s="42" t="s">
        <v>635</v>
      </c>
      <c r="AE150" s="42">
        <v>11</v>
      </c>
      <c r="AF150" s="42" t="s">
        <v>458</v>
      </c>
      <c r="AG150" s="42" t="s">
        <v>459</v>
      </c>
      <c r="AH150" s="42" t="s">
        <v>484</v>
      </c>
      <c r="AI150" s="42" t="s">
        <v>460</v>
      </c>
      <c r="AJ150" s="154">
        <v>45968</v>
      </c>
      <c r="AK150" s="42">
        <v>417</v>
      </c>
      <c r="AL150" s="154">
        <v>45967</v>
      </c>
      <c r="AM150" s="154"/>
      <c r="AN150" s="42"/>
      <c r="AO150" s="154"/>
      <c r="AP150" s="154">
        <v>46253</v>
      </c>
      <c r="AQ150" s="42"/>
      <c r="AR150" s="42"/>
      <c r="AS150" s="42"/>
      <c r="AT150" s="42"/>
      <c r="AU150" s="42"/>
      <c r="AV150" s="42"/>
      <c r="AW150" s="42"/>
      <c r="AX150" s="42"/>
    </row>
    <row r="151" spans="1:50" ht="12.75" customHeight="1">
      <c r="A151" s="42">
        <v>37324133</v>
      </c>
      <c r="B151" s="42" t="s">
        <v>1514</v>
      </c>
      <c r="C151" s="42" t="s">
        <v>1515</v>
      </c>
      <c r="D151" s="42" t="s">
        <v>1516</v>
      </c>
      <c r="E151" s="42" t="s">
        <v>481</v>
      </c>
      <c r="F151" s="154">
        <v>26184</v>
      </c>
      <c r="G151" s="42" t="s">
        <v>1517</v>
      </c>
      <c r="H151" s="42">
        <v>8029226</v>
      </c>
      <c r="I151" s="42" t="s">
        <v>450</v>
      </c>
      <c r="J151" s="42"/>
      <c r="K151" s="42"/>
      <c r="L151" s="42"/>
      <c r="M151" s="42" t="s">
        <v>451</v>
      </c>
      <c r="N151" s="42" t="s">
        <v>452</v>
      </c>
      <c r="O151" s="42" t="s">
        <v>453</v>
      </c>
      <c r="P151" s="154">
        <v>42940</v>
      </c>
      <c r="Q151" s="154">
        <v>42940</v>
      </c>
      <c r="R151" s="154"/>
      <c r="S151" s="42">
        <v>8</v>
      </c>
      <c r="T151" s="42" t="s">
        <v>466</v>
      </c>
      <c r="U151" s="42">
        <v>11</v>
      </c>
      <c r="V151" s="42" t="s">
        <v>456</v>
      </c>
      <c r="W151" s="42">
        <v>3</v>
      </c>
      <c r="X151" s="42" t="s">
        <v>457</v>
      </c>
      <c r="Y151" s="42">
        <v>101</v>
      </c>
      <c r="Z151" s="42" t="s">
        <v>500</v>
      </c>
      <c r="AA151" s="42">
        <v>219</v>
      </c>
      <c r="AB151" s="42">
        <v>13</v>
      </c>
      <c r="AC151" s="42">
        <v>5471098</v>
      </c>
      <c r="AD151" s="42" t="s">
        <v>72</v>
      </c>
      <c r="AE151" s="42">
        <v>101</v>
      </c>
      <c r="AF151" s="42" t="s">
        <v>458</v>
      </c>
      <c r="AG151" s="42" t="s">
        <v>459</v>
      </c>
      <c r="AH151" s="42" t="s">
        <v>188</v>
      </c>
      <c r="AI151" s="42" t="s">
        <v>460</v>
      </c>
      <c r="AJ151" s="154">
        <v>42940</v>
      </c>
      <c r="AK151" s="42">
        <v>113</v>
      </c>
      <c r="AL151" s="154">
        <v>42930</v>
      </c>
      <c r="AM151" s="154"/>
      <c r="AN151" s="42"/>
      <c r="AO151" s="154"/>
      <c r="AP151" s="154">
        <v>44151</v>
      </c>
      <c r="AQ151" s="42"/>
      <c r="AR151" s="42"/>
      <c r="AS151" s="42"/>
      <c r="AT151" s="42"/>
      <c r="AU151" s="42"/>
      <c r="AV151" s="42"/>
      <c r="AW151" s="42"/>
      <c r="AX151" s="42"/>
    </row>
    <row r="152" spans="1:50" ht="12.75" customHeight="1">
      <c r="A152" s="42">
        <v>37535201</v>
      </c>
      <c r="B152" s="42" t="s">
        <v>898</v>
      </c>
      <c r="C152" s="42" t="s">
        <v>899</v>
      </c>
      <c r="D152" s="42" t="s">
        <v>900</v>
      </c>
      <c r="E152" s="42" t="s">
        <v>481</v>
      </c>
      <c r="F152" s="154">
        <v>28837</v>
      </c>
      <c r="G152" s="42" t="s">
        <v>1519</v>
      </c>
      <c r="H152" s="42">
        <v>3173737533</v>
      </c>
      <c r="I152" s="42" t="s">
        <v>450</v>
      </c>
      <c r="J152" s="42"/>
      <c r="K152" s="42"/>
      <c r="L152" s="42"/>
      <c r="M152" s="42" t="s">
        <v>448</v>
      </c>
      <c r="N152" s="42" t="s">
        <v>452</v>
      </c>
      <c r="O152" s="42" t="s">
        <v>453</v>
      </c>
      <c r="P152" s="154">
        <v>45489</v>
      </c>
      <c r="Q152" s="154">
        <v>45489</v>
      </c>
      <c r="R152" s="154"/>
      <c r="S152" s="42">
        <v>26</v>
      </c>
      <c r="T152" s="42" t="s">
        <v>528</v>
      </c>
      <c r="U152" s="42">
        <v>11</v>
      </c>
      <c r="V152" s="42" t="s">
        <v>456</v>
      </c>
      <c r="W152" s="42">
        <v>3</v>
      </c>
      <c r="X152" s="42" t="s">
        <v>457</v>
      </c>
      <c r="Y152" s="42">
        <v>2310400</v>
      </c>
      <c r="Z152" s="42" t="s">
        <v>841</v>
      </c>
      <c r="AA152" s="42">
        <v>45</v>
      </c>
      <c r="AB152" s="42">
        <v>8</v>
      </c>
      <c r="AC152" s="42">
        <v>12531747</v>
      </c>
      <c r="AD152" s="42" t="s">
        <v>842</v>
      </c>
      <c r="AE152" s="42">
        <v>2</v>
      </c>
      <c r="AF152" s="42" t="s">
        <v>458</v>
      </c>
      <c r="AG152" s="42" t="s">
        <v>459</v>
      </c>
      <c r="AH152" s="42" t="s">
        <v>484</v>
      </c>
      <c r="AI152" s="42" t="s">
        <v>460</v>
      </c>
      <c r="AJ152" s="154">
        <v>45489</v>
      </c>
      <c r="AK152" s="42">
        <v>347</v>
      </c>
      <c r="AL152" s="154">
        <v>45489</v>
      </c>
      <c r="AM152" s="154"/>
      <c r="AN152" s="42"/>
      <c r="AO152" s="154"/>
      <c r="AP152" s="154">
        <v>45909</v>
      </c>
      <c r="AQ152" s="42"/>
      <c r="AR152" s="42"/>
      <c r="AS152" s="42"/>
      <c r="AT152" s="42"/>
      <c r="AU152" s="42"/>
      <c r="AV152" s="42"/>
      <c r="AW152" s="42"/>
      <c r="AX152" s="42"/>
    </row>
    <row r="153" spans="1:50" ht="12.75" customHeight="1">
      <c r="A153" s="42">
        <v>37625914</v>
      </c>
      <c r="B153" s="42" t="s">
        <v>468</v>
      </c>
      <c r="C153" s="42" t="s">
        <v>538</v>
      </c>
      <c r="D153" s="42" t="s">
        <v>903</v>
      </c>
      <c r="E153" s="42" t="s">
        <v>448</v>
      </c>
      <c r="F153" s="154">
        <v>27761</v>
      </c>
      <c r="G153" s="42" t="s">
        <v>1525</v>
      </c>
      <c r="H153" s="42">
        <v>4161015</v>
      </c>
      <c r="I153" s="42" t="s">
        <v>450</v>
      </c>
      <c r="J153" s="42"/>
      <c r="K153" s="42"/>
      <c r="L153" s="42"/>
      <c r="M153" s="42" t="s">
        <v>448</v>
      </c>
      <c r="N153" s="42" t="s">
        <v>452</v>
      </c>
      <c r="O153" s="42" t="s">
        <v>453</v>
      </c>
      <c r="P153" s="154">
        <v>44147</v>
      </c>
      <c r="Q153" s="154">
        <v>44147</v>
      </c>
      <c r="R153" s="154"/>
      <c r="S153" s="42">
        <v>8</v>
      </c>
      <c r="T153" s="42" t="s">
        <v>466</v>
      </c>
      <c r="U153" s="42">
        <v>11</v>
      </c>
      <c r="V153" s="42" t="s">
        <v>456</v>
      </c>
      <c r="W153" s="42">
        <v>18</v>
      </c>
      <c r="X153" s="42" t="s">
        <v>536</v>
      </c>
      <c r="Y153" s="42">
        <v>2310440</v>
      </c>
      <c r="Z153" s="42" t="s">
        <v>628</v>
      </c>
      <c r="AA153" s="42">
        <v>219</v>
      </c>
      <c r="AB153" s="42">
        <v>13</v>
      </c>
      <c r="AC153" s="42">
        <v>5471098</v>
      </c>
      <c r="AD153" s="42" t="s">
        <v>72</v>
      </c>
      <c r="AE153" s="42">
        <v>102</v>
      </c>
      <c r="AF153" s="42" t="s">
        <v>458</v>
      </c>
      <c r="AG153" s="42" t="s">
        <v>459</v>
      </c>
      <c r="AH153" s="42" t="s">
        <v>49</v>
      </c>
      <c r="AI153" s="42" t="s">
        <v>460</v>
      </c>
      <c r="AJ153" s="154">
        <v>44147</v>
      </c>
      <c r="AK153" s="42">
        <v>128</v>
      </c>
      <c r="AL153" s="154">
        <v>44118</v>
      </c>
      <c r="AM153" s="154">
        <v>45505</v>
      </c>
      <c r="AN153" s="42">
        <v>362</v>
      </c>
      <c r="AO153" s="154">
        <v>45499</v>
      </c>
      <c r="AP153" s="154"/>
      <c r="AQ153" s="42"/>
      <c r="AR153" s="42"/>
      <c r="AS153" s="42"/>
      <c r="AT153" s="42"/>
      <c r="AU153" s="42"/>
      <c r="AV153" s="42"/>
      <c r="AW153" s="42"/>
      <c r="AX153" s="42"/>
    </row>
    <row r="154" spans="1:50" ht="12.75" customHeight="1">
      <c r="A154" s="42">
        <v>38263037</v>
      </c>
      <c r="B154" s="42" t="s">
        <v>578</v>
      </c>
      <c r="C154" s="42" t="s">
        <v>1527</v>
      </c>
      <c r="D154" s="42" t="s">
        <v>1528</v>
      </c>
      <c r="E154" s="42" t="s">
        <v>481</v>
      </c>
      <c r="F154" s="154">
        <v>23591</v>
      </c>
      <c r="G154" s="42" t="s">
        <v>1529</v>
      </c>
      <c r="H154" s="42">
        <v>2852594</v>
      </c>
      <c r="I154" s="42" t="s">
        <v>450</v>
      </c>
      <c r="J154" s="42"/>
      <c r="K154" s="42"/>
      <c r="L154" s="42"/>
      <c r="M154" s="42"/>
      <c r="N154" s="42"/>
      <c r="O154" s="42" t="s">
        <v>453</v>
      </c>
      <c r="P154" s="154">
        <v>42585</v>
      </c>
      <c r="Q154" s="154">
        <v>35327</v>
      </c>
      <c r="R154" s="154"/>
      <c r="S154" s="42">
        <v>8</v>
      </c>
      <c r="T154" s="42" t="s">
        <v>466</v>
      </c>
      <c r="U154" s="42">
        <v>11</v>
      </c>
      <c r="V154" s="42" t="s">
        <v>456</v>
      </c>
      <c r="W154" s="42">
        <v>3</v>
      </c>
      <c r="X154" s="42" t="s">
        <v>457</v>
      </c>
      <c r="Y154" s="42">
        <v>2300100</v>
      </c>
      <c r="Z154" s="42" t="s">
        <v>483</v>
      </c>
      <c r="AA154" s="42">
        <v>105</v>
      </c>
      <c r="AB154" s="42">
        <v>5</v>
      </c>
      <c r="AC154" s="42">
        <v>9154873</v>
      </c>
      <c r="AD154" s="42" t="s">
        <v>26</v>
      </c>
      <c r="AE154" s="42">
        <v>35</v>
      </c>
      <c r="AF154" s="42" t="s">
        <v>458</v>
      </c>
      <c r="AG154" s="42" t="s">
        <v>459</v>
      </c>
      <c r="AH154" s="42" t="s">
        <v>49</v>
      </c>
      <c r="AI154" s="42" t="s">
        <v>460</v>
      </c>
      <c r="AJ154" s="154">
        <v>42585</v>
      </c>
      <c r="AK154" s="42">
        <v>2</v>
      </c>
      <c r="AL154" s="154">
        <v>42585</v>
      </c>
      <c r="AM154" s="154">
        <v>44602</v>
      </c>
      <c r="AN154" s="42">
        <v>55</v>
      </c>
      <c r="AO154" s="154">
        <v>44602</v>
      </c>
      <c r="AP154" s="154">
        <v>44651</v>
      </c>
      <c r="AQ154" s="42"/>
      <c r="AR154" s="42"/>
      <c r="AS154" s="42"/>
      <c r="AT154" s="42"/>
      <c r="AU154" s="42"/>
      <c r="AV154" s="42"/>
      <c r="AW154" s="42"/>
      <c r="AX154" s="42"/>
    </row>
    <row r="155" spans="1:50" ht="12.75" customHeight="1">
      <c r="A155" s="42">
        <v>39546837</v>
      </c>
      <c r="B155" s="42" t="s">
        <v>728</v>
      </c>
      <c r="C155" s="42" t="s">
        <v>538</v>
      </c>
      <c r="D155" s="42" t="s">
        <v>1531</v>
      </c>
      <c r="E155" s="42" t="s">
        <v>481</v>
      </c>
      <c r="F155" s="154">
        <v>25088</v>
      </c>
      <c r="G155" s="42" t="s">
        <v>1532</v>
      </c>
      <c r="H155" s="42">
        <v>3134417376</v>
      </c>
      <c r="I155" s="42" t="s">
        <v>450</v>
      </c>
      <c r="J155" s="42"/>
      <c r="K155" s="42"/>
      <c r="L155" s="42"/>
      <c r="M155" s="42" t="s">
        <v>451</v>
      </c>
      <c r="N155" s="42" t="s">
        <v>452</v>
      </c>
      <c r="O155" s="42" t="s">
        <v>453</v>
      </c>
      <c r="P155" s="154">
        <v>42622</v>
      </c>
      <c r="Q155" s="154">
        <v>42622</v>
      </c>
      <c r="R155" s="154"/>
      <c r="S155" s="42">
        <v>2</v>
      </c>
      <c r="T155" s="42" t="s">
        <v>455</v>
      </c>
      <c r="U155" s="42">
        <v>11</v>
      </c>
      <c r="V155" s="42" t="s">
        <v>456</v>
      </c>
      <c r="W155" s="42">
        <v>19</v>
      </c>
      <c r="X155" s="42" t="s">
        <v>575</v>
      </c>
      <c r="Y155" s="42">
        <v>2311000</v>
      </c>
      <c r="Z155" s="42" t="s">
        <v>467</v>
      </c>
      <c r="AA155" s="42">
        <v>9</v>
      </c>
      <c r="AB155" s="42">
        <v>7</v>
      </c>
      <c r="AC155" s="42">
        <v>11186814</v>
      </c>
      <c r="AD155" s="42" t="s">
        <v>512</v>
      </c>
      <c r="AE155" s="42">
        <v>8</v>
      </c>
      <c r="AF155" s="42" t="s">
        <v>458</v>
      </c>
      <c r="AG155" s="42" t="s">
        <v>459</v>
      </c>
      <c r="AH155" s="42" t="s">
        <v>484</v>
      </c>
      <c r="AI155" s="42" t="s">
        <v>460</v>
      </c>
      <c r="AJ155" s="154">
        <v>42622</v>
      </c>
      <c r="AK155" s="42">
        <v>44</v>
      </c>
      <c r="AL155" s="154">
        <v>42621</v>
      </c>
      <c r="AM155" s="154"/>
      <c r="AN155" s="42"/>
      <c r="AO155" s="154"/>
      <c r="AP155" s="154">
        <v>43842</v>
      </c>
      <c r="AQ155" s="42"/>
      <c r="AR155" s="42"/>
      <c r="AS155" s="42"/>
      <c r="AT155" s="42"/>
      <c r="AU155" s="42"/>
      <c r="AV155" s="42"/>
      <c r="AW155" s="42"/>
      <c r="AX155" s="42"/>
    </row>
    <row r="156" spans="1:50" ht="12.75" customHeight="1">
      <c r="A156" s="42">
        <v>39550798</v>
      </c>
      <c r="B156" s="42" t="s">
        <v>758</v>
      </c>
      <c r="C156" s="42" t="s">
        <v>941</v>
      </c>
      <c r="D156" s="42" t="s">
        <v>1534</v>
      </c>
      <c r="E156" s="42" t="s">
        <v>481</v>
      </c>
      <c r="F156" s="154">
        <v>21884</v>
      </c>
      <c r="G156" s="42" t="s">
        <v>1535</v>
      </c>
      <c r="H156" s="42">
        <v>2784745</v>
      </c>
      <c r="I156" s="42" t="s">
        <v>450</v>
      </c>
      <c r="J156" s="42"/>
      <c r="K156" s="42"/>
      <c r="L156" s="42"/>
      <c r="M156" s="42" t="s">
        <v>451</v>
      </c>
      <c r="N156" s="42" t="s">
        <v>452</v>
      </c>
      <c r="O156" s="42" t="s">
        <v>453</v>
      </c>
      <c r="P156" s="154">
        <v>42815</v>
      </c>
      <c r="Q156" s="154">
        <v>42815</v>
      </c>
      <c r="R156" s="42"/>
      <c r="S156" s="42">
        <v>18</v>
      </c>
      <c r="T156" s="42" t="s">
        <v>472</v>
      </c>
      <c r="U156" s="42">
        <v>23</v>
      </c>
      <c r="V156" s="42" t="s">
        <v>669</v>
      </c>
      <c r="W156" s="42">
        <v>3</v>
      </c>
      <c r="X156" s="42" t="s">
        <v>457</v>
      </c>
      <c r="Y156" s="42">
        <v>131</v>
      </c>
      <c r="Z156" s="42" t="s">
        <v>500</v>
      </c>
      <c r="AA156" s="42">
        <v>314</v>
      </c>
      <c r="AB156" s="42">
        <v>15</v>
      </c>
      <c r="AC156" s="42">
        <v>4226650</v>
      </c>
      <c r="AD156" s="42" t="s">
        <v>517</v>
      </c>
      <c r="AE156" s="42">
        <v>131</v>
      </c>
      <c r="AF156" s="42" t="s">
        <v>458</v>
      </c>
      <c r="AG156" s="42" t="s">
        <v>459</v>
      </c>
      <c r="AH156" s="42" t="s">
        <v>188</v>
      </c>
      <c r="AI156" s="42" t="s">
        <v>460</v>
      </c>
      <c r="AJ156" s="154">
        <v>42815</v>
      </c>
      <c r="AK156" s="42">
        <v>32</v>
      </c>
      <c r="AL156" s="154">
        <v>42810</v>
      </c>
      <c r="AM156" s="154"/>
      <c r="AN156" s="42"/>
      <c r="AO156" s="154"/>
      <c r="AP156" s="154">
        <v>44146</v>
      </c>
      <c r="AQ156" s="42"/>
      <c r="AR156" s="42"/>
      <c r="AS156" s="42"/>
      <c r="AT156" s="42"/>
      <c r="AU156" s="42"/>
      <c r="AV156" s="42"/>
      <c r="AW156" s="42"/>
      <c r="AX156" s="42"/>
    </row>
    <row r="157" spans="1:50" ht="12.75" customHeight="1">
      <c r="A157" s="42">
        <v>39660517</v>
      </c>
      <c r="B157" s="42" t="s">
        <v>1536</v>
      </c>
      <c r="C157" s="42" t="s">
        <v>468</v>
      </c>
      <c r="D157" s="42" t="s">
        <v>1537</v>
      </c>
      <c r="E157" s="42" t="s">
        <v>481</v>
      </c>
      <c r="F157" s="154">
        <v>22037</v>
      </c>
      <c r="G157" s="42" t="s">
        <v>1538</v>
      </c>
      <c r="H157" s="42">
        <v>6019396989</v>
      </c>
      <c r="I157" s="42" t="s">
        <v>450</v>
      </c>
      <c r="J157" s="42"/>
      <c r="K157" s="42"/>
      <c r="L157" s="42"/>
      <c r="M157" s="42" t="s">
        <v>448</v>
      </c>
      <c r="N157" s="42" t="s">
        <v>452</v>
      </c>
      <c r="O157" s="42" t="s">
        <v>453</v>
      </c>
      <c r="P157" s="154">
        <v>44470</v>
      </c>
      <c r="Q157" s="154">
        <v>44470</v>
      </c>
      <c r="R157" s="42"/>
      <c r="S157" s="42">
        <v>8</v>
      </c>
      <c r="T157" s="42" t="s">
        <v>466</v>
      </c>
      <c r="U157" s="42">
        <v>18</v>
      </c>
      <c r="V157" s="42" t="s">
        <v>565</v>
      </c>
      <c r="W157" s="42">
        <v>3</v>
      </c>
      <c r="X157" s="42" t="s">
        <v>457</v>
      </c>
      <c r="Y157" s="42">
        <v>67</v>
      </c>
      <c r="Z157" s="42" t="s">
        <v>500</v>
      </c>
      <c r="AA157" s="42">
        <v>222</v>
      </c>
      <c r="AB157" s="42">
        <v>20</v>
      </c>
      <c r="AC157" s="42">
        <v>6405934</v>
      </c>
      <c r="AD157" s="42" t="s">
        <v>51</v>
      </c>
      <c r="AE157" s="42">
        <v>67</v>
      </c>
      <c r="AF157" s="42" t="s">
        <v>458</v>
      </c>
      <c r="AG157" s="42" t="s">
        <v>459</v>
      </c>
      <c r="AH157" s="42" t="s">
        <v>644</v>
      </c>
      <c r="AI157" s="42" t="s">
        <v>460</v>
      </c>
      <c r="AJ157" s="154">
        <v>44470</v>
      </c>
      <c r="AK157" s="42">
        <v>162</v>
      </c>
      <c r="AL157" s="154">
        <v>44435</v>
      </c>
      <c r="AM157" s="154"/>
      <c r="AN157" s="42"/>
      <c r="AO157" s="154"/>
      <c r="AP157" s="154">
        <v>44679</v>
      </c>
      <c r="AQ157" s="42"/>
      <c r="AR157" s="42"/>
      <c r="AS157" s="42"/>
      <c r="AT157" s="42"/>
      <c r="AU157" s="42"/>
      <c r="AV157" s="42"/>
      <c r="AW157" s="42"/>
      <c r="AX157" s="42"/>
    </row>
    <row r="158" spans="1:50" ht="12.75" customHeight="1">
      <c r="A158" s="42">
        <v>39718778</v>
      </c>
      <c r="B158" s="42" t="s">
        <v>1539</v>
      </c>
      <c r="C158" s="42" t="s">
        <v>856</v>
      </c>
      <c r="D158" s="42" t="s">
        <v>1540</v>
      </c>
      <c r="E158" s="42" t="s">
        <v>481</v>
      </c>
      <c r="F158" s="154">
        <v>24048</v>
      </c>
      <c r="G158" s="42" t="s">
        <v>1542</v>
      </c>
      <c r="H158" s="42">
        <v>7360641</v>
      </c>
      <c r="I158" s="42" t="s">
        <v>450</v>
      </c>
      <c r="J158" s="42"/>
      <c r="K158" s="42"/>
      <c r="L158" s="42"/>
      <c r="M158" s="42"/>
      <c r="N158" s="42"/>
      <c r="O158" s="42" t="s">
        <v>453</v>
      </c>
      <c r="P158" s="154">
        <v>42585</v>
      </c>
      <c r="Q158" s="154">
        <v>34810</v>
      </c>
      <c r="R158" s="154"/>
      <c r="S158" s="42">
        <v>5</v>
      </c>
      <c r="T158" s="42" t="s">
        <v>499</v>
      </c>
      <c r="U158" s="42">
        <v>11</v>
      </c>
      <c r="V158" s="42" t="s">
        <v>456</v>
      </c>
      <c r="W158" s="42">
        <v>19</v>
      </c>
      <c r="X158" s="42" t="s">
        <v>575</v>
      </c>
      <c r="Y158" s="42">
        <v>2311000</v>
      </c>
      <c r="Z158" s="42" t="s">
        <v>467</v>
      </c>
      <c r="AA158" s="42">
        <v>470</v>
      </c>
      <c r="AB158" s="42">
        <v>7</v>
      </c>
      <c r="AC158" s="42">
        <v>2623189</v>
      </c>
      <c r="AD158" s="42" t="s">
        <v>813</v>
      </c>
      <c r="AE158" s="42">
        <v>169</v>
      </c>
      <c r="AF158" s="42" t="s">
        <v>458</v>
      </c>
      <c r="AG158" s="42" t="s">
        <v>459</v>
      </c>
      <c r="AH158" s="42" t="s">
        <v>49</v>
      </c>
      <c r="AI158" s="42" t="s">
        <v>460</v>
      </c>
      <c r="AJ158" s="154">
        <v>42585</v>
      </c>
      <c r="AK158" s="42">
        <v>2</v>
      </c>
      <c r="AL158" s="154">
        <v>42585</v>
      </c>
      <c r="AM158" s="154"/>
      <c r="AN158" s="42"/>
      <c r="AO158" s="154"/>
      <c r="AP158" s="154">
        <v>45596</v>
      </c>
      <c r="AQ158" s="42"/>
      <c r="AR158" s="42"/>
      <c r="AS158" s="42"/>
      <c r="AT158" s="42"/>
      <c r="AU158" s="42"/>
      <c r="AV158" s="42"/>
      <c r="AW158" s="42"/>
      <c r="AX158" s="42"/>
    </row>
    <row r="159" spans="1:50" ht="12.75" customHeight="1">
      <c r="A159" s="42">
        <v>39742375</v>
      </c>
      <c r="B159" s="42" t="s">
        <v>1544</v>
      </c>
      <c r="C159" s="42" t="s">
        <v>1545</v>
      </c>
      <c r="D159" s="42" t="s">
        <v>1546</v>
      </c>
      <c r="E159" s="42" t="s">
        <v>481</v>
      </c>
      <c r="F159" s="154">
        <v>28023</v>
      </c>
      <c r="G159" s="42" t="s">
        <v>1547</v>
      </c>
      <c r="H159" s="42">
        <v>3202620949</v>
      </c>
      <c r="I159" s="42" t="s">
        <v>450</v>
      </c>
      <c r="J159" s="42"/>
      <c r="K159" s="42"/>
      <c r="L159" s="42"/>
      <c r="M159" s="42" t="s">
        <v>451</v>
      </c>
      <c r="N159" s="42" t="s">
        <v>452</v>
      </c>
      <c r="O159" s="42" t="s">
        <v>453</v>
      </c>
      <c r="P159" s="154">
        <v>42585</v>
      </c>
      <c r="Q159" s="154">
        <v>42523</v>
      </c>
      <c r="R159" s="154"/>
      <c r="S159" s="42">
        <v>8</v>
      </c>
      <c r="T159" s="42" t="s">
        <v>466</v>
      </c>
      <c r="U159" s="42">
        <v>11</v>
      </c>
      <c r="V159" s="42" t="s">
        <v>456</v>
      </c>
      <c r="W159" s="42">
        <v>3</v>
      </c>
      <c r="X159" s="42" t="s">
        <v>457</v>
      </c>
      <c r="Y159" s="42">
        <v>2310470</v>
      </c>
      <c r="Z159" s="42" t="s">
        <v>477</v>
      </c>
      <c r="AA159" s="42">
        <v>9</v>
      </c>
      <c r="AB159" s="42">
        <v>7</v>
      </c>
      <c r="AC159" s="42">
        <v>11186814</v>
      </c>
      <c r="AD159" s="42" t="s">
        <v>512</v>
      </c>
      <c r="AE159" s="42">
        <v>4</v>
      </c>
      <c r="AF159" s="42" t="s">
        <v>458</v>
      </c>
      <c r="AG159" s="42" t="s">
        <v>459</v>
      </c>
      <c r="AH159" s="42" t="s">
        <v>484</v>
      </c>
      <c r="AI159" s="42" t="s">
        <v>460</v>
      </c>
      <c r="AJ159" s="154">
        <v>42585</v>
      </c>
      <c r="AK159" s="42">
        <v>6</v>
      </c>
      <c r="AL159" s="154">
        <v>42585</v>
      </c>
      <c r="AM159" s="154"/>
      <c r="AN159" s="42"/>
      <c r="AO159" s="154"/>
      <c r="AP159" s="154">
        <v>44227</v>
      </c>
      <c r="AQ159" s="42"/>
      <c r="AR159" s="42"/>
      <c r="AS159" s="42"/>
      <c r="AT159" s="42"/>
      <c r="AU159" s="42"/>
      <c r="AV159" s="42"/>
      <c r="AW159" s="42"/>
      <c r="AX159" s="42"/>
    </row>
    <row r="160" spans="1:50" ht="12.75" customHeight="1">
      <c r="A160" s="42">
        <v>39755703</v>
      </c>
      <c r="B160" s="42" t="s">
        <v>1549</v>
      </c>
      <c r="C160" s="42" t="s">
        <v>1550</v>
      </c>
      <c r="D160" s="42" t="s">
        <v>1551</v>
      </c>
      <c r="E160" s="42" t="s">
        <v>481</v>
      </c>
      <c r="F160" s="154">
        <v>25828</v>
      </c>
      <c r="G160" s="42" t="s">
        <v>1552</v>
      </c>
      <c r="H160" s="42" t="s">
        <v>1553</v>
      </c>
      <c r="I160" s="42" t="s">
        <v>450</v>
      </c>
      <c r="J160" s="42"/>
      <c r="K160" s="42"/>
      <c r="L160" s="42"/>
      <c r="M160" s="42" t="s">
        <v>451</v>
      </c>
      <c r="N160" s="42" t="s">
        <v>452</v>
      </c>
      <c r="O160" s="42" t="s">
        <v>453</v>
      </c>
      <c r="P160" s="154">
        <v>44305</v>
      </c>
      <c r="Q160" s="154">
        <v>44305</v>
      </c>
      <c r="R160" s="154"/>
      <c r="S160" s="42">
        <v>8</v>
      </c>
      <c r="T160" s="42" t="s">
        <v>466</v>
      </c>
      <c r="U160" s="42">
        <v>11</v>
      </c>
      <c r="V160" s="42" t="s">
        <v>456</v>
      </c>
      <c r="W160" s="42">
        <v>3</v>
      </c>
      <c r="X160" s="42" t="s">
        <v>457</v>
      </c>
      <c r="Y160" s="42">
        <v>2310450</v>
      </c>
      <c r="Z160" s="42" t="s">
        <v>568</v>
      </c>
      <c r="AA160" s="42">
        <v>219</v>
      </c>
      <c r="AB160" s="42">
        <v>18</v>
      </c>
      <c r="AC160" s="42">
        <v>5951245</v>
      </c>
      <c r="AD160" s="42" t="s">
        <v>72</v>
      </c>
      <c r="AE160" s="42">
        <v>67</v>
      </c>
      <c r="AF160" s="42" t="s">
        <v>458</v>
      </c>
      <c r="AG160" s="42" t="s">
        <v>459</v>
      </c>
      <c r="AH160" s="42" t="s">
        <v>188</v>
      </c>
      <c r="AI160" s="42" t="s">
        <v>460</v>
      </c>
      <c r="AJ160" s="154">
        <v>44305</v>
      </c>
      <c r="AK160" s="42">
        <v>75</v>
      </c>
      <c r="AL160" s="154">
        <v>44302</v>
      </c>
      <c r="AM160" s="154"/>
      <c r="AN160" s="42"/>
      <c r="AO160" s="154"/>
      <c r="AP160" s="154">
        <v>45306</v>
      </c>
      <c r="AQ160" s="42"/>
      <c r="AR160" s="42"/>
      <c r="AS160" s="42"/>
      <c r="AT160" s="42"/>
      <c r="AU160" s="42"/>
      <c r="AV160" s="42"/>
      <c r="AW160" s="42"/>
      <c r="AX160" s="42"/>
    </row>
    <row r="161" spans="1:50" ht="12.75" customHeight="1">
      <c r="A161" s="42">
        <v>39773518</v>
      </c>
      <c r="B161" s="42" t="s">
        <v>904</v>
      </c>
      <c r="C161" s="42" t="s">
        <v>905</v>
      </c>
      <c r="D161" s="42" t="s">
        <v>906</v>
      </c>
      <c r="E161" s="42" t="s">
        <v>481</v>
      </c>
      <c r="F161" s="154">
        <v>24030</v>
      </c>
      <c r="G161" s="42" t="s">
        <v>1556</v>
      </c>
      <c r="H161" s="42" t="s">
        <v>1557</v>
      </c>
      <c r="I161" s="42" t="s">
        <v>450</v>
      </c>
      <c r="J161" s="42"/>
      <c r="K161" s="42"/>
      <c r="L161" s="42"/>
      <c r="M161" s="42"/>
      <c r="N161" s="42"/>
      <c r="O161" s="42" t="s">
        <v>453</v>
      </c>
      <c r="P161" s="154">
        <v>42585</v>
      </c>
      <c r="Q161" s="154">
        <v>33703</v>
      </c>
      <c r="R161" s="154"/>
      <c r="S161" s="42">
        <v>8</v>
      </c>
      <c r="T161" s="42" t="s">
        <v>466</v>
      </c>
      <c r="U161" s="42">
        <v>11</v>
      </c>
      <c r="V161" s="42" t="s">
        <v>456</v>
      </c>
      <c r="W161" s="42">
        <v>1</v>
      </c>
      <c r="X161" s="42" t="s">
        <v>1370</v>
      </c>
      <c r="Y161" s="42">
        <v>2310460</v>
      </c>
      <c r="Z161" s="42" t="s">
        <v>506</v>
      </c>
      <c r="AA161" s="42">
        <v>407</v>
      </c>
      <c r="AB161" s="42">
        <v>15</v>
      </c>
      <c r="AC161" s="42">
        <v>3212811</v>
      </c>
      <c r="AD161" s="42" t="s">
        <v>146</v>
      </c>
      <c r="AE161" s="42">
        <v>148</v>
      </c>
      <c r="AF161" s="42" t="s">
        <v>458</v>
      </c>
      <c r="AG161" s="42" t="s">
        <v>459</v>
      </c>
      <c r="AH161" s="42" t="s">
        <v>49</v>
      </c>
      <c r="AI161" s="42" t="s">
        <v>460</v>
      </c>
      <c r="AJ161" s="154">
        <v>42585</v>
      </c>
      <c r="AK161" s="42">
        <v>2</v>
      </c>
      <c r="AL161" s="154">
        <v>42585</v>
      </c>
      <c r="AM161" s="154">
        <v>45926</v>
      </c>
      <c r="AN161" s="42">
        <v>359</v>
      </c>
      <c r="AO161" s="154">
        <v>45923</v>
      </c>
      <c r="AP161" s="154">
        <v>46173</v>
      </c>
      <c r="AQ161" s="42"/>
      <c r="AR161" s="42"/>
      <c r="AS161" s="42"/>
      <c r="AT161" s="42"/>
      <c r="AU161" s="42"/>
      <c r="AV161" s="42"/>
      <c r="AW161" s="42"/>
      <c r="AX161" s="42"/>
    </row>
    <row r="162" spans="1:50" ht="12.75" customHeight="1">
      <c r="A162" s="42">
        <v>40011063</v>
      </c>
      <c r="B162" s="42" t="s">
        <v>759</v>
      </c>
      <c r="C162" s="42" t="s">
        <v>445</v>
      </c>
      <c r="D162" s="42" t="s">
        <v>910</v>
      </c>
      <c r="E162" s="42" t="s">
        <v>448</v>
      </c>
      <c r="F162" s="154">
        <v>21123</v>
      </c>
      <c r="G162" s="42" t="s">
        <v>1560</v>
      </c>
      <c r="H162" s="42">
        <v>4690724</v>
      </c>
      <c r="I162" s="42" t="s">
        <v>450</v>
      </c>
      <c r="J162" s="42"/>
      <c r="K162" s="42"/>
      <c r="L162" s="42"/>
      <c r="M162" s="42" t="s">
        <v>451</v>
      </c>
      <c r="N162" s="42" t="s">
        <v>452</v>
      </c>
      <c r="O162" s="42" t="s">
        <v>453</v>
      </c>
      <c r="P162" s="154">
        <v>44228</v>
      </c>
      <c r="Q162" s="154">
        <v>44228</v>
      </c>
      <c r="R162" s="154"/>
      <c r="S162" s="42">
        <v>5</v>
      </c>
      <c r="T162" s="42" t="s">
        <v>499</v>
      </c>
      <c r="U162" s="42">
        <v>0</v>
      </c>
      <c r="V162" s="42" t="s">
        <v>1393</v>
      </c>
      <c r="W162" s="42">
        <v>3</v>
      </c>
      <c r="X162" s="42" t="s">
        <v>457</v>
      </c>
      <c r="Y162" s="42">
        <v>2310450</v>
      </c>
      <c r="Z162" s="42" t="s">
        <v>568</v>
      </c>
      <c r="AA162" s="42">
        <v>219</v>
      </c>
      <c r="AB162" s="42">
        <v>18</v>
      </c>
      <c r="AC162" s="42">
        <v>5951245</v>
      </c>
      <c r="AD162" s="42" t="s">
        <v>72</v>
      </c>
      <c r="AE162" s="42">
        <v>81</v>
      </c>
      <c r="AF162" s="42" t="s">
        <v>458</v>
      </c>
      <c r="AG162" s="42" t="s">
        <v>459</v>
      </c>
      <c r="AH162" s="42" t="s">
        <v>49</v>
      </c>
      <c r="AI162" s="42" t="s">
        <v>460</v>
      </c>
      <c r="AJ162" s="154">
        <v>44228</v>
      </c>
      <c r="AK162" s="42">
        <v>183</v>
      </c>
      <c r="AL162" s="154">
        <v>44124</v>
      </c>
      <c r="AM162" s="154">
        <v>45883</v>
      </c>
      <c r="AN162" s="42">
        <v>305</v>
      </c>
      <c r="AO162" s="154">
        <v>45883</v>
      </c>
      <c r="AP162" s="154"/>
      <c r="AQ162" s="42"/>
      <c r="AR162" s="42"/>
      <c r="AS162" s="42"/>
      <c r="AT162" s="42"/>
      <c r="AU162" s="42"/>
      <c r="AV162" s="42"/>
      <c r="AW162" s="42"/>
      <c r="AX162" s="42"/>
    </row>
    <row r="163" spans="1:50" ht="12.75" customHeight="1">
      <c r="A163" s="42">
        <v>41059054</v>
      </c>
      <c r="B163" s="42" t="s">
        <v>911</v>
      </c>
      <c r="C163" s="42" t="s">
        <v>912</v>
      </c>
      <c r="D163" s="42" t="s">
        <v>913</v>
      </c>
      <c r="E163" s="42" t="s">
        <v>448</v>
      </c>
      <c r="F163" s="154">
        <v>30005</v>
      </c>
      <c r="G163" s="42" t="s">
        <v>1563</v>
      </c>
      <c r="H163" s="42">
        <v>3165373928</v>
      </c>
      <c r="I163" s="42" t="s">
        <v>450</v>
      </c>
      <c r="J163" s="42"/>
      <c r="K163" s="42"/>
      <c r="L163" s="42"/>
      <c r="M163" s="42" t="s">
        <v>448</v>
      </c>
      <c r="N163" s="42" t="s">
        <v>452</v>
      </c>
      <c r="O163" s="42" t="s">
        <v>453</v>
      </c>
      <c r="P163" s="154">
        <v>44631</v>
      </c>
      <c r="Q163" s="154">
        <v>44631</v>
      </c>
      <c r="R163" s="42"/>
      <c r="S163" s="42">
        <v>5</v>
      </c>
      <c r="T163" s="42" t="s">
        <v>499</v>
      </c>
      <c r="U163" s="42">
        <v>11</v>
      </c>
      <c r="V163" s="42" t="s">
        <v>456</v>
      </c>
      <c r="W163" s="42">
        <v>3</v>
      </c>
      <c r="X163" s="42" t="s">
        <v>457</v>
      </c>
      <c r="Y163" s="42">
        <v>2310100</v>
      </c>
      <c r="Z163" s="42" t="s">
        <v>541</v>
      </c>
      <c r="AA163" s="42">
        <v>219</v>
      </c>
      <c r="AB163" s="42">
        <v>18</v>
      </c>
      <c r="AC163" s="42">
        <v>5951245</v>
      </c>
      <c r="AD163" s="42" t="s">
        <v>72</v>
      </c>
      <c r="AE163" s="42">
        <v>74</v>
      </c>
      <c r="AF163" s="42" t="s">
        <v>458</v>
      </c>
      <c r="AG163" s="42" t="s">
        <v>459</v>
      </c>
      <c r="AH163" s="42" t="s">
        <v>49</v>
      </c>
      <c r="AI163" s="42" t="s">
        <v>460</v>
      </c>
      <c r="AJ163" s="154">
        <v>44631</v>
      </c>
      <c r="AK163" s="42">
        <v>202</v>
      </c>
      <c r="AL163" s="154">
        <v>44489</v>
      </c>
      <c r="AM163" s="154">
        <v>45944</v>
      </c>
      <c r="AN163" s="42">
        <v>374</v>
      </c>
      <c r="AO163" s="154">
        <v>45937</v>
      </c>
      <c r="AP163" s="154"/>
      <c r="AQ163" s="42"/>
      <c r="AR163" s="42"/>
      <c r="AS163" s="42"/>
      <c r="AT163" s="42"/>
      <c r="AU163" s="42"/>
      <c r="AV163" s="42"/>
      <c r="AW163" s="42"/>
      <c r="AX163" s="42"/>
    </row>
    <row r="164" spans="1:50" ht="12.75" customHeight="1">
      <c r="A164" s="42">
        <v>41424560</v>
      </c>
      <c r="B164" s="42" t="s">
        <v>538</v>
      </c>
      <c r="C164" s="42" t="s">
        <v>1051</v>
      </c>
      <c r="D164" s="42" t="s">
        <v>1565</v>
      </c>
      <c r="E164" s="42" t="s">
        <v>481</v>
      </c>
      <c r="F164" s="154">
        <v>17081</v>
      </c>
      <c r="G164" s="42" t="s">
        <v>1566</v>
      </c>
      <c r="H164" s="42">
        <v>2210442</v>
      </c>
      <c r="I164" s="42" t="s">
        <v>450</v>
      </c>
      <c r="J164" s="42"/>
      <c r="K164" s="42"/>
      <c r="L164" s="42"/>
      <c r="M164" s="42" t="s">
        <v>451</v>
      </c>
      <c r="N164" s="42" t="s">
        <v>452</v>
      </c>
      <c r="O164" s="42" t="s">
        <v>453</v>
      </c>
      <c r="P164" s="154">
        <v>43049</v>
      </c>
      <c r="Q164" s="154">
        <v>43049</v>
      </c>
      <c r="R164" s="154"/>
      <c r="S164" s="42">
        <v>18</v>
      </c>
      <c r="T164" s="42" t="s">
        <v>472</v>
      </c>
      <c r="U164" s="42">
        <v>19</v>
      </c>
      <c r="V164" s="42" t="s">
        <v>574</v>
      </c>
      <c r="W164" s="42">
        <v>19</v>
      </c>
      <c r="X164" s="42" t="s">
        <v>575</v>
      </c>
      <c r="Y164" s="42">
        <v>2310460</v>
      </c>
      <c r="Z164" s="42" t="s">
        <v>506</v>
      </c>
      <c r="AA164" s="42">
        <v>222</v>
      </c>
      <c r="AB164" s="42">
        <v>24</v>
      </c>
      <c r="AC164" s="42">
        <v>6809900</v>
      </c>
      <c r="AD164" s="42" t="s">
        <v>51</v>
      </c>
      <c r="AE164" s="42">
        <v>59</v>
      </c>
      <c r="AF164" s="42" t="s">
        <v>458</v>
      </c>
      <c r="AG164" s="42" t="s">
        <v>459</v>
      </c>
      <c r="AH164" s="42" t="s">
        <v>188</v>
      </c>
      <c r="AI164" s="42" t="s">
        <v>460</v>
      </c>
      <c r="AJ164" s="154">
        <v>43049</v>
      </c>
      <c r="AK164" s="42">
        <v>183</v>
      </c>
      <c r="AL164" s="154">
        <v>43049</v>
      </c>
      <c r="AM164" s="154"/>
      <c r="AN164" s="42"/>
      <c r="AO164" s="154"/>
      <c r="AP164" s="154">
        <v>43066</v>
      </c>
      <c r="AQ164" s="42"/>
      <c r="AR164" s="42"/>
      <c r="AS164" s="42"/>
      <c r="AT164" s="42"/>
      <c r="AU164" s="42"/>
      <c r="AV164" s="42"/>
      <c r="AW164" s="42"/>
      <c r="AX164" s="42"/>
    </row>
    <row r="165" spans="1:50" ht="12.75" customHeight="1">
      <c r="A165" s="42">
        <v>41667895</v>
      </c>
      <c r="B165" s="42" t="s">
        <v>478</v>
      </c>
      <c r="C165" s="42" t="s">
        <v>478</v>
      </c>
      <c r="D165" s="42" t="s">
        <v>1568</v>
      </c>
      <c r="E165" s="42" t="s">
        <v>481</v>
      </c>
      <c r="F165" s="154">
        <v>20684</v>
      </c>
      <c r="G165" s="42" t="s">
        <v>1569</v>
      </c>
      <c r="H165" s="42">
        <v>3610505</v>
      </c>
      <c r="I165" s="42" t="s">
        <v>450</v>
      </c>
      <c r="J165" s="42"/>
      <c r="K165" s="42"/>
      <c r="L165" s="42"/>
      <c r="M165" s="42"/>
      <c r="N165" s="42"/>
      <c r="O165" s="42" t="s">
        <v>453</v>
      </c>
      <c r="P165" s="154">
        <v>42585</v>
      </c>
      <c r="Q165" s="154">
        <v>30867</v>
      </c>
      <c r="R165" s="154"/>
      <c r="S165" s="42">
        <v>8</v>
      </c>
      <c r="T165" s="42" t="s">
        <v>466</v>
      </c>
      <c r="U165" s="42">
        <v>11</v>
      </c>
      <c r="V165" s="42" t="s">
        <v>456</v>
      </c>
      <c r="W165" s="42">
        <v>1</v>
      </c>
      <c r="X165" s="42" t="s">
        <v>1370</v>
      </c>
      <c r="Y165" s="42">
        <v>2310460</v>
      </c>
      <c r="Z165" s="42" t="s">
        <v>506</v>
      </c>
      <c r="AA165" s="42">
        <v>314</v>
      </c>
      <c r="AB165" s="42">
        <v>9</v>
      </c>
      <c r="AC165" s="42">
        <v>3687785</v>
      </c>
      <c r="AD165" s="42" t="s">
        <v>517</v>
      </c>
      <c r="AE165" s="42">
        <v>136</v>
      </c>
      <c r="AF165" s="42" t="s">
        <v>458</v>
      </c>
      <c r="AG165" s="42" t="s">
        <v>459</v>
      </c>
      <c r="AH165" s="42" t="s">
        <v>49</v>
      </c>
      <c r="AI165" s="42" t="s">
        <v>460</v>
      </c>
      <c r="AJ165" s="154">
        <v>42585</v>
      </c>
      <c r="AK165" s="42">
        <v>2</v>
      </c>
      <c r="AL165" s="154">
        <v>42585</v>
      </c>
      <c r="AM165" s="154"/>
      <c r="AN165" s="42"/>
      <c r="AO165" s="154"/>
      <c r="AP165" s="154">
        <v>43100</v>
      </c>
      <c r="AQ165" s="42"/>
      <c r="AR165" s="42"/>
      <c r="AS165" s="42"/>
      <c r="AT165" s="42"/>
      <c r="AU165" s="42"/>
      <c r="AV165" s="42"/>
      <c r="AW165" s="42"/>
      <c r="AX165" s="42"/>
    </row>
    <row r="166" spans="1:50" ht="12.75" customHeight="1">
      <c r="A166" s="42">
        <v>41713009</v>
      </c>
      <c r="B166" s="42" t="s">
        <v>958</v>
      </c>
      <c r="C166" s="42" t="s">
        <v>1570</v>
      </c>
      <c r="D166" s="42" t="s">
        <v>1571</v>
      </c>
      <c r="E166" s="42" t="s">
        <v>481</v>
      </c>
      <c r="F166" s="154">
        <v>19967</v>
      </c>
      <c r="G166" s="42" t="s">
        <v>1572</v>
      </c>
      <c r="H166" s="42">
        <v>3335993</v>
      </c>
      <c r="I166" s="42" t="s">
        <v>450</v>
      </c>
      <c r="J166" s="42"/>
      <c r="K166" s="42"/>
      <c r="L166" s="42"/>
      <c r="M166" s="42"/>
      <c r="N166" s="42"/>
      <c r="O166" s="42" t="s">
        <v>453</v>
      </c>
      <c r="P166" s="154">
        <v>42585</v>
      </c>
      <c r="Q166" s="154">
        <v>34169</v>
      </c>
      <c r="R166" s="42"/>
      <c r="S166" s="42">
        <v>8</v>
      </c>
      <c r="T166" s="42" t="s">
        <v>466</v>
      </c>
      <c r="U166" s="42">
        <v>11</v>
      </c>
      <c r="V166" s="42" t="s">
        <v>456</v>
      </c>
      <c r="W166" s="42">
        <v>1</v>
      </c>
      <c r="X166" s="42" t="s">
        <v>1370</v>
      </c>
      <c r="Y166" s="42">
        <v>2310450</v>
      </c>
      <c r="Z166" s="42" t="s">
        <v>568</v>
      </c>
      <c r="AA166" s="42">
        <v>407</v>
      </c>
      <c r="AB166" s="42">
        <v>15</v>
      </c>
      <c r="AC166" s="42">
        <v>3212811</v>
      </c>
      <c r="AD166" s="42" t="s">
        <v>146</v>
      </c>
      <c r="AE166" s="42">
        <v>147</v>
      </c>
      <c r="AF166" s="42" t="s">
        <v>458</v>
      </c>
      <c r="AG166" s="42" t="s">
        <v>459</v>
      </c>
      <c r="AH166" s="42" t="s">
        <v>49</v>
      </c>
      <c r="AI166" s="42" t="s">
        <v>460</v>
      </c>
      <c r="AJ166" s="154">
        <v>42585</v>
      </c>
      <c r="AK166" s="42">
        <v>2</v>
      </c>
      <c r="AL166" s="154">
        <v>42585</v>
      </c>
      <c r="AM166" s="154"/>
      <c r="AN166" s="42"/>
      <c r="AO166" s="154"/>
      <c r="AP166" s="154">
        <v>42825</v>
      </c>
      <c r="AQ166" s="42"/>
      <c r="AR166" s="42"/>
      <c r="AS166" s="42"/>
      <c r="AT166" s="42"/>
      <c r="AU166" s="42"/>
      <c r="AV166" s="42"/>
      <c r="AW166" s="42"/>
      <c r="AX166" s="42"/>
    </row>
    <row r="167" spans="1:50" ht="12.75" customHeight="1">
      <c r="A167" s="42">
        <v>41732503</v>
      </c>
      <c r="B167" s="42" t="s">
        <v>740</v>
      </c>
      <c r="C167" s="42" t="s">
        <v>917</v>
      </c>
      <c r="D167" s="42" t="s">
        <v>918</v>
      </c>
      <c r="E167" s="42" t="s">
        <v>448</v>
      </c>
      <c r="F167" s="154">
        <v>21554</v>
      </c>
      <c r="G167" s="42" t="s">
        <v>1575</v>
      </c>
      <c r="H167" s="42">
        <v>4087949</v>
      </c>
      <c r="I167" s="42" t="s">
        <v>450</v>
      </c>
      <c r="J167" s="42"/>
      <c r="K167" s="42"/>
      <c r="L167" s="42"/>
      <c r="M167" s="42"/>
      <c r="N167" s="42"/>
      <c r="O167" s="42" t="s">
        <v>453</v>
      </c>
      <c r="P167" s="154">
        <v>42585</v>
      </c>
      <c r="Q167" s="154">
        <v>34731</v>
      </c>
      <c r="R167" s="154"/>
      <c r="S167" s="42">
        <v>5</v>
      </c>
      <c r="T167" s="42" t="s">
        <v>499</v>
      </c>
      <c r="U167" s="42">
        <v>11</v>
      </c>
      <c r="V167" s="42" t="s">
        <v>456</v>
      </c>
      <c r="W167" s="42">
        <v>19</v>
      </c>
      <c r="X167" s="42" t="s">
        <v>575</v>
      </c>
      <c r="Y167" s="42">
        <v>2311000</v>
      </c>
      <c r="Z167" s="42" t="s">
        <v>467</v>
      </c>
      <c r="AA167" s="42">
        <v>470</v>
      </c>
      <c r="AB167" s="42">
        <v>7</v>
      </c>
      <c r="AC167" s="42">
        <v>2623189</v>
      </c>
      <c r="AD167" s="42" t="s">
        <v>813</v>
      </c>
      <c r="AE167" s="42">
        <v>27</v>
      </c>
      <c r="AF167" s="42" t="s">
        <v>458</v>
      </c>
      <c r="AG167" s="42" t="s">
        <v>459</v>
      </c>
      <c r="AH167" s="42" t="s">
        <v>49</v>
      </c>
      <c r="AI167" s="42" t="s">
        <v>460</v>
      </c>
      <c r="AJ167" s="154">
        <v>42585</v>
      </c>
      <c r="AK167" s="42">
        <v>2</v>
      </c>
      <c r="AL167" s="154">
        <v>42585</v>
      </c>
      <c r="AM167" s="154"/>
      <c r="AN167" s="42"/>
      <c r="AO167" s="154"/>
      <c r="AP167" s="154"/>
      <c r="AQ167" s="42"/>
      <c r="AR167" s="42"/>
      <c r="AS167" s="42"/>
      <c r="AT167" s="42"/>
      <c r="AU167" s="42"/>
      <c r="AV167" s="42"/>
      <c r="AW167" s="42"/>
      <c r="AX167" s="42"/>
    </row>
    <row r="168" spans="1:50" ht="12.75" customHeight="1">
      <c r="A168" s="42">
        <v>41774744</v>
      </c>
      <c r="B168" s="42" t="s">
        <v>446</v>
      </c>
      <c r="C168" s="42" t="s">
        <v>478</v>
      </c>
      <c r="D168" s="42" t="s">
        <v>1580</v>
      </c>
      <c r="E168" s="42" t="s">
        <v>481</v>
      </c>
      <c r="F168" s="154">
        <v>20978</v>
      </c>
      <c r="G168" s="42" t="s">
        <v>1581</v>
      </c>
      <c r="H168" s="42">
        <v>2283504</v>
      </c>
      <c r="I168" s="42" t="s">
        <v>450</v>
      </c>
      <c r="J168" s="42"/>
      <c r="K168" s="42"/>
      <c r="L168" s="42"/>
      <c r="M168" s="42"/>
      <c r="N168" s="42"/>
      <c r="O168" s="42" t="s">
        <v>453</v>
      </c>
      <c r="P168" s="154">
        <v>42585</v>
      </c>
      <c r="Q168" s="154">
        <v>36102</v>
      </c>
      <c r="R168" s="154"/>
      <c r="S168" s="42">
        <v>6</v>
      </c>
      <c r="T168" s="42" t="s">
        <v>511</v>
      </c>
      <c r="U168" s="42">
        <v>11</v>
      </c>
      <c r="V168" s="42" t="s">
        <v>456</v>
      </c>
      <c r="W168" s="42">
        <v>3</v>
      </c>
      <c r="X168" s="42" t="s">
        <v>457</v>
      </c>
      <c r="Y168" s="42">
        <v>148</v>
      </c>
      <c r="Z168" s="42" t="s">
        <v>500</v>
      </c>
      <c r="AA168" s="42">
        <v>407</v>
      </c>
      <c r="AB168" s="42">
        <v>15</v>
      </c>
      <c r="AC168" s="42">
        <v>3212811</v>
      </c>
      <c r="AD168" s="42" t="s">
        <v>146</v>
      </c>
      <c r="AE168" s="42">
        <v>148</v>
      </c>
      <c r="AF168" s="42" t="s">
        <v>458</v>
      </c>
      <c r="AG168" s="42" t="s">
        <v>459</v>
      </c>
      <c r="AH168" s="42" t="s">
        <v>49</v>
      </c>
      <c r="AI168" s="42" t="s">
        <v>460</v>
      </c>
      <c r="AJ168" s="154">
        <v>42585</v>
      </c>
      <c r="AK168" s="42">
        <v>2</v>
      </c>
      <c r="AL168" s="154">
        <v>42585</v>
      </c>
      <c r="AM168" s="154">
        <v>43892</v>
      </c>
      <c r="AN168" s="42">
        <v>34</v>
      </c>
      <c r="AO168" s="154">
        <v>43882</v>
      </c>
      <c r="AP168" s="154">
        <v>44151</v>
      </c>
      <c r="AQ168" s="42"/>
      <c r="AR168" s="42"/>
      <c r="AS168" s="42"/>
      <c r="AT168" s="42"/>
      <c r="AU168" s="42"/>
      <c r="AV168" s="42"/>
      <c r="AW168" s="42"/>
      <c r="AX168" s="42"/>
    </row>
    <row r="169" spans="1:50" ht="12.75" customHeight="1">
      <c r="A169" s="42">
        <v>41780136</v>
      </c>
      <c r="B169" s="42" t="s">
        <v>1103</v>
      </c>
      <c r="C169" s="42" t="s">
        <v>1586</v>
      </c>
      <c r="D169" s="42" t="s">
        <v>1587</v>
      </c>
      <c r="E169" s="42" t="s">
        <v>481</v>
      </c>
      <c r="F169" s="154">
        <v>21873</v>
      </c>
      <c r="G169" s="42" t="s">
        <v>1588</v>
      </c>
      <c r="H169" s="42">
        <v>6013716747</v>
      </c>
      <c r="I169" s="42" t="s">
        <v>450</v>
      </c>
      <c r="J169" s="42"/>
      <c r="K169" s="42"/>
      <c r="L169" s="42"/>
      <c r="M169" s="42"/>
      <c r="N169" s="42"/>
      <c r="O169" s="42" t="s">
        <v>453</v>
      </c>
      <c r="P169" s="154">
        <v>42585</v>
      </c>
      <c r="Q169" s="154">
        <v>34872</v>
      </c>
      <c r="R169" s="42"/>
      <c r="S169" s="42">
        <v>8</v>
      </c>
      <c r="T169" s="42" t="s">
        <v>466</v>
      </c>
      <c r="U169" s="42">
        <v>11</v>
      </c>
      <c r="V169" s="42" t="s">
        <v>456</v>
      </c>
      <c r="W169" s="42">
        <v>3</v>
      </c>
      <c r="X169" s="42" t="s">
        <v>457</v>
      </c>
      <c r="Y169" s="42">
        <v>2311000</v>
      </c>
      <c r="Z169" s="42" t="s">
        <v>467</v>
      </c>
      <c r="AA169" s="42">
        <v>407</v>
      </c>
      <c r="AB169" s="42">
        <v>15</v>
      </c>
      <c r="AC169" s="42">
        <v>3212811</v>
      </c>
      <c r="AD169" s="42" t="s">
        <v>146</v>
      </c>
      <c r="AE169" s="42">
        <v>145</v>
      </c>
      <c r="AF169" s="42" t="s">
        <v>458</v>
      </c>
      <c r="AG169" s="42" t="s">
        <v>459</v>
      </c>
      <c r="AH169" s="42" t="s">
        <v>49</v>
      </c>
      <c r="AI169" s="42" t="s">
        <v>460</v>
      </c>
      <c r="AJ169" s="154">
        <v>42585</v>
      </c>
      <c r="AK169" s="42">
        <v>2</v>
      </c>
      <c r="AL169" s="154">
        <v>42585</v>
      </c>
      <c r="AM169" s="154">
        <v>44582</v>
      </c>
      <c r="AN169" s="42">
        <v>24</v>
      </c>
      <c r="AO169" s="154">
        <v>44581</v>
      </c>
      <c r="AP169" s="154">
        <v>44742</v>
      </c>
      <c r="AQ169" s="42"/>
      <c r="AR169" s="42"/>
      <c r="AS169" s="42"/>
      <c r="AT169" s="42"/>
      <c r="AU169" s="42"/>
      <c r="AV169" s="42"/>
      <c r="AW169" s="42"/>
      <c r="AX169" s="42"/>
    </row>
    <row r="170" spans="1:50" ht="12.75" customHeight="1">
      <c r="A170" s="42">
        <v>42161948</v>
      </c>
      <c r="B170" s="42" t="s">
        <v>478</v>
      </c>
      <c r="C170" s="42" t="s">
        <v>502</v>
      </c>
      <c r="D170" s="42" t="s">
        <v>1591</v>
      </c>
      <c r="E170" s="42" t="s">
        <v>448</v>
      </c>
      <c r="F170" s="154">
        <v>31119</v>
      </c>
      <c r="G170" s="42" t="s">
        <v>1592</v>
      </c>
      <c r="H170" s="42">
        <v>3113724467</v>
      </c>
      <c r="I170" s="42" t="s">
        <v>450</v>
      </c>
      <c r="J170" s="42"/>
      <c r="K170" s="42"/>
      <c r="L170" s="42"/>
      <c r="M170" s="42" t="s">
        <v>451</v>
      </c>
      <c r="N170" s="42" t="s">
        <v>452</v>
      </c>
      <c r="O170" s="42" t="s">
        <v>453</v>
      </c>
      <c r="P170" s="154">
        <v>46099</v>
      </c>
      <c r="Q170" s="154">
        <v>46099</v>
      </c>
      <c r="R170" s="42"/>
      <c r="S170" s="42">
        <v>26</v>
      </c>
      <c r="T170" s="42" t="s">
        <v>528</v>
      </c>
      <c r="U170" s="42">
        <v>11</v>
      </c>
      <c r="V170" s="42" t="s">
        <v>456</v>
      </c>
      <c r="W170" s="42">
        <v>3</v>
      </c>
      <c r="X170" s="42" t="s">
        <v>457</v>
      </c>
      <c r="Y170" s="42">
        <v>2311000</v>
      </c>
      <c r="Z170" s="42" t="s">
        <v>467</v>
      </c>
      <c r="AA170" s="42">
        <v>222</v>
      </c>
      <c r="AB170" s="42">
        <v>26</v>
      </c>
      <c r="AC170" s="42">
        <v>7296816</v>
      </c>
      <c r="AD170" s="42" t="s">
        <v>51</v>
      </c>
      <c r="AE170" s="42">
        <v>51</v>
      </c>
      <c r="AF170" s="42" t="s">
        <v>458</v>
      </c>
      <c r="AG170" s="42" t="s">
        <v>459</v>
      </c>
      <c r="AH170" s="42" t="s">
        <v>49</v>
      </c>
      <c r="AI170" s="42" t="s">
        <v>460</v>
      </c>
      <c r="AJ170" s="154">
        <v>46099</v>
      </c>
      <c r="AK170" s="42">
        <v>57</v>
      </c>
      <c r="AL170" s="154">
        <v>46059</v>
      </c>
      <c r="AM170" s="154"/>
      <c r="AN170" s="42"/>
      <c r="AO170" s="154"/>
      <c r="AP170" s="154"/>
      <c r="AQ170" s="42"/>
      <c r="AR170" s="42"/>
      <c r="AS170" s="42"/>
      <c r="AT170" s="42"/>
      <c r="AU170" s="42"/>
      <c r="AV170" s="42"/>
      <c r="AW170" s="42"/>
      <c r="AX170" s="42"/>
    </row>
    <row r="171" spans="1:50" ht="12.75" customHeight="1">
      <c r="A171" s="42">
        <v>42163264</v>
      </c>
      <c r="B171" s="42" t="s">
        <v>725</v>
      </c>
      <c r="C171" s="42" t="s">
        <v>1595</v>
      </c>
      <c r="D171" s="42" t="s">
        <v>1596</v>
      </c>
      <c r="E171" s="42" t="s">
        <v>448</v>
      </c>
      <c r="F171" s="154">
        <v>31173</v>
      </c>
      <c r="G171" s="42" t="s">
        <v>1597</v>
      </c>
      <c r="H171" s="42">
        <v>3159265267</v>
      </c>
      <c r="I171" s="42" t="s">
        <v>450</v>
      </c>
      <c r="J171" s="42"/>
      <c r="K171" s="42"/>
      <c r="L171" s="42"/>
      <c r="M171" s="42" t="s">
        <v>451</v>
      </c>
      <c r="N171" s="42" t="s">
        <v>452</v>
      </c>
      <c r="O171" s="42" t="s">
        <v>453</v>
      </c>
      <c r="P171" s="154">
        <v>46083</v>
      </c>
      <c r="Q171" s="154">
        <v>46083</v>
      </c>
      <c r="R171" s="154"/>
      <c r="S171" s="42">
        <v>26</v>
      </c>
      <c r="T171" s="42" t="s">
        <v>528</v>
      </c>
      <c r="U171" s="42">
        <v>19</v>
      </c>
      <c r="V171" s="42" t="s">
        <v>574</v>
      </c>
      <c r="W171" s="42">
        <v>3</v>
      </c>
      <c r="X171" s="42" t="s">
        <v>457</v>
      </c>
      <c r="Y171" s="42">
        <v>2311000</v>
      </c>
      <c r="Z171" s="42" t="s">
        <v>467</v>
      </c>
      <c r="AA171" s="42">
        <v>407</v>
      </c>
      <c r="AB171" s="42">
        <v>11</v>
      </c>
      <c r="AC171" s="42">
        <v>2804649</v>
      </c>
      <c r="AD171" s="42" t="s">
        <v>146</v>
      </c>
      <c r="AE171" s="42">
        <v>154</v>
      </c>
      <c r="AF171" s="42" t="s">
        <v>458</v>
      </c>
      <c r="AG171" s="42" t="s">
        <v>459</v>
      </c>
      <c r="AH171" s="42" t="s">
        <v>49</v>
      </c>
      <c r="AI171" s="42" t="s">
        <v>460</v>
      </c>
      <c r="AJ171" s="154">
        <v>46083</v>
      </c>
      <c r="AK171" s="42">
        <v>60</v>
      </c>
      <c r="AL171" s="154">
        <v>46059</v>
      </c>
      <c r="AM171" s="154"/>
      <c r="AN171" s="42"/>
      <c r="AO171" s="154"/>
      <c r="AP171" s="154"/>
      <c r="AQ171" s="42"/>
      <c r="AR171" s="42"/>
      <c r="AS171" s="42"/>
      <c r="AT171" s="42"/>
      <c r="AU171" s="42"/>
      <c r="AV171" s="42"/>
      <c r="AW171" s="42"/>
      <c r="AX171" s="42"/>
    </row>
    <row r="172" spans="1:50" ht="12.75" customHeight="1">
      <c r="A172" s="42">
        <v>42163723</v>
      </c>
      <c r="B172" s="42" t="s">
        <v>446</v>
      </c>
      <c r="C172" s="42" t="s">
        <v>523</v>
      </c>
      <c r="D172" s="42" t="s">
        <v>1599</v>
      </c>
      <c r="E172" s="42" t="s">
        <v>481</v>
      </c>
      <c r="F172" s="154">
        <v>31109</v>
      </c>
      <c r="G172" s="42" t="s">
        <v>1600</v>
      </c>
      <c r="H172" s="42">
        <v>8148881</v>
      </c>
      <c r="I172" s="42" t="s">
        <v>450</v>
      </c>
      <c r="J172" s="42"/>
      <c r="K172" s="42"/>
      <c r="L172" s="42"/>
      <c r="M172" s="42" t="s">
        <v>451</v>
      </c>
      <c r="N172" s="42" t="s">
        <v>452</v>
      </c>
      <c r="O172" s="42" t="s">
        <v>453</v>
      </c>
      <c r="P172" s="154">
        <v>44838</v>
      </c>
      <c r="Q172" s="154">
        <v>44838</v>
      </c>
      <c r="R172" s="154"/>
      <c r="S172" s="42">
        <v>5</v>
      </c>
      <c r="T172" s="42" t="s">
        <v>499</v>
      </c>
      <c r="U172" s="42">
        <v>19</v>
      </c>
      <c r="V172" s="42" t="s">
        <v>574</v>
      </c>
      <c r="W172" s="42">
        <v>19</v>
      </c>
      <c r="X172" s="42" t="s">
        <v>575</v>
      </c>
      <c r="Y172" s="42">
        <v>2300100</v>
      </c>
      <c r="Z172" s="42" t="s">
        <v>483</v>
      </c>
      <c r="AA172" s="42">
        <v>105</v>
      </c>
      <c r="AB172" s="42">
        <v>5</v>
      </c>
      <c r="AC172" s="42">
        <v>9154873</v>
      </c>
      <c r="AD172" s="42" t="s">
        <v>26</v>
      </c>
      <c r="AE172" s="42">
        <v>12</v>
      </c>
      <c r="AF172" s="42" t="s">
        <v>458</v>
      </c>
      <c r="AG172" s="42" t="s">
        <v>459</v>
      </c>
      <c r="AH172" s="42" t="s">
        <v>484</v>
      </c>
      <c r="AI172" s="42" t="s">
        <v>460</v>
      </c>
      <c r="AJ172" s="154">
        <v>44838</v>
      </c>
      <c r="AK172" s="42">
        <v>364</v>
      </c>
      <c r="AL172" s="154">
        <v>44837</v>
      </c>
      <c r="AM172" s="154"/>
      <c r="AN172" s="42"/>
      <c r="AO172" s="154"/>
      <c r="AP172" s="154">
        <v>45306</v>
      </c>
      <c r="AQ172" s="42"/>
      <c r="AR172" s="42"/>
      <c r="AS172" s="42"/>
      <c r="AT172" s="42"/>
      <c r="AU172" s="42"/>
      <c r="AV172" s="42"/>
      <c r="AW172" s="42"/>
      <c r="AX172" s="42"/>
    </row>
    <row r="173" spans="1:50" ht="12.75" customHeight="1">
      <c r="A173" s="42">
        <v>42497241</v>
      </c>
      <c r="B173" s="42" t="s">
        <v>919</v>
      </c>
      <c r="C173" s="42" t="s">
        <v>920</v>
      </c>
      <c r="D173" s="42" t="s">
        <v>921</v>
      </c>
      <c r="E173" s="42" t="s">
        <v>481</v>
      </c>
      <c r="F173" s="154">
        <v>21509</v>
      </c>
      <c r="G173" s="42" t="s">
        <v>1605</v>
      </c>
      <c r="H173" s="42">
        <v>6263163</v>
      </c>
      <c r="I173" s="42" t="s">
        <v>450</v>
      </c>
      <c r="J173" s="42"/>
      <c r="K173" s="42"/>
      <c r="L173" s="42"/>
      <c r="M173" s="42"/>
      <c r="N173" s="42"/>
      <c r="O173" s="42" t="s">
        <v>453</v>
      </c>
      <c r="P173" s="154">
        <v>42585</v>
      </c>
      <c r="Q173" s="154">
        <v>34687</v>
      </c>
      <c r="R173" s="154"/>
      <c r="S173" s="42">
        <v>8</v>
      </c>
      <c r="T173" s="42" t="s">
        <v>466</v>
      </c>
      <c r="U173" s="42">
        <v>11</v>
      </c>
      <c r="V173" s="42" t="s">
        <v>456</v>
      </c>
      <c r="W173" s="42">
        <v>23</v>
      </c>
      <c r="X173" s="42" t="s">
        <v>473</v>
      </c>
      <c r="Y173" s="42">
        <v>2310460</v>
      </c>
      <c r="Z173" s="42" t="s">
        <v>506</v>
      </c>
      <c r="AA173" s="42">
        <v>222</v>
      </c>
      <c r="AB173" s="42">
        <v>24</v>
      </c>
      <c r="AC173" s="42">
        <v>6809900</v>
      </c>
      <c r="AD173" s="42" t="s">
        <v>51</v>
      </c>
      <c r="AE173" s="42">
        <v>30</v>
      </c>
      <c r="AF173" s="42" t="s">
        <v>458</v>
      </c>
      <c r="AG173" s="42" t="s">
        <v>459</v>
      </c>
      <c r="AH173" s="42" t="s">
        <v>49</v>
      </c>
      <c r="AI173" s="42" t="s">
        <v>460</v>
      </c>
      <c r="AJ173" s="154">
        <v>42585</v>
      </c>
      <c r="AK173" s="42">
        <v>2</v>
      </c>
      <c r="AL173" s="154">
        <v>42585</v>
      </c>
      <c r="AM173" s="154">
        <v>44300</v>
      </c>
      <c r="AN173" s="42">
        <v>74</v>
      </c>
      <c r="AO173" s="154">
        <v>44299</v>
      </c>
      <c r="AP173" s="154">
        <v>45961</v>
      </c>
      <c r="AQ173" s="42"/>
      <c r="AR173" s="42"/>
      <c r="AS173" s="42"/>
      <c r="AT173" s="42"/>
      <c r="AU173" s="42"/>
      <c r="AV173" s="42"/>
      <c r="AW173" s="42"/>
      <c r="AX173" s="42"/>
    </row>
    <row r="174" spans="1:50" ht="12.75" customHeight="1">
      <c r="A174" s="42">
        <v>46668404</v>
      </c>
      <c r="B174" s="42" t="s">
        <v>1607</v>
      </c>
      <c r="C174" s="42" t="s">
        <v>1608</v>
      </c>
      <c r="D174" s="42" t="s">
        <v>1609</v>
      </c>
      <c r="E174" s="42" t="s">
        <v>481</v>
      </c>
      <c r="F174" s="154">
        <v>26389</v>
      </c>
      <c r="G174" s="42" t="s">
        <v>1610</v>
      </c>
      <c r="H174" s="42">
        <v>3002977404</v>
      </c>
      <c r="I174" s="42" t="s">
        <v>450</v>
      </c>
      <c r="J174" s="42"/>
      <c r="K174" s="42"/>
      <c r="L174" s="42"/>
      <c r="M174" s="42" t="s">
        <v>448</v>
      </c>
      <c r="N174" s="42" t="s">
        <v>452</v>
      </c>
      <c r="O174" s="42" t="s">
        <v>453</v>
      </c>
      <c r="P174" s="154">
        <v>43886</v>
      </c>
      <c r="Q174" s="154">
        <v>43886</v>
      </c>
      <c r="R174" s="154"/>
      <c r="S174" s="42">
        <v>5</v>
      </c>
      <c r="T174" s="42" t="s">
        <v>499</v>
      </c>
      <c r="U174" s="42">
        <v>11</v>
      </c>
      <c r="V174" s="42" t="s">
        <v>456</v>
      </c>
      <c r="W174" s="42">
        <v>19</v>
      </c>
      <c r="X174" s="42" t="s">
        <v>575</v>
      </c>
      <c r="Y174" s="42">
        <v>170</v>
      </c>
      <c r="Z174" s="42" t="s">
        <v>500</v>
      </c>
      <c r="AA174" s="42">
        <v>470</v>
      </c>
      <c r="AB174" s="42">
        <v>3</v>
      </c>
      <c r="AC174" s="42">
        <v>2188251</v>
      </c>
      <c r="AD174" s="42" t="s">
        <v>813</v>
      </c>
      <c r="AE174" s="42">
        <v>170</v>
      </c>
      <c r="AF174" s="42" t="s">
        <v>458</v>
      </c>
      <c r="AG174" s="42" t="s">
        <v>459</v>
      </c>
      <c r="AH174" s="42" t="s">
        <v>188</v>
      </c>
      <c r="AI174" s="42" t="s">
        <v>460</v>
      </c>
      <c r="AJ174" s="154">
        <v>43886</v>
      </c>
      <c r="AK174" s="42">
        <v>33</v>
      </c>
      <c r="AL174" s="154">
        <v>43882</v>
      </c>
      <c r="AM174" s="154"/>
      <c r="AN174" s="42"/>
      <c r="AO174" s="154"/>
      <c r="AP174" s="154">
        <v>44146</v>
      </c>
      <c r="AQ174" s="42"/>
      <c r="AR174" s="42"/>
      <c r="AS174" s="42"/>
      <c r="AT174" s="42"/>
      <c r="AU174" s="42"/>
      <c r="AV174" s="42"/>
      <c r="AW174" s="42"/>
      <c r="AX174" s="42"/>
    </row>
    <row r="175" spans="1:50" ht="12.75" customHeight="1">
      <c r="A175" s="42">
        <v>46677766</v>
      </c>
      <c r="B175" s="42" t="s">
        <v>446</v>
      </c>
      <c r="C175" s="42" t="s">
        <v>761</v>
      </c>
      <c r="D175" s="42" t="s">
        <v>924</v>
      </c>
      <c r="E175" s="42" t="s">
        <v>448</v>
      </c>
      <c r="F175" s="154">
        <v>27922</v>
      </c>
      <c r="G175" s="42" t="s">
        <v>1613</v>
      </c>
      <c r="H175" s="42">
        <v>3586252</v>
      </c>
      <c r="I175" s="42" t="s">
        <v>450</v>
      </c>
      <c r="J175" s="42"/>
      <c r="K175" s="42"/>
      <c r="L175" s="42"/>
      <c r="M175" s="42" t="s">
        <v>448</v>
      </c>
      <c r="N175" s="42" t="s">
        <v>452</v>
      </c>
      <c r="O175" s="42" t="s">
        <v>453</v>
      </c>
      <c r="P175" s="154">
        <v>44152</v>
      </c>
      <c r="Q175" s="154">
        <v>44152</v>
      </c>
      <c r="R175" s="154">
        <v>40696</v>
      </c>
      <c r="S175" s="42">
        <v>5</v>
      </c>
      <c r="T175" s="42" t="s">
        <v>499</v>
      </c>
      <c r="U175" s="42">
        <v>11</v>
      </c>
      <c r="V175" s="42" t="s">
        <v>456</v>
      </c>
      <c r="W175" s="42">
        <v>3</v>
      </c>
      <c r="X175" s="42" t="s">
        <v>457</v>
      </c>
      <c r="Y175" s="42">
        <v>2310450</v>
      </c>
      <c r="Z175" s="42" t="s">
        <v>568</v>
      </c>
      <c r="AA175" s="42">
        <v>222</v>
      </c>
      <c r="AB175" s="42">
        <v>27</v>
      </c>
      <c r="AC175" s="42">
        <v>7358647</v>
      </c>
      <c r="AD175" s="42" t="s">
        <v>51</v>
      </c>
      <c r="AE175" s="42">
        <v>38</v>
      </c>
      <c r="AF175" s="42" t="s">
        <v>458</v>
      </c>
      <c r="AG175" s="42" t="s">
        <v>459</v>
      </c>
      <c r="AH175" s="42" t="s">
        <v>49</v>
      </c>
      <c r="AI175" s="42" t="s">
        <v>460</v>
      </c>
      <c r="AJ175" s="154">
        <v>44152</v>
      </c>
      <c r="AK175" s="42">
        <v>185</v>
      </c>
      <c r="AL175" s="154">
        <v>44124</v>
      </c>
      <c r="AM175" s="154"/>
      <c r="AN175" s="42"/>
      <c r="AO175" s="154"/>
      <c r="AP175" s="154"/>
      <c r="AQ175" s="42"/>
      <c r="AR175" s="42"/>
      <c r="AS175" s="42"/>
      <c r="AT175" s="42"/>
      <c r="AU175" s="42"/>
      <c r="AV175" s="42"/>
      <c r="AW175" s="42"/>
      <c r="AX175" s="42"/>
    </row>
    <row r="176" spans="1:50" ht="12.75" customHeight="1">
      <c r="A176" s="42">
        <v>51560501</v>
      </c>
      <c r="B176" s="42" t="s">
        <v>899</v>
      </c>
      <c r="C176" s="42" t="s">
        <v>734</v>
      </c>
      <c r="D176" s="42" t="s">
        <v>1614</v>
      </c>
      <c r="E176" s="42" t="s">
        <v>481</v>
      </c>
      <c r="F176" s="154">
        <v>21433</v>
      </c>
      <c r="G176" s="42" t="s">
        <v>1615</v>
      </c>
      <c r="H176" s="42">
        <v>2452632</v>
      </c>
      <c r="I176" s="42" t="s">
        <v>450</v>
      </c>
      <c r="J176" s="42"/>
      <c r="K176" s="42"/>
      <c r="L176" s="42"/>
      <c r="M176" s="42"/>
      <c r="N176" s="42"/>
      <c r="O176" s="42" t="s">
        <v>453</v>
      </c>
      <c r="P176" s="154">
        <v>42585</v>
      </c>
      <c r="Q176" s="154">
        <v>38343</v>
      </c>
      <c r="R176" s="154"/>
      <c r="S176" s="42">
        <v>5</v>
      </c>
      <c r="T176" s="42" t="s">
        <v>499</v>
      </c>
      <c r="U176" s="42">
        <v>11</v>
      </c>
      <c r="V176" s="42" t="s">
        <v>456</v>
      </c>
      <c r="W176" s="42">
        <v>3</v>
      </c>
      <c r="X176" s="42" t="s">
        <v>457</v>
      </c>
      <c r="Y176" s="42">
        <v>104</v>
      </c>
      <c r="Z176" s="42" t="s">
        <v>500</v>
      </c>
      <c r="AA176" s="42">
        <v>219</v>
      </c>
      <c r="AB176" s="42">
        <v>10</v>
      </c>
      <c r="AC176" s="42">
        <v>4938935</v>
      </c>
      <c r="AD176" s="42" t="s">
        <v>72</v>
      </c>
      <c r="AE176" s="42">
        <v>104</v>
      </c>
      <c r="AF176" s="42" t="s">
        <v>458</v>
      </c>
      <c r="AG176" s="42" t="s">
        <v>459</v>
      </c>
      <c r="AH176" s="42" t="s">
        <v>188</v>
      </c>
      <c r="AI176" s="42" t="s">
        <v>460</v>
      </c>
      <c r="AJ176" s="154">
        <v>42585</v>
      </c>
      <c r="AK176" s="42">
        <v>2</v>
      </c>
      <c r="AL176" s="154">
        <v>42585</v>
      </c>
      <c r="AM176" s="154"/>
      <c r="AN176" s="42"/>
      <c r="AO176" s="154"/>
      <c r="AP176" s="154">
        <v>44146</v>
      </c>
      <c r="AQ176" s="42"/>
      <c r="AR176" s="42"/>
      <c r="AS176" s="42"/>
      <c r="AT176" s="42"/>
      <c r="AU176" s="42"/>
      <c r="AV176" s="42"/>
      <c r="AW176" s="42"/>
      <c r="AX176" s="42"/>
    </row>
    <row r="177" spans="1:50" ht="12.75" customHeight="1">
      <c r="A177" s="42">
        <v>51569861</v>
      </c>
      <c r="B177" s="42" t="s">
        <v>926</v>
      </c>
      <c r="C177" s="42" t="s">
        <v>927</v>
      </c>
      <c r="D177" s="42" t="s">
        <v>928</v>
      </c>
      <c r="E177" s="42" t="s">
        <v>481</v>
      </c>
      <c r="F177" s="154">
        <v>21544</v>
      </c>
      <c r="G177" s="42" t="s">
        <v>1617</v>
      </c>
      <c r="H177" s="42">
        <v>8124071</v>
      </c>
      <c r="I177" s="42" t="s">
        <v>450</v>
      </c>
      <c r="J177" s="42"/>
      <c r="K177" s="42"/>
      <c r="L177" s="42"/>
      <c r="M177" s="42"/>
      <c r="N177" s="42"/>
      <c r="O177" s="42" t="s">
        <v>453</v>
      </c>
      <c r="P177" s="154">
        <v>42585</v>
      </c>
      <c r="Q177" s="154">
        <v>34684</v>
      </c>
      <c r="R177" s="42">
        <v>33655</v>
      </c>
      <c r="S177" s="42">
        <v>5</v>
      </c>
      <c r="T177" s="42" t="s">
        <v>499</v>
      </c>
      <c r="U177" s="42">
        <v>11</v>
      </c>
      <c r="V177" s="42" t="s">
        <v>456</v>
      </c>
      <c r="W177" s="42">
        <v>23</v>
      </c>
      <c r="X177" s="42" t="s">
        <v>473</v>
      </c>
      <c r="Y177" s="42">
        <v>2310450</v>
      </c>
      <c r="Z177" s="42" t="s">
        <v>568</v>
      </c>
      <c r="AA177" s="42">
        <v>222</v>
      </c>
      <c r="AB177" s="42">
        <v>27</v>
      </c>
      <c r="AC177" s="42">
        <v>7358647</v>
      </c>
      <c r="AD177" s="42" t="s">
        <v>51</v>
      </c>
      <c r="AE177" s="42">
        <v>34</v>
      </c>
      <c r="AF177" s="42" t="s">
        <v>458</v>
      </c>
      <c r="AG177" s="42" t="s">
        <v>459</v>
      </c>
      <c r="AH177" s="42" t="s">
        <v>49</v>
      </c>
      <c r="AI177" s="42" t="s">
        <v>460</v>
      </c>
      <c r="AJ177" s="154">
        <v>42585</v>
      </c>
      <c r="AK177" s="42">
        <v>2</v>
      </c>
      <c r="AL177" s="154">
        <v>42585</v>
      </c>
      <c r="AM177" s="154"/>
      <c r="AN177" s="42"/>
      <c r="AO177" s="154"/>
      <c r="AP177" s="154">
        <v>46130</v>
      </c>
      <c r="AQ177" s="42"/>
      <c r="AR177" s="42"/>
      <c r="AS177" s="42"/>
      <c r="AT177" s="42"/>
      <c r="AU177" s="42"/>
      <c r="AV177" s="42"/>
      <c r="AW177" s="42"/>
      <c r="AX177" s="42"/>
    </row>
    <row r="178" spans="1:50" ht="12.75" customHeight="1">
      <c r="A178" s="42">
        <v>51623332</v>
      </c>
      <c r="B178" s="42" t="s">
        <v>1618</v>
      </c>
      <c r="C178" s="42" t="s">
        <v>1365</v>
      </c>
      <c r="D178" s="42" t="s">
        <v>1619</v>
      </c>
      <c r="E178" s="42" t="s">
        <v>481</v>
      </c>
      <c r="F178" s="154">
        <v>22432</v>
      </c>
      <c r="G178" s="42" t="s">
        <v>1620</v>
      </c>
      <c r="H178" s="42" t="s">
        <v>1621</v>
      </c>
      <c r="I178" s="42" t="s">
        <v>450</v>
      </c>
      <c r="J178" s="42"/>
      <c r="K178" s="42"/>
      <c r="L178" s="42"/>
      <c r="M178" s="42"/>
      <c r="N178" s="42"/>
      <c r="O178" s="42" t="s">
        <v>453</v>
      </c>
      <c r="P178" s="154">
        <v>42585</v>
      </c>
      <c r="Q178" s="154">
        <v>33717</v>
      </c>
      <c r="R178" s="42"/>
      <c r="S178" s="42">
        <v>8</v>
      </c>
      <c r="T178" s="42" t="s">
        <v>466</v>
      </c>
      <c r="U178" s="42">
        <v>11</v>
      </c>
      <c r="V178" s="42" t="s">
        <v>456</v>
      </c>
      <c r="W178" s="42">
        <v>1</v>
      </c>
      <c r="X178" s="42" t="s">
        <v>1370</v>
      </c>
      <c r="Y178" s="42">
        <v>2310450</v>
      </c>
      <c r="Z178" s="42" t="s">
        <v>568</v>
      </c>
      <c r="AA178" s="42">
        <v>407</v>
      </c>
      <c r="AB178" s="42">
        <v>9</v>
      </c>
      <c r="AC178" s="42">
        <v>2675559</v>
      </c>
      <c r="AD178" s="42" t="s">
        <v>146</v>
      </c>
      <c r="AE178" s="42">
        <v>146</v>
      </c>
      <c r="AF178" s="42" t="s">
        <v>458</v>
      </c>
      <c r="AG178" s="42" t="s">
        <v>459</v>
      </c>
      <c r="AH178" s="42" t="s">
        <v>49</v>
      </c>
      <c r="AI178" s="42" t="s">
        <v>460</v>
      </c>
      <c r="AJ178" s="154">
        <v>42585</v>
      </c>
      <c r="AK178" s="42">
        <v>2</v>
      </c>
      <c r="AL178" s="154">
        <v>42585</v>
      </c>
      <c r="AM178" s="154">
        <v>42734</v>
      </c>
      <c r="AN178" s="42">
        <v>82</v>
      </c>
      <c r="AO178" s="154">
        <v>42734</v>
      </c>
      <c r="AP178" s="154">
        <v>43466</v>
      </c>
      <c r="AQ178" s="42"/>
      <c r="AR178" s="42"/>
      <c r="AS178" s="42"/>
      <c r="AT178" s="42"/>
      <c r="AU178" s="42"/>
      <c r="AV178" s="42"/>
      <c r="AW178" s="42"/>
      <c r="AX178" s="42"/>
    </row>
    <row r="179" spans="1:50" ht="12.75" customHeight="1">
      <c r="A179" s="42">
        <v>51628413</v>
      </c>
      <c r="B179" s="42" t="s">
        <v>1039</v>
      </c>
      <c r="C179" s="42" t="s">
        <v>1623</v>
      </c>
      <c r="D179" s="42" t="s">
        <v>1624</v>
      </c>
      <c r="E179" s="42" t="s">
        <v>481</v>
      </c>
      <c r="F179" s="154">
        <v>22392</v>
      </c>
      <c r="G179" s="42" t="s">
        <v>1625</v>
      </c>
      <c r="H179" s="42">
        <v>4857120</v>
      </c>
      <c r="I179" s="42" t="s">
        <v>450</v>
      </c>
      <c r="J179" s="42"/>
      <c r="K179" s="42"/>
      <c r="L179" s="42"/>
      <c r="M179" s="42"/>
      <c r="N179" s="42"/>
      <c r="O179" s="42" t="s">
        <v>453</v>
      </c>
      <c r="P179" s="154">
        <v>42585</v>
      </c>
      <c r="Q179" s="154">
        <v>30587</v>
      </c>
      <c r="R179" s="154"/>
      <c r="S179" s="42">
        <v>5</v>
      </c>
      <c r="T179" s="42" t="s">
        <v>499</v>
      </c>
      <c r="U179" s="42">
        <v>11</v>
      </c>
      <c r="V179" s="42" t="s">
        <v>456</v>
      </c>
      <c r="W179" s="42">
        <v>1</v>
      </c>
      <c r="X179" s="42" t="s">
        <v>1370</v>
      </c>
      <c r="Y179" s="42">
        <v>2300100</v>
      </c>
      <c r="Z179" s="42" t="s">
        <v>483</v>
      </c>
      <c r="AA179" s="42">
        <v>407</v>
      </c>
      <c r="AB179" s="42">
        <v>20</v>
      </c>
      <c r="AC179" s="42">
        <v>3799538</v>
      </c>
      <c r="AD179" s="42" t="s">
        <v>146</v>
      </c>
      <c r="AE179" s="42">
        <v>141</v>
      </c>
      <c r="AF179" s="42" t="s">
        <v>458</v>
      </c>
      <c r="AG179" s="42" t="s">
        <v>459</v>
      </c>
      <c r="AH179" s="42" t="s">
        <v>49</v>
      </c>
      <c r="AI179" s="42" t="s">
        <v>460</v>
      </c>
      <c r="AJ179" s="154">
        <v>42585</v>
      </c>
      <c r="AK179" s="42">
        <v>2</v>
      </c>
      <c r="AL179" s="154">
        <v>42585</v>
      </c>
      <c r="AM179" s="154">
        <v>43642</v>
      </c>
      <c r="AN179" s="42">
        <v>79</v>
      </c>
      <c r="AO179" s="154">
        <v>43642</v>
      </c>
      <c r="AP179" s="154">
        <v>44571</v>
      </c>
      <c r="AQ179" s="42"/>
      <c r="AR179" s="42"/>
      <c r="AS179" s="42"/>
      <c r="AT179" s="42"/>
      <c r="AU179" s="42"/>
      <c r="AV179" s="42"/>
      <c r="AW179" s="42"/>
      <c r="AX179" s="42"/>
    </row>
    <row r="180" spans="1:50" ht="12.75" customHeight="1">
      <c r="A180" s="42">
        <v>51641343</v>
      </c>
      <c r="B180" s="42" t="s">
        <v>1365</v>
      </c>
      <c r="C180" s="42" t="s">
        <v>1628</v>
      </c>
      <c r="D180" s="42" t="s">
        <v>1629</v>
      </c>
      <c r="E180" s="42" t="s">
        <v>481</v>
      </c>
      <c r="F180" s="154">
        <v>22759</v>
      </c>
      <c r="G180" s="42" t="s">
        <v>1630</v>
      </c>
      <c r="H180" s="42">
        <v>3106993105</v>
      </c>
      <c r="I180" s="42" t="s">
        <v>450</v>
      </c>
      <c r="J180" s="42"/>
      <c r="K180" s="42"/>
      <c r="L180" s="42"/>
      <c r="M180" s="42"/>
      <c r="N180" s="42"/>
      <c r="O180" s="42" t="s">
        <v>453</v>
      </c>
      <c r="P180" s="154">
        <v>42585</v>
      </c>
      <c r="Q180" s="154">
        <v>38443</v>
      </c>
      <c r="R180" s="154"/>
      <c r="S180" s="42">
        <v>18</v>
      </c>
      <c r="T180" s="42" t="s">
        <v>472</v>
      </c>
      <c r="U180" s="42">
        <v>11</v>
      </c>
      <c r="V180" s="42" t="s">
        <v>456</v>
      </c>
      <c r="W180" s="42">
        <v>3</v>
      </c>
      <c r="X180" s="42" t="s">
        <v>457</v>
      </c>
      <c r="Y180" s="42">
        <v>2310470</v>
      </c>
      <c r="Z180" s="42" t="s">
        <v>477</v>
      </c>
      <c r="AA180" s="42">
        <v>222</v>
      </c>
      <c r="AB180" s="42">
        <v>21</v>
      </c>
      <c r="AC180" s="42">
        <v>6566429</v>
      </c>
      <c r="AD180" s="42" t="s">
        <v>51</v>
      </c>
      <c r="AE180" s="42">
        <v>91</v>
      </c>
      <c r="AF180" s="42" t="s">
        <v>458</v>
      </c>
      <c r="AG180" s="42" t="s">
        <v>459</v>
      </c>
      <c r="AH180" s="42" t="s">
        <v>188</v>
      </c>
      <c r="AI180" s="42" t="s">
        <v>460</v>
      </c>
      <c r="AJ180" s="154">
        <v>43642</v>
      </c>
      <c r="AK180" s="42">
        <v>84</v>
      </c>
      <c r="AL180" s="154">
        <v>43642</v>
      </c>
      <c r="AM180" s="154"/>
      <c r="AN180" s="42"/>
      <c r="AO180" s="154"/>
      <c r="AP180" s="154">
        <v>44210</v>
      </c>
      <c r="AQ180" s="42"/>
      <c r="AR180" s="42"/>
      <c r="AS180" s="42"/>
      <c r="AT180" s="42"/>
      <c r="AU180" s="42"/>
      <c r="AV180" s="42"/>
      <c r="AW180" s="42"/>
      <c r="AX180" s="42"/>
    </row>
    <row r="181" spans="1:50" ht="12.75" customHeight="1">
      <c r="A181" s="42">
        <v>51643791</v>
      </c>
      <c r="B181" s="42" t="s">
        <v>1631</v>
      </c>
      <c r="C181" s="42" t="s">
        <v>554</v>
      </c>
      <c r="D181" s="42" t="s">
        <v>1632</v>
      </c>
      <c r="E181" s="42" t="s">
        <v>481</v>
      </c>
      <c r="F181" s="154">
        <v>22770</v>
      </c>
      <c r="G181" s="42" t="s">
        <v>1633</v>
      </c>
      <c r="H181" s="42">
        <v>3112304080</v>
      </c>
      <c r="I181" s="42" t="s">
        <v>450</v>
      </c>
      <c r="J181" s="42"/>
      <c r="K181" s="42"/>
      <c r="L181" s="42"/>
      <c r="M181" s="42" t="s">
        <v>451</v>
      </c>
      <c r="N181" s="42" t="s">
        <v>452</v>
      </c>
      <c r="O181" s="42" t="s">
        <v>453</v>
      </c>
      <c r="P181" s="154">
        <v>43406</v>
      </c>
      <c r="Q181" s="154">
        <v>43406</v>
      </c>
      <c r="R181" s="154"/>
      <c r="S181" s="42">
        <v>8</v>
      </c>
      <c r="T181" s="42" t="s">
        <v>466</v>
      </c>
      <c r="U181" s="42">
        <v>19</v>
      </c>
      <c r="V181" s="42" t="s">
        <v>574</v>
      </c>
      <c r="W181" s="42">
        <v>3</v>
      </c>
      <c r="X181" s="42" t="s">
        <v>457</v>
      </c>
      <c r="Y181" s="42">
        <v>129</v>
      </c>
      <c r="Z181" s="42" t="s">
        <v>500</v>
      </c>
      <c r="AA181" s="42">
        <v>314</v>
      </c>
      <c r="AB181" s="42">
        <v>15</v>
      </c>
      <c r="AC181" s="42">
        <v>4226650</v>
      </c>
      <c r="AD181" s="42" t="s">
        <v>517</v>
      </c>
      <c r="AE181" s="42">
        <v>129</v>
      </c>
      <c r="AF181" s="42" t="s">
        <v>458</v>
      </c>
      <c r="AG181" s="42" t="s">
        <v>459</v>
      </c>
      <c r="AH181" s="42" t="s">
        <v>188</v>
      </c>
      <c r="AI181" s="42" t="s">
        <v>460</v>
      </c>
      <c r="AJ181" s="154">
        <v>43406</v>
      </c>
      <c r="AK181" s="42">
        <v>120</v>
      </c>
      <c r="AL181" s="154">
        <v>43405</v>
      </c>
      <c r="AM181" s="154"/>
      <c r="AN181" s="42"/>
      <c r="AO181" s="154"/>
      <c r="AP181" s="154">
        <v>44146</v>
      </c>
      <c r="AQ181" s="42"/>
      <c r="AR181" s="42"/>
      <c r="AS181" s="42"/>
      <c r="AT181" s="42"/>
      <c r="AU181" s="42"/>
      <c r="AV181" s="42"/>
      <c r="AW181" s="42"/>
      <c r="AX181" s="42"/>
    </row>
    <row r="182" spans="1:50" ht="12.75" customHeight="1">
      <c r="A182" s="42">
        <v>51649014</v>
      </c>
      <c r="B182" s="42" t="s">
        <v>774</v>
      </c>
      <c r="C182" s="42" t="s">
        <v>554</v>
      </c>
      <c r="D182" s="42" t="s">
        <v>931</v>
      </c>
      <c r="E182" s="42" t="s">
        <v>448</v>
      </c>
      <c r="F182" s="154">
        <v>22718</v>
      </c>
      <c r="G182" s="42" t="s">
        <v>1634</v>
      </c>
      <c r="H182" s="42">
        <v>2449064</v>
      </c>
      <c r="I182" s="42" t="s">
        <v>450</v>
      </c>
      <c r="J182" s="42"/>
      <c r="K182" s="42"/>
      <c r="L182" s="42"/>
      <c r="M182" s="42"/>
      <c r="N182" s="42"/>
      <c r="O182" s="42" t="s">
        <v>453</v>
      </c>
      <c r="P182" s="154">
        <v>42585</v>
      </c>
      <c r="Q182" s="154">
        <v>34870</v>
      </c>
      <c r="R182" s="154"/>
      <c r="S182" s="42">
        <v>8</v>
      </c>
      <c r="T182" s="42" t="s">
        <v>466</v>
      </c>
      <c r="U182" s="42">
        <v>11</v>
      </c>
      <c r="V182" s="42" t="s">
        <v>456</v>
      </c>
      <c r="W182" s="42">
        <v>3</v>
      </c>
      <c r="X182" s="42" t="s">
        <v>457</v>
      </c>
      <c r="Y182" s="42">
        <v>2311000</v>
      </c>
      <c r="Z182" s="42" t="s">
        <v>467</v>
      </c>
      <c r="AA182" s="42">
        <v>222</v>
      </c>
      <c r="AB182" s="42">
        <v>21</v>
      </c>
      <c r="AC182" s="42">
        <v>6566429</v>
      </c>
      <c r="AD182" s="42" t="s">
        <v>51</v>
      </c>
      <c r="AE182" s="42">
        <v>23</v>
      </c>
      <c r="AF182" s="42" t="s">
        <v>458</v>
      </c>
      <c r="AG182" s="42" t="s">
        <v>459</v>
      </c>
      <c r="AH182" s="42" t="s">
        <v>49</v>
      </c>
      <c r="AI182" s="42" t="s">
        <v>460</v>
      </c>
      <c r="AJ182" s="154">
        <v>42585</v>
      </c>
      <c r="AK182" s="42">
        <v>2</v>
      </c>
      <c r="AL182" s="154">
        <v>42585</v>
      </c>
      <c r="AM182" s="154">
        <v>45163</v>
      </c>
      <c r="AN182" s="42">
        <v>442</v>
      </c>
      <c r="AO182" s="154">
        <v>45162</v>
      </c>
      <c r="AP182" s="154"/>
      <c r="AQ182" s="42"/>
      <c r="AR182" s="42"/>
      <c r="AS182" s="42"/>
      <c r="AT182" s="42"/>
      <c r="AU182" s="42"/>
      <c r="AV182" s="42"/>
      <c r="AW182" s="42"/>
      <c r="AX182" s="42"/>
    </row>
    <row r="183" spans="1:50" ht="12.75" customHeight="1">
      <c r="A183" s="42">
        <v>51657823</v>
      </c>
      <c r="B183" s="42" t="s">
        <v>1635</v>
      </c>
      <c r="C183" s="42"/>
      <c r="D183" s="42" t="s">
        <v>1636</v>
      </c>
      <c r="E183" s="42" t="s">
        <v>481</v>
      </c>
      <c r="F183" s="154">
        <v>22415</v>
      </c>
      <c r="G183" s="42" t="s">
        <v>1637</v>
      </c>
      <c r="H183" s="42">
        <v>2710122</v>
      </c>
      <c r="I183" s="42" t="s">
        <v>450</v>
      </c>
      <c r="J183" s="42"/>
      <c r="K183" s="42"/>
      <c r="L183" s="42"/>
      <c r="M183" s="42"/>
      <c r="N183" s="42"/>
      <c r="O183" s="42" t="s">
        <v>453</v>
      </c>
      <c r="P183" s="154">
        <v>42585</v>
      </c>
      <c r="Q183" s="154">
        <v>33882</v>
      </c>
      <c r="R183" s="154"/>
      <c r="S183" s="42">
        <v>8</v>
      </c>
      <c r="T183" s="42" t="s">
        <v>466</v>
      </c>
      <c r="U183" s="42">
        <v>11</v>
      </c>
      <c r="V183" s="42" t="s">
        <v>456</v>
      </c>
      <c r="W183" s="42">
        <v>3</v>
      </c>
      <c r="X183" s="42" t="s">
        <v>457</v>
      </c>
      <c r="Y183" s="42">
        <v>76</v>
      </c>
      <c r="Z183" s="42" t="s">
        <v>500</v>
      </c>
      <c r="AA183" s="42">
        <v>219</v>
      </c>
      <c r="AB183" s="42">
        <v>18</v>
      </c>
      <c r="AC183" s="42">
        <v>5951245</v>
      </c>
      <c r="AD183" s="42" t="s">
        <v>72</v>
      </c>
      <c r="AE183" s="42">
        <v>76</v>
      </c>
      <c r="AF183" s="42" t="s">
        <v>458</v>
      </c>
      <c r="AG183" s="42" t="s">
        <v>459</v>
      </c>
      <c r="AH183" s="42" t="s">
        <v>49</v>
      </c>
      <c r="AI183" s="42" t="s">
        <v>460</v>
      </c>
      <c r="AJ183" s="154">
        <v>42585</v>
      </c>
      <c r="AK183" s="42">
        <v>2</v>
      </c>
      <c r="AL183" s="154">
        <v>42585</v>
      </c>
      <c r="AM183" s="154">
        <v>42709</v>
      </c>
      <c r="AN183" s="42">
        <v>72</v>
      </c>
      <c r="AO183" s="154">
        <v>42706</v>
      </c>
      <c r="AP183" s="154">
        <v>44166</v>
      </c>
      <c r="AQ183" s="42"/>
      <c r="AR183" s="42"/>
      <c r="AS183" s="42"/>
      <c r="AT183" s="42"/>
      <c r="AU183" s="42"/>
      <c r="AV183" s="42"/>
      <c r="AW183" s="42"/>
      <c r="AX183" s="42"/>
    </row>
    <row r="184" spans="1:50" ht="12.75" customHeight="1">
      <c r="A184" s="42">
        <v>51688294</v>
      </c>
      <c r="B184" s="42" t="s">
        <v>1639</v>
      </c>
      <c r="C184" s="42" t="s">
        <v>1063</v>
      </c>
      <c r="D184" s="42" t="s">
        <v>1640</v>
      </c>
      <c r="E184" s="42" t="s">
        <v>481</v>
      </c>
      <c r="F184" s="154">
        <v>23181</v>
      </c>
      <c r="G184" s="42" t="s">
        <v>1641</v>
      </c>
      <c r="H184" s="42">
        <v>3011289</v>
      </c>
      <c r="I184" s="42" t="s">
        <v>450</v>
      </c>
      <c r="J184" s="42"/>
      <c r="K184" s="42"/>
      <c r="L184" s="42"/>
      <c r="M184" s="42" t="s">
        <v>448</v>
      </c>
      <c r="N184" s="42" t="s">
        <v>452</v>
      </c>
      <c r="O184" s="42" t="s">
        <v>453</v>
      </c>
      <c r="P184" s="154">
        <v>42803</v>
      </c>
      <c r="Q184" s="154">
        <v>42803</v>
      </c>
      <c r="R184" s="154"/>
      <c r="S184" s="42">
        <v>5</v>
      </c>
      <c r="T184" s="42" t="s">
        <v>499</v>
      </c>
      <c r="U184" s="42">
        <v>19</v>
      </c>
      <c r="V184" s="42" t="s">
        <v>574</v>
      </c>
      <c r="W184" s="42">
        <v>19</v>
      </c>
      <c r="X184" s="42" t="s">
        <v>575</v>
      </c>
      <c r="Y184" s="42">
        <v>2310450</v>
      </c>
      <c r="Z184" s="42" t="s">
        <v>568</v>
      </c>
      <c r="AA184" s="42">
        <v>222</v>
      </c>
      <c r="AB184" s="42">
        <v>27</v>
      </c>
      <c r="AC184" s="42">
        <v>7358647</v>
      </c>
      <c r="AD184" s="42" t="s">
        <v>51</v>
      </c>
      <c r="AE184" s="42">
        <v>36</v>
      </c>
      <c r="AF184" s="42" t="s">
        <v>458</v>
      </c>
      <c r="AG184" s="42" t="s">
        <v>459</v>
      </c>
      <c r="AH184" s="42" t="s">
        <v>188</v>
      </c>
      <c r="AI184" s="42" t="s">
        <v>460</v>
      </c>
      <c r="AJ184" s="154">
        <v>42803</v>
      </c>
      <c r="AK184" s="42">
        <v>18</v>
      </c>
      <c r="AL184" s="154">
        <v>42802</v>
      </c>
      <c r="AM184" s="154"/>
      <c r="AN184" s="42"/>
      <c r="AO184" s="154"/>
      <c r="AP184" s="154">
        <v>44080</v>
      </c>
      <c r="AQ184" s="42"/>
      <c r="AR184" s="42"/>
      <c r="AS184" s="42"/>
      <c r="AT184" s="42"/>
      <c r="AU184" s="42"/>
      <c r="AV184" s="42"/>
      <c r="AW184" s="42"/>
      <c r="AX184" s="42"/>
    </row>
    <row r="185" spans="1:50" ht="12.75" customHeight="1">
      <c r="A185" s="42">
        <v>51698185</v>
      </c>
      <c r="B185" s="42" t="s">
        <v>1474</v>
      </c>
      <c r="C185" s="42" t="s">
        <v>975</v>
      </c>
      <c r="D185" s="42" t="s">
        <v>1642</v>
      </c>
      <c r="E185" s="42" t="s">
        <v>481</v>
      </c>
      <c r="F185" s="154">
        <v>23241</v>
      </c>
      <c r="G185" s="42" t="s">
        <v>1643</v>
      </c>
      <c r="H185" s="42">
        <v>4979957</v>
      </c>
      <c r="I185" s="42" t="s">
        <v>450</v>
      </c>
      <c r="J185" s="42"/>
      <c r="K185" s="42"/>
      <c r="L185" s="42"/>
      <c r="M185" s="42" t="s">
        <v>448</v>
      </c>
      <c r="N185" s="42" t="s">
        <v>452</v>
      </c>
      <c r="O185" s="42" t="s">
        <v>453</v>
      </c>
      <c r="P185" s="154">
        <v>43049</v>
      </c>
      <c r="Q185" s="154">
        <v>43049</v>
      </c>
      <c r="R185" s="154"/>
      <c r="S185" s="42">
        <v>18</v>
      </c>
      <c r="T185" s="42" t="s">
        <v>472</v>
      </c>
      <c r="U185" s="42">
        <v>19</v>
      </c>
      <c r="V185" s="42" t="s">
        <v>574</v>
      </c>
      <c r="W185" s="42">
        <v>3</v>
      </c>
      <c r="X185" s="42" t="s">
        <v>457</v>
      </c>
      <c r="Y185" s="42">
        <v>154</v>
      </c>
      <c r="Z185" s="42" t="s">
        <v>500</v>
      </c>
      <c r="AA185" s="42">
        <v>407</v>
      </c>
      <c r="AB185" s="42">
        <v>11</v>
      </c>
      <c r="AC185" s="42">
        <v>2804649</v>
      </c>
      <c r="AD185" s="42" t="s">
        <v>146</v>
      </c>
      <c r="AE185" s="42">
        <v>154</v>
      </c>
      <c r="AF185" s="42" t="s">
        <v>458</v>
      </c>
      <c r="AG185" s="42" t="s">
        <v>459</v>
      </c>
      <c r="AH185" s="42" t="s">
        <v>188</v>
      </c>
      <c r="AI185" s="42" t="s">
        <v>460</v>
      </c>
      <c r="AJ185" s="154">
        <v>43049</v>
      </c>
      <c r="AK185" s="42">
        <v>173</v>
      </c>
      <c r="AL185" s="154">
        <v>43049</v>
      </c>
      <c r="AM185" s="154"/>
      <c r="AN185" s="42"/>
      <c r="AO185" s="154"/>
      <c r="AP185" s="154">
        <v>44481</v>
      </c>
      <c r="AQ185" s="42"/>
      <c r="AR185" s="42"/>
      <c r="AS185" s="42"/>
      <c r="AT185" s="42"/>
      <c r="AU185" s="42"/>
      <c r="AV185" s="42"/>
      <c r="AW185" s="42"/>
      <c r="AX185" s="42"/>
    </row>
    <row r="186" spans="1:50" ht="12.75" customHeight="1">
      <c r="A186" s="42">
        <v>51715438</v>
      </c>
      <c r="B186" s="42" t="s">
        <v>1094</v>
      </c>
      <c r="C186" s="42" t="s">
        <v>1649</v>
      </c>
      <c r="D186" s="42" t="s">
        <v>1650</v>
      </c>
      <c r="E186" s="42" t="s">
        <v>481</v>
      </c>
      <c r="F186" s="154">
        <v>23070</v>
      </c>
      <c r="G186" s="42" t="s">
        <v>1651</v>
      </c>
      <c r="H186" s="42">
        <v>7979787</v>
      </c>
      <c r="I186" s="42" t="s">
        <v>450</v>
      </c>
      <c r="J186" s="42"/>
      <c r="K186" s="42"/>
      <c r="L186" s="42"/>
      <c r="M186" s="42" t="s">
        <v>451</v>
      </c>
      <c r="N186" s="42" t="s">
        <v>452</v>
      </c>
      <c r="O186" s="42" t="s">
        <v>453</v>
      </c>
      <c r="P186" s="154">
        <v>43417</v>
      </c>
      <c r="Q186" s="154">
        <v>43417</v>
      </c>
      <c r="R186" s="42"/>
      <c r="S186" s="42">
        <v>8</v>
      </c>
      <c r="T186" s="42" t="s">
        <v>466</v>
      </c>
      <c r="U186" s="42">
        <v>11</v>
      </c>
      <c r="V186" s="42" t="s">
        <v>456</v>
      </c>
      <c r="W186" s="42">
        <v>3</v>
      </c>
      <c r="X186" s="42" t="s">
        <v>457</v>
      </c>
      <c r="Y186" s="42">
        <v>8</v>
      </c>
      <c r="Z186" s="42" t="s">
        <v>500</v>
      </c>
      <c r="AA186" s="42">
        <v>9</v>
      </c>
      <c r="AB186" s="42">
        <v>7</v>
      </c>
      <c r="AC186" s="42">
        <v>11186814</v>
      </c>
      <c r="AD186" s="42" t="s">
        <v>512</v>
      </c>
      <c r="AE186" s="42">
        <v>3</v>
      </c>
      <c r="AF186" s="42" t="s">
        <v>458</v>
      </c>
      <c r="AG186" s="42" t="s">
        <v>459</v>
      </c>
      <c r="AH186" s="42" t="s">
        <v>484</v>
      </c>
      <c r="AI186" s="42" t="s">
        <v>460</v>
      </c>
      <c r="AJ186" s="154">
        <v>43851</v>
      </c>
      <c r="AK186" s="42">
        <v>10</v>
      </c>
      <c r="AL186" s="154">
        <v>43851</v>
      </c>
      <c r="AM186" s="154">
        <v>43843</v>
      </c>
      <c r="AN186" s="42">
        <v>3</v>
      </c>
      <c r="AO186" s="154">
        <v>43843</v>
      </c>
      <c r="AP186" s="154">
        <v>43978</v>
      </c>
      <c r="AQ186" s="42"/>
      <c r="AR186" s="42"/>
      <c r="AS186" s="42"/>
      <c r="AT186" s="42"/>
      <c r="AU186" s="42"/>
      <c r="AV186" s="42"/>
      <c r="AW186" s="42"/>
      <c r="AX186" s="42"/>
    </row>
    <row r="187" spans="1:50" ht="12.75" customHeight="1">
      <c r="A187" s="42">
        <v>51731780</v>
      </c>
      <c r="B187" s="42" t="s">
        <v>1654</v>
      </c>
      <c r="C187" s="42" t="s">
        <v>861</v>
      </c>
      <c r="D187" s="42" t="s">
        <v>1655</v>
      </c>
      <c r="E187" s="42" t="s">
        <v>481</v>
      </c>
      <c r="F187" s="154">
        <v>23290</v>
      </c>
      <c r="G187" s="42" t="s">
        <v>1656</v>
      </c>
      <c r="H187" s="42">
        <v>5651312</v>
      </c>
      <c r="I187" s="42" t="s">
        <v>450</v>
      </c>
      <c r="J187" s="42"/>
      <c r="K187" s="42"/>
      <c r="L187" s="42"/>
      <c r="M187" s="42"/>
      <c r="N187" s="42"/>
      <c r="O187" s="42" t="s">
        <v>453</v>
      </c>
      <c r="P187" s="154">
        <v>42585</v>
      </c>
      <c r="Q187" s="154">
        <v>38443</v>
      </c>
      <c r="R187" s="42"/>
      <c r="S187" s="42">
        <v>8</v>
      </c>
      <c r="T187" s="42" t="s">
        <v>466</v>
      </c>
      <c r="U187" s="42">
        <v>11</v>
      </c>
      <c r="V187" s="42" t="s">
        <v>456</v>
      </c>
      <c r="W187" s="42">
        <v>23</v>
      </c>
      <c r="X187" s="42" t="s">
        <v>473</v>
      </c>
      <c r="Y187" s="42">
        <v>167</v>
      </c>
      <c r="Z187" s="42" t="s">
        <v>500</v>
      </c>
      <c r="AA187" s="42">
        <v>425</v>
      </c>
      <c r="AB187" s="42">
        <v>21</v>
      </c>
      <c r="AC187" s="42">
        <v>3925268</v>
      </c>
      <c r="AD187" s="42" t="s">
        <v>255</v>
      </c>
      <c r="AE187" s="42">
        <v>138</v>
      </c>
      <c r="AF187" s="42" t="s">
        <v>458</v>
      </c>
      <c r="AG187" s="42" t="s">
        <v>459</v>
      </c>
      <c r="AH187" s="42" t="s">
        <v>49</v>
      </c>
      <c r="AI187" s="42" t="s">
        <v>460</v>
      </c>
      <c r="AJ187" s="154">
        <v>42585</v>
      </c>
      <c r="AK187" s="42">
        <v>2</v>
      </c>
      <c r="AL187" s="154">
        <v>42585</v>
      </c>
      <c r="AM187" s="154">
        <v>44489</v>
      </c>
      <c r="AN187" s="42">
        <v>199</v>
      </c>
      <c r="AO187" s="154">
        <v>44482</v>
      </c>
      <c r="AP187" s="154">
        <v>44561</v>
      </c>
      <c r="AQ187" s="42"/>
      <c r="AR187" s="42"/>
      <c r="AS187" s="42"/>
      <c r="AT187" s="42"/>
      <c r="AU187" s="42"/>
      <c r="AV187" s="42"/>
      <c r="AW187" s="42"/>
      <c r="AX187" s="42"/>
    </row>
    <row r="188" spans="1:50" ht="12.75" customHeight="1">
      <c r="A188" s="42">
        <v>51732443</v>
      </c>
      <c r="B188" s="42" t="s">
        <v>759</v>
      </c>
      <c r="C188" s="42" t="s">
        <v>538</v>
      </c>
      <c r="D188" s="42" t="s">
        <v>934</v>
      </c>
      <c r="E188" s="42" t="s">
        <v>448</v>
      </c>
      <c r="F188" s="154">
        <v>23272</v>
      </c>
      <c r="G188" s="42" t="s">
        <v>1658</v>
      </c>
      <c r="H188" s="42" t="s">
        <v>1659</v>
      </c>
      <c r="I188" s="42" t="s">
        <v>450</v>
      </c>
      <c r="J188" s="42"/>
      <c r="K188" s="42"/>
      <c r="L188" s="42"/>
      <c r="M188" s="42" t="s">
        <v>451</v>
      </c>
      <c r="N188" s="42" t="s">
        <v>5</v>
      </c>
      <c r="O188" s="42" t="s">
        <v>453</v>
      </c>
      <c r="P188" s="154">
        <v>42585</v>
      </c>
      <c r="Q188" s="154">
        <v>40672</v>
      </c>
      <c r="R188" s="154"/>
      <c r="S188" s="42">
        <v>5</v>
      </c>
      <c r="T188" s="42" t="s">
        <v>499</v>
      </c>
      <c r="U188" s="42">
        <v>11</v>
      </c>
      <c r="V188" s="42" t="s">
        <v>456</v>
      </c>
      <c r="W188" s="42">
        <v>3</v>
      </c>
      <c r="X188" s="42" t="s">
        <v>457</v>
      </c>
      <c r="Y188" s="42">
        <v>2310400</v>
      </c>
      <c r="Z188" s="42" t="s">
        <v>841</v>
      </c>
      <c r="AA188" s="42">
        <v>314</v>
      </c>
      <c r="AB188" s="42">
        <v>15</v>
      </c>
      <c r="AC188" s="42">
        <v>4226650</v>
      </c>
      <c r="AD188" s="42" t="s">
        <v>517</v>
      </c>
      <c r="AE188" s="42">
        <v>127</v>
      </c>
      <c r="AF188" s="42" t="s">
        <v>458</v>
      </c>
      <c r="AG188" s="42" t="s">
        <v>459</v>
      </c>
      <c r="AH188" s="42" t="s">
        <v>49</v>
      </c>
      <c r="AI188" s="42" t="s">
        <v>460</v>
      </c>
      <c r="AJ188" s="154">
        <v>42585</v>
      </c>
      <c r="AK188" s="42">
        <v>2</v>
      </c>
      <c r="AL188" s="154">
        <v>42585</v>
      </c>
      <c r="AM188" s="154">
        <v>46279</v>
      </c>
      <c r="AN188" s="42">
        <v>394</v>
      </c>
      <c r="AO188" s="154">
        <v>46274</v>
      </c>
      <c r="AP188" s="154"/>
      <c r="AQ188" s="42"/>
      <c r="AR188" s="42"/>
      <c r="AS188" s="42"/>
      <c r="AT188" s="42"/>
      <c r="AU188" s="42"/>
      <c r="AV188" s="42"/>
      <c r="AW188" s="42"/>
      <c r="AX188" s="42"/>
    </row>
    <row r="189" spans="1:50" ht="12.75" customHeight="1">
      <c r="A189" s="42">
        <v>51732752</v>
      </c>
      <c r="B189" s="42" t="s">
        <v>640</v>
      </c>
      <c r="C189" s="42" t="s">
        <v>1661</v>
      </c>
      <c r="D189" s="42" t="s">
        <v>1662</v>
      </c>
      <c r="E189" s="42" t="s">
        <v>481</v>
      </c>
      <c r="F189" s="154">
        <v>22421</v>
      </c>
      <c r="G189" s="42" t="s">
        <v>1663</v>
      </c>
      <c r="H189" s="42">
        <v>3836952</v>
      </c>
      <c r="I189" s="42" t="s">
        <v>450</v>
      </c>
      <c r="J189" s="42"/>
      <c r="K189" s="42"/>
      <c r="L189" s="42"/>
      <c r="M189" s="42" t="s">
        <v>448</v>
      </c>
      <c r="N189" s="42" t="s">
        <v>452</v>
      </c>
      <c r="O189" s="42" t="s">
        <v>453</v>
      </c>
      <c r="P189" s="154">
        <v>42678</v>
      </c>
      <c r="Q189" s="154">
        <v>42678</v>
      </c>
      <c r="R189" s="154"/>
      <c r="S189" s="42">
        <v>8</v>
      </c>
      <c r="T189" s="42" t="s">
        <v>466</v>
      </c>
      <c r="U189" s="42">
        <v>18</v>
      </c>
      <c r="V189" s="42" t="s">
        <v>565</v>
      </c>
      <c r="W189" s="42">
        <v>3</v>
      </c>
      <c r="X189" s="42" t="s">
        <v>457</v>
      </c>
      <c r="Y189" s="42">
        <v>0</v>
      </c>
      <c r="Z189" s="42" t="s">
        <v>500</v>
      </c>
      <c r="AA189" s="42">
        <v>0</v>
      </c>
      <c r="AB189" s="42">
        <v>0</v>
      </c>
      <c r="AC189" s="42"/>
      <c r="AD189" s="42" t="s">
        <v>529</v>
      </c>
      <c r="AE189" s="42">
        <v>0</v>
      </c>
      <c r="AF189" s="42" t="s">
        <v>458</v>
      </c>
      <c r="AG189" s="42" t="s">
        <v>459</v>
      </c>
      <c r="AH189" s="42" t="s">
        <v>484</v>
      </c>
      <c r="AI189" s="42" t="s">
        <v>460</v>
      </c>
      <c r="AJ189" s="154">
        <v>42678</v>
      </c>
      <c r="AK189" s="42">
        <v>436</v>
      </c>
      <c r="AL189" s="154">
        <v>42649</v>
      </c>
      <c r="AM189" s="154"/>
      <c r="AN189" s="42"/>
      <c r="AO189" s="154"/>
      <c r="AP189" s="154">
        <v>43100</v>
      </c>
      <c r="AQ189" s="42"/>
      <c r="AR189" s="42"/>
      <c r="AS189" s="42"/>
      <c r="AT189" s="42"/>
      <c r="AU189" s="42"/>
      <c r="AV189" s="42"/>
      <c r="AW189" s="42"/>
      <c r="AX189" s="42"/>
    </row>
    <row r="190" spans="1:50" ht="12.75" customHeight="1">
      <c r="A190" s="42">
        <v>51740995</v>
      </c>
      <c r="B190" s="42" t="s">
        <v>554</v>
      </c>
      <c r="C190" s="42" t="s">
        <v>783</v>
      </c>
      <c r="D190" s="42" t="s">
        <v>1666</v>
      </c>
      <c r="E190" s="42" t="s">
        <v>481</v>
      </c>
      <c r="F190" s="154">
        <v>23641</v>
      </c>
      <c r="G190" s="42" t="s">
        <v>1667</v>
      </c>
      <c r="H190" s="42">
        <v>4109085</v>
      </c>
      <c r="I190" s="42" t="s">
        <v>450</v>
      </c>
      <c r="J190" s="42"/>
      <c r="K190" s="42"/>
      <c r="L190" s="42"/>
      <c r="M190" s="42" t="s">
        <v>451</v>
      </c>
      <c r="N190" s="42" t="s">
        <v>452</v>
      </c>
      <c r="O190" s="42" t="s">
        <v>453</v>
      </c>
      <c r="P190" s="154">
        <v>42585</v>
      </c>
      <c r="Q190" s="154">
        <v>42394</v>
      </c>
      <c r="R190" s="154"/>
      <c r="S190" s="42">
        <v>5</v>
      </c>
      <c r="T190" s="42" t="s">
        <v>499</v>
      </c>
      <c r="U190" s="42">
        <v>11</v>
      </c>
      <c r="V190" s="42" t="s">
        <v>456</v>
      </c>
      <c r="W190" s="42">
        <v>3</v>
      </c>
      <c r="X190" s="42" t="s">
        <v>457</v>
      </c>
      <c r="Y190" s="42">
        <v>2300100</v>
      </c>
      <c r="Z190" s="42" t="s">
        <v>483</v>
      </c>
      <c r="AA190" s="42">
        <v>20</v>
      </c>
      <c r="AB190" s="42">
        <v>9</v>
      </c>
      <c r="AC190" s="42">
        <v>14052600</v>
      </c>
      <c r="AD190" s="42" t="s">
        <v>1121</v>
      </c>
      <c r="AE190" s="42">
        <v>1</v>
      </c>
      <c r="AF190" s="42" t="s">
        <v>458</v>
      </c>
      <c r="AG190" s="42" t="s">
        <v>459</v>
      </c>
      <c r="AH190" s="42" t="s">
        <v>484</v>
      </c>
      <c r="AI190" s="42" t="s">
        <v>460</v>
      </c>
      <c r="AJ190" s="154">
        <v>42585</v>
      </c>
      <c r="AK190" s="42">
        <v>325</v>
      </c>
      <c r="AL190" s="154">
        <v>42584</v>
      </c>
      <c r="AM190" s="154"/>
      <c r="AN190" s="42"/>
      <c r="AO190" s="154"/>
      <c r="AP190" s="154">
        <v>43830</v>
      </c>
      <c r="AQ190" s="42"/>
      <c r="AR190" s="42"/>
      <c r="AS190" s="42"/>
      <c r="AT190" s="42"/>
      <c r="AU190" s="42"/>
      <c r="AV190" s="42"/>
      <c r="AW190" s="42"/>
      <c r="AX190" s="42"/>
    </row>
    <row r="191" spans="1:50" ht="12.75" customHeight="1">
      <c r="A191" s="42">
        <v>51743499</v>
      </c>
      <c r="B191" s="42" t="s">
        <v>982</v>
      </c>
      <c r="C191" s="42" t="s">
        <v>982</v>
      </c>
      <c r="D191" s="42" t="s">
        <v>1668</v>
      </c>
      <c r="E191" s="42" t="s">
        <v>481</v>
      </c>
      <c r="F191" s="154">
        <v>23575</v>
      </c>
      <c r="G191" s="42" t="s">
        <v>1669</v>
      </c>
      <c r="H191" s="42">
        <v>4272160</v>
      </c>
      <c r="I191" s="42" t="s">
        <v>450</v>
      </c>
      <c r="J191" s="42"/>
      <c r="K191" s="42"/>
      <c r="L191" s="42"/>
      <c r="M191" s="42" t="s">
        <v>451</v>
      </c>
      <c r="N191" s="42" t="s">
        <v>452</v>
      </c>
      <c r="O191" s="42" t="s">
        <v>453</v>
      </c>
      <c r="P191" s="154">
        <v>42607</v>
      </c>
      <c r="Q191" s="154">
        <v>42607</v>
      </c>
      <c r="R191" s="154"/>
      <c r="S191" s="42">
        <v>5</v>
      </c>
      <c r="T191" s="42" t="s">
        <v>499</v>
      </c>
      <c r="U191" s="42">
        <v>11</v>
      </c>
      <c r="V191" s="42" t="s">
        <v>456</v>
      </c>
      <c r="W191" s="42">
        <v>3</v>
      </c>
      <c r="X191" s="42" t="s">
        <v>457</v>
      </c>
      <c r="Y191" s="42">
        <v>2310460</v>
      </c>
      <c r="Z191" s="42" t="s">
        <v>506</v>
      </c>
      <c r="AA191" s="42">
        <v>9</v>
      </c>
      <c r="AB191" s="42">
        <v>7</v>
      </c>
      <c r="AC191" s="42">
        <v>11186814</v>
      </c>
      <c r="AD191" s="42" t="s">
        <v>512</v>
      </c>
      <c r="AE191" s="42">
        <v>6</v>
      </c>
      <c r="AF191" s="42" t="s">
        <v>458</v>
      </c>
      <c r="AG191" s="42" t="s">
        <v>459</v>
      </c>
      <c r="AH191" s="42" t="s">
        <v>484</v>
      </c>
      <c r="AI191" s="42" t="s">
        <v>460</v>
      </c>
      <c r="AJ191" s="154">
        <v>42622</v>
      </c>
      <c r="AK191" s="42">
        <v>45</v>
      </c>
      <c r="AL191" s="154">
        <v>42621</v>
      </c>
      <c r="AM191" s="154"/>
      <c r="AN191" s="42"/>
      <c r="AO191" s="154"/>
      <c r="AP191" s="154">
        <v>43877</v>
      </c>
      <c r="AQ191" s="42"/>
      <c r="AR191" s="42"/>
      <c r="AS191" s="42"/>
      <c r="AT191" s="42"/>
      <c r="AU191" s="42"/>
      <c r="AV191" s="42"/>
      <c r="AW191" s="42"/>
      <c r="AX191" s="42"/>
    </row>
    <row r="192" spans="1:50" ht="12.75" customHeight="1">
      <c r="A192" s="42">
        <v>51748267</v>
      </c>
      <c r="B192" s="42" t="s">
        <v>1674</v>
      </c>
      <c r="C192" s="42" t="s">
        <v>478</v>
      </c>
      <c r="D192" s="42" t="s">
        <v>1675</v>
      </c>
      <c r="E192" s="42" t="s">
        <v>481</v>
      </c>
      <c r="F192" s="154">
        <v>23162</v>
      </c>
      <c r="G192" s="42" t="s">
        <v>1676</v>
      </c>
      <c r="H192" s="42">
        <v>4098896</v>
      </c>
      <c r="I192" s="42" t="s">
        <v>450</v>
      </c>
      <c r="J192" s="42"/>
      <c r="K192" s="42"/>
      <c r="L192" s="42"/>
      <c r="M192" s="42" t="s">
        <v>547</v>
      </c>
      <c r="N192" s="42" t="s">
        <v>452</v>
      </c>
      <c r="O192" s="42" t="s">
        <v>453</v>
      </c>
      <c r="P192" s="154">
        <v>42585</v>
      </c>
      <c r="Q192" s="154">
        <v>40426</v>
      </c>
      <c r="R192" s="154"/>
      <c r="S192" s="42">
        <v>5</v>
      </c>
      <c r="T192" s="42" t="s">
        <v>499</v>
      </c>
      <c r="U192" s="42">
        <v>11</v>
      </c>
      <c r="V192" s="42" t="s">
        <v>456</v>
      </c>
      <c r="W192" s="42">
        <v>3</v>
      </c>
      <c r="X192" s="42" t="s">
        <v>457</v>
      </c>
      <c r="Y192" s="42">
        <v>22</v>
      </c>
      <c r="Z192" s="42" t="s">
        <v>500</v>
      </c>
      <c r="AA192" s="42">
        <v>222</v>
      </c>
      <c r="AB192" s="42">
        <v>21</v>
      </c>
      <c r="AC192" s="42">
        <v>6566429</v>
      </c>
      <c r="AD192" s="42" t="s">
        <v>51</v>
      </c>
      <c r="AE192" s="42">
        <v>22</v>
      </c>
      <c r="AF192" s="42" t="s">
        <v>458</v>
      </c>
      <c r="AG192" s="42" t="s">
        <v>459</v>
      </c>
      <c r="AH192" s="42" t="s">
        <v>188</v>
      </c>
      <c r="AI192" s="42" t="s">
        <v>460</v>
      </c>
      <c r="AJ192" s="154">
        <v>42585</v>
      </c>
      <c r="AK192" s="42">
        <v>2</v>
      </c>
      <c r="AL192" s="154">
        <v>42585</v>
      </c>
      <c r="AM192" s="154"/>
      <c r="AN192" s="42"/>
      <c r="AO192" s="154"/>
      <c r="AP192" s="154">
        <v>44152</v>
      </c>
      <c r="AQ192" s="42"/>
      <c r="AR192" s="42"/>
      <c r="AS192" s="42"/>
      <c r="AT192" s="42"/>
      <c r="AU192" s="42"/>
      <c r="AV192" s="42"/>
      <c r="AW192" s="42"/>
      <c r="AX192" s="42"/>
    </row>
    <row r="193" spans="1:50" ht="12.75" customHeight="1">
      <c r="A193" s="42">
        <v>51772038</v>
      </c>
      <c r="B193" s="42" t="s">
        <v>524</v>
      </c>
      <c r="C193" s="42" t="s">
        <v>982</v>
      </c>
      <c r="D193" s="42" t="s">
        <v>1678</v>
      </c>
      <c r="E193" s="42" t="s">
        <v>481</v>
      </c>
      <c r="F193" s="154">
        <v>23840</v>
      </c>
      <c r="G193" s="42" t="s">
        <v>1679</v>
      </c>
      <c r="H193" s="42">
        <v>6374281</v>
      </c>
      <c r="I193" s="42" t="s">
        <v>450</v>
      </c>
      <c r="J193" s="42"/>
      <c r="K193" s="42"/>
      <c r="L193" s="42"/>
      <c r="M193" s="42"/>
      <c r="N193" s="42"/>
      <c r="O193" s="42" t="s">
        <v>453</v>
      </c>
      <c r="P193" s="154">
        <v>42585</v>
      </c>
      <c r="Q193" s="154">
        <v>34555</v>
      </c>
      <c r="R193" s="42"/>
      <c r="S193" s="42">
        <v>8</v>
      </c>
      <c r="T193" s="42" t="s">
        <v>466</v>
      </c>
      <c r="U193" s="42">
        <v>11</v>
      </c>
      <c r="V193" s="42" t="s">
        <v>456</v>
      </c>
      <c r="W193" s="42">
        <v>23</v>
      </c>
      <c r="X193" s="42" t="s">
        <v>473</v>
      </c>
      <c r="Y193" s="42">
        <v>2310470</v>
      </c>
      <c r="Z193" s="42" t="s">
        <v>477</v>
      </c>
      <c r="AA193" s="42">
        <v>222</v>
      </c>
      <c r="AB193" s="42">
        <v>21</v>
      </c>
      <c r="AC193" s="42">
        <v>6566429</v>
      </c>
      <c r="AD193" s="42" t="s">
        <v>51</v>
      </c>
      <c r="AE193" s="42">
        <v>49</v>
      </c>
      <c r="AF193" s="42" t="s">
        <v>458</v>
      </c>
      <c r="AG193" s="42" t="s">
        <v>459</v>
      </c>
      <c r="AH193" s="42" t="s">
        <v>49</v>
      </c>
      <c r="AI193" s="42" t="s">
        <v>460</v>
      </c>
      <c r="AJ193" s="154">
        <v>42585</v>
      </c>
      <c r="AK193" s="42">
        <v>2</v>
      </c>
      <c r="AL193" s="154">
        <v>42585</v>
      </c>
      <c r="AM193" s="154">
        <v>44918</v>
      </c>
      <c r="AN193" s="42">
        <v>496</v>
      </c>
      <c r="AO193" s="154">
        <v>44911</v>
      </c>
      <c r="AP193" s="154">
        <v>44957</v>
      </c>
      <c r="AQ193" s="42"/>
      <c r="AR193" s="42"/>
      <c r="AS193" s="42"/>
      <c r="AT193" s="42"/>
      <c r="AU193" s="42"/>
      <c r="AV193" s="42"/>
      <c r="AW193" s="42"/>
      <c r="AX193" s="42"/>
    </row>
    <row r="194" spans="1:50" ht="12.75" customHeight="1">
      <c r="A194" s="42">
        <v>51784842</v>
      </c>
      <c r="B194" s="42" t="s">
        <v>445</v>
      </c>
      <c r="C194" s="42" t="s">
        <v>554</v>
      </c>
      <c r="D194" s="42" t="s">
        <v>1680</v>
      </c>
      <c r="E194" s="42" t="s">
        <v>481</v>
      </c>
      <c r="F194" s="154">
        <v>23491</v>
      </c>
      <c r="G194" s="42" t="s">
        <v>1681</v>
      </c>
      <c r="H194" s="42">
        <v>4339510</v>
      </c>
      <c r="I194" s="42" t="s">
        <v>450</v>
      </c>
      <c r="J194" s="42"/>
      <c r="K194" s="42"/>
      <c r="L194" s="42"/>
      <c r="M194" s="42"/>
      <c r="N194" s="42"/>
      <c r="O194" s="42" t="s">
        <v>453</v>
      </c>
      <c r="P194" s="154">
        <v>42585</v>
      </c>
      <c r="Q194" s="154">
        <v>33702</v>
      </c>
      <c r="R194" s="42"/>
      <c r="S194" s="42">
        <v>8</v>
      </c>
      <c r="T194" s="42" t="s">
        <v>466</v>
      </c>
      <c r="U194" s="42">
        <v>11</v>
      </c>
      <c r="V194" s="42" t="s">
        <v>456</v>
      </c>
      <c r="W194" s="42">
        <v>1</v>
      </c>
      <c r="X194" s="42" t="s">
        <v>1370</v>
      </c>
      <c r="Y194" s="42">
        <v>2310440</v>
      </c>
      <c r="Z194" s="42" t="s">
        <v>628</v>
      </c>
      <c r="AA194" s="42">
        <v>440</v>
      </c>
      <c r="AB194" s="42">
        <v>9</v>
      </c>
      <c r="AC194" s="42">
        <v>2675559</v>
      </c>
      <c r="AD194" s="42" t="s">
        <v>29</v>
      </c>
      <c r="AE194" s="42">
        <v>164</v>
      </c>
      <c r="AF194" s="42" t="s">
        <v>458</v>
      </c>
      <c r="AG194" s="42" t="s">
        <v>459</v>
      </c>
      <c r="AH194" s="42" t="s">
        <v>49</v>
      </c>
      <c r="AI194" s="42" t="s">
        <v>460</v>
      </c>
      <c r="AJ194" s="154">
        <v>42585</v>
      </c>
      <c r="AK194" s="42">
        <v>2</v>
      </c>
      <c r="AL194" s="154">
        <v>42585</v>
      </c>
      <c r="AM194" s="154">
        <v>44578</v>
      </c>
      <c r="AN194" s="42">
        <v>17</v>
      </c>
      <c r="AO194" s="154">
        <v>44578</v>
      </c>
      <c r="AP194" s="154">
        <v>45838</v>
      </c>
      <c r="AQ194" s="42"/>
      <c r="AR194" s="42"/>
      <c r="AS194" s="42"/>
      <c r="AT194" s="42"/>
      <c r="AU194" s="42"/>
      <c r="AV194" s="42"/>
      <c r="AW194" s="42"/>
      <c r="AX194" s="42"/>
    </row>
    <row r="195" spans="1:50" ht="12.75" customHeight="1">
      <c r="A195" s="42">
        <v>51798311</v>
      </c>
      <c r="B195" s="42" t="s">
        <v>1002</v>
      </c>
      <c r="C195" s="42" t="s">
        <v>1077</v>
      </c>
      <c r="D195" s="42" t="s">
        <v>1683</v>
      </c>
      <c r="E195" s="42" t="s">
        <v>481</v>
      </c>
      <c r="F195" s="154">
        <v>23683</v>
      </c>
      <c r="G195" s="42" t="s">
        <v>1684</v>
      </c>
      <c r="H195" s="42" t="s">
        <v>1685</v>
      </c>
      <c r="I195" s="42" t="s">
        <v>450</v>
      </c>
      <c r="J195" s="42"/>
      <c r="K195" s="42"/>
      <c r="L195" s="42"/>
      <c r="M195" s="42"/>
      <c r="N195" s="42"/>
      <c r="O195" s="42" t="s">
        <v>453</v>
      </c>
      <c r="P195" s="154">
        <v>42585</v>
      </c>
      <c r="Q195" s="154">
        <v>34472</v>
      </c>
      <c r="R195" s="42"/>
      <c r="S195" s="42">
        <v>8</v>
      </c>
      <c r="T195" s="42" t="s">
        <v>466</v>
      </c>
      <c r="U195" s="42">
        <v>11</v>
      </c>
      <c r="V195" s="42" t="s">
        <v>456</v>
      </c>
      <c r="W195" s="42">
        <v>1</v>
      </c>
      <c r="X195" s="42" t="s">
        <v>1370</v>
      </c>
      <c r="Y195" s="42">
        <v>2310450</v>
      </c>
      <c r="Z195" s="42" t="s">
        <v>568</v>
      </c>
      <c r="AA195" s="42">
        <v>222</v>
      </c>
      <c r="AB195" s="42">
        <v>27</v>
      </c>
      <c r="AC195" s="42">
        <v>7358647</v>
      </c>
      <c r="AD195" s="42" t="s">
        <v>51</v>
      </c>
      <c r="AE195" s="42">
        <v>32</v>
      </c>
      <c r="AF195" s="42" t="s">
        <v>458</v>
      </c>
      <c r="AG195" s="42" t="s">
        <v>459</v>
      </c>
      <c r="AH195" s="42" t="s">
        <v>49</v>
      </c>
      <c r="AI195" s="42" t="s">
        <v>460</v>
      </c>
      <c r="AJ195" s="154">
        <v>42585</v>
      </c>
      <c r="AK195" s="42">
        <v>2</v>
      </c>
      <c r="AL195" s="154">
        <v>42585</v>
      </c>
      <c r="AM195" s="154"/>
      <c r="AN195" s="42"/>
      <c r="AO195" s="154"/>
      <c r="AP195" s="154">
        <v>45230</v>
      </c>
      <c r="AQ195" s="42"/>
      <c r="AR195" s="42"/>
      <c r="AS195" s="42"/>
      <c r="AT195" s="42"/>
      <c r="AU195" s="42"/>
      <c r="AV195" s="42"/>
      <c r="AW195" s="42"/>
      <c r="AX195" s="42"/>
    </row>
    <row r="196" spans="1:50" ht="12.75" customHeight="1">
      <c r="A196" s="42">
        <v>51882380</v>
      </c>
      <c r="B196" s="42" t="s">
        <v>936</v>
      </c>
      <c r="C196" s="42" t="s">
        <v>936</v>
      </c>
      <c r="D196" s="42" t="s">
        <v>937</v>
      </c>
      <c r="E196" s="42" t="s">
        <v>448</v>
      </c>
      <c r="F196" s="154">
        <v>24247</v>
      </c>
      <c r="G196" s="42" t="s">
        <v>1688</v>
      </c>
      <c r="H196" s="42">
        <v>4004978</v>
      </c>
      <c r="I196" s="42" t="s">
        <v>450</v>
      </c>
      <c r="J196" s="42"/>
      <c r="K196" s="42"/>
      <c r="L196" s="42"/>
      <c r="M196" s="42"/>
      <c r="N196" s="42"/>
      <c r="O196" s="42" t="s">
        <v>453</v>
      </c>
      <c r="P196" s="154">
        <v>42585</v>
      </c>
      <c r="Q196" s="154">
        <v>33686</v>
      </c>
      <c r="R196" s="154"/>
      <c r="S196" s="42">
        <v>8</v>
      </c>
      <c r="T196" s="42" t="s">
        <v>466</v>
      </c>
      <c r="U196" s="42">
        <v>11</v>
      </c>
      <c r="V196" s="42" t="s">
        <v>456</v>
      </c>
      <c r="W196" s="42">
        <v>1</v>
      </c>
      <c r="X196" s="42" t="s">
        <v>1370</v>
      </c>
      <c r="Y196" s="42">
        <v>2311000</v>
      </c>
      <c r="Z196" s="42" t="s">
        <v>467</v>
      </c>
      <c r="AA196" s="42">
        <v>407</v>
      </c>
      <c r="AB196" s="42">
        <v>24</v>
      </c>
      <c r="AC196" s="42">
        <v>4110053</v>
      </c>
      <c r="AD196" s="42" t="s">
        <v>146</v>
      </c>
      <c r="AE196" s="42">
        <v>139</v>
      </c>
      <c r="AF196" s="42" t="s">
        <v>458</v>
      </c>
      <c r="AG196" s="42" t="s">
        <v>459</v>
      </c>
      <c r="AH196" s="42" t="s">
        <v>49</v>
      </c>
      <c r="AI196" s="42" t="s">
        <v>460</v>
      </c>
      <c r="AJ196" s="154">
        <v>42585</v>
      </c>
      <c r="AK196" s="42">
        <v>2</v>
      </c>
      <c r="AL196" s="154">
        <v>42585</v>
      </c>
      <c r="AM196" s="154">
        <v>44866</v>
      </c>
      <c r="AN196" s="42">
        <v>399</v>
      </c>
      <c r="AO196" s="154">
        <v>44860</v>
      </c>
      <c r="AP196" s="154"/>
      <c r="AQ196" s="42"/>
      <c r="AR196" s="42"/>
      <c r="AS196" s="42"/>
      <c r="AT196" s="42"/>
      <c r="AU196" s="42"/>
      <c r="AV196" s="42"/>
      <c r="AW196" s="42"/>
      <c r="AX196" s="42"/>
    </row>
    <row r="197" spans="1:50" ht="12.75" customHeight="1">
      <c r="A197" s="42">
        <v>51904715</v>
      </c>
      <c r="B197" s="42" t="s">
        <v>834</v>
      </c>
      <c r="C197" s="42" t="s">
        <v>478</v>
      </c>
      <c r="D197" s="42" t="s">
        <v>1691</v>
      </c>
      <c r="E197" s="42" t="s">
        <v>481</v>
      </c>
      <c r="F197" s="154">
        <v>24804</v>
      </c>
      <c r="G197" s="42" t="s">
        <v>1692</v>
      </c>
      <c r="H197" s="42">
        <v>7557920</v>
      </c>
      <c r="I197" s="42" t="s">
        <v>450</v>
      </c>
      <c r="J197" s="42"/>
      <c r="K197" s="42"/>
      <c r="L197" s="42"/>
      <c r="M197" s="42" t="s">
        <v>448</v>
      </c>
      <c r="N197" s="42" t="s">
        <v>5</v>
      </c>
      <c r="O197" s="42" t="s">
        <v>453</v>
      </c>
      <c r="P197" s="154">
        <v>42843</v>
      </c>
      <c r="Q197" s="154">
        <v>42843</v>
      </c>
      <c r="R197" s="42"/>
      <c r="S197" s="42">
        <v>8</v>
      </c>
      <c r="T197" s="42" t="s">
        <v>466</v>
      </c>
      <c r="U197" s="42">
        <v>11</v>
      </c>
      <c r="V197" s="42" t="s">
        <v>456</v>
      </c>
      <c r="W197" s="42">
        <v>3</v>
      </c>
      <c r="X197" s="42" t="s">
        <v>457</v>
      </c>
      <c r="Y197" s="42">
        <v>2311000</v>
      </c>
      <c r="Z197" s="42" t="s">
        <v>467</v>
      </c>
      <c r="AA197" s="42">
        <v>407</v>
      </c>
      <c r="AB197" s="42">
        <v>14</v>
      </c>
      <c r="AC197" s="42">
        <v>3115016</v>
      </c>
      <c r="AD197" s="42" t="s">
        <v>146</v>
      </c>
      <c r="AE197" s="42">
        <v>151</v>
      </c>
      <c r="AF197" s="42" t="s">
        <v>458</v>
      </c>
      <c r="AG197" s="42" t="s">
        <v>459</v>
      </c>
      <c r="AH197" s="42" t="s">
        <v>188</v>
      </c>
      <c r="AI197" s="42" t="s">
        <v>460</v>
      </c>
      <c r="AJ197" s="154">
        <v>42843</v>
      </c>
      <c r="AK197" s="42">
        <v>48</v>
      </c>
      <c r="AL197" s="154">
        <v>42831</v>
      </c>
      <c r="AM197" s="154"/>
      <c r="AN197" s="42"/>
      <c r="AO197" s="154"/>
      <c r="AP197" s="154">
        <v>44227</v>
      </c>
      <c r="AQ197" s="42"/>
      <c r="AR197" s="42"/>
      <c r="AS197" s="42"/>
      <c r="AT197" s="42"/>
      <c r="AU197" s="42"/>
      <c r="AV197" s="42"/>
      <c r="AW197" s="42"/>
      <c r="AX197" s="42"/>
    </row>
    <row r="198" spans="1:50" ht="12.75" customHeight="1">
      <c r="A198" s="42">
        <v>51937185</v>
      </c>
      <c r="B198" s="42" t="s">
        <v>479</v>
      </c>
      <c r="C198" s="42" t="s">
        <v>502</v>
      </c>
      <c r="D198" s="42" t="s">
        <v>938</v>
      </c>
      <c r="E198" s="42" t="s">
        <v>448</v>
      </c>
      <c r="F198" s="154">
        <v>25391</v>
      </c>
      <c r="G198" s="42" t="s">
        <v>1695</v>
      </c>
      <c r="H198" s="42">
        <v>7526971</v>
      </c>
      <c r="I198" s="42" t="s">
        <v>450</v>
      </c>
      <c r="J198" s="42"/>
      <c r="K198" s="42"/>
      <c r="L198" s="42"/>
      <c r="M198" s="42"/>
      <c r="N198" s="42"/>
      <c r="O198" s="42" t="s">
        <v>453</v>
      </c>
      <c r="P198" s="154">
        <v>42585</v>
      </c>
      <c r="Q198" s="154">
        <v>35499</v>
      </c>
      <c r="R198" s="42"/>
      <c r="S198" s="42">
        <v>5</v>
      </c>
      <c r="T198" s="42" t="s">
        <v>499</v>
      </c>
      <c r="U198" s="42">
        <v>11</v>
      </c>
      <c r="V198" s="42" t="s">
        <v>456</v>
      </c>
      <c r="W198" s="42">
        <v>23</v>
      </c>
      <c r="X198" s="42" t="s">
        <v>473</v>
      </c>
      <c r="Y198" s="42">
        <v>2310470</v>
      </c>
      <c r="Z198" s="42" t="s">
        <v>477</v>
      </c>
      <c r="AA198" s="42">
        <v>222</v>
      </c>
      <c r="AB198" s="42">
        <v>27</v>
      </c>
      <c r="AC198" s="42">
        <v>7358647</v>
      </c>
      <c r="AD198" s="42" t="s">
        <v>51</v>
      </c>
      <c r="AE198" s="42">
        <v>47</v>
      </c>
      <c r="AF198" s="42" t="s">
        <v>458</v>
      </c>
      <c r="AG198" s="42" t="s">
        <v>459</v>
      </c>
      <c r="AH198" s="42" t="s">
        <v>49</v>
      </c>
      <c r="AI198" s="42" t="s">
        <v>460</v>
      </c>
      <c r="AJ198" s="154">
        <v>42585</v>
      </c>
      <c r="AK198" s="42">
        <v>2</v>
      </c>
      <c r="AL198" s="154">
        <v>42585</v>
      </c>
      <c r="AM198" s="154">
        <v>45231</v>
      </c>
      <c r="AN198" s="42">
        <v>567</v>
      </c>
      <c r="AO198" s="154">
        <v>45226</v>
      </c>
      <c r="AP198" s="154"/>
      <c r="AQ198" s="42"/>
      <c r="AR198" s="42"/>
      <c r="AS198" s="42"/>
      <c r="AT198" s="42"/>
      <c r="AU198" s="42"/>
      <c r="AV198" s="42"/>
      <c r="AW198" s="42"/>
      <c r="AX198" s="42"/>
    </row>
    <row r="199" spans="1:50" ht="12.75" customHeight="1">
      <c r="A199" s="42">
        <v>51961579</v>
      </c>
      <c r="B199" s="42" t="s">
        <v>940</v>
      </c>
      <c r="C199" s="42" t="s">
        <v>941</v>
      </c>
      <c r="D199" s="42" t="s">
        <v>943</v>
      </c>
      <c r="E199" s="42" t="s">
        <v>448</v>
      </c>
      <c r="F199" s="154">
        <v>25475</v>
      </c>
      <c r="G199" s="42" t="s">
        <v>1696</v>
      </c>
      <c r="H199" s="42">
        <v>3114580514</v>
      </c>
      <c r="I199" s="42" t="s">
        <v>450</v>
      </c>
      <c r="J199" s="42"/>
      <c r="K199" s="42"/>
      <c r="L199" s="42"/>
      <c r="M199" s="42" t="s">
        <v>527</v>
      </c>
      <c r="N199" s="42" t="s">
        <v>452</v>
      </c>
      <c r="O199" s="42" t="s">
        <v>453</v>
      </c>
      <c r="P199" s="154">
        <v>44482</v>
      </c>
      <c r="Q199" s="154">
        <v>44482</v>
      </c>
      <c r="R199" s="154"/>
      <c r="S199" s="42">
        <v>18</v>
      </c>
      <c r="T199" s="42" t="s">
        <v>472</v>
      </c>
      <c r="U199" s="42">
        <v>11</v>
      </c>
      <c r="V199" s="42" t="s">
        <v>456</v>
      </c>
      <c r="W199" s="42">
        <v>3</v>
      </c>
      <c r="X199" s="42" t="s">
        <v>457</v>
      </c>
      <c r="Y199" s="42">
        <v>2311000</v>
      </c>
      <c r="Z199" s="42" t="s">
        <v>467</v>
      </c>
      <c r="AA199" s="42">
        <v>314</v>
      </c>
      <c r="AB199" s="42">
        <v>20</v>
      </c>
      <c r="AC199" s="42">
        <v>4789274</v>
      </c>
      <c r="AD199" s="42" t="s">
        <v>517</v>
      </c>
      <c r="AE199" s="42">
        <v>120</v>
      </c>
      <c r="AF199" s="42" t="s">
        <v>458</v>
      </c>
      <c r="AG199" s="42" t="s">
        <v>459</v>
      </c>
      <c r="AH199" s="42" t="s">
        <v>644</v>
      </c>
      <c r="AI199" s="42" t="s">
        <v>460</v>
      </c>
      <c r="AJ199" s="154">
        <v>44482</v>
      </c>
      <c r="AK199" s="42">
        <v>163</v>
      </c>
      <c r="AL199" s="154">
        <v>44435</v>
      </c>
      <c r="AM199" s="154">
        <v>44819</v>
      </c>
      <c r="AN199" s="42">
        <v>330</v>
      </c>
      <c r="AO199" s="154">
        <v>44818</v>
      </c>
      <c r="AP199" s="154"/>
      <c r="AQ199" s="42"/>
      <c r="AR199" s="42"/>
      <c r="AS199" s="42"/>
      <c r="AT199" s="42"/>
      <c r="AU199" s="42"/>
      <c r="AV199" s="42"/>
      <c r="AW199" s="42"/>
      <c r="AX199" s="42"/>
    </row>
    <row r="200" spans="1:50" ht="12.75" customHeight="1">
      <c r="A200" s="42">
        <v>52009661</v>
      </c>
      <c r="B200" s="42" t="s">
        <v>1699</v>
      </c>
      <c r="C200" s="42" t="s">
        <v>1700</v>
      </c>
      <c r="D200" s="42" t="s">
        <v>1701</v>
      </c>
      <c r="E200" s="42" t="s">
        <v>481</v>
      </c>
      <c r="F200" s="154">
        <v>26207</v>
      </c>
      <c r="G200" s="42" t="s">
        <v>1702</v>
      </c>
      <c r="H200" s="42">
        <v>7591958</v>
      </c>
      <c r="I200" s="42" t="s">
        <v>450</v>
      </c>
      <c r="J200" s="42"/>
      <c r="K200" s="42"/>
      <c r="L200" s="42"/>
      <c r="M200" s="42" t="s">
        <v>451</v>
      </c>
      <c r="N200" s="42" t="s">
        <v>452</v>
      </c>
      <c r="O200" s="42" t="s">
        <v>453</v>
      </c>
      <c r="P200" s="154">
        <v>42585</v>
      </c>
      <c r="Q200" s="154">
        <v>35387</v>
      </c>
      <c r="R200" s="154"/>
      <c r="S200" s="42">
        <v>8</v>
      </c>
      <c r="T200" s="42" t="s">
        <v>466</v>
      </c>
      <c r="U200" s="42">
        <v>11</v>
      </c>
      <c r="V200" s="42" t="s">
        <v>456</v>
      </c>
      <c r="W200" s="42">
        <v>19</v>
      </c>
      <c r="X200" s="42" t="s">
        <v>575</v>
      </c>
      <c r="Y200" s="42">
        <v>2310470</v>
      </c>
      <c r="Z200" s="42" t="s">
        <v>477</v>
      </c>
      <c r="AA200" s="42">
        <v>222</v>
      </c>
      <c r="AB200" s="42">
        <v>27</v>
      </c>
      <c r="AC200" s="42">
        <v>7358647</v>
      </c>
      <c r="AD200" s="42" t="s">
        <v>51</v>
      </c>
      <c r="AE200" s="42">
        <v>42</v>
      </c>
      <c r="AF200" s="42" t="s">
        <v>458</v>
      </c>
      <c r="AG200" s="42" t="s">
        <v>459</v>
      </c>
      <c r="AH200" s="42" t="s">
        <v>49</v>
      </c>
      <c r="AI200" s="42" t="s">
        <v>460</v>
      </c>
      <c r="AJ200" s="154">
        <v>42585</v>
      </c>
      <c r="AK200" s="42">
        <v>2</v>
      </c>
      <c r="AL200" s="154">
        <v>42585</v>
      </c>
      <c r="AM200" s="154"/>
      <c r="AN200" s="42"/>
      <c r="AO200" s="154"/>
      <c r="AP200" s="154">
        <v>43857</v>
      </c>
      <c r="AQ200" s="42"/>
      <c r="AR200" s="42"/>
      <c r="AS200" s="42"/>
      <c r="AT200" s="42"/>
      <c r="AU200" s="42"/>
      <c r="AV200" s="42"/>
      <c r="AW200" s="42"/>
      <c r="AX200" s="42"/>
    </row>
    <row r="201" spans="1:50" ht="12.75" customHeight="1">
      <c r="A201" s="42">
        <v>52020762</v>
      </c>
      <c r="B201" s="42" t="s">
        <v>982</v>
      </c>
      <c r="C201" s="42" t="s">
        <v>1041</v>
      </c>
      <c r="D201" s="42" t="s">
        <v>1263</v>
      </c>
      <c r="E201" s="42" t="s">
        <v>481</v>
      </c>
      <c r="F201" s="154">
        <v>25821</v>
      </c>
      <c r="G201" s="42" t="s">
        <v>1704</v>
      </c>
      <c r="H201" s="42">
        <v>7752590</v>
      </c>
      <c r="I201" s="42" t="s">
        <v>450</v>
      </c>
      <c r="J201" s="42"/>
      <c r="K201" s="42"/>
      <c r="L201" s="42"/>
      <c r="M201" s="42" t="s">
        <v>451</v>
      </c>
      <c r="N201" s="42" t="s">
        <v>452</v>
      </c>
      <c r="O201" s="42" t="s">
        <v>453</v>
      </c>
      <c r="P201" s="154">
        <v>42860</v>
      </c>
      <c r="Q201" s="154">
        <v>42860</v>
      </c>
      <c r="R201" s="154"/>
      <c r="S201" s="42">
        <v>8</v>
      </c>
      <c r="T201" s="42" t="s">
        <v>466</v>
      </c>
      <c r="U201" s="42">
        <v>11</v>
      </c>
      <c r="V201" s="42" t="s">
        <v>456</v>
      </c>
      <c r="W201" s="42">
        <v>18</v>
      </c>
      <c r="X201" s="42" t="s">
        <v>536</v>
      </c>
      <c r="Y201" s="42">
        <v>120</v>
      </c>
      <c r="Z201" s="42" t="s">
        <v>500</v>
      </c>
      <c r="AA201" s="42">
        <v>314</v>
      </c>
      <c r="AB201" s="42">
        <v>20</v>
      </c>
      <c r="AC201" s="42">
        <v>4789274</v>
      </c>
      <c r="AD201" s="42" t="s">
        <v>517</v>
      </c>
      <c r="AE201" s="42">
        <v>120</v>
      </c>
      <c r="AF201" s="42" t="s">
        <v>458</v>
      </c>
      <c r="AG201" s="42" t="s">
        <v>459</v>
      </c>
      <c r="AH201" s="42" t="s">
        <v>188</v>
      </c>
      <c r="AI201" s="42" t="s">
        <v>460</v>
      </c>
      <c r="AJ201" s="154">
        <v>42860</v>
      </c>
      <c r="AK201" s="42">
        <v>53</v>
      </c>
      <c r="AL201" s="154">
        <v>42832</v>
      </c>
      <c r="AM201" s="154"/>
      <c r="AN201" s="42"/>
      <c r="AO201" s="154"/>
      <c r="AP201" s="154">
        <v>44265</v>
      </c>
      <c r="AQ201" s="42"/>
      <c r="AR201" s="42"/>
      <c r="AS201" s="42"/>
      <c r="AT201" s="42"/>
      <c r="AU201" s="42"/>
      <c r="AV201" s="42"/>
      <c r="AW201" s="42"/>
      <c r="AX201" s="42"/>
    </row>
    <row r="202" spans="1:50" ht="12.75" customHeight="1">
      <c r="A202" s="42">
        <v>52025053</v>
      </c>
      <c r="B202" s="42" t="s">
        <v>1707</v>
      </c>
      <c r="C202" s="42" t="s">
        <v>1085</v>
      </c>
      <c r="D202" s="42" t="s">
        <v>1709</v>
      </c>
      <c r="E202" s="42" t="s">
        <v>481</v>
      </c>
      <c r="F202" s="154">
        <v>25674</v>
      </c>
      <c r="G202" s="42" t="s">
        <v>1710</v>
      </c>
      <c r="H202" s="42">
        <v>7338748</v>
      </c>
      <c r="I202" s="42" t="s">
        <v>450</v>
      </c>
      <c r="J202" s="42"/>
      <c r="K202" s="42"/>
      <c r="L202" s="42"/>
      <c r="M202" s="42" t="s">
        <v>448</v>
      </c>
      <c r="N202" s="42" t="s">
        <v>452</v>
      </c>
      <c r="O202" s="42" t="s">
        <v>453</v>
      </c>
      <c r="P202" s="154">
        <v>42863</v>
      </c>
      <c r="Q202" s="154">
        <v>42863</v>
      </c>
      <c r="R202" s="42"/>
      <c r="S202" s="42">
        <v>5</v>
      </c>
      <c r="T202" s="42" t="s">
        <v>499</v>
      </c>
      <c r="U202" s="42">
        <v>11</v>
      </c>
      <c r="V202" s="42" t="s">
        <v>456</v>
      </c>
      <c r="W202" s="42">
        <v>3</v>
      </c>
      <c r="X202" s="42" t="s">
        <v>457</v>
      </c>
      <c r="Y202" s="42">
        <v>163</v>
      </c>
      <c r="Z202" s="42" t="s">
        <v>500</v>
      </c>
      <c r="AA202" s="42">
        <v>440</v>
      </c>
      <c r="AB202" s="42">
        <v>9</v>
      </c>
      <c r="AC202" s="42">
        <v>2675559</v>
      </c>
      <c r="AD202" s="42" t="s">
        <v>29</v>
      </c>
      <c r="AE202" s="42">
        <v>163</v>
      </c>
      <c r="AF202" s="42" t="s">
        <v>458</v>
      </c>
      <c r="AG202" s="42" t="s">
        <v>459</v>
      </c>
      <c r="AH202" s="42" t="s">
        <v>188</v>
      </c>
      <c r="AI202" s="42" t="s">
        <v>460</v>
      </c>
      <c r="AJ202" s="154">
        <v>42863</v>
      </c>
      <c r="AK202" s="42">
        <v>64</v>
      </c>
      <c r="AL202" s="154">
        <v>42859</v>
      </c>
      <c r="AM202" s="154"/>
      <c r="AN202" s="42"/>
      <c r="AO202" s="154"/>
      <c r="AP202" s="154">
        <v>44145</v>
      </c>
      <c r="AQ202" s="42"/>
      <c r="AR202" s="42"/>
      <c r="AS202" s="42"/>
      <c r="AT202" s="42"/>
      <c r="AU202" s="42"/>
      <c r="AV202" s="42"/>
      <c r="AW202" s="42"/>
      <c r="AX202" s="42"/>
    </row>
    <row r="203" spans="1:50" ht="12.75" customHeight="1">
      <c r="A203" s="42">
        <v>52030615</v>
      </c>
      <c r="B203" s="42" t="s">
        <v>503</v>
      </c>
      <c r="C203" s="42" t="s">
        <v>1712</v>
      </c>
      <c r="D203" s="42" t="s">
        <v>1713</v>
      </c>
      <c r="E203" s="42" t="s">
        <v>481</v>
      </c>
      <c r="F203" s="154">
        <v>26463</v>
      </c>
      <c r="G203" s="42" t="s">
        <v>1714</v>
      </c>
      <c r="H203" s="42">
        <v>2021673</v>
      </c>
      <c r="I203" s="42" t="s">
        <v>450</v>
      </c>
      <c r="J203" s="42"/>
      <c r="K203" s="42"/>
      <c r="L203" s="42"/>
      <c r="M203" s="42" t="s">
        <v>451</v>
      </c>
      <c r="N203" s="42" t="s">
        <v>452</v>
      </c>
      <c r="O203" s="42" t="s">
        <v>453</v>
      </c>
      <c r="P203" s="154">
        <v>42828</v>
      </c>
      <c r="Q203" s="154">
        <v>41157</v>
      </c>
      <c r="R203" s="154"/>
      <c r="S203" s="42">
        <v>5</v>
      </c>
      <c r="T203" s="42" t="s">
        <v>499</v>
      </c>
      <c r="U203" s="42">
        <v>11</v>
      </c>
      <c r="V203" s="42" t="s">
        <v>456</v>
      </c>
      <c r="W203" s="42">
        <v>23</v>
      </c>
      <c r="X203" s="42" t="s">
        <v>473</v>
      </c>
      <c r="Y203" s="42">
        <v>24</v>
      </c>
      <c r="Z203" s="42" t="s">
        <v>500</v>
      </c>
      <c r="AA203" s="42">
        <v>219</v>
      </c>
      <c r="AB203" s="42">
        <v>18</v>
      </c>
      <c r="AC203" s="42">
        <v>5951245</v>
      </c>
      <c r="AD203" s="42" t="s">
        <v>72</v>
      </c>
      <c r="AE203" s="42">
        <v>24</v>
      </c>
      <c r="AF203" s="42" t="s">
        <v>458</v>
      </c>
      <c r="AG203" s="42" t="s">
        <v>459</v>
      </c>
      <c r="AH203" s="42" t="s">
        <v>188</v>
      </c>
      <c r="AI203" s="42" t="s">
        <v>460</v>
      </c>
      <c r="AJ203" s="154">
        <v>42828</v>
      </c>
      <c r="AK203" s="42">
        <v>39</v>
      </c>
      <c r="AL203" s="154">
        <v>42815</v>
      </c>
      <c r="AM203" s="154"/>
      <c r="AN203" s="42"/>
      <c r="AO203" s="154"/>
      <c r="AP203" s="154">
        <v>44140</v>
      </c>
      <c r="AQ203" s="42"/>
      <c r="AR203" s="42"/>
      <c r="AS203" s="42"/>
      <c r="AT203" s="42"/>
      <c r="AU203" s="42"/>
      <c r="AV203" s="42"/>
      <c r="AW203" s="42"/>
      <c r="AX203" s="42"/>
    </row>
    <row r="204" spans="1:50" ht="12.75" customHeight="1">
      <c r="A204" s="42">
        <v>52031787</v>
      </c>
      <c r="B204" s="42" t="s">
        <v>533</v>
      </c>
      <c r="C204" s="42" t="s">
        <v>856</v>
      </c>
      <c r="D204" s="42" t="s">
        <v>1717</v>
      </c>
      <c r="E204" s="42" t="s">
        <v>481</v>
      </c>
      <c r="F204" s="154">
        <v>25920</v>
      </c>
      <c r="G204" s="42" t="s">
        <v>1718</v>
      </c>
      <c r="H204" s="42">
        <v>2444831</v>
      </c>
      <c r="I204" s="42" t="s">
        <v>450</v>
      </c>
      <c r="J204" s="42"/>
      <c r="K204" s="42"/>
      <c r="L204" s="42"/>
      <c r="M204" s="42" t="s">
        <v>451</v>
      </c>
      <c r="N204" s="42" t="s">
        <v>452</v>
      </c>
      <c r="O204" s="42" t="s">
        <v>453</v>
      </c>
      <c r="P204" s="154">
        <v>43642</v>
      </c>
      <c r="Q204" s="154">
        <v>43642</v>
      </c>
      <c r="R204" s="42"/>
      <c r="S204" s="42">
        <v>5</v>
      </c>
      <c r="T204" s="42" t="s">
        <v>499</v>
      </c>
      <c r="U204" s="42">
        <v>19</v>
      </c>
      <c r="V204" s="42" t="s">
        <v>574</v>
      </c>
      <c r="W204" s="42">
        <v>19</v>
      </c>
      <c r="X204" s="42" t="s">
        <v>575</v>
      </c>
      <c r="Y204" s="42">
        <v>2310460</v>
      </c>
      <c r="Z204" s="42" t="s">
        <v>506</v>
      </c>
      <c r="AA204" s="42">
        <v>314</v>
      </c>
      <c r="AB204" s="42">
        <v>15</v>
      </c>
      <c r="AC204" s="42">
        <v>4226650</v>
      </c>
      <c r="AD204" s="42" t="s">
        <v>517</v>
      </c>
      <c r="AE204" s="42">
        <v>132</v>
      </c>
      <c r="AF204" s="42" t="s">
        <v>458</v>
      </c>
      <c r="AG204" s="42" t="s">
        <v>459</v>
      </c>
      <c r="AH204" s="42" t="s">
        <v>188</v>
      </c>
      <c r="AI204" s="42" t="s">
        <v>460</v>
      </c>
      <c r="AJ204" s="154">
        <v>44308</v>
      </c>
      <c r="AK204" s="42">
        <v>78</v>
      </c>
      <c r="AL204" s="154">
        <v>44308</v>
      </c>
      <c r="AM204" s="154"/>
      <c r="AN204" s="42"/>
      <c r="AO204" s="154"/>
      <c r="AP204" s="154">
        <v>44382</v>
      </c>
      <c r="AQ204" s="42"/>
      <c r="AR204" s="42"/>
      <c r="AS204" s="42"/>
      <c r="AT204" s="42"/>
      <c r="AU204" s="42"/>
      <c r="AV204" s="42"/>
      <c r="AW204" s="42"/>
      <c r="AX204" s="42"/>
    </row>
    <row r="205" spans="1:50" ht="12.75" customHeight="1">
      <c r="A205" s="42">
        <v>52033530</v>
      </c>
      <c r="B205" s="42" t="s">
        <v>946</v>
      </c>
      <c r="C205" s="42" t="s">
        <v>478</v>
      </c>
      <c r="D205" s="42" t="s">
        <v>947</v>
      </c>
      <c r="E205" s="42" t="s">
        <v>448</v>
      </c>
      <c r="F205" s="154">
        <v>25939</v>
      </c>
      <c r="G205" s="42" t="s">
        <v>1719</v>
      </c>
      <c r="H205" s="42">
        <v>6013155346</v>
      </c>
      <c r="I205" s="42" t="s">
        <v>450</v>
      </c>
      <c r="J205" s="42"/>
      <c r="K205" s="42"/>
      <c r="L205" s="42"/>
      <c r="M205" s="42" t="s">
        <v>547</v>
      </c>
      <c r="N205" s="42" t="s">
        <v>452</v>
      </c>
      <c r="O205" s="42" t="s">
        <v>453</v>
      </c>
      <c r="P205" s="154">
        <v>44774</v>
      </c>
      <c r="Q205" s="154">
        <v>44506</v>
      </c>
      <c r="R205" s="42"/>
      <c r="S205" s="42">
        <v>26</v>
      </c>
      <c r="T205" s="42" t="s">
        <v>528</v>
      </c>
      <c r="U205" s="42">
        <v>11</v>
      </c>
      <c r="V205" s="42" t="s">
        <v>456</v>
      </c>
      <c r="W205" s="42">
        <v>22</v>
      </c>
      <c r="X205" s="42" t="s">
        <v>1038</v>
      </c>
      <c r="Y205" s="42">
        <v>0</v>
      </c>
      <c r="Z205" s="42" t="s">
        <v>500</v>
      </c>
      <c r="AA205" s="42">
        <v>0</v>
      </c>
      <c r="AB205" s="42">
        <v>27</v>
      </c>
      <c r="AC205" s="42"/>
      <c r="AD205" s="42" t="s">
        <v>529</v>
      </c>
      <c r="AE205" s="42">
        <v>43</v>
      </c>
      <c r="AF205" s="42" t="s">
        <v>458</v>
      </c>
      <c r="AG205" s="42" t="s">
        <v>459</v>
      </c>
      <c r="AH205" s="42" t="s">
        <v>49</v>
      </c>
      <c r="AI205" s="42" t="s">
        <v>460</v>
      </c>
      <c r="AJ205" s="154">
        <v>44774</v>
      </c>
      <c r="AK205" s="42">
        <v>192</v>
      </c>
      <c r="AL205" s="154">
        <v>44721</v>
      </c>
      <c r="AM205" s="154">
        <v>45369</v>
      </c>
      <c r="AN205" s="42">
        <v>154</v>
      </c>
      <c r="AO205" s="154">
        <v>45365</v>
      </c>
      <c r="AP205" s="154"/>
      <c r="AQ205" s="42"/>
      <c r="AR205" s="42"/>
      <c r="AS205" s="42"/>
      <c r="AT205" s="42"/>
      <c r="AU205" s="42"/>
      <c r="AV205" s="42"/>
      <c r="AW205" s="42"/>
      <c r="AX205" s="42"/>
    </row>
    <row r="206" spans="1:50" ht="12.75" customHeight="1">
      <c r="A206" s="42">
        <v>52033959</v>
      </c>
      <c r="B206" s="42" t="s">
        <v>554</v>
      </c>
      <c r="C206" s="42" t="s">
        <v>1094</v>
      </c>
      <c r="D206" s="42" t="s">
        <v>1722</v>
      </c>
      <c r="E206" s="42" t="s">
        <v>481</v>
      </c>
      <c r="F206" s="154">
        <v>26209</v>
      </c>
      <c r="G206" s="42" t="s">
        <v>1723</v>
      </c>
      <c r="H206" s="42">
        <v>7821081</v>
      </c>
      <c r="I206" s="42" t="s">
        <v>450</v>
      </c>
      <c r="J206" s="42"/>
      <c r="K206" s="42"/>
      <c r="L206" s="42"/>
      <c r="M206" s="42" t="s">
        <v>527</v>
      </c>
      <c r="N206" s="42" t="s">
        <v>452</v>
      </c>
      <c r="O206" s="42" t="s">
        <v>453</v>
      </c>
      <c r="P206" s="154">
        <v>42585</v>
      </c>
      <c r="Q206" s="154">
        <v>41201</v>
      </c>
      <c r="R206" s="42"/>
      <c r="S206" s="42">
        <v>18</v>
      </c>
      <c r="T206" s="42" t="s">
        <v>472</v>
      </c>
      <c r="U206" s="42">
        <v>11</v>
      </c>
      <c r="V206" s="42" t="s">
        <v>456</v>
      </c>
      <c r="W206" s="42">
        <v>3</v>
      </c>
      <c r="X206" s="42" t="s">
        <v>457</v>
      </c>
      <c r="Y206" s="42">
        <v>2310100</v>
      </c>
      <c r="Z206" s="42" t="s">
        <v>541</v>
      </c>
      <c r="AA206" s="42">
        <v>440</v>
      </c>
      <c r="AB206" s="42">
        <v>11</v>
      </c>
      <c r="AC206" s="42">
        <v>2804649</v>
      </c>
      <c r="AD206" s="42" t="s">
        <v>29</v>
      </c>
      <c r="AE206" s="42">
        <v>160</v>
      </c>
      <c r="AF206" s="42" t="s">
        <v>458</v>
      </c>
      <c r="AG206" s="42" t="s">
        <v>459</v>
      </c>
      <c r="AH206" s="42" t="s">
        <v>188</v>
      </c>
      <c r="AI206" s="42" t="s">
        <v>460</v>
      </c>
      <c r="AJ206" s="154">
        <v>42585</v>
      </c>
      <c r="AK206" s="42">
        <v>2</v>
      </c>
      <c r="AL206" s="154">
        <v>42585</v>
      </c>
      <c r="AM206" s="154"/>
      <c r="AN206" s="42"/>
      <c r="AO206" s="154"/>
      <c r="AP206" s="154">
        <v>44074</v>
      </c>
      <c r="AQ206" s="42"/>
      <c r="AR206" s="42"/>
      <c r="AS206" s="42"/>
      <c r="AT206" s="42"/>
      <c r="AU206" s="42"/>
      <c r="AV206" s="42"/>
      <c r="AW206" s="42"/>
      <c r="AX206" s="42"/>
    </row>
    <row r="207" spans="1:50" ht="12.75" customHeight="1">
      <c r="A207" s="42">
        <v>52087195</v>
      </c>
      <c r="B207" s="42" t="s">
        <v>980</v>
      </c>
      <c r="C207" s="42" t="s">
        <v>636</v>
      </c>
      <c r="D207" s="42" t="s">
        <v>1725</v>
      </c>
      <c r="E207" s="42" t="s">
        <v>481</v>
      </c>
      <c r="F207" s="154">
        <v>28209</v>
      </c>
      <c r="G207" s="42" t="s">
        <v>1726</v>
      </c>
      <c r="H207" s="42">
        <v>5513758</v>
      </c>
      <c r="I207" s="42" t="s">
        <v>450</v>
      </c>
      <c r="J207" s="42"/>
      <c r="K207" s="42"/>
      <c r="L207" s="42"/>
      <c r="M207" s="42" t="s">
        <v>547</v>
      </c>
      <c r="N207" s="42" t="s">
        <v>452</v>
      </c>
      <c r="O207" s="42" t="s">
        <v>453</v>
      </c>
      <c r="P207" s="154">
        <v>42815</v>
      </c>
      <c r="Q207" s="154">
        <v>42815</v>
      </c>
      <c r="R207" s="154"/>
      <c r="S207" s="42">
        <v>8</v>
      </c>
      <c r="T207" s="42" t="s">
        <v>466</v>
      </c>
      <c r="U207" s="42">
        <v>11</v>
      </c>
      <c r="V207" s="42" t="s">
        <v>456</v>
      </c>
      <c r="W207" s="42">
        <v>3</v>
      </c>
      <c r="X207" s="42" t="s">
        <v>457</v>
      </c>
      <c r="Y207" s="42">
        <v>69</v>
      </c>
      <c r="Z207" s="42" t="s">
        <v>500</v>
      </c>
      <c r="AA207" s="42">
        <v>222</v>
      </c>
      <c r="AB207" s="42">
        <v>19</v>
      </c>
      <c r="AC207" s="42">
        <v>6258912</v>
      </c>
      <c r="AD207" s="42" t="s">
        <v>51</v>
      </c>
      <c r="AE207" s="42">
        <v>69</v>
      </c>
      <c r="AF207" s="42" t="s">
        <v>458</v>
      </c>
      <c r="AG207" s="42" t="s">
        <v>459</v>
      </c>
      <c r="AH207" s="42" t="s">
        <v>188</v>
      </c>
      <c r="AI207" s="42" t="s">
        <v>460</v>
      </c>
      <c r="AJ207" s="154">
        <v>42815</v>
      </c>
      <c r="AK207" s="42">
        <v>25</v>
      </c>
      <c r="AL207" s="154">
        <v>42802</v>
      </c>
      <c r="AM207" s="154"/>
      <c r="AN207" s="42"/>
      <c r="AO207" s="154"/>
      <c r="AP207" s="154">
        <v>44144</v>
      </c>
      <c r="AQ207" s="42"/>
      <c r="AR207" s="42"/>
      <c r="AS207" s="42"/>
      <c r="AT207" s="42"/>
      <c r="AU207" s="42"/>
      <c r="AV207" s="42"/>
      <c r="AW207" s="42"/>
      <c r="AX207" s="42"/>
    </row>
    <row r="208" spans="1:50" ht="12.75" customHeight="1">
      <c r="A208" s="42">
        <v>52103754</v>
      </c>
      <c r="B208" s="42" t="s">
        <v>446</v>
      </c>
      <c r="C208" s="42"/>
      <c r="D208" s="42" t="s">
        <v>1729</v>
      </c>
      <c r="E208" s="42" t="s">
        <v>481</v>
      </c>
      <c r="F208" s="154">
        <v>26432</v>
      </c>
      <c r="G208" s="42" t="s">
        <v>1731</v>
      </c>
      <c r="H208" s="42">
        <v>4381983</v>
      </c>
      <c r="I208" s="42" t="s">
        <v>450</v>
      </c>
      <c r="J208" s="42"/>
      <c r="K208" s="42"/>
      <c r="L208" s="42"/>
      <c r="M208" s="42"/>
      <c r="N208" s="42"/>
      <c r="O208" s="42" t="s">
        <v>453</v>
      </c>
      <c r="P208" s="154">
        <v>42585</v>
      </c>
      <c r="Q208" s="154">
        <v>38294</v>
      </c>
      <c r="R208" s="154"/>
      <c r="S208" s="42">
        <v>8</v>
      </c>
      <c r="T208" s="42" t="s">
        <v>466</v>
      </c>
      <c r="U208" s="42">
        <v>11</v>
      </c>
      <c r="V208" s="42" t="s">
        <v>456</v>
      </c>
      <c r="W208" s="42">
        <v>3</v>
      </c>
      <c r="X208" s="42" t="s">
        <v>457</v>
      </c>
      <c r="Y208" s="42">
        <v>2310470</v>
      </c>
      <c r="Z208" s="42" t="s">
        <v>477</v>
      </c>
      <c r="AA208" s="42">
        <v>219</v>
      </c>
      <c r="AB208" s="42">
        <v>18</v>
      </c>
      <c r="AC208" s="42">
        <v>5951245</v>
      </c>
      <c r="AD208" s="42" t="s">
        <v>72</v>
      </c>
      <c r="AE208" s="42">
        <v>89</v>
      </c>
      <c r="AF208" s="42" t="s">
        <v>458</v>
      </c>
      <c r="AG208" s="42" t="s">
        <v>459</v>
      </c>
      <c r="AH208" s="42" t="s">
        <v>188</v>
      </c>
      <c r="AI208" s="42" t="s">
        <v>460</v>
      </c>
      <c r="AJ208" s="154">
        <v>42585</v>
      </c>
      <c r="AK208" s="42">
        <v>2</v>
      </c>
      <c r="AL208" s="154">
        <v>42585</v>
      </c>
      <c r="AM208" s="154"/>
      <c r="AN208" s="42"/>
      <c r="AO208" s="154"/>
      <c r="AP208" s="154">
        <v>44199</v>
      </c>
      <c r="AQ208" s="42"/>
      <c r="AR208" s="42"/>
      <c r="AS208" s="42"/>
      <c r="AT208" s="42"/>
      <c r="AU208" s="42"/>
      <c r="AV208" s="42"/>
      <c r="AW208" s="42"/>
      <c r="AX208" s="42"/>
    </row>
    <row r="209" spans="1:50" ht="12.75" customHeight="1">
      <c r="A209" s="42">
        <v>52115141</v>
      </c>
      <c r="B209" s="42" t="s">
        <v>625</v>
      </c>
      <c r="C209" s="42" t="s">
        <v>790</v>
      </c>
      <c r="D209" s="42" t="s">
        <v>948</v>
      </c>
      <c r="E209" s="42" t="s">
        <v>481</v>
      </c>
      <c r="F209" s="154">
        <v>26762</v>
      </c>
      <c r="G209" s="42" t="s">
        <v>1733</v>
      </c>
      <c r="H209" s="42">
        <v>7208960</v>
      </c>
      <c r="I209" s="42" t="s">
        <v>450</v>
      </c>
      <c r="J209" s="42"/>
      <c r="K209" s="42"/>
      <c r="L209" s="42"/>
      <c r="M209" s="42" t="s">
        <v>547</v>
      </c>
      <c r="N209" s="42" t="s">
        <v>452</v>
      </c>
      <c r="O209" s="42" t="s">
        <v>453</v>
      </c>
      <c r="P209" s="154">
        <v>42863</v>
      </c>
      <c r="Q209" s="154">
        <v>42730</v>
      </c>
      <c r="R209" s="154"/>
      <c r="S209" s="42">
        <v>5</v>
      </c>
      <c r="T209" s="42" t="s">
        <v>499</v>
      </c>
      <c r="U209" s="42">
        <v>11</v>
      </c>
      <c r="V209" s="42" t="s">
        <v>456</v>
      </c>
      <c r="W209" s="42">
        <v>3</v>
      </c>
      <c r="X209" s="42" t="s">
        <v>457</v>
      </c>
      <c r="Y209" s="42">
        <v>2310400</v>
      </c>
      <c r="Z209" s="42" t="s">
        <v>841</v>
      </c>
      <c r="AA209" s="42">
        <v>407</v>
      </c>
      <c r="AB209" s="42">
        <v>13</v>
      </c>
      <c r="AC209" s="42">
        <v>3017226</v>
      </c>
      <c r="AD209" s="42" t="s">
        <v>146</v>
      </c>
      <c r="AE209" s="42">
        <v>152</v>
      </c>
      <c r="AF209" s="42" t="s">
        <v>458</v>
      </c>
      <c r="AG209" s="42" t="s">
        <v>459</v>
      </c>
      <c r="AH209" s="42" t="s">
        <v>188</v>
      </c>
      <c r="AI209" s="42" t="s">
        <v>460</v>
      </c>
      <c r="AJ209" s="154">
        <v>42863</v>
      </c>
      <c r="AK209" s="42">
        <v>58</v>
      </c>
      <c r="AL209" s="154">
        <v>42832</v>
      </c>
      <c r="AM209" s="154"/>
      <c r="AN209" s="42"/>
      <c r="AO209" s="154"/>
      <c r="AP209" s="154">
        <v>46236</v>
      </c>
      <c r="AQ209" s="42"/>
      <c r="AR209" s="42"/>
      <c r="AS209" s="42"/>
      <c r="AT209" s="42"/>
      <c r="AU209" s="42"/>
      <c r="AV209" s="42"/>
      <c r="AW209" s="42"/>
      <c r="AX209" s="42"/>
    </row>
    <row r="210" spans="1:50" ht="12.75" customHeight="1">
      <c r="A210" s="42">
        <v>52124597</v>
      </c>
      <c r="B210" s="42" t="s">
        <v>949</v>
      </c>
      <c r="C210" s="42" t="s">
        <v>711</v>
      </c>
      <c r="D210" s="42" t="s">
        <v>951</v>
      </c>
      <c r="E210" s="42" t="s">
        <v>448</v>
      </c>
      <c r="F210" s="154">
        <v>27263</v>
      </c>
      <c r="G210" s="42" t="s">
        <v>1735</v>
      </c>
      <c r="H210" s="42">
        <v>2090911</v>
      </c>
      <c r="I210" s="42" t="s">
        <v>450</v>
      </c>
      <c r="J210" s="42"/>
      <c r="K210" s="42"/>
      <c r="L210" s="42"/>
      <c r="M210" s="42"/>
      <c r="N210" s="42"/>
      <c r="O210" s="42" t="s">
        <v>453</v>
      </c>
      <c r="P210" s="154">
        <v>42585</v>
      </c>
      <c r="Q210" s="154">
        <v>35403</v>
      </c>
      <c r="R210" s="154"/>
      <c r="S210" s="42">
        <v>8</v>
      </c>
      <c r="T210" s="42" t="s">
        <v>466</v>
      </c>
      <c r="U210" s="42">
        <v>11</v>
      </c>
      <c r="V210" s="42" t="s">
        <v>456</v>
      </c>
      <c r="W210" s="42">
        <v>3</v>
      </c>
      <c r="X210" s="42" t="s">
        <v>457</v>
      </c>
      <c r="Y210" s="42">
        <v>2310470</v>
      </c>
      <c r="Z210" s="42" t="s">
        <v>477</v>
      </c>
      <c r="AA210" s="42">
        <v>425</v>
      </c>
      <c r="AB210" s="42">
        <v>21</v>
      </c>
      <c r="AC210" s="42">
        <v>3925268</v>
      </c>
      <c r="AD210" s="42" t="s">
        <v>255</v>
      </c>
      <c r="AE210" s="42">
        <v>167</v>
      </c>
      <c r="AF210" s="42" t="s">
        <v>458</v>
      </c>
      <c r="AG210" s="42" t="s">
        <v>459</v>
      </c>
      <c r="AH210" s="42" t="s">
        <v>49</v>
      </c>
      <c r="AI210" s="42" t="s">
        <v>460</v>
      </c>
      <c r="AJ210" s="154">
        <v>42585</v>
      </c>
      <c r="AK210" s="42">
        <v>2</v>
      </c>
      <c r="AL210" s="154">
        <v>42585</v>
      </c>
      <c r="AM210" s="154">
        <v>44448</v>
      </c>
      <c r="AN210" s="42">
        <v>172</v>
      </c>
      <c r="AO210" s="154">
        <v>44445</v>
      </c>
      <c r="AP210" s="154"/>
      <c r="AQ210" s="42"/>
      <c r="AR210" s="42"/>
      <c r="AS210" s="42"/>
      <c r="AT210" s="42"/>
      <c r="AU210" s="42"/>
      <c r="AV210" s="42"/>
      <c r="AW210" s="42"/>
      <c r="AX210" s="42"/>
    </row>
    <row r="211" spans="1:50" ht="12.75" customHeight="1">
      <c r="A211" s="42">
        <v>52146157</v>
      </c>
      <c r="B211" s="42" t="s">
        <v>954</v>
      </c>
      <c r="C211" s="42" t="s">
        <v>955</v>
      </c>
      <c r="D211" s="42" t="s">
        <v>956</v>
      </c>
      <c r="E211" s="42" t="s">
        <v>448</v>
      </c>
      <c r="F211" s="154">
        <v>26941</v>
      </c>
      <c r="G211" s="42" t="s">
        <v>1736</v>
      </c>
      <c r="H211" s="42">
        <v>6013231939</v>
      </c>
      <c r="I211" s="42" t="s">
        <v>450</v>
      </c>
      <c r="J211" s="42"/>
      <c r="K211" s="42"/>
      <c r="L211" s="42"/>
      <c r="M211" s="42" t="s">
        <v>547</v>
      </c>
      <c r="N211" s="42" t="s">
        <v>452</v>
      </c>
      <c r="O211" s="42" t="s">
        <v>453</v>
      </c>
      <c r="P211" s="154">
        <v>45111</v>
      </c>
      <c r="Q211" s="154">
        <v>45111</v>
      </c>
      <c r="R211" s="154"/>
      <c r="S211" s="42">
        <v>8</v>
      </c>
      <c r="T211" s="42" t="s">
        <v>466</v>
      </c>
      <c r="U211" s="42">
        <v>11</v>
      </c>
      <c r="V211" s="42" t="s">
        <v>456</v>
      </c>
      <c r="W211" s="42">
        <v>3</v>
      </c>
      <c r="X211" s="42" t="s">
        <v>457</v>
      </c>
      <c r="Y211" s="42">
        <v>2310460</v>
      </c>
      <c r="Z211" s="42" t="s">
        <v>506</v>
      </c>
      <c r="AA211" s="42">
        <v>222</v>
      </c>
      <c r="AB211" s="42">
        <v>27</v>
      </c>
      <c r="AC211" s="42">
        <v>7358647</v>
      </c>
      <c r="AD211" s="42" t="s">
        <v>51</v>
      </c>
      <c r="AE211" s="42">
        <v>42</v>
      </c>
      <c r="AF211" s="42" t="s">
        <v>458</v>
      </c>
      <c r="AG211" s="42" t="s">
        <v>459</v>
      </c>
      <c r="AH211" s="42" t="s">
        <v>49</v>
      </c>
      <c r="AI211" s="42" t="s">
        <v>460</v>
      </c>
      <c r="AJ211" s="154">
        <v>45111</v>
      </c>
      <c r="AK211" s="42">
        <v>297</v>
      </c>
      <c r="AL211" s="154">
        <v>45064</v>
      </c>
      <c r="AM211" s="154"/>
      <c r="AN211" s="42"/>
      <c r="AO211" s="154"/>
      <c r="AP211" s="154"/>
      <c r="AQ211" s="42"/>
      <c r="AR211" s="42"/>
      <c r="AS211" s="42"/>
      <c r="AT211" s="42"/>
      <c r="AU211" s="42"/>
      <c r="AV211" s="42"/>
      <c r="AW211" s="42"/>
      <c r="AX211" s="42"/>
    </row>
    <row r="212" spans="1:50" ht="12.75" customHeight="1">
      <c r="A212" s="42">
        <v>52146196</v>
      </c>
      <c r="B212" s="42" t="s">
        <v>957</v>
      </c>
      <c r="C212" s="42" t="s">
        <v>958</v>
      </c>
      <c r="D212" s="42" t="s">
        <v>959</v>
      </c>
      <c r="E212" s="42" t="s">
        <v>448</v>
      </c>
      <c r="F212" s="154">
        <v>26603</v>
      </c>
      <c r="G212" s="42" t="s">
        <v>1738</v>
      </c>
      <c r="H212" s="42" t="s">
        <v>1739</v>
      </c>
      <c r="I212" s="42" t="s">
        <v>450</v>
      </c>
      <c r="J212" s="42"/>
      <c r="K212" s="42"/>
      <c r="L212" s="42"/>
      <c r="M212" s="42"/>
      <c r="N212" s="42"/>
      <c r="O212" s="42" t="s">
        <v>453</v>
      </c>
      <c r="P212" s="154">
        <v>42585</v>
      </c>
      <c r="Q212" s="154">
        <v>38443</v>
      </c>
      <c r="R212" s="42"/>
      <c r="S212" s="42">
        <v>8</v>
      </c>
      <c r="T212" s="42" t="s">
        <v>466</v>
      </c>
      <c r="U212" s="42">
        <v>11</v>
      </c>
      <c r="V212" s="42" t="s">
        <v>456</v>
      </c>
      <c r="W212" s="42">
        <v>3</v>
      </c>
      <c r="X212" s="42" t="s">
        <v>457</v>
      </c>
      <c r="Y212" s="42">
        <v>2310450</v>
      </c>
      <c r="Z212" s="42" t="s">
        <v>568</v>
      </c>
      <c r="AA212" s="42">
        <v>425</v>
      </c>
      <c r="AB212" s="42">
        <v>27</v>
      </c>
      <c r="AC212" s="42">
        <v>4316673</v>
      </c>
      <c r="AD212" s="42" t="s">
        <v>255</v>
      </c>
      <c r="AE212" s="42">
        <v>165</v>
      </c>
      <c r="AF212" s="42" t="s">
        <v>458</v>
      </c>
      <c r="AG212" s="42" t="s">
        <v>459</v>
      </c>
      <c r="AH212" s="42" t="s">
        <v>49</v>
      </c>
      <c r="AI212" s="42" t="s">
        <v>460</v>
      </c>
      <c r="AJ212" s="154">
        <v>42585</v>
      </c>
      <c r="AK212" s="42">
        <v>2</v>
      </c>
      <c r="AL212" s="154">
        <v>42585</v>
      </c>
      <c r="AM212" s="154"/>
      <c r="AN212" s="42"/>
      <c r="AO212" s="154"/>
      <c r="AP212" s="154"/>
      <c r="AQ212" s="42"/>
      <c r="AR212" s="42"/>
      <c r="AS212" s="42"/>
      <c r="AT212" s="42"/>
      <c r="AU212" s="42"/>
      <c r="AV212" s="42"/>
      <c r="AW212" s="42"/>
      <c r="AX212" s="42"/>
    </row>
    <row r="213" spans="1:50" ht="12.75" customHeight="1">
      <c r="A213" s="42">
        <v>52151785</v>
      </c>
      <c r="B213" s="42" t="s">
        <v>960</v>
      </c>
      <c r="C213" s="42" t="s">
        <v>468</v>
      </c>
      <c r="D213" s="42" t="s">
        <v>961</v>
      </c>
      <c r="E213" s="42" t="s">
        <v>448</v>
      </c>
      <c r="F213" s="154">
        <v>27443</v>
      </c>
      <c r="G213" s="42" t="s">
        <v>1740</v>
      </c>
      <c r="H213" s="42">
        <v>7629420</v>
      </c>
      <c r="I213" s="42" t="s">
        <v>450</v>
      </c>
      <c r="J213" s="42"/>
      <c r="K213" s="42"/>
      <c r="L213" s="42"/>
      <c r="M213" s="42" t="s">
        <v>451</v>
      </c>
      <c r="N213" s="42" t="s">
        <v>452</v>
      </c>
      <c r="O213" s="42" t="s">
        <v>453</v>
      </c>
      <c r="P213" s="154">
        <v>44138</v>
      </c>
      <c r="Q213" s="154">
        <v>44138</v>
      </c>
      <c r="R213" s="154"/>
      <c r="S213" s="42">
        <v>2</v>
      </c>
      <c r="T213" s="42" t="s">
        <v>455</v>
      </c>
      <c r="U213" s="42">
        <v>11</v>
      </c>
      <c r="V213" s="42" t="s">
        <v>456</v>
      </c>
      <c r="W213" s="42">
        <v>3</v>
      </c>
      <c r="X213" s="42" t="s">
        <v>457</v>
      </c>
      <c r="Y213" s="42">
        <v>2310470</v>
      </c>
      <c r="Z213" s="42" t="s">
        <v>477</v>
      </c>
      <c r="AA213" s="42">
        <v>219</v>
      </c>
      <c r="AB213" s="42">
        <v>1</v>
      </c>
      <c r="AC213" s="42">
        <v>3989530</v>
      </c>
      <c r="AD213" s="42" t="s">
        <v>72</v>
      </c>
      <c r="AE213" s="42">
        <v>115</v>
      </c>
      <c r="AF213" s="42" t="s">
        <v>458</v>
      </c>
      <c r="AG213" s="42" t="s">
        <v>459</v>
      </c>
      <c r="AH213" s="42" t="s">
        <v>49</v>
      </c>
      <c r="AI213" s="42" t="s">
        <v>460</v>
      </c>
      <c r="AJ213" s="154">
        <v>44138</v>
      </c>
      <c r="AK213" s="42">
        <v>151</v>
      </c>
      <c r="AL213" s="154">
        <v>44118</v>
      </c>
      <c r="AM213" s="154">
        <v>45489</v>
      </c>
      <c r="AN213" s="42">
        <v>315</v>
      </c>
      <c r="AO213" s="154">
        <v>45464</v>
      </c>
      <c r="AP213" s="154"/>
      <c r="AQ213" s="42"/>
      <c r="AR213" s="42"/>
      <c r="AS213" s="42"/>
      <c r="AT213" s="42"/>
      <c r="AU213" s="42"/>
      <c r="AV213" s="42"/>
      <c r="AW213" s="42"/>
      <c r="AX213" s="42"/>
    </row>
    <row r="214" spans="1:50" ht="12.75" customHeight="1">
      <c r="A214" s="42">
        <v>52171949</v>
      </c>
      <c r="B214" s="42" t="s">
        <v>445</v>
      </c>
      <c r="C214" s="42" t="s">
        <v>446</v>
      </c>
      <c r="D214" s="42" t="s">
        <v>447</v>
      </c>
      <c r="E214" s="42" t="s">
        <v>448</v>
      </c>
      <c r="F214" s="154">
        <v>26776</v>
      </c>
      <c r="G214" s="42" t="s">
        <v>449</v>
      </c>
      <c r="H214" s="42">
        <v>4754435</v>
      </c>
      <c r="I214" s="42" t="s">
        <v>450</v>
      </c>
      <c r="J214" s="42"/>
      <c r="K214" s="42"/>
      <c r="L214" s="42"/>
      <c r="M214" s="42" t="s">
        <v>451</v>
      </c>
      <c r="N214" s="42" t="s">
        <v>452</v>
      </c>
      <c r="O214" s="42" t="s">
        <v>453</v>
      </c>
      <c r="P214" s="154">
        <v>44389</v>
      </c>
      <c r="Q214" s="154">
        <v>44389</v>
      </c>
      <c r="R214" s="154"/>
      <c r="S214" s="42">
        <v>2</v>
      </c>
      <c r="T214" s="42" t="s">
        <v>455</v>
      </c>
      <c r="U214" s="42">
        <v>11</v>
      </c>
      <c r="V214" s="42" t="s">
        <v>456</v>
      </c>
      <c r="W214" s="42">
        <v>3</v>
      </c>
      <c r="X214" s="42" t="s">
        <v>457</v>
      </c>
      <c r="Y214" s="42">
        <v>2310300</v>
      </c>
      <c r="Z214" s="42" t="s">
        <v>138</v>
      </c>
      <c r="AA214" s="42">
        <v>219</v>
      </c>
      <c r="AB214" s="42">
        <v>10</v>
      </c>
      <c r="AC214" s="42">
        <v>4938935</v>
      </c>
      <c r="AD214" s="42" t="s">
        <v>72</v>
      </c>
      <c r="AE214" s="42">
        <v>103</v>
      </c>
      <c r="AF214" s="42" t="s">
        <v>458</v>
      </c>
      <c r="AG214" s="42" t="s">
        <v>459</v>
      </c>
      <c r="AH214" s="42" t="s">
        <v>49</v>
      </c>
      <c r="AI214" s="42" t="s">
        <v>460</v>
      </c>
      <c r="AJ214" s="154">
        <v>44389</v>
      </c>
      <c r="AK214" s="42">
        <v>107</v>
      </c>
      <c r="AL214" s="154">
        <v>44381</v>
      </c>
      <c r="AM214" s="154">
        <v>46043</v>
      </c>
      <c r="AN214" s="42">
        <v>16</v>
      </c>
      <c r="AO214" s="154">
        <v>46035</v>
      </c>
      <c r="AP214" s="154"/>
      <c r="AQ214" s="42"/>
      <c r="AR214" s="42"/>
      <c r="AS214" s="42"/>
      <c r="AT214" s="42"/>
      <c r="AU214" s="42"/>
      <c r="AV214" s="42"/>
      <c r="AW214" s="42"/>
      <c r="AX214" s="42"/>
    </row>
    <row r="215" spans="1:50" ht="12.75" customHeight="1">
      <c r="A215" s="42">
        <v>52174173</v>
      </c>
      <c r="B215" s="42" t="s">
        <v>462</v>
      </c>
      <c r="C215" s="42" t="s">
        <v>463</v>
      </c>
      <c r="D215" s="42" t="s">
        <v>464</v>
      </c>
      <c r="E215" s="42" t="s">
        <v>448</v>
      </c>
      <c r="F215" s="154">
        <v>27001</v>
      </c>
      <c r="G215" s="42" t="s">
        <v>465</v>
      </c>
      <c r="H215" s="42">
        <v>3123762564</v>
      </c>
      <c r="I215" s="42" t="s">
        <v>450</v>
      </c>
      <c r="J215" s="42"/>
      <c r="K215" s="42"/>
      <c r="L215" s="42"/>
      <c r="M215" s="42" t="s">
        <v>451</v>
      </c>
      <c r="N215" s="42" t="s">
        <v>452</v>
      </c>
      <c r="O215" s="42" t="s">
        <v>453</v>
      </c>
      <c r="P215" s="154">
        <v>45323</v>
      </c>
      <c r="Q215" s="154">
        <v>41302</v>
      </c>
      <c r="R215" s="154"/>
      <c r="S215" s="42">
        <v>8</v>
      </c>
      <c r="T215" s="42" t="s">
        <v>466</v>
      </c>
      <c r="U215" s="42">
        <v>11</v>
      </c>
      <c r="V215" s="42" t="s">
        <v>456</v>
      </c>
      <c r="W215" s="42">
        <v>3</v>
      </c>
      <c r="X215" s="42" t="s">
        <v>457</v>
      </c>
      <c r="Y215" s="42">
        <v>2311000</v>
      </c>
      <c r="Z215" s="42" t="s">
        <v>467</v>
      </c>
      <c r="AA215" s="42">
        <v>219</v>
      </c>
      <c r="AB215" s="42">
        <v>18</v>
      </c>
      <c r="AC215" s="42">
        <v>5951245</v>
      </c>
      <c r="AD215" s="42" t="s">
        <v>72</v>
      </c>
      <c r="AE215" s="42">
        <v>24</v>
      </c>
      <c r="AF215" s="42" t="s">
        <v>458</v>
      </c>
      <c r="AG215" s="42" t="s">
        <v>459</v>
      </c>
      <c r="AH215" s="42" t="s">
        <v>49</v>
      </c>
      <c r="AI215" s="42" t="s">
        <v>460</v>
      </c>
      <c r="AJ215" s="154">
        <v>45323</v>
      </c>
      <c r="AK215" s="42">
        <v>665</v>
      </c>
      <c r="AL215" s="154">
        <v>45286</v>
      </c>
      <c r="AM215" s="154"/>
      <c r="AN215" s="42"/>
      <c r="AO215" s="154"/>
      <c r="AP215" s="154"/>
      <c r="AQ215" s="42"/>
      <c r="AR215" s="42"/>
      <c r="AS215" s="42"/>
      <c r="AT215" s="42"/>
      <c r="AU215" s="42"/>
      <c r="AV215" s="42"/>
      <c r="AW215" s="42"/>
      <c r="AX215" s="42"/>
    </row>
    <row r="216" spans="1:50" ht="12.75" customHeight="1">
      <c r="A216" s="42">
        <v>52176286</v>
      </c>
      <c r="B216" s="42" t="s">
        <v>468</v>
      </c>
      <c r="C216" s="42" t="s">
        <v>469</v>
      </c>
      <c r="D216" s="42" t="s">
        <v>470</v>
      </c>
      <c r="E216" s="42" t="s">
        <v>448</v>
      </c>
      <c r="F216" s="154">
        <v>26961</v>
      </c>
      <c r="G216" s="42" t="s">
        <v>471</v>
      </c>
      <c r="H216" s="42">
        <v>3209628555</v>
      </c>
      <c r="I216" s="42" t="s">
        <v>450</v>
      </c>
      <c r="J216" s="42"/>
      <c r="K216" s="42"/>
      <c r="L216" s="42"/>
      <c r="M216" s="42" t="s">
        <v>451</v>
      </c>
      <c r="N216" s="42" t="s">
        <v>452</v>
      </c>
      <c r="O216" s="42" t="s">
        <v>453</v>
      </c>
      <c r="P216" s="154">
        <v>45848</v>
      </c>
      <c r="Q216" s="154">
        <v>45848</v>
      </c>
      <c r="R216" s="154"/>
      <c r="S216" s="42">
        <v>18</v>
      </c>
      <c r="T216" s="42" t="s">
        <v>472</v>
      </c>
      <c r="U216" s="42">
        <v>11</v>
      </c>
      <c r="V216" s="42" t="s">
        <v>456</v>
      </c>
      <c r="W216" s="42">
        <v>23</v>
      </c>
      <c r="X216" s="42" t="s">
        <v>473</v>
      </c>
      <c r="Y216" s="42">
        <v>2311000</v>
      </c>
      <c r="Z216" s="42" t="s">
        <v>467</v>
      </c>
      <c r="AA216" s="42">
        <v>407</v>
      </c>
      <c r="AB216" s="42">
        <v>16</v>
      </c>
      <c r="AC216" s="42">
        <v>3338526</v>
      </c>
      <c r="AD216" s="42" t="s">
        <v>146</v>
      </c>
      <c r="AE216" s="42">
        <v>145</v>
      </c>
      <c r="AF216" s="42" t="s">
        <v>458</v>
      </c>
      <c r="AG216" s="42" t="s">
        <v>459</v>
      </c>
      <c r="AH216" s="42" t="s">
        <v>188</v>
      </c>
      <c r="AI216" s="42" t="s">
        <v>460</v>
      </c>
      <c r="AJ216" s="154">
        <v>45848</v>
      </c>
      <c r="AK216" s="42">
        <v>255</v>
      </c>
      <c r="AL216" s="154">
        <v>45847</v>
      </c>
      <c r="AM216" s="154"/>
      <c r="AN216" s="42"/>
      <c r="AO216" s="154"/>
      <c r="AP216" s="154"/>
      <c r="AQ216" s="42"/>
      <c r="AR216" s="42"/>
      <c r="AS216" s="42"/>
      <c r="AT216" s="42"/>
      <c r="AU216" s="42"/>
      <c r="AV216" s="42"/>
      <c r="AW216" s="42"/>
      <c r="AX216" s="42"/>
    </row>
    <row r="217" spans="1:50" ht="12.75" customHeight="1">
      <c r="A217" s="42">
        <v>52176512</v>
      </c>
      <c r="B217" s="42" t="s">
        <v>474</v>
      </c>
      <c r="C217" s="42" t="s">
        <v>475</v>
      </c>
      <c r="D217" s="42" t="s">
        <v>464</v>
      </c>
      <c r="E217" s="42" t="s">
        <v>448</v>
      </c>
      <c r="F217" s="154">
        <v>26585</v>
      </c>
      <c r="G217" s="42" t="s">
        <v>476</v>
      </c>
      <c r="H217" s="42">
        <v>3174289939</v>
      </c>
      <c r="I217" s="42" t="s">
        <v>450</v>
      </c>
      <c r="J217" s="42"/>
      <c r="K217" s="42"/>
      <c r="L217" s="42"/>
      <c r="M217" s="42" t="s">
        <v>451</v>
      </c>
      <c r="N217" s="42" t="s">
        <v>452</v>
      </c>
      <c r="O217" s="42" t="s">
        <v>453</v>
      </c>
      <c r="P217" s="154">
        <v>44144</v>
      </c>
      <c r="Q217" s="154">
        <v>44144</v>
      </c>
      <c r="R217" s="154">
        <v>41487</v>
      </c>
      <c r="S217" s="42">
        <v>8</v>
      </c>
      <c r="T217" s="42" t="s">
        <v>466</v>
      </c>
      <c r="U217" s="42">
        <v>11</v>
      </c>
      <c r="V217" s="42" t="s">
        <v>456</v>
      </c>
      <c r="W217" s="42">
        <v>3</v>
      </c>
      <c r="X217" s="42" t="s">
        <v>457</v>
      </c>
      <c r="Y217" s="42">
        <v>2310470</v>
      </c>
      <c r="Z217" s="42" t="s">
        <v>477</v>
      </c>
      <c r="AA217" s="42">
        <v>222</v>
      </c>
      <c r="AB217" s="42">
        <v>21</v>
      </c>
      <c r="AC217" s="42">
        <v>6566429</v>
      </c>
      <c r="AD217" s="42" t="s">
        <v>51</v>
      </c>
      <c r="AE217" s="42">
        <v>66</v>
      </c>
      <c r="AF217" s="42" t="s">
        <v>458</v>
      </c>
      <c r="AG217" s="42" t="s">
        <v>459</v>
      </c>
      <c r="AH217" s="42" t="s">
        <v>49</v>
      </c>
      <c r="AI217" s="42" t="s">
        <v>460</v>
      </c>
      <c r="AJ217" s="154">
        <v>44144</v>
      </c>
      <c r="AK217" s="42">
        <v>189</v>
      </c>
      <c r="AL217" s="154">
        <v>44124</v>
      </c>
      <c r="AM217" s="154">
        <v>45671</v>
      </c>
      <c r="AN217" s="42">
        <v>586</v>
      </c>
      <c r="AO217" s="154">
        <v>45653</v>
      </c>
      <c r="AP217" s="154"/>
      <c r="AQ217" s="42"/>
      <c r="AR217" s="42"/>
      <c r="AS217" s="42"/>
      <c r="AT217" s="42"/>
      <c r="AU217" s="42"/>
      <c r="AV217" s="42"/>
      <c r="AW217" s="42"/>
      <c r="AX217" s="42"/>
    </row>
    <row r="218" spans="1:50" ht="12.75" customHeight="1">
      <c r="A218" s="42">
        <v>52233911</v>
      </c>
      <c r="B218" s="42" t="s">
        <v>478</v>
      </c>
      <c r="C218" s="42" t="s">
        <v>479</v>
      </c>
      <c r="D218" s="42" t="s">
        <v>480</v>
      </c>
      <c r="E218" s="42" t="s">
        <v>481</v>
      </c>
      <c r="F218" s="154">
        <v>28692</v>
      </c>
      <c r="G218" s="42" t="s">
        <v>482</v>
      </c>
      <c r="H218" s="42">
        <v>7169938</v>
      </c>
      <c r="I218" s="42" t="s">
        <v>450</v>
      </c>
      <c r="J218" s="42"/>
      <c r="K218" s="42"/>
      <c r="L218" s="42"/>
      <c r="M218" s="42" t="s">
        <v>451</v>
      </c>
      <c r="N218" s="42" t="s">
        <v>452</v>
      </c>
      <c r="O218" s="42" t="s">
        <v>453</v>
      </c>
      <c r="P218" s="154">
        <v>42585</v>
      </c>
      <c r="Q218" s="154">
        <v>35900</v>
      </c>
      <c r="R218" s="154"/>
      <c r="S218" s="42">
        <v>8</v>
      </c>
      <c r="T218" s="42" t="s">
        <v>466</v>
      </c>
      <c r="U218" s="42">
        <v>11</v>
      </c>
      <c r="V218" s="42" t="s">
        <v>456</v>
      </c>
      <c r="W218" s="42">
        <v>23</v>
      </c>
      <c r="X218" s="42" t="s">
        <v>473</v>
      </c>
      <c r="Y218" s="42">
        <v>2300100</v>
      </c>
      <c r="Z218" s="42" t="s">
        <v>483</v>
      </c>
      <c r="AA218" s="42">
        <v>105</v>
      </c>
      <c r="AB218" s="42">
        <v>5</v>
      </c>
      <c r="AC218" s="42">
        <v>9154873</v>
      </c>
      <c r="AD218" s="42" t="s">
        <v>26</v>
      </c>
      <c r="AE218" s="42">
        <v>15</v>
      </c>
      <c r="AF218" s="42" t="s">
        <v>458</v>
      </c>
      <c r="AG218" s="42" t="s">
        <v>459</v>
      </c>
      <c r="AH218" s="42" t="s">
        <v>484</v>
      </c>
      <c r="AI218" s="42" t="s">
        <v>460</v>
      </c>
      <c r="AJ218" s="154">
        <v>42585</v>
      </c>
      <c r="AK218" s="42">
        <v>8</v>
      </c>
      <c r="AL218" s="154">
        <v>42585</v>
      </c>
      <c r="AM218" s="154"/>
      <c r="AN218" s="42"/>
      <c r="AO218" s="154"/>
      <c r="AP218" s="154">
        <v>44815</v>
      </c>
      <c r="AQ218" s="42"/>
      <c r="AR218" s="42"/>
      <c r="AS218" s="42"/>
      <c r="AT218" s="42"/>
      <c r="AU218" s="42"/>
      <c r="AV218" s="42"/>
      <c r="AW218" s="42"/>
      <c r="AX218" s="42"/>
    </row>
    <row r="219" spans="1:50" ht="12.75" customHeight="1">
      <c r="A219" s="42">
        <v>52235989</v>
      </c>
      <c r="B219" s="42" t="s">
        <v>485</v>
      </c>
      <c r="C219" s="42" t="s">
        <v>486</v>
      </c>
      <c r="D219" s="42" t="s">
        <v>487</v>
      </c>
      <c r="E219" s="42" t="s">
        <v>448</v>
      </c>
      <c r="F219" s="154">
        <v>29060</v>
      </c>
      <c r="G219" s="42" t="s">
        <v>488</v>
      </c>
      <c r="H219" s="42">
        <v>9302033</v>
      </c>
      <c r="I219" s="42" t="s">
        <v>450</v>
      </c>
      <c r="J219" s="42"/>
      <c r="K219" s="42"/>
      <c r="L219" s="42"/>
      <c r="M219" s="42"/>
      <c r="N219" s="42"/>
      <c r="O219" s="42" t="s">
        <v>453</v>
      </c>
      <c r="P219" s="154">
        <v>42585</v>
      </c>
      <c r="Q219" s="154">
        <v>38446</v>
      </c>
      <c r="R219" s="154"/>
      <c r="S219" s="42">
        <v>8</v>
      </c>
      <c r="T219" s="42" t="s">
        <v>466</v>
      </c>
      <c r="U219" s="42">
        <v>11</v>
      </c>
      <c r="V219" s="42" t="s">
        <v>456</v>
      </c>
      <c r="W219" s="42">
        <v>3</v>
      </c>
      <c r="X219" s="42" t="s">
        <v>457</v>
      </c>
      <c r="Y219" s="42">
        <v>2311000</v>
      </c>
      <c r="Z219" s="42" t="s">
        <v>467</v>
      </c>
      <c r="AA219" s="42">
        <v>407</v>
      </c>
      <c r="AB219" s="42">
        <v>27</v>
      </c>
      <c r="AC219" s="42">
        <v>4316673</v>
      </c>
      <c r="AD219" s="42" t="s">
        <v>146</v>
      </c>
      <c r="AE219" s="42">
        <v>137</v>
      </c>
      <c r="AF219" s="42" t="s">
        <v>458</v>
      </c>
      <c r="AG219" s="42" t="s">
        <v>459</v>
      </c>
      <c r="AH219" s="42" t="s">
        <v>49</v>
      </c>
      <c r="AI219" s="42" t="s">
        <v>460</v>
      </c>
      <c r="AJ219" s="154">
        <v>44144</v>
      </c>
      <c r="AK219" s="42">
        <v>149</v>
      </c>
      <c r="AL219" s="154">
        <v>44118</v>
      </c>
      <c r="AM219" s="154">
        <v>45679</v>
      </c>
      <c r="AN219" s="42">
        <v>591</v>
      </c>
      <c r="AO219" s="154">
        <v>45656</v>
      </c>
      <c r="AP219" s="154"/>
      <c r="AQ219" s="42"/>
      <c r="AR219" s="42"/>
      <c r="AS219" s="42"/>
      <c r="AT219" s="42"/>
      <c r="AU219" s="42"/>
      <c r="AV219" s="42"/>
      <c r="AW219" s="42"/>
      <c r="AX219" s="42"/>
    </row>
    <row r="220" spans="1:50" ht="12.75" customHeight="1">
      <c r="A220" s="42">
        <v>52236487</v>
      </c>
      <c r="B220" s="42" t="s">
        <v>463</v>
      </c>
      <c r="C220" s="42" t="s">
        <v>491</v>
      </c>
      <c r="D220" s="42" t="s">
        <v>492</v>
      </c>
      <c r="E220" s="42" t="s">
        <v>448</v>
      </c>
      <c r="F220" s="154">
        <v>28591</v>
      </c>
      <c r="G220" s="42" t="s">
        <v>493</v>
      </c>
      <c r="H220" s="42">
        <v>3450565</v>
      </c>
      <c r="I220" s="42" t="s">
        <v>450</v>
      </c>
      <c r="J220" s="42"/>
      <c r="K220" s="42"/>
      <c r="L220" s="42"/>
      <c r="M220" s="42" t="s">
        <v>451</v>
      </c>
      <c r="N220" s="42" t="s">
        <v>452</v>
      </c>
      <c r="O220" s="42" t="s">
        <v>453</v>
      </c>
      <c r="P220" s="154">
        <v>42585</v>
      </c>
      <c r="Q220" s="154">
        <v>38093</v>
      </c>
      <c r="R220" s="154"/>
      <c r="S220" s="42">
        <v>8</v>
      </c>
      <c r="T220" s="42" t="s">
        <v>466</v>
      </c>
      <c r="U220" s="42">
        <v>11</v>
      </c>
      <c r="V220" s="42" t="s">
        <v>456</v>
      </c>
      <c r="W220" s="42">
        <v>3</v>
      </c>
      <c r="X220" s="42" t="s">
        <v>457</v>
      </c>
      <c r="Y220" s="42">
        <v>2310430</v>
      </c>
      <c r="Z220" s="42" t="s">
        <v>494</v>
      </c>
      <c r="AA220" s="42">
        <v>222</v>
      </c>
      <c r="AB220" s="42">
        <v>27</v>
      </c>
      <c r="AC220" s="42">
        <v>7358647</v>
      </c>
      <c r="AD220" s="42" t="s">
        <v>51</v>
      </c>
      <c r="AE220" s="42">
        <v>28</v>
      </c>
      <c r="AF220" s="42" t="s">
        <v>458</v>
      </c>
      <c r="AG220" s="42" t="s">
        <v>459</v>
      </c>
      <c r="AH220" s="42" t="s">
        <v>49</v>
      </c>
      <c r="AI220" s="42" t="s">
        <v>460</v>
      </c>
      <c r="AJ220" s="154">
        <v>42585</v>
      </c>
      <c r="AK220" s="42">
        <v>2</v>
      </c>
      <c r="AL220" s="154">
        <v>42585</v>
      </c>
      <c r="AM220" s="154">
        <v>45369</v>
      </c>
      <c r="AN220" s="42">
        <v>155</v>
      </c>
      <c r="AO220" s="154">
        <v>45365</v>
      </c>
      <c r="AP220" s="154"/>
      <c r="AQ220" s="42"/>
      <c r="AR220" s="42"/>
      <c r="AS220" s="42"/>
      <c r="AT220" s="42"/>
      <c r="AU220" s="42"/>
      <c r="AV220" s="42"/>
      <c r="AW220" s="42"/>
      <c r="AX220" s="42"/>
    </row>
    <row r="221" spans="1:50" ht="12.75" customHeight="1">
      <c r="A221" s="42">
        <v>52252063</v>
      </c>
      <c r="B221" s="42" t="s">
        <v>495</v>
      </c>
      <c r="C221" s="42" t="s">
        <v>496</v>
      </c>
      <c r="D221" s="42" t="s">
        <v>497</v>
      </c>
      <c r="E221" s="42" t="s">
        <v>481</v>
      </c>
      <c r="F221" s="154">
        <v>27133</v>
      </c>
      <c r="G221" s="42" t="s">
        <v>498</v>
      </c>
      <c r="H221" s="42">
        <v>3208493</v>
      </c>
      <c r="I221" s="42" t="s">
        <v>450</v>
      </c>
      <c r="J221" s="42"/>
      <c r="K221" s="42"/>
      <c r="L221" s="42"/>
      <c r="M221" s="42" t="s">
        <v>448</v>
      </c>
      <c r="N221" s="42" t="s">
        <v>452</v>
      </c>
      <c r="O221" s="42" t="s">
        <v>453</v>
      </c>
      <c r="P221" s="154">
        <v>44265</v>
      </c>
      <c r="Q221" s="154">
        <v>44265</v>
      </c>
      <c r="R221" s="154"/>
      <c r="S221" s="42">
        <v>5</v>
      </c>
      <c r="T221" s="42" t="s">
        <v>499</v>
      </c>
      <c r="U221" s="42">
        <v>11</v>
      </c>
      <c r="V221" s="42" t="s">
        <v>456</v>
      </c>
      <c r="W221" s="42">
        <v>23</v>
      </c>
      <c r="X221" s="42" t="s">
        <v>473</v>
      </c>
      <c r="Y221" s="42">
        <v>12</v>
      </c>
      <c r="Z221" s="42" t="s">
        <v>500</v>
      </c>
      <c r="AA221" s="42">
        <v>105</v>
      </c>
      <c r="AB221" s="42">
        <v>5</v>
      </c>
      <c r="AC221" s="42">
        <v>9154873</v>
      </c>
      <c r="AD221" s="42" t="s">
        <v>26</v>
      </c>
      <c r="AE221" s="42">
        <v>12</v>
      </c>
      <c r="AF221" s="42" t="s">
        <v>458</v>
      </c>
      <c r="AG221" s="42" t="s">
        <v>459</v>
      </c>
      <c r="AH221" s="42" t="s">
        <v>484</v>
      </c>
      <c r="AI221" s="42" t="s">
        <v>460</v>
      </c>
      <c r="AJ221" s="154">
        <v>44265</v>
      </c>
      <c r="AK221" s="42">
        <v>28</v>
      </c>
      <c r="AL221" s="154">
        <v>44265</v>
      </c>
      <c r="AM221" s="154"/>
      <c r="AN221" s="42"/>
      <c r="AO221" s="154"/>
      <c r="AP221" s="154">
        <v>44837</v>
      </c>
      <c r="AQ221" s="42"/>
      <c r="AR221" s="42"/>
      <c r="AS221" s="42"/>
      <c r="AT221" s="42"/>
      <c r="AU221" s="42"/>
      <c r="AV221" s="42"/>
      <c r="AW221" s="42"/>
      <c r="AX221" s="42"/>
    </row>
    <row r="222" spans="1:50" ht="12.75" customHeight="1">
      <c r="A222" s="42">
        <v>52258032</v>
      </c>
      <c r="B222" s="42" t="s">
        <v>502</v>
      </c>
      <c r="C222" s="42" t="s">
        <v>503</v>
      </c>
      <c r="D222" s="42" t="s">
        <v>504</v>
      </c>
      <c r="E222" s="42" t="s">
        <v>448</v>
      </c>
      <c r="F222" s="154">
        <v>27707</v>
      </c>
      <c r="G222" s="42" t="s">
        <v>505</v>
      </c>
      <c r="H222" s="42">
        <v>8912024</v>
      </c>
      <c r="I222" s="42" t="s">
        <v>450</v>
      </c>
      <c r="J222" s="42"/>
      <c r="K222" s="42"/>
      <c r="L222" s="42"/>
      <c r="M222" s="42" t="s">
        <v>451</v>
      </c>
      <c r="N222" s="42" t="s">
        <v>5</v>
      </c>
      <c r="O222" s="42" t="s">
        <v>453</v>
      </c>
      <c r="P222" s="154">
        <v>44298</v>
      </c>
      <c r="Q222" s="154">
        <v>44298</v>
      </c>
      <c r="R222" s="154"/>
      <c r="S222" s="42">
        <v>8</v>
      </c>
      <c r="T222" s="42" t="s">
        <v>466</v>
      </c>
      <c r="U222" s="42">
        <v>11</v>
      </c>
      <c r="V222" s="42" t="s">
        <v>456</v>
      </c>
      <c r="W222" s="42">
        <v>3</v>
      </c>
      <c r="X222" s="42" t="s">
        <v>457</v>
      </c>
      <c r="Y222" s="42">
        <v>2310460</v>
      </c>
      <c r="Z222" s="42" t="s">
        <v>506</v>
      </c>
      <c r="AA222" s="42">
        <v>222</v>
      </c>
      <c r="AB222" s="42">
        <v>19</v>
      </c>
      <c r="AC222" s="42">
        <v>6258912</v>
      </c>
      <c r="AD222" s="42" t="s">
        <v>51</v>
      </c>
      <c r="AE222" s="42">
        <v>71</v>
      </c>
      <c r="AF222" s="42" t="s">
        <v>458</v>
      </c>
      <c r="AG222" s="42" t="s">
        <v>459</v>
      </c>
      <c r="AH222" s="42" t="s">
        <v>49</v>
      </c>
      <c r="AI222" s="42" t="s">
        <v>460</v>
      </c>
      <c r="AJ222" s="154">
        <v>44298</v>
      </c>
      <c r="AK222" s="42">
        <v>41</v>
      </c>
      <c r="AL222" s="154">
        <v>44279</v>
      </c>
      <c r="AM222" s="154">
        <v>45520</v>
      </c>
      <c r="AN222" s="42">
        <v>388</v>
      </c>
      <c r="AO222" s="154">
        <v>45518</v>
      </c>
      <c r="AP222" s="154"/>
      <c r="AQ222" s="42"/>
      <c r="AR222" s="42"/>
      <c r="AS222" s="42"/>
      <c r="AT222" s="42"/>
      <c r="AU222" s="42"/>
      <c r="AV222" s="42"/>
      <c r="AW222" s="42"/>
      <c r="AX222" s="42"/>
    </row>
    <row r="223" spans="1:50" ht="12.75" customHeight="1">
      <c r="A223" s="42">
        <v>52263270</v>
      </c>
      <c r="B223" s="42" t="s">
        <v>507</v>
      </c>
      <c r="C223" s="42" t="s">
        <v>508</v>
      </c>
      <c r="D223" s="42" t="s">
        <v>509</v>
      </c>
      <c r="E223" s="42" t="s">
        <v>481</v>
      </c>
      <c r="F223" s="154">
        <v>27906</v>
      </c>
      <c r="G223" s="42" t="s">
        <v>510</v>
      </c>
      <c r="H223" s="42">
        <v>3164727134</v>
      </c>
      <c r="I223" s="42" t="s">
        <v>450</v>
      </c>
      <c r="J223" s="42"/>
      <c r="K223" s="42"/>
      <c r="L223" s="42"/>
      <c r="M223" s="42" t="s">
        <v>451</v>
      </c>
      <c r="N223" s="42" t="s">
        <v>452</v>
      </c>
      <c r="O223" s="42" t="s">
        <v>453</v>
      </c>
      <c r="P223" s="154">
        <v>45020</v>
      </c>
      <c r="Q223" s="154">
        <v>45020</v>
      </c>
      <c r="R223" s="154"/>
      <c r="S223" s="42">
        <v>6</v>
      </c>
      <c r="T223" s="42" t="s">
        <v>511</v>
      </c>
      <c r="U223" s="42">
        <v>11</v>
      </c>
      <c r="V223" s="42" t="s">
        <v>456</v>
      </c>
      <c r="W223" s="42">
        <v>3</v>
      </c>
      <c r="X223" s="42" t="s">
        <v>457</v>
      </c>
      <c r="Y223" s="42">
        <v>2311000</v>
      </c>
      <c r="Z223" s="42" t="s">
        <v>467</v>
      </c>
      <c r="AA223" s="42">
        <v>9</v>
      </c>
      <c r="AB223" s="42">
        <v>7</v>
      </c>
      <c r="AC223" s="42">
        <v>11186814</v>
      </c>
      <c r="AD223" s="42" t="s">
        <v>512</v>
      </c>
      <c r="AE223" s="42">
        <v>8</v>
      </c>
      <c r="AF223" s="42" t="s">
        <v>458</v>
      </c>
      <c r="AG223" s="42" t="s">
        <v>459</v>
      </c>
      <c r="AH223" s="42" t="s">
        <v>484</v>
      </c>
      <c r="AI223" s="42" t="s">
        <v>460</v>
      </c>
      <c r="AJ223" s="154">
        <v>45020</v>
      </c>
      <c r="AK223" s="42">
        <v>207</v>
      </c>
      <c r="AL223" s="154">
        <v>45016</v>
      </c>
      <c r="AM223" s="154"/>
      <c r="AN223" s="42"/>
      <c r="AO223" s="154"/>
      <c r="AP223" s="154">
        <v>45337</v>
      </c>
      <c r="AQ223" s="42"/>
      <c r="AR223" s="42"/>
      <c r="AS223" s="42"/>
      <c r="AT223" s="42"/>
      <c r="AU223" s="42"/>
      <c r="AV223" s="42"/>
      <c r="AW223" s="42"/>
      <c r="AX223" s="42"/>
    </row>
    <row r="224" spans="1:50" ht="12.75" customHeight="1">
      <c r="A224" s="42">
        <v>52277284</v>
      </c>
      <c r="B224" s="42" t="s">
        <v>513</v>
      </c>
      <c r="C224" s="42" t="s">
        <v>514</v>
      </c>
      <c r="D224" s="42" t="s">
        <v>515</v>
      </c>
      <c r="E224" s="42" t="s">
        <v>448</v>
      </c>
      <c r="F224" s="154">
        <v>27771</v>
      </c>
      <c r="G224" s="42" t="s">
        <v>516</v>
      </c>
      <c r="H224" s="42">
        <v>8487103</v>
      </c>
      <c r="I224" s="42" t="s">
        <v>450</v>
      </c>
      <c r="J224" s="42"/>
      <c r="K224" s="42"/>
      <c r="L224" s="42"/>
      <c r="M224" s="42" t="s">
        <v>451</v>
      </c>
      <c r="N224" s="42" t="s">
        <v>452</v>
      </c>
      <c r="O224" s="42" t="s">
        <v>453</v>
      </c>
      <c r="P224" s="154">
        <v>44200</v>
      </c>
      <c r="Q224" s="154">
        <v>44200</v>
      </c>
      <c r="R224" s="42"/>
      <c r="S224" s="42">
        <v>5</v>
      </c>
      <c r="T224" s="42" t="s">
        <v>499</v>
      </c>
      <c r="U224" s="42">
        <v>11</v>
      </c>
      <c r="V224" s="42" t="s">
        <v>456</v>
      </c>
      <c r="W224" s="42">
        <v>3</v>
      </c>
      <c r="X224" s="42" t="s">
        <v>457</v>
      </c>
      <c r="Y224" s="42">
        <v>2311000</v>
      </c>
      <c r="Z224" s="42" t="s">
        <v>467</v>
      </c>
      <c r="AA224" s="42">
        <v>314</v>
      </c>
      <c r="AB224" s="42">
        <v>20</v>
      </c>
      <c r="AC224" s="42">
        <v>4789274</v>
      </c>
      <c r="AD224" s="42" t="s">
        <v>517</v>
      </c>
      <c r="AE224" s="42">
        <v>119</v>
      </c>
      <c r="AF224" s="42" t="s">
        <v>458</v>
      </c>
      <c r="AG224" s="42" t="s">
        <v>459</v>
      </c>
      <c r="AH224" s="42" t="s">
        <v>49</v>
      </c>
      <c r="AI224" s="42" t="s">
        <v>460</v>
      </c>
      <c r="AJ224" s="154">
        <v>44200</v>
      </c>
      <c r="AK224" s="42">
        <v>179</v>
      </c>
      <c r="AL224" s="154">
        <v>44124</v>
      </c>
      <c r="AM224" s="154">
        <v>45029</v>
      </c>
      <c r="AN224" s="42">
        <v>208</v>
      </c>
      <c r="AO224" s="154">
        <v>45016</v>
      </c>
      <c r="AP224" s="154"/>
      <c r="AQ224" s="42"/>
      <c r="AR224" s="42"/>
      <c r="AS224" s="42"/>
      <c r="AT224" s="42"/>
      <c r="AU224" s="42"/>
      <c r="AV224" s="42"/>
      <c r="AW224" s="42"/>
      <c r="AX224" s="42"/>
    </row>
    <row r="225" spans="1:50" ht="12.75" customHeight="1">
      <c r="A225" s="42">
        <v>52281297</v>
      </c>
      <c r="B225" s="42" t="s">
        <v>518</v>
      </c>
      <c r="C225" s="42" t="s">
        <v>519</v>
      </c>
      <c r="D225" s="42" t="s">
        <v>520</v>
      </c>
      <c r="E225" s="42" t="s">
        <v>448</v>
      </c>
      <c r="F225" s="154">
        <v>28126</v>
      </c>
      <c r="G225" s="42" t="s">
        <v>521</v>
      </c>
      <c r="H225" s="42">
        <v>3717844</v>
      </c>
      <c r="I225" s="42" t="s">
        <v>450</v>
      </c>
      <c r="J225" s="42"/>
      <c r="K225" s="42"/>
      <c r="L225" s="42"/>
      <c r="M225" s="42" t="s">
        <v>448</v>
      </c>
      <c r="N225" s="42" t="s">
        <v>452</v>
      </c>
      <c r="O225" s="42" t="s">
        <v>453</v>
      </c>
      <c r="P225" s="154">
        <v>44138</v>
      </c>
      <c r="Q225" s="154">
        <v>44138</v>
      </c>
      <c r="R225" s="154"/>
      <c r="S225" s="42">
        <v>8</v>
      </c>
      <c r="T225" s="42" t="s">
        <v>466</v>
      </c>
      <c r="U225" s="42">
        <v>11</v>
      </c>
      <c r="V225" s="42" t="s">
        <v>456</v>
      </c>
      <c r="W225" s="42">
        <v>3</v>
      </c>
      <c r="X225" s="42" t="s">
        <v>457</v>
      </c>
      <c r="Y225" s="42">
        <v>2310470</v>
      </c>
      <c r="Z225" s="42" t="s">
        <v>477</v>
      </c>
      <c r="AA225" s="42">
        <v>314</v>
      </c>
      <c r="AB225" s="42">
        <v>20</v>
      </c>
      <c r="AC225" s="42">
        <v>4789274</v>
      </c>
      <c r="AD225" s="42" t="s">
        <v>517</v>
      </c>
      <c r="AE225" s="42">
        <v>126</v>
      </c>
      <c r="AF225" s="42" t="s">
        <v>458</v>
      </c>
      <c r="AG225" s="42" t="s">
        <v>459</v>
      </c>
      <c r="AH225" s="42" t="s">
        <v>49</v>
      </c>
      <c r="AI225" s="42" t="s">
        <v>460</v>
      </c>
      <c r="AJ225" s="154">
        <v>44138</v>
      </c>
      <c r="AK225" s="42">
        <v>157</v>
      </c>
      <c r="AL225" s="154">
        <v>44118</v>
      </c>
      <c r="AM225" s="154">
        <v>45231</v>
      </c>
      <c r="AN225" s="42">
        <v>566</v>
      </c>
      <c r="AO225" s="154">
        <v>45226</v>
      </c>
      <c r="AP225" s="154"/>
      <c r="AQ225" s="42"/>
      <c r="AR225" s="42"/>
      <c r="AS225" s="42"/>
      <c r="AT225" s="42"/>
      <c r="AU225" s="42"/>
      <c r="AV225" s="42"/>
      <c r="AW225" s="42"/>
      <c r="AX225" s="42"/>
    </row>
    <row r="226" spans="1:50" ht="12.75" customHeight="1">
      <c r="A226" s="42">
        <v>52282454</v>
      </c>
      <c r="B226" s="42" t="s">
        <v>523</v>
      </c>
      <c r="C226" s="42" t="s">
        <v>524</v>
      </c>
      <c r="D226" s="42" t="s">
        <v>525</v>
      </c>
      <c r="E226" s="42" t="s">
        <v>448</v>
      </c>
      <c r="F226" s="154">
        <v>28220</v>
      </c>
      <c r="G226" s="42" t="s">
        <v>526</v>
      </c>
      <c r="H226" s="42">
        <v>7049339</v>
      </c>
      <c r="I226" s="42" t="s">
        <v>450</v>
      </c>
      <c r="J226" s="42"/>
      <c r="K226" s="42"/>
      <c r="L226" s="42"/>
      <c r="M226" s="42" t="s">
        <v>527</v>
      </c>
      <c r="N226" s="42" t="s">
        <v>452</v>
      </c>
      <c r="O226" s="42" t="s">
        <v>453</v>
      </c>
      <c r="P226" s="154">
        <v>44146</v>
      </c>
      <c r="Q226" s="154">
        <v>39190</v>
      </c>
      <c r="R226" s="154"/>
      <c r="S226" s="42">
        <v>26</v>
      </c>
      <c r="T226" s="42" t="s">
        <v>528</v>
      </c>
      <c r="U226" s="42">
        <v>11</v>
      </c>
      <c r="V226" s="42" t="s">
        <v>456</v>
      </c>
      <c r="W226" s="42">
        <v>3</v>
      </c>
      <c r="X226" s="42" t="s">
        <v>457</v>
      </c>
      <c r="Y226" s="42">
        <v>0</v>
      </c>
      <c r="Z226" s="42" t="s">
        <v>500</v>
      </c>
      <c r="AA226" s="42">
        <v>0</v>
      </c>
      <c r="AB226" s="42">
        <v>27</v>
      </c>
      <c r="AC226" s="42"/>
      <c r="AD226" s="42" t="s">
        <v>529</v>
      </c>
      <c r="AE226" s="42">
        <v>18</v>
      </c>
      <c r="AF226" s="42" t="s">
        <v>458</v>
      </c>
      <c r="AG226" s="42" t="s">
        <v>459</v>
      </c>
      <c r="AH226" s="42" t="s">
        <v>49</v>
      </c>
      <c r="AI226" s="42" t="s">
        <v>460</v>
      </c>
      <c r="AJ226" s="154">
        <v>44146</v>
      </c>
      <c r="AK226" s="42">
        <v>166</v>
      </c>
      <c r="AL226" s="154">
        <v>44124</v>
      </c>
      <c r="AM226" s="154"/>
      <c r="AN226" s="42"/>
      <c r="AO226" s="154"/>
      <c r="AP226" s="154"/>
      <c r="AQ226" s="42"/>
      <c r="AR226" s="42"/>
      <c r="AS226" s="42"/>
      <c r="AT226" s="42"/>
      <c r="AU226" s="42"/>
      <c r="AV226" s="42"/>
      <c r="AW226" s="42"/>
      <c r="AX226" s="42"/>
    </row>
    <row r="227" spans="1:50" ht="12.75" customHeight="1">
      <c r="A227" s="42">
        <v>52293597</v>
      </c>
      <c r="B227" s="42" t="s">
        <v>533</v>
      </c>
      <c r="C227" s="42" t="s">
        <v>468</v>
      </c>
      <c r="D227" s="42" t="s">
        <v>534</v>
      </c>
      <c r="E227" s="42" t="s">
        <v>481</v>
      </c>
      <c r="F227" s="154">
        <v>27629</v>
      </c>
      <c r="G227" s="42" t="s">
        <v>535</v>
      </c>
      <c r="H227" s="42">
        <v>4773602</v>
      </c>
      <c r="I227" s="42" t="s">
        <v>450</v>
      </c>
      <c r="J227" s="42"/>
      <c r="K227" s="42"/>
      <c r="L227" s="42"/>
      <c r="M227" s="42" t="s">
        <v>451</v>
      </c>
      <c r="N227" s="42" t="s">
        <v>452</v>
      </c>
      <c r="O227" s="42" t="s">
        <v>453</v>
      </c>
      <c r="P227" s="154">
        <v>43894</v>
      </c>
      <c r="Q227" s="154">
        <v>43894</v>
      </c>
      <c r="R227" s="154"/>
      <c r="S227" s="42">
        <v>8</v>
      </c>
      <c r="T227" s="42" t="s">
        <v>466</v>
      </c>
      <c r="U227" s="42">
        <v>11</v>
      </c>
      <c r="V227" s="42" t="s">
        <v>456</v>
      </c>
      <c r="W227" s="42">
        <v>18</v>
      </c>
      <c r="X227" s="42" t="s">
        <v>536</v>
      </c>
      <c r="Y227" s="42">
        <v>2311000</v>
      </c>
      <c r="Z227" s="42" t="s">
        <v>467</v>
      </c>
      <c r="AA227" s="42">
        <v>314</v>
      </c>
      <c r="AB227" s="42">
        <v>20</v>
      </c>
      <c r="AC227" s="42">
        <v>4789274</v>
      </c>
      <c r="AD227" s="42" t="s">
        <v>517</v>
      </c>
      <c r="AE227" s="42">
        <v>119</v>
      </c>
      <c r="AF227" s="42" t="s">
        <v>458</v>
      </c>
      <c r="AG227" s="42" t="s">
        <v>459</v>
      </c>
      <c r="AH227" s="42" t="s">
        <v>188</v>
      </c>
      <c r="AI227" s="42" t="s">
        <v>460</v>
      </c>
      <c r="AJ227" s="154">
        <v>43894</v>
      </c>
      <c r="AK227" s="42">
        <v>39</v>
      </c>
      <c r="AL227" s="154">
        <v>43892</v>
      </c>
      <c r="AM227" s="154"/>
      <c r="AN227" s="42"/>
      <c r="AO227" s="154"/>
      <c r="AP227" s="154">
        <v>44199</v>
      </c>
      <c r="AQ227" s="42"/>
      <c r="AR227" s="42"/>
      <c r="AS227" s="42"/>
      <c r="AT227" s="42"/>
      <c r="AU227" s="42"/>
      <c r="AV227" s="42"/>
      <c r="AW227" s="42"/>
      <c r="AX227" s="42"/>
    </row>
    <row r="228" spans="1:50" ht="12.75" customHeight="1">
      <c r="A228" s="42">
        <v>52337438</v>
      </c>
      <c r="B228" s="42" t="s">
        <v>537</v>
      </c>
      <c r="C228" s="42" t="s">
        <v>538</v>
      </c>
      <c r="D228" s="42" t="s">
        <v>539</v>
      </c>
      <c r="E228" s="42" t="s">
        <v>448</v>
      </c>
      <c r="F228" s="154">
        <v>28202</v>
      </c>
      <c r="G228" s="42" t="s">
        <v>540</v>
      </c>
      <c r="H228" s="42">
        <v>3114413574</v>
      </c>
      <c r="I228" s="42" t="s">
        <v>450</v>
      </c>
      <c r="J228" s="42"/>
      <c r="K228" s="42"/>
      <c r="L228" s="42"/>
      <c r="M228" s="42" t="s">
        <v>448</v>
      </c>
      <c r="N228" s="42" t="s">
        <v>452</v>
      </c>
      <c r="O228" s="42" t="s">
        <v>453</v>
      </c>
      <c r="P228" s="154">
        <v>44228</v>
      </c>
      <c r="Q228" s="154">
        <v>44228</v>
      </c>
      <c r="R228" s="154"/>
      <c r="S228" s="42">
        <v>8</v>
      </c>
      <c r="T228" s="42" t="s">
        <v>466</v>
      </c>
      <c r="U228" s="42">
        <v>11</v>
      </c>
      <c r="V228" s="42" t="s">
        <v>456</v>
      </c>
      <c r="W228" s="42">
        <v>3</v>
      </c>
      <c r="X228" s="42" t="s">
        <v>457</v>
      </c>
      <c r="Y228" s="42">
        <v>2310100</v>
      </c>
      <c r="Z228" s="42" t="s">
        <v>541</v>
      </c>
      <c r="AA228" s="42">
        <v>222</v>
      </c>
      <c r="AB228" s="42">
        <v>21</v>
      </c>
      <c r="AC228" s="42">
        <v>6566429</v>
      </c>
      <c r="AD228" s="42" t="s">
        <v>51</v>
      </c>
      <c r="AE228" s="42">
        <v>62</v>
      </c>
      <c r="AF228" s="42" t="s">
        <v>458</v>
      </c>
      <c r="AG228" s="42" t="s">
        <v>459</v>
      </c>
      <c r="AH228" s="42" t="s">
        <v>49</v>
      </c>
      <c r="AI228" s="42" t="s">
        <v>460</v>
      </c>
      <c r="AJ228" s="154">
        <v>44228</v>
      </c>
      <c r="AK228" s="42">
        <v>170</v>
      </c>
      <c r="AL228" s="154">
        <v>44124</v>
      </c>
      <c r="AM228" s="154">
        <v>46260</v>
      </c>
      <c r="AN228" s="42">
        <v>349</v>
      </c>
      <c r="AO228" s="154">
        <v>46244</v>
      </c>
      <c r="AP228" s="154"/>
      <c r="AQ228" s="42"/>
      <c r="AR228" s="42"/>
      <c r="AS228" s="42"/>
      <c r="AT228" s="42"/>
      <c r="AU228" s="42"/>
      <c r="AV228" s="42"/>
      <c r="AW228" s="42"/>
      <c r="AX228" s="42"/>
    </row>
    <row r="229" spans="1:50" ht="12.75" customHeight="1">
      <c r="A229" s="42">
        <v>52352995</v>
      </c>
      <c r="B229" s="42" t="s">
        <v>544</v>
      </c>
      <c r="C229" s="42" t="s">
        <v>468</v>
      </c>
      <c r="D229" s="42" t="s">
        <v>545</v>
      </c>
      <c r="E229" s="42" t="s">
        <v>481</v>
      </c>
      <c r="F229" s="154">
        <v>29020</v>
      </c>
      <c r="G229" s="42" t="s">
        <v>546</v>
      </c>
      <c r="H229" s="42">
        <v>4130234</v>
      </c>
      <c r="I229" s="42" t="s">
        <v>450</v>
      </c>
      <c r="J229" s="42"/>
      <c r="K229" s="42"/>
      <c r="L229" s="42"/>
      <c r="M229" s="42" t="s">
        <v>547</v>
      </c>
      <c r="N229" s="42" t="s">
        <v>5</v>
      </c>
      <c r="O229" s="42" t="s">
        <v>453</v>
      </c>
      <c r="P229" s="154">
        <v>42585</v>
      </c>
      <c r="Q229" s="154">
        <v>42051</v>
      </c>
      <c r="R229" s="42"/>
      <c r="S229" s="42">
        <v>8</v>
      </c>
      <c r="T229" s="42" t="s">
        <v>466</v>
      </c>
      <c r="U229" s="42">
        <v>11</v>
      </c>
      <c r="V229" s="42" t="s">
        <v>456</v>
      </c>
      <c r="W229" s="42">
        <v>23</v>
      </c>
      <c r="X229" s="42" t="s">
        <v>473</v>
      </c>
      <c r="Y229" s="42">
        <v>2311300</v>
      </c>
      <c r="Z229" s="42" t="s">
        <v>549</v>
      </c>
      <c r="AA229" s="42">
        <v>222</v>
      </c>
      <c r="AB229" s="42">
        <v>21</v>
      </c>
      <c r="AC229" s="42">
        <v>6566429</v>
      </c>
      <c r="AD229" s="42" t="s">
        <v>51</v>
      </c>
      <c r="AE229" s="42">
        <v>19</v>
      </c>
      <c r="AF229" s="42" t="s">
        <v>458</v>
      </c>
      <c r="AG229" s="42" t="s">
        <v>459</v>
      </c>
      <c r="AH229" s="42" t="s">
        <v>188</v>
      </c>
      <c r="AI229" s="42" t="s">
        <v>460</v>
      </c>
      <c r="AJ229" s="154">
        <v>42585</v>
      </c>
      <c r="AK229" s="42">
        <v>2</v>
      </c>
      <c r="AL229" s="154">
        <v>42585</v>
      </c>
      <c r="AM229" s="154"/>
      <c r="AN229" s="42"/>
      <c r="AO229" s="154"/>
      <c r="AP229" s="154">
        <v>44571</v>
      </c>
      <c r="AQ229" s="42"/>
      <c r="AR229" s="42"/>
      <c r="AS229" s="42"/>
      <c r="AT229" s="42"/>
      <c r="AU229" s="42"/>
      <c r="AV229" s="42"/>
      <c r="AW229" s="42"/>
      <c r="AX229" s="42"/>
    </row>
    <row r="230" spans="1:50" ht="12.75" customHeight="1">
      <c r="A230" s="42">
        <v>52363895</v>
      </c>
      <c r="B230" s="42" t="s">
        <v>554</v>
      </c>
      <c r="C230" s="42" t="s">
        <v>556</v>
      </c>
      <c r="D230" s="42" t="s">
        <v>557</v>
      </c>
      <c r="E230" s="42" t="s">
        <v>448</v>
      </c>
      <c r="F230" s="154">
        <v>27820</v>
      </c>
      <c r="G230" s="42" t="s">
        <v>558</v>
      </c>
      <c r="H230" s="42">
        <v>8012222</v>
      </c>
      <c r="I230" s="42" t="s">
        <v>450</v>
      </c>
      <c r="J230" s="42"/>
      <c r="K230" s="42"/>
      <c r="L230" s="42"/>
      <c r="M230" s="42"/>
      <c r="N230" s="42"/>
      <c r="O230" s="42" t="s">
        <v>453</v>
      </c>
      <c r="P230" s="154">
        <v>42585</v>
      </c>
      <c r="Q230" s="154">
        <v>37994</v>
      </c>
      <c r="R230" s="154"/>
      <c r="S230" s="42">
        <v>5</v>
      </c>
      <c r="T230" s="42" t="s">
        <v>499</v>
      </c>
      <c r="U230" s="42">
        <v>11</v>
      </c>
      <c r="V230" s="42" t="s">
        <v>456</v>
      </c>
      <c r="W230" s="42">
        <v>18</v>
      </c>
      <c r="X230" s="42" t="s">
        <v>536</v>
      </c>
      <c r="Y230" s="42">
        <v>2310460</v>
      </c>
      <c r="Z230" s="42" t="s">
        <v>506</v>
      </c>
      <c r="AA230" s="42">
        <v>222</v>
      </c>
      <c r="AB230" s="42">
        <v>27</v>
      </c>
      <c r="AC230" s="42">
        <v>7358647</v>
      </c>
      <c r="AD230" s="42" t="s">
        <v>51</v>
      </c>
      <c r="AE230" s="42">
        <v>41</v>
      </c>
      <c r="AF230" s="42" t="s">
        <v>458</v>
      </c>
      <c r="AG230" s="42" t="s">
        <v>459</v>
      </c>
      <c r="AH230" s="42" t="s">
        <v>49</v>
      </c>
      <c r="AI230" s="42" t="s">
        <v>460</v>
      </c>
      <c r="AJ230" s="154">
        <v>42585</v>
      </c>
      <c r="AK230" s="42">
        <v>2</v>
      </c>
      <c r="AL230" s="154">
        <v>42585</v>
      </c>
      <c r="AM230" s="154"/>
      <c r="AN230" s="42"/>
      <c r="AO230" s="154"/>
      <c r="AP230" s="154"/>
      <c r="AQ230" s="42"/>
      <c r="AR230" s="42"/>
      <c r="AS230" s="42"/>
      <c r="AT230" s="42"/>
      <c r="AU230" s="42"/>
      <c r="AV230" s="42"/>
      <c r="AW230" s="42"/>
      <c r="AX230" s="42"/>
    </row>
    <row r="231" spans="1:50" ht="12.75" customHeight="1">
      <c r="A231" s="42">
        <v>52365023</v>
      </c>
      <c r="B231" s="42" t="s">
        <v>654</v>
      </c>
      <c r="C231" s="42" t="s">
        <v>759</v>
      </c>
      <c r="D231" s="42" t="s">
        <v>447</v>
      </c>
      <c r="E231" s="42" t="s">
        <v>481</v>
      </c>
      <c r="F231" s="154">
        <v>27543</v>
      </c>
      <c r="G231" s="42" t="s">
        <v>1743</v>
      </c>
      <c r="H231" s="42">
        <v>3212775490</v>
      </c>
      <c r="I231" s="42" t="s">
        <v>450</v>
      </c>
      <c r="J231" s="42"/>
      <c r="K231" s="42"/>
      <c r="L231" s="42"/>
      <c r="M231" s="42" t="s">
        <v>448</v>
      </c>
      <c r="N231" s="42" t="s">
        <v>452</v>
      </c>
      <c r="O231" s="42" t="s">
        <v>453</v>
      </c>
      <c r="P231" s="154">
        <v>44774</v>
      </c>
      <c r="Q231" s="154">
        <v>44774</v>
      </c>
      <c r="R231" s="154"/>
      <c r="S231" s="42">
        <v>5</v>
      </c>
      <c r="T231" s="42" t="s">
        <v>499</v>
      </c>
      <c r="U231" s="42">
        <v>11</v>
      </c>
      <c r="V231" s="42" t="s">
        <v>456</v>
      </c>
      <c r="W231" s="42">
        <v>3</v>
      </c>
      <c r="X231" s="42" t="s">
        <v>457</v>
      </c>
      <c r="Y231" s="42">
        <v>2300100</v>
      </c>
      <c r="Z231" s="42" t="s">
        <v>483</v>
      </c>
      <c r="AA231" s="42">
        <v>105</v>
      </c>
      <c r="AB231" s="42">
        <v>5</v>
      </c>
      <c r="AC231" s="42">
        <v>9154873</v>
      </c>
      <c r="AD231" s="42" t="s">
        <v>26</v>
      </c>
      <c r="AE231" s="42">
        <v>13</v>
      </c>
      <c r="AF231" s="42" t="s">
        <v>458</v>
      </c>
      <c r="AG231" s="42" t="s">
        <v>459</v>
      </c>
      <c r="AH231" s="42" t="s">
        <v>484</v>
      </c>
      <c r="AI231" s="42" t="s">
        <v>460</v>
      </c>
      <c r="AJ231" s="154">
        <v>44774</v>
      </c>
      <c r="AK231" s="42">
        <v>266</v>
      </c>
      <c r="AL231" s="154">
        <v>44774</v>
      </c>
      <c r="AM231" s="154"/>
      <c r="AN231" s="42"/>
      <c r="AO231" s="154"/>
      <c r="AP231" s="154">
        <v>44833</v>
      </c>
      <c r="AQ231" s="42"/>
      <c r="AR231" s="42"/>
      <c r="AS231" s="42"/>
      <c r="AT231" s="42"/>
      <c r="AU231" s="42"/>
      <c r="AV231" s="42"/>
      <c r="AW231" s="42"/>
      <c r="AX231" s="42"/>
    </row>
    <row r="232" spans="1:50" ht="12.75" customHeight="1">
      <c r="A232" s="42">
        <v>52380066</v>
      </c>
      <c r="B232" s="42" t="s">
        <v>478</v>
      </c>
      <c r="C232" s="42" t="s">
        <v>972</v>
      </c>
      <c r="D232" s="42" t="s">
        <v>973</v>
      </c>
      <c r="E232" s="42" t="s">
        <v>448</v>
      </c>
      <c r="F232" s="154">
        <v>28313</v>
      </c>
      <c r="G232" s="42" t="s">
        <v>1745</v>
      </c>
      <c r="H232" s="42">
        <v>7214208</v>
      </c>
      <c r="I232" s="42" t="s">
        <v>450</v>
      </c>
      <c r="J232" s="42"/>
      <c r="K232" s="42"/>
      <c r="L232" s="42"/>
      <c r="M232" s="42" t="s">
        <v>451</v>
      </c>
      <c r="N232" s="42" t="s">
        <v>452</v>
      </c>
      <c r="O232" s="42" t="s">
        <v>453</v>
      </c>
      <c r="P232" s="154">
        <v>44649</v>
      </c>
      <c r="Q232" s="154">
        <v>39259</v>
      </c>
      <c r="R232" s="42"/>
      <c r="S232" s="42">
        <v>8</v>
      </c>
      <c r="T232" s="42" t="s">
        <v>466</v>
      </c>
      <c r="U232" s="42">
        <v>11</v>
      </c>
      <c r="V232" s="42" t="s">
        <v>456</v>
      </c>
      <c r="W232" s="42">
        <v>3</v>
      </c>
      <c r="X232" s="42" t="s">
        <v>457</v>
      </c>
      <c r="Y232" s="42">
        <v>2310470</v>
      </c>
      <c r="Z232" s="42" t="s">
        <v>477</v>
      </c>
      <c r="AA232" s="42">
        <v>222</v>
      </c>
      <c r="AB232" s="42">
        <v>27</v>
      </c>
      <c r="AC232" s="42">
        <v>7358647</v>
      </c>
      <c r="AD232" s="42" t="s">
        <v>51</v>
      </c>
      <c r="AE232" s="42">
        <v>49</v>
      </c>
      <c r="AF232" s="42" t="s">
        <v>458</v>
      </c>
      <c r="AG232" s="42" t="s">
        <v>459</v>
      </c>
      <c r="AH232" s="42" t="s">
        <v>49</v>
      </c>
      <c r="AI232" s="42" t="s">
        <v>460</v>
      </c>
      <c r="AJ232" s="154">
        <v>44649</v>
      </c>
      <c r="AK232" s="42">
        <v>77</v>
      </c>
      <c r="AL232" s="154">
        <v>44624</v>
      </c>
      <c r="AM232" s="154"/>
      <c r="AN232" s="42"/>
      <c r="AO232" s="154"/>
      <c r="AP232" s="154"/>
      <c r="AQ232" s="42"/>
      <c r="AR232" s="42"/>
      <c r="AS232" s="42"/>
      <c r="AT232" s="42"/>
      <c r="AU232" s="42"/>
      <c r="AV232" s="42"/>
      <c r="AW232" s="42"/>
      <c r="AX232" s="42"/>
    </row>
    <row r="233" spans="1:50" ht="12.75" customHeight="1">
      <c r="A233" s="42">
        <v>52391785</v>
      </c>
      <c r="B233" s="42" t="s">
        <v>974</v>
      </c>
      <c r="C233" s="42" t="s">
        <v>975</v>
      </c>
      <c r="D233" s="42" t="s">
        <v>976</v>
      </c>
      <c r="E233" s="42" t="s">
        <v>448</v>
      </c>
      <c r="F233" s="154">
        <v>28667</v>
      </c>
      <c r="G233" s="42" t="s">
        <v>1747</v>
      </c>
      <c r="H233" s="42">
        <v>3102981627</v>
      </c>
      <c r="I233" s="42" t="s">
        <v>450</v>
      </c>
      <c r="J233" s="42"/>
      <c r="K233" s="42"/>
      <c r="L233" s="42"/>
      <c r="M233" s="42" t="s">
        <v>451</v>
      </c>
      <c r="N233" s="42" t="s">
        <v>452</v>
      </c>
      <c r="O233" s="42" t="s">
        <v>453</v>
      </c>
      <c r="P233" s="154">
        <v>44200</v>
      </c>
      <c r="Q233" s="154">
        <v>43405</v>
      </c>
      <c r="R233" s="154"/>
      <c r="S233" s="42">
        <v>8</v>
      </c>
      <c r="T233" s="42" t="s">
        <v>466</v>
      </c>
      <c r="U233" s="42">
        <v>11</v>
      </c>
      <c r="V233" s="42" t="s">
        <v>456</v>
      </c>
      <c r="W233" s="42">
        <v>3</v>
      </c>
      <c r="X233" s="42" t="s">
        <v>457</v>
      </c>
      <c r="Y233" s="42">
        <v>2311000</v>
      </c>
      <c r="Z233" s="42" t="s">
        <v>467</v>
      </c>
      <c r="AA233" s="42">
        <v>222</v>
      </c>
      <c r="AB233" s="42">
        <v>21</v>
      </c>
      <c r="AC233" s="42">
        <v>6566429</v>
      </c>
      <c r="AD233" s="42" t="s">
        <v>51</v>
      </c>
      <c r="AE233" s="42">
        <v>20</v>
      </c>
      <c r="AF233" s="42" t="s">
        <v>458</v>
      </c>
      <c r="AG233" s="42" t="s">
        <v>459</v>
      </c>
      <c r="AH233" s="42" t="s">
        <v>49</v>
      </c>
      <c r="AI233" s="42" t="s">
        <v>460</v>
      </c>
      <c r="AJ233" s="154">
        <v>44200</v>
      </c>
      <c r="AK233" s="42">
        <v>181</v>
      </c>
      <c r="AL233" s="154">
        <v>44124</v>
      </c>
      <c r="AM233" s="154">
        <v>44978</v>
      </c>
      <c r="AN233" s="42">
        <v>70</v>
      </c>
      <c r="AO233" s="154">
        <v>44977</v>
      </c>
      <c r="AP233" s="154"/>
      <c r="AQ233" s="42"/>
      <c r="AR233" s="42"/>
      <c r="AS233" s="42"/>
      <c r="AT233" s="42"/>
      <c r="AU233" s="42"/>
      <c r="AV233" s="42"/>
      <c r="AW233" s="42"/>
      <c r="AX233" s="42"/>
    </row>
    <row r="234" spans="1:50" ht="12.75" customHeight="1">
      <c r="A234" s="42">
        <v>52394165</v>
      </c>
      <c r="B234" s="42" t="s">
        <v>1750</v>
      </c>
      <c r="C234" s="42" t="s">
        <v>502</v>
      </c>
      <c r="D234" s="42" t="s">
        <v>1751</v>
      </c>
      <c r="E234" s="42" t="s">
        <v>481</v>
      </c>
      <c r="F234" s="154">
        <v>28953</v>
      </c>
      <c r="G234" s="42" t="s">
        <v>1752</v>
      </c>
      <c r="H234" s="42">
        <v>3138855439</v>
      </c>
      <c r="I234" s="42" t="s">
        <v>450</v>
      </c>
      <c r="J234" s="42"/>
      <c r="K234" s="42"/>
      <c r="L234" s="42"/>
      <c r="M234" s="42" t="s">
        <v>451</v>
      </c>
      <c r="N234" s="42" t="s">
        <v>452</v>
      </c>
      <c r="O234" s="42" t="s">
        <v>453</v>
      </c>
      <c r="P234" s="154">
        <v>42585</v>
      </c>
      <c r="Q234" s="154">
        <v>42404</v>
      </c>
      <c r="R234" s="154"/>
      <c r="S234" s="42">
        <v>5</v>
      </c>
      <c r="T234" s="42" t="s">
        <v>499</v>
      </c>
      <c r="U234" s="42">
        <v>11</v>
      </c>
      <c r="V234" s="42" t="s">
        <v>456</v>
      </c>
      <c r="W234" s="42">
        <v>23</v>
      </c>
      <c r="X234" s="42" t="s">
        <v>473</v>
      </c>
      <c r="Y234" s="42">
        <v>2300100</v>
      </c>
      <c r="Z234" s="42" t="s">
        <v>483</v>
      </c>
      <c r="AA234" s="42">
        <v>105</v>
      </c>
      <c r="AB234" s="42">
        <v>5</v>
      </c>
      <c r="AC234" s="42">
        <v>9154873</v>
      </c>
      <c r="AD234" s="42" t="s">
        <v>26</v>
      </c>
      <c r="AE234" s="42">
        <v>16</v>
      </c>
      <c r="AF234" s="42" t="s">
        <v>458</v>
      </c>
      <c r="AG234" s="42" t="s">
        <v>459</v>
      </c>
      <c r="AH234" s="42" t="s">
        <v>484</v>
      </c>
      <c r="AI234" s="42" t="s">
        <v>460</v>
      </c>
      <c r="AJ234" s="154">
        <v>42585</v>
      </c>
      <c r="AK234" s="42">
        <v>9</v>
      </c>
      <c r="AL234" s="154">
        <v>42585</v>
      </c>
      <c r="AM234" s="154">
        <v>43878</v>
      </c>
      <c r="AN234" s="42">
        <v>31</v>
      </c>
      <c r="AO234" s="154">
        <v>43878</v>
      </c>
      <c r="AP234" s="154">
        <v>44430</v>
      </c>
      <c r="AQ234" s="42"/>
      <c r="AR234" s="42"/>
      <c r="AS234" s="42"/>
      <c r="AT234" s="42"/>
      <c r="AU234" s="42"/>
      <c r="AV234" s="42"/>
      <c r="AW234" s="42"/>
      <c r="AX234" s="42"/>
    </row>
    <row r="235" spans="1:50" ht="12.75" customHeight="1">
      <c r="A235" s="42">
        <v>52410381</v>
      </c>
      <c r="B235" s="42" t="s">
        <v>1753</v>
      </c>
      <c r="C235" s="42" t="s">
        <v>1754</v>
      </c>
      <c r="D235" s="42" t="s">
        <v>1755</v>
      </c>
      <c r="E235" s="42" t="s">
        <v>481</v>
      </c>
      <c r="F235" s="154">
        <v>29507</v>
      </c>
      <c r="G235" s="42" t="s">
        <v>1756</v>
      </c>
      <c r="H235" s="42">
        <v>3022899519</v>
      </c>
      <c r="I235" s="42" t="s">
        <v>450</v>
      </c>
      <c r="J235" s="42"/>
      <c r="K235" s="42"/>
      <c r="L235" s="42"/>
      <c r="M235" s="42" t="s">
        <v>451</v>
      </c>
      <c r="N235" s="42" t="s">
        <v>452</v>
      </c>
      <c r="O235" s="42" t="s">
        <v>453</v>
      </c>
      <c r="P235" s="154">
        <v>42930</v>
      </c>
      <c r="Q235" s="154">
        <v>42930</v>
      </c>
      <c r="R235" s="154"/>
      <c r="S235" s="42">
        <v>8</v>
      </c>
      <c r="T235" s="42" t="s">
        <v>466</v>
      </c>
      <c r="U235" s="42">
        <v>11</v>
      </c>
      <c r="V235" s="42" t="s">
        <v>456</v>
      </c>
      <c r="W235" s="42">
        <v>3</v>
      </c>
      <c r="X235" s="42" t="s">
        <v>457</v>
      </c>
      <c r="Y235" s="42">
        <v>25</v>
      </c>
      <c r="Z235" s="42" t="s">
        <v>500</v>
      </c>
      <c r="AA235" s="42">
        <v>219</v>
      </c>
      <c r="AB235" s="42">
        <v>18</v>
      </c>
      <c r="AC235" s="42">
        <v>5951245</v>
      </c>
      <c r="AD235" s="42" t="s">
        <v>72</v>
      </c>
      <c r="AE235" s="42">
        <v>25</v>
      </c>
      <c r="AF235" s="42" t="s">
        <v>458</v>
      </c>
      <c r="AG235" s="42" t="s">
        <v>459</v>
      </c>
      <c r="AH235" s="42" t="s">
        <v>188</v>
      </c>
      <c r="AI235" s="42" t="s">
        <v>460</v>
      </c>
      <c r="AJ235" s="154">
        <v>42930</v>
      </c>
      <c r="AK235" s="42">
        <v>110</v>
      </c>
      <c r="AL235" s="154">
        <v>42928</v>
      </c>
      <c r="AM235" s="154"/>
      <c r="AN235" s="42"/>
      <c r="AO235" s="154"/>
      <c r="AP235" s="154">
        <v>44139</v>
      </c>
      <c r="AQ235" s="42"/>
      <c r="AR235" s="42"/>
      <c r="AS235" s="42"/>
      <c r="AT235" s="42"/>
      <c r="AU235" s="42"/>
      <c r="AV235" s="42"/>
      <c r="AW235" s="42"/>
      <c r="AX235" s="42"/>
    </row>
    <row r="236" spans="1:50" ht="12.75" customHeight="1">
      <c r="A236" s="42">
        <v>52421857</v>
      </c>
      <c r="B236" s="42" t="s">
        <v>1760</v>
      </c>
      <c r="C236" s="42" t="s">
        <v>1761</v>
      </c>
      <c r="D236" s="42" t="s">
        <v>1762</v>
      </c>
      <c r="E236" s="42" t="s">
        <v>481</v>
      </c>
      <c r="F236" s="154">
        <v>28312</v>
      </c>
      <c r="G236" s="42" t="s">
        <v>1763</v>
      </c>
      <c r="H236" s="42">
        <v>3115835717</v>
      </c>
      <c r="I236" s="42" t="s">
        <v>450</v>
      </c>
      <c r="J236" s="42"/>
      <c r="K236" s="42"/>
      <c r="L236" s="42"/>
      <c r="M236" s="42" t="s">
        <v>448</v>
      </c>
      <c r="N236" s="42" t="s">
        <v>5</v>
      </c>
      <c r="O236" s="42" t="s">
        <v>453</v>
      </c>
      <c r="P236" s="154">
        <v>44147</v>
      </c>
      <c r="Q236" s="154">
        <v>44147</v>
      </c>
      <c r="R236" s="154"/>
      <c r="S236" s="42">
        <v>8</v>
      </c>
      <c r="T236" s="42" t="s">
        <v>466</v>
      </c>
      <c r="U236" s="42">
        <v>11</v>
      </c>
      <c r="V236" s="42" t="s">
        <v>456</v>
      </c>
      <c r="W236" s="42">
        <v>3</v>
      </c>
      <c r="X236" s="42" t="s">
        <v>457</v>
      </c>
      <c r="Y236" s="42">
        <v>0</v>
      </c>
      <c r="Z236" s="42" t="s">
        <v>500</v>
      </c>
      <c r="AA236" s="42">
        <v>440</v>
      </c>
      <c r="AB236" s="42">
        <v>11</v>
      </c>
      <c r="AC236" s="42">
        <v>2804649</v>
      </c>
      <c r="AD236" s="42" t="s">
        <v>29</v>
      </c>
      <c r="AE236" s="42">
        <v>160</v>
      </c>
      <c r="AF236" s="42" t="s">
        <v>458</v>
      </c>
      <c r="AG236" s="42" t="s">
        <v>459</v>
      </c>
      <c r="AH236" s="42" t="s">
        <v>49</v>
      </c>
      <c r="AI236" s="42" t="s">
        <v>460</v>
      </c>
      <c r="AJ236" s="154">
        <v>44147</v>
      </c>
      <c r="AK236" s="42">
        <v>190</v>
      </c>
      <c r="AL236" s="154">
        <v>44124</v>
      </c>
      <c r="AM236" s="154"/>
      <c r="AN236" s="42"/>
      <c r="AO236" s="154"/>
      <c r="AP236" s="154">
        <v>46000</v>
      </c>
      <c r="AQ236" s="42"/>
      <c r="AR236" s="42"/>
      <c r="AS236" s="42"/>
      <c r="AT236" s="42"/>
      <c r="AU236" s="42"/>
      <c r="AV236" s="42"/>
      <c r="AW236" s="42"/>
      <c r="AX236" s="42"/>
    </row>
    <row r="237" spans="1:50" ht="12.75" customHeight="1">
      <c r="A237" s="42">
        <v>52422659</v>
      </c>
      <c r="B237" s="42" t="s">
        <v>1765</v>
      </c>
      <c r="C237" s="42" t="s">
        <v>1766</v>
      </c>
      <c r="D237" s="42" t="s">
        <v>1767</v>
      </c>
      <c r="E237" s="42" t="s">
        <v>481</v>
      </c>
      <c r="F237" s="154">
        <v>28388</v>
      </c>
      <c r="G237" s="42" t="s">
        <v>1768</v>
      </c>
      <c r="H237" s="42">
        <v>4797817</v>
      </c>
      <c r="I237" s="42" t="s">
        <v>450</v>
      </c>
      <c r="J237" s="42"/>
      <c r="K237" s="42"/>
      <c r="L237" s="42"/>
      <c r="M237" s="42" t="s">
        <v>448</v>
      </c>
      <c r="N237" s="42" t="s">
        <v>452</v>
      </c>
      <c r="O237" s="42" t="s">
        <v>453</v>
      </c>
      <c r="P237" s="154">
        <v>42892</v>
      </c>
      <c r="Q237" s="154">
        <v>42892</v>
      </c>
      <c r="R237" s="154"/>
      <c r="S237" s="42">
        <v>8</v>
      </c>
      <c r="T237" s="42" t="s">
        <v>466</v>
      </c>
      <c r="U237" s="42">
        <v>11</v>
      </c>
      <c r="V237" s="42" t="s">
        <v>456</v>
      </c>
      <c r="W237" s="42">
        <v>3</v>
      </c>
      <c r="X237" s="42" t="s">
        <v>457</v>
      </c>
      <c r="Y237" s="42">
        <v>77</v>
      </c>
      <c r="Z237" s="42" t="s">
        <v>500</v>
      </c>
      <c r="AA237" s="42">
        <v>219</v>
      </c>
      <c r="AB237" s="42">
        <v>18</v>
      </c>
      <c r="AC237" s="42">
        <v>5951245</v>
      </c>
      <c r="AD237" s="42" t="s">
        <v>72</v>
      </c>
      <c r="AE237" s="42">
        <v>77</v>
      </c>
      <c r="AF237" s="42" t="s">
        <v>458</v>
      </c>
      <c r="AG237" s="42" t="s">
        <v>459</v>
      </c>
      <c r="AH237" s="42" t="s">
        <v>188</v>
      </c>
      <c r="AI237" s="42" t="s">
        <v>460</v>
      </c>
      <c r="AJ237" s="154">
        <v>42892</v>
      </c>
      <c r="AK237" s="42">
        <v>85</v>
      </c>
      <c r="AL237" s="154">
        <v>42886</v>
      </c>
      <c r="AM237" s="154"/>
      <c r="AN237" s="42"/>
      <c r="AO237" s="154"/>
      <c r="AP237" s="154">
        <v>44147</v>
      </c>
      <c r="AQ237" s="42"/>
      <c r="AR237" s="42"/>
      <c r="AS237" s="42"/>
      <c r="AT237" s="42"/>
      <c r="AU237" s="42"/>
      <c r="AV237" s="42"/>
      <c r="AW237" s="42"/>
      <c r="AX237" s="42"/>
    </row>
    <row r="238" spans="1:50" ht="12.75" customHeight="1">
      <c r="A238" s="42">
        <v>52422898</v>
      </c>
      <c r="B238" s="42" t="s">
        <v>538</v>
      </c>
      <c r="C238" s="42" t="s">
        <v>1055</v>
      </c>
      <c r="D238" s="42" t="s">
        <v>1771</v>
      </c>
      <c r="E238" s="42" t="s">
        <v>481</v>
      </c>
      <c r="F238" s="154">
        <v>28398</v>
      </c>
      <c r="G238" s="42" t="s">
        <v>1772</v>
      </c>
      <c r="H238" s="42">
        <v>4738004</v>
      </c>
      <c r="I238" s="42" t="s">
        <v>450</v>
      </c>
      <c r="J238" s="42"/>
      <c r="K238" s="42"/>
      <c r="L238" s="42"/>
      <c r="M238" s="42" t="s">
        <v>448</v>
      </c>
      <c r="N238" s="42" t="s">
        <v>452</v>
      </c>
      <c r="O238" s="42" t="s">
        <v>453</v>
      </c>
      <c r="P238" s="154">
        <v>43049</v>
      </c>
      <c r="Q238" s="154">
        <v>43049</v>
      </c>
      <c r="R238" s="42"/>
      <c r="S238" s="42">
        <v>5</v>
      </c>
      <c r="T238" s="42" t="s">
        <v>499</v>
      </c>
      <c r="U238" s="42">
        <v>11</v>
      </c>
      <c r="V238" s="42" t="s">
        <v>456</v>
      </c>
      <c r="W238" s="42">
        <v>3</v>
      </c>
      <c r="X238" s="42" t="s">
        <v>457</v>
      </c>
      <c r="Y238" s="42">
        <v>88</v>
      </c>
      <c r="Z238" s="42" t="s">
        <v>500</v>
      </c>
      <c r="AA238" s="42">
        <v>219</v>
      </c>
      <c r="AB238" s="42">
        <v>18</v>
      </c>
      <c r="AC238" s="42">
        <v>5951245</v>
      </c>
      <c r="AD238" s="42" t="s">
        <v>72</v>
      </c>
      <c r="AE238" s="42">
        <v>88</v>
      </c>
      <c r="AF238" s="42" t="s">
        <v>458</v>
      </c>
      <c r="AG238" s="42" t="s">
        <v>459</v>
      </c>
      <c r="AH238" s="42" t="s">
        <v>188</v>
      </c>
      <c r="AI238" s="42" t="s">
        <v>460</v>
      </c>
      <c r="AJ238" s="154">
        <v>43049</v>
      </c>
      <c r="AK238" s="42">
        <v>186</v>
      </c>
      <c r="AL238" s="154">
        <v>43049</v>
      </c>
      <c r="AM238" s="154"/>
      <c r="AN238" s="42"/>
      <c r="AO238" s="154"/>
      <c r="AP238" s="154">
        <v>44369</v>
      </c>
      <c r="AQ238" s="42"/>
      <c r="AR238" s="42"/>
      <c r="AS238" s="42"/>
      <c r="AT238" s="42"/>
      <c r="AU238" s="42"/>
      <c r="AV238" s="42"/>
      <c r="AW238" s="42"/>
      <c r="AX238" s="42"/>
    </row>
    <row r="239" spans="1:50" ht="12.75" customHeight="1">
      <c r="A239" s="42">
        <v>52428783</v>
      </c>
      <c r="B239" s="42" t="s">
        <v>1774</v>
      </c>
      <c r="C239" s="42" t="s">
        <v>468</v>
      </c>
      <c r="D239" s="42" t="s">
        <v>888</v>
      </c>
      <c r="E239" s="42" t="s">
        <v>481</v>
      </c>
      <c r="F239" s="154">
        <v>28787</v>
      </c>
      <c r="G239" s="42" t="s">
        <v>1775</v>
      </c>
      <c r="H239" s="42">
        <v>8041712</v>
      </c>
      <c r="I239" s="42" t="s">
        <v>450</v>
      </c>
      <c r="J239" s="42"/>
      <c r="K239" s="42"/>
      <c r="L239" s="42"/>
      <c r="M239" s="42" t="s">
        <v>448</v>
      </c>
      <c r="N239" s="42" t="s">
        <v>452</v>
      </c>
      <c r="O239" s="42" t="s">
        <v>453</v>
      </c>
      <c r="P239" s="154">
        <v>43417</v>
      </c>
      <c r="Q239" s="154">
        <v>43417</v>
      </c>
      <c r="R239" s="154"/>
      <c r="S239" s="42">
        <v>16</v>
      </c>
      <c r="T239" s="42" t="s">
        <v>1186</v>
      </c>
      <c r="U239" s="42">
        <v>11</v>
      </c>
      <c r="V239" s="42" t="s">
        <v>456</v>
      </c>
      <c r="W239" s="42">
        <v>3</v>
      </c>
      <c r="X239" s="42" t="s">
        <v>457</v>
      </c>
      <c r="Y239" s="42">
        <v>111</v>
      </c>
      <c r="Z239" s="42" t="s">
        <v>500</v>
      </c>
      <c r="AA239" s="42">
        <v>219</v>
      </c>
      <c r="AB239" s="42">
        <v>1</v>
      </c>
      <c r="AC239" s="42">
        <v>3989530</v>
      </c>
      <c r="AD239" s="42" t="s">
        <v>72</v>
      </c>
      <c r="AE239" s="42">
        <v>111</v>
      </c>
      <c r="AF239" s="42" t="s">
        <v>458</v>
      </c>
      <c r="AG239" s="42" t="s">
        <v>459</v>
      </c>
      <c r="AH239" s="42" t="s">
        <v>188</v>
      </c>
      <c r="AI239" s="42" t="s">
        <v>460</v>
      </c>
      <c r="AJ239" s="154">
        <v>43417</v>
      </c>
      <c r="AK239" s="42">
        <v>127</v>
      </c>
      <c r="AL239" s="154">
        <v>43412</v>
      </c>
      <c r="AM239" s="154"/>
      <c r="AN239" s="42"/>
      <c r="AO239" s="154"/>
      <c r="AP239" s="154">
        <v>44335</v>
      </c>
      <c r="AQ239" s="42"/>
      <c r="AR239" s="42"/>
      <c r="AS239" s="42"/>
      <c r="AT239" s="42"/>
      <c r="AU239" s="42"/>
      <c r="AV239" s="42"/>
      <c r="AW239" s="42"/>
      <c r="AX239" s="42"/>
    </row>
    <row r="240" spans="1:50" ht="12.75" customHeight="1">
      <c r="A240" s="42">
        <v>52429411</v>
      </c>
      <c r="B240" s="42" t="s">
        <v>722</v>
      </c>
      <c r="C240" s="42" t="s">
        <v>874</v>
      </c>
      <c r="D240" s="42" t="s">
        <v>1777</v>
      </c>
      <c r="E240" s="42" t="s">
        <v>448</v>
      </c>
      <c r="F240" s="154">
        <v>28606</v>
      </c>
      <c r="G240" s="42" t="s">
        <v>1778</v>
      </c>
      <c r="H240" s="42">
        <v>3102763453</v>
      </c>
      <c r="I240" s="42" t="s">
        <v>450</v>
      </c>
      <c r="J240" s="42"/>
      <c r="K240" s="42"/>
      <c r="L240" s="42"/>
      <c r="M240" s="42" t="s">
        <v>448</v>
      </c>
      <c r="N240" s="42" t="s">
        <v>452</v>
      </c>
      <c r="O240" s="42" t="s">
        <v>453</v>
      </c>
      <c r="P240" s="154">
        <v>46083</v>
      </c>
      <c r="Q240" s="154">
        <v>44145</v>
      </c>
      <c r="R240" s="154"/>
      <c r="S240" s="42">
        <v>5</v>
      </c>
      <c r="T240" s="42" t="s">
        <v>499</v>
      </c>
      <c r="U240" s="42">
        <v>11</v>
      </c>
      <c r="V240" s="42" t="s">
        <v>456</v>
      </c>
      <c r="W240" s="42">
        <v>3</v>
      </c>
      <c r="X240" s="42" t="s">
        <v>457</v>
      </c>
      <c r="Y240" s="42">
        <v>2310430</v>
      </c>
      <c r="Z240" s="42" t="s">
        <v>494</v>
      </c>
      <c r="AA240" s="42">
        <v>222</v>
      </c>
      <c r="AB240" s="42">
        <v>19</v>
      </c>
      <c r="AC240" s="42">
        <v>6258912</v>
      </c>
      <c r="AD240" s="42" t="s">
        <v>51</v>
      </c>
      <c r="AE240" s="42">
        <v>70</v>
      </c>
      <c r="AF240" s="42" t="s">
        <v>458</v>
      </c>
      <c r="AG240" s="42" t="s">
        <v>459</v>
      </c>
      <c r="AH240" s="42" t="s">
        <v>49</v>
      </c>
      <c r="AI240" s="42" t="s">
        <v>460</v>
      </c>
      <c r="AJ240" s="154">
        <v>46083</v>
      </c>
      <c r="AK240" s="42">
        <v>68</v>
      </c>
      <c r="AL240" s="154">
        <v>46059</v>
      </c>
      <c r="AM240" s="154"/>
      <c r="AN240" s="42"/>
      <c r="AO240" s="154"/>
      <c r="AP240" s="154"/>
      <c r="AQ240" s="42"/>
      <c r="AR240" s="42"/>
      <c r="AS240" s="42"/>
      <c r="AT240" s="42"/>
      <c r="AU240" s="42"/>
      <c r="AV240" s="42"/>
      <c r="AW240" s="42"/>
      <c r="AX240" s="42"/>
    </row>
    <row r="241" spans="1:50" ht="12.75" customHeight="1">
      <c r="A241" s="42">
        <v>52430229</v>
      </c>
      <c r="B241" s="42" t="s">
        <v>1780</v>
      </c>
      <c r="C241" s="42" t="s">
        <v>1781</v>
      </c>
      <c r="D241" s="42" t="s">
        <v>1783</v>
      </c>
      <c r="E241" s="42" t="s">
        <v>448</v>
      </c>
      <c r="F241" s="154">
        <v>28841</v>
      </c>
      <c r="G241" s="42" t="s">
        <v>1784</v>
      </c>
      <c r="H241" s="42">
        <v>3108036294</v>
      </c>
      <c r="I241" s="42" t="s">
        <v>450</v>
      </c>
      <c r="J241" s="42"/>
      <c r="K241" s="42"/>
      <c r="L241" s="42"/>
      <c r="M241" s="42" t="s">
        <v>451</v>
      </c>
      <c r="N241" s="42" t="s">
        <v>452</v>
      </c>
      <c r="O241" s="42" t="s">
        <v>453</v>
      </c>
      <c r="P241" s="154">
        <v>46097</v>
      </c>
      <c r="Q241" s="154">
        <v>46097</v>
      </c>
      <c r="R241" s="154"/>
      <c r="S241" s="42">
        <v>42</v>
      </c>
      <c r="T241" s="42" t="s">
        <v>1166</v>
      </c>
      <c r="U241" s="42">
        <v>11</v>
      </c>
      <c r="V241" s="42" t="s">
        <v>456</v>
      </c>
      <c r="W241" s="42">
        <v>19</v>
      </c>
      <c r="X241" s="42" t="s">
        <v>575</v>
      </c>
      <c r="Y241" s="42">
        <v>2310460</v>
      </c>
      <c r="Z241" s="42" t="s">
        <v>506</v>
      </c>
      <c r="AA241" s="42">
        <v>222</v>
      </c>
      <c r="AB241" s="42">
        <v>24</v>
      </c>
      <c r="AC241" s="42">
        <v>6809900</v>
      </c>
      <c r="AD241" s="42" t="s">
        <v>51</v>
      </c>
      <c r="AE241" s="42">
        <v>57</v>
      </c>
      <c r="AF241" s="42" t="s">
        <v>458</v>
      </c>
      <c r="AG241" s="42" t="s">
        <v>459</v>
      </c>
      <c r="AH241" s="42" t="s">
        <v>49</v>
      </c>
      <c r="AI241" s="42" t="s">
        <v>460</v>
      </c>
      <c r="AJ241" s="154">
        <v>46097</v>
      </c>
      <c r="AK241" s="42">
        <v>56</v>
      </c>
      <c r="AL241" s="154">
        <v>46059</v>
      </c>
      <c r="AM241" s="154"/>
      <c r="AN241" s="42"/>
      <c r="AO241" s="154"/>
      <c r="AP241" s="154"/>
      <c r="AQ241" s="42"/>
      <c r="AR241" s="42"/>
      <c r="AS241" s="42"/>
      <c r="AT241" s="42"/>
      <c r="AU241" s="42"/>
      <c r="AV241" s="42"/>
      <c r="AW241" s="42"/>
      <c r="AX241" s="42"/>
    </row>
    <row r="242" spans="1:50" ht="12.75" customHeight="1">
      <c r="A242" s="42">
        <v>52432686</v>
      </c>
      <c r="B242" s="42" t="s">
        <v>834</v>
      </c>
      <c r="C242" s="42" t="s">
        <v>790</v>
      </c>
      <c r="D242" s="42" t="s">
        <v>1785</v>
      </c>
      <c r="E242" s="42" t="s">
        <v>481</v>
      </c>
      <c r="F242" s="154">
        <v>28241</v>
      </c>
      <c r="G242" s="42" t="s">
        <v>1786</v>
      </c>
      <c r="H242" s="42">
        <v>8001005</v>
      </c>
      <c r="I242" s="42" t="s">
        <v>450</v>
      </c>
      <c r="J242" s="42"/>
      <c r="K242" s="42"/>
      <c r="L242" s="42"/>
      <c r="M242" s="42" t="s">
        <v>547</v>
      </c>
      <c r="N242" s="42" t="s">
        <v>5</v>
      </c>
      <c r="O242" s="42" t="s">
        <v>453</v>
      </c>
      <c r="P242" s="154">
        <v>42899</v>
      </c>
      <c r="Q242" s="154">
        <v>42899</v>
      </c>
      <c r="R242" s="154"/>
      <c r="S242" s="42">
        <v>5</v>
      </c>
      <c r="T242" s="42" t="s">
        <v>499</v>
      </c>
      <c r="U242" s="42">
        <v>11</v>
      </c>
      <c r="V242" s="42" t="s">
        <v>456</v>
      </c>
      <c r="W242" s="42">
        <v>3</v>
      </c>
      <c r="X242" s="42" t="s">
        <v>457</v>
      </c>
      <c r="Y242" s="42">
        <v>55</v>
      </c>
      <c r="Z242" s="42" t="s">
        <v>500</v>
      </c>
      <c r="AA242" s="42">
        <v>222</v>
      </c>
      <c r="AB242" s="42">
        <v>24</v>
      </c>
      <c r="AC242" s="42">
        <v>6809900</v>
      </c>
      <c r="AD242" s="42" t="s">
        <v>51</v>
      </c>
      <c r="AE242" s="42">
        <v>55</v>
      </c>
      <c r="AF242" s="42" t="s">
        <v>458</v>
      </c>
      <c r="AG242" s="42" t="s">
        <v>459</v>
      </c>
      <c r="AH242" s="42" t="s">
        <v>188</v>
      </c>
      <c r="AI242" s="42" t="s">
        <v>460</v>
      </c>
      <c r="AJ242" s="154">
        <v>42899</v>
      </c>
      <c r="AK242" s="42">
        <v>84</v>
      </c>
      <c r="AL242" s="154">
        <v>42886</v>
      </c>
      <c r="AM242" s="154"/>
      <c r="AN242" s="42"/>
      <c r="AO242" s="154"/>
      <c r="AP242" s="154">
        <v>44137</v>
      </c>
      <c r="AQ242" s="42"/>
      <c r="AR242" s="42"/>
      <c r="AS242" s="42"/>
      <c r="AT242" s="42"/>
      <c r="AU242" s="42"/>
      <c r="AV242" s="42"/>
      <c r="AW242" s="42"/>
      <c r="AX242" s="42"/>
    </row>
    <row r="243" spans="1:50" ht="12.75" customHeight="1">
      <c r="A243" s="42">
        <v>52440980</v>
      </c>
      <c r="B243" s="42" t="s">
        <v>777</v>
      </c>
      <c r="C243" s="42" t="s">
        <v>866</v>
      </c>
      <c r="D243" s="42" t="s">
        <v>1789</v>
      </c>
      <c r="E243" s="42" t="s">
        <v>481</v>
      </c>
      <c r="F243" s="154">
        <v>28740</v>
      </c>
      <c r="G243" s="42" t="s">
        <v>1791</v>
      </c>
      <c r="H243" s="42">
        <v>6520884</v>
      </c>
      <c r="I243" s="42" t="s">
        <v>450</v>
      </c>
      <c r="J243" s="42"/>
      <c r="K243" s="42"/>
      <c r="L243" s="42"/>
      <c r="M243" s="42" t="s">
        <v>448</v>
      </c>
      <c r="N243" s="42" t="s">
        <v>452</v>
      </c>
      <c r="O243" s="42" t="s">
        <v>453</v>
      </c>
      <c r="P243" s="154">
        <v>42948</v>
      </c>
      <c r="Q243" s="154">
        <v>42948</v>
      </c>
      <c r="R243" s="42"/>
      <c r="S243" s="42">
        <v>8</v>
      </c>
      <c r="T243" s="42" t="s">
        <v>466</v>
      </c>
      <c r="U243" s="42">
        <v>11</v>
      </c>
      <c r="V243" s="42" t="s">
        <v>456</v>
      </c>
      <c r="W243" s="42">
        <v>23</v>
      </c>
      <c r="X243" s="42" t="s">
        <v>473</v>
      </c>
      <c r="Y243" s="42">
        <v>2310200</v>
      </c>
      <c r="Z243" s="42" t="s">
        <v>623</v>
      </c>
      <c r="AA243" s="42">
        <v>222</v>
      </c>
      <c r="AB243" s="42">
        <v>24</v>
      </c>
      <c r="AC243" s="42">
        <v>6809900</v>
      </c>
      <c r="AD243" s="42" t="s">
        <v>51</v>
      </c>
      <c r="AE243" s="42">
        <v>54</v>
      </c>
      <c r="AF243" s="42" t="s">
        <v>458</v>
      </c>
      <c r="AG243" s="42" t="s">
        <v>459</v>
      </c>
      <c r="AH243" s="42" t="s">
        <v>188</v>
      </c>
      <c r="AI243" s="42" t="s">
        <v>460</v>
      </c>
      <c r="AJ243" s="154">
        <v>42948</v>
      </c>
      <c r="AK243" s="42">
        <v>108</v>
      </c>
      <c r="AL243" s="154">
        <v>42928</v>
      </c>
      <c r="AM243" s="154"/>
      <c r="AN243" s="42"/>
      <c r="AO243" s="154"/>
      <c r="AP243" s="154">
        <v>44104</v>
      </c>
      <c r="AQ243" s="42"/>
      <c r="AR243" s="42"/>
      <c r="AS243" s="42"/>
      <c r="AT243" s="42"/>
      <c r="AU243" s="42"/>
      <c r="AV243" s="42"/>
      <c r="AW243" s="42"/>
      <c r="AX243" s="42"/>
    </row>
    <row r="244" spans="1:50" ht="12.75" customHeight="1">
      <c r="A244" s="42">
        <v>52454621</v>
      </c>
      <c r="B244" s="42" t="s">
        <v>980</v>
      </c>
      <c r="C244" s="42" t="s">
        <v>485</v>
      </c>
      <c r="D244" s="42" t="s">
        <v>726</v>
      </c>
      <c r="E244" s="42" t="s">
        <v>448</v>
      </c>
      <c r="F244" s="154">
        <v>28872</v>
      </c>
      <c r="G244" s="42" t="s">
        <v>1792</v>
      </c>
      <c r="H244" s="42">
        <v>3228009</v>
      </c>
      <c r="I244" s="42" t="s">
        <v>450</v>
      </c>
      <c r="J244" s="42"/>
      <c r="K244" s="42"/>
      <c r="L244" s="42"/>
      <c r="M244" s="42" t="s">
        <v>547</v>
      </c>
      <c r="N244" s="42" t="s">
        <v>452</v>
      </c>
      <c r="O244" s="42" t="s">
        <v>453</v>
      </c>
      <c r="P244" s="154">
        <v>44168</v>
      </c>
      <c r="Q244" s="154">
        <v>44168</v>
      </c>
      <c r="R244" s="154"/>
      <c r="S244" s="42">
        <v>5</v>
      </c>
      <c r="T244" s="42" t="s">
        <v>499</v>
      </c>
      <c r="U244" s="42">
        <v>11</v>
      </c>
      <c r="V244" s="42" t="s">
        <v>456</v>
      </c>
      <c r="W244" s="42">
        <v>3</v>
      </c>
      <c r="X244" s="42" t="s">
        <v>457</v>
      </c>
      <c r="Y244" s="42">
        <v>2310300</v>
      </c>
      <c r="Z244" s="42" t="s">
        <v>138</v>
      </c>
      <c r="AA244" s="42">
        <v>222</v>
      </c>
      <c r="AB244" s="42">
        <v>24</v>
      </c>
      <c r="AC244" s="42">
        <v>6809900</v>
      </c>
      <c r="AD244" s="42" t="s">
        <v>51</v>
      </c>
      <c r="AE244" s="42">
        <v>56</v>
      </c>
      <c r="AF244" s="42" t="s">
        <v>458</v>
      </c>
      <c r="AG244" s="42" t="s">
        <v>459</v>
      </c>
      <c r="AH244" s="42" t="s">
        <v>49</v>
      </c>
      <c r="AI244" s="42" t="s">
        <v>460</v>
      </c>
      <c r="AJ244" s="154">
        <v>44168</v>
      </c>
      <c r="AK244" s="42">
        <v>208</v>
      </c>
      <c r="AL244" s="154">
        <v>44124</v>
      </c>
      <c r="AM244" s="154">
        <v>44747</v>
      </c>
      <c r="AN244" s="42">
        <v>307</v>
      </c>
      <c r="AO244" s="154">
        <v>44717</v>
      </c>
      <c r="AP244" s="154"/>
      <c r="AQ244" s="42"/>
      <c r="AR244" s="42"/>
      <c r="AS244" s="42"/>
      <c r="AT244" s="42"/>
      <c r="AU244" s="42"/>
      <c r="AV244" s="42"/>
      <c r="AW244" s="42"/>
      <c r="AX244" s="42"/>
    </row>
    <row r="245" spans="1:50" ht="12.75" customHeight="1">
      <c r="A245" s="42">
        <v>52463485</v>
      </c>
      <c r="B245" s="42" t="s">
        <v>445</v>
      </c>
      <c r="C245" s="42" t="s">
        <v>1795</v>
      </c>
      <c r="D245" s="42" t="s">
        <v>1796</v>
      </c>
      <c r="E245" s="42" t="s">
        <v>481</v>
      </c>
      <c r="F245" s="154">
        <v>28796</v>
      </c>
      <c r="G245" s="42" t="s">
        <v>1797</v>
      </c>
      <c r="H245" s="42">
        <v>3107744982</v>
      </c>
      <c r="I245" s="42" t="s">
        <v>450</v>
      </c>
      <c r="J245" s="42"/>
      <c r="K245" s="42"/>
      <c r="L245" s="42"/>
      <c r="M245" s="42" t="s">
        <v>451</v>
      </c>
      <c r="N245" s="42" t="s">
        <v>452</v>
      </c>
      <c r="O245" s="42" t="s">
        <v>453</v>
      </c>
      <c r="P245" s="154">
        <v>44147</v>
      </c>
      <c r="Q245" s="154">
        <v>43497</v>
      </c>
      <c r="R245" s="154"/>
      <c r="S245" s="42">
        <v>8</v>
      </c>
      <c r="T245" s="42" t="s">
        <v>466</v>
      </c>
      <c r="U245" s="42">
        <v>11</v>
      </c>
      <c r="V245" s="42" t="s">
        <v>456</v>
      </c>
      <c r="W245" s="42">
        <v>3</v>
      </c>
      <c r="X245" s="42" t="s">
        <v>457</v>
      </c>
      <c r="Y245" s="42">
        <v>0</v>
      </c>
      <c r="Z245" s="42" t="s">
        <v>500</v>
      </c>
      <c r="AA245" s="42">
        <v>219</v>
      </c>
      <c r="AB245" s="42">
        <v>15</v>
      </c>
      <c r="AC245" s="42">
        <v>5771486</v>
      </c>
      <c r="AD245" s="42" t="s">
        <v>72</v>
      </c>
      <c r="AE245" s="42">
        <v>88</v>
      </c>
      <c r="AF245" s="42" t="s">
        <v>458</v>
      </c>
      <c r="AG245" s="42" t="s">
        <v>459</v>
      </c>
      <c r="AH245" s="42" t="s">
        <v>49</v>
      </c>
      <c r="AI245" s="42" t="s">
        <v>460</v>
      </c>
      <c r="AJ245" s="154">
        <v>44147</v>
      </c>
      <c r="AK245" s="42">
        <v>122</v>
      </c>
      <c r="AL245" s="154">
        <v>44118</v>
      </c>
      <c r="AM245" s="154">
        <v>45366</v>
      </c>
      <c r="AN245" s="42">
        <v>153</v>
      </c>
      <c r="AO245" s="154">
        <v>45365</v>
      </c>
      <c r="AP245" s="154">
        <v>45966</v>
      </c>
      <c r="AQ245" s="42"/>
      <c r="AR245" s="42"/>
      <c r="AS245" s="42"/>
      <c r="AT245" s="42"/>
      <c r="AU245" s="42"/>
      <c r="AV245" s="42"/>
      <c r="AW245" s="42"/>
      <c r="AX245" s="42"/>
    </row>
    <row r="246" spans="1:50" ht="12.75" customHeight="1">
      <c r="A246" s="42">
        <v>1000774068</v>
      </c>
      <c r="B246" s="42" t="s">
        <v>561</v>
      </c>
      <c r="C246" s="42" t="s">
        <v>562</v>
      </c>
      <c r="D246" s="42" t="s">
        <v>563</v>
      </c>
      <c r="E246" s="42" t="s">
        <v>481</v>
      </c>
      <c r="F246" s="154">
        <v>36891</v>
      </c>
      <c r="G246" s="42" t="s">
        <v>564</v>
      </c>
      <c r="H246" s="42">
        <v>3192380277</v>
      </c>
      <c r="I246" s="42" t="s">
        <v>450</v>
      </c>
      <c r="J246" s="42"/>
      <c r="K246" s="42"/>
      <c r="L246" s="42"/>
      <c r="M246" s="42" t="s">
        <v>451</v>
      </c>
      <c r="N246" s="42" t="s">
        <v>452</v>
      </c>
      <c r="O246" s="42" t="s">
        <v>453</v>
      </c>
      <c r="P246" s="154">
        <v>44998</v>
      </c>
      <c r="Q246" s="154">
        <v>44998</v>
      </c>
      <c r="R246" s="154"/>
      <c r="S246" s="42">
        <v>8</v>
      </c>
      <c r="T246" s="42" t="s">
        <v>466</v>
      </c>
      <c r="U246" s="42">
        <v>18</v>
      </c>
      <c r="V246" s="42" t="s">
        <v>565</v>
      </c>
      <c r="W246" s="42">
        <v>3</v>
      </c>
      <c r="X246" s="42" t="s">
        <v>457</v>
      </c>
      <c r="Y246" s="42">
        <v>2310470</v>
      </c>
      <c r="Z246" s="42" t="s">
        <v>477</v>
      </c>
      <c r="AA246" s="42">
        <v>407</v>
      </c>
      <c r="AB246" s="42">
        <v>9</v>
      </c>
      <c r="AC246" s="42">
        <v>2675559</v>
      </c>
      <c r="AD246" s="42" t="s">
        <v>146</v>
      </c>
      <c r="AE246" s="42">
        <v>155</v>
      </c>
      <c r="AF246" s="42" t="s">
        <v>458</v>
      </c>
      <c r="AG246" s="42" t="s">
        <v>459</v>
      </c>
      <c r="AH246" s="42" t="s">
        <v>188</v>
      </c>
      <c r="AI246" s="42" t="s">
        <v>460</v>
      </c>
      <c r="AJ246" s="154">
        <v>44998</v>
      </c>
      <c r="AK246" s="42">
        <v>77</v>
      </c>
      <c r="AL246" s="154">
        <v>44980</v>
      </c>
      <c r="AM246" s="154"/>
      <c r="AN246" s="42"/>
      <c r="AO246" s="154"/>
      <c r="AP246" s="154">
        <v>46145</v>
      </c>
      <c r="AQ246" s="42"/>
      <c r="AR246" s="42"/>
      <c r="AS246" s="42"/>
      <c r="AT246" s="42"/>
      <c r="AU246" s="42"/>
      <c r="AV246" s="42"/>
      <c r="AW246" s="42"/>
      <c r="AX246" s="42"/>
    </row>
    <row r="247" spans="1:50" ht="12.75" customHeight="1">
      <c r="A247" s="42">
        <v>1001170136</v>
      </c>
      <c r="B247" s="42" t="s">
        <v>445</v>
      </c>
      <c r="C247" s="42" t="s">
        <v>445</v>
      </c>
      <c r="D247" s="42" t="s">
        <v>566</v>
      </c>
      <c r="E247" s="42" t="s">
        <v>448</v>
      </c>
      <c r="F247" s="154">
        <v>37131</v>
      </c>
      <c r="G247" s="42" t="s">
        <v>567</v>
      </c>
      <c r="H247" s="42">
        <v>3143969243</v>
      </c>
      <c r="I247" s="42" t="s">
        <v>450</v>
      </c>
      <c r="J247" s="42"/>
      <c r="K247" s="42"/>
      <c r="L247" s="42"/>
      <c r="M247" s="42" t="s">
        <v>448</v>
      </c>
      <c r="N247" s="42" t="s">
        <v>452</v>
      </c>
      <c r="O247" s="42" t="s">
        <v>453</v>
      </c>
      <c r="P247" s="154">
        <v>45462</v>
      </c>
      <c r="Q247" s="154">
        <v>45462</v>
      </c>
      <c r="R247" s="154"/>
      <c r="S247" s="42">
        <v>5</v>
      </c>
      <c r="T247" s="42" t="s">
        <v>499</v>
      </c>
      <c r="U247" s="42">
        <v>11</v>
      </c>
      <c r="V247" s="42" t="s">
        <v>456</v>
      </c>
      <c r="W247" s="42">
        <v>3</v>
      </c>
      <c r="X247" s="42" t="s">
        <v>457</v>
      </c>
      <c r="Y247" s="42">
        <v>2310450</v>
      </c>
      <c r="Z247" s="42" t="s">
        <v>568</v>
      </c>
      <c r="AA247" s="42">
        <v>314</v>
      </c>
      <c r="AB247" s="42">
        <v>15</v>
      </c>
      <c r="AC247" s="42">
        <v>4226650</v>
      </c>
      <c r="AD247" s="42" t="s">
        <v>517</v>
      </c>
      <c r="AE247" s="42">
        <v>130</v>
      </c>
      <c r="AF247" s="42" t="s">
        <v>458</v>
      </c>
      <c r="AG247" s="42" t="s">
        <v>459</v>
      </c>
      <c r="AH247" s="42" t="s">
        <v>188</v>
      </c>
      <c r="AI247" s="42" t="s">
        <v>460</v>
      </c>
      <c r="AJ247" s="154">
        <v>45462</v>
      </c>
      <c r="AK247" s="42">
        <v>306</v>
      </c>
      <c r="AL247" s="154">
        <v>45457</v>
      </c>
      <c r="AM247" s="154"/>
      <c r="AN247" s="42"/>
      <c r="AO247" s="154"/>
      <c r="AP247" s="154"/>
      <c r="AQ247" s="42"/>
      <c r="AR247" s="42"/>
      <c r="AS247" s="42"/>
      <c r="AT247" s="42"/>
      <c r="AU247" s="42"/>
      <c r="AV247" s="42"/>
      <c r="AW247" s="42"/>
      <c r="AX247" s="42"/>
    </row>
    <row r="248" spans="1:50" ht="12.75" customHeight="1">
      <c r="A248" s="42">
        <v>1002700039</v>
      </c>
      <c r="B248" s="42" t="s">
        <v>569</v>
      </c>
      <c r="C248" s="42" t="s">
        <v>570</v>
      </c>
      <c r="D248" s="42" t="s">
        <v>571</v>
      </c>
      <c r="E248" s="42" t="s">
        <v>481</v>
      </c>
      <c r="F248" s="154">
        <v>37305</v>
      </c>
      <c r="G248" s="42" t="s">
        <v>572</v>
      </c>
      <c r="H248" s="42">
        <v>3232168954</v>
      </c>
      <c r="I248" s="42" t="s">
        <v>450</v>
      </c>
      <c r="J248" s="42"/>
      <c r="K248" s="42"/>
      <c r="L248" s="42"/>
      <c r="M248" s="42" t="s">
        <v>448</v>
      </c>
      <c r="N248" s="42" t="s">
        <v>5</v>
      </c>
      <c r="O248" s="42" t="s">
        <v>453</v>
      </c>
      <c r="P248" s="154">
        <v>45287</v>
      </c>
      <c r="Q248" s="154">
        <v>45287</v>
      </c>
      <c r="R248" s="154"/>
      <c r="S248" s="42">
        <v>5</v>
      </c>
      <c r="T248" s="42" t="s">
        <v>499</v>
      </c>
      <c r="U248" s="42">
        <v>19</v>
      </c>
      <c r="V248" s="42" t="s">
        <v>574</v>
      </c>
      <c r="W248" s="42">
        <v>19</v>
      </c>
      <c r="X248" s="42" t="s">
        <v>575</v>
      </c>
      <c r="Y248" s="42">
        <v>2310460</v>
      </c>
      <c r="Z248" s="42" t="s">
        <v>506</v>
      </c>
      <c r="AA248" s="42">
        <v>314</v>
      </c>
      <c r="AB248" s="42">
        <v>15</v>
      </c>
      <c r="AC248" s="42">
        <v>4226650</v>
      </c>
      <c r="AD248" s="42" t="s">
        <v>517</v>
      </c>
      <c r="AE248" s="42">
        <v>132</v>
      </c>
      <c r="AF248" s="42" t="s">
        <v>458</v>
      </c>
      <c r="AG248" s="42" t="s">
        <v>459</v>
      </c>
      <c r="AH248" s="42" t="s">
        <v>188</v>
      </c>
      <c r="AI248" s="42" t="s">
        <v>460</v>
      </c>
      <c r="AJ248" s="154">
        <v>45287</v>
      </c>
      <c r="AK248" s="42">
        <v>667</v>
      </c>
      <c r="AL248" s="154">
        <v>45286</v>
      </c>
      <c r="AM248" s="154"/>
      <c r="AN248" s="42"/>
      <c r="AO248" s="154"/>
      <c r="AP248" s="154">
        <v>45692</v>
      </c>
      <c r="AQ248" s="42"/>
      <c r="AR248" s="42"/>
      <c r="AS248" s="42"/>
      <c r="AT248" s="42"/>
      <c r="AU248" s="42"/>
      <c r="AV248" s="42"/>
      <c r="AW248" s="42"/>
      <c r="AX248" s="42"/>
    </row>
    <row r="249" spans="1:50" ht="12.75" customHeight="1">
      <c r="A249" s="42">
        <v>1004136540</v>
      </c>
      <c r="B249" s="42" t="s">
        <v>578</v>
      </c>
      <c r="C249" s="42" t="s">
        <v>579</v>
      </c>
      <c r="D249" s="42" t="s">
        <v>580</v>
      </c>
      <c r="E249" s="42" t="s">
        <v>481</v>
      </c>
      <c r="F249" s="154">
        <v>37647</v>
      </c>
      <c r="G249" s="42" t="s">
        <v>581</v>
      </c>
      <c r="H249" s="42">
        <v>3016552624</v>
      </c>
      <c r="I249" s="42" t="s">
        <v>450</v>
      </c>
      <c r="J249" s="42"/>
      <c r="K249" s="42"/>
      <c r="L249" s="42"/>
      <c r="M249" s="42" t="s">
        <v>451</v>
      </c>
      <c r="N249" s="42" t="s">
        <v>452</v>
      </c>
      <c r="O249" s="42" t="s">
        <v>453</v>
      </c>
      <c r="P249" s="154">
        <v>45674</v>
      </c>
      <c r="Q249" s="154">
        <v>45674</v>
      </c>
      <c r="R249" s="154"/>
      <c r="S249" s="42">
        <v>6</v>
      </c>
      <c r="T249" s="42" t="s">
        <v>511</v>
      </c>
      <c r="U249" s="42">
        <v>19</v>
      </c>
      <c r="V249" s="42" t="s">
        <v>574</v>
      </c>
      <c r="W249" s="42">
        <v>3</v>
      </c>
      <c r="X249" s="42" t="s">
        <v>457</v>
      </c>
      <c r="Y249" s="42">
        <v>2310450</v>
      </c>
      <c r="Z249" s="42" t="s">
        <v>568</v>
      </c>
      <c r="AA249" s="42">
        <v>314</v>
      </c>
      <c r="AB249" s="42">
        <v>15</v>
      </c>
      <c r="AC249" s="42">
        <v>4226650</v>
      </c>
      <c r="AD249" s="42" t="s">
        <v>517</v>
      </c>
      <c r="AE249" s="42">
        <v>128</v>
      </c>
      <c r="AF249" s="42" t="s">
        <v>458</v>
      </c>
      <c r="AG249" s="42" t="s">
        <v>459</v>
      </c>
      <c r="AH249" s="42" t="s">
        <v>188</v>
      </c>
      <c r="AI249" s="42" t="s">
        <v>460</v>
      </c>
      <c r="AJ249" s="154">
        <v>45674</v>
      </c>
      <c r="AK249" s="42">
        <v>588</v>
      </c>
      <c r="AL249" s="154">
        <v>45653</v>
      </c>
      <c r="AM249" s="154"/>
      <c r="AN249" s="42"/>
      <c r="AO249" s="154"/>
      <c r="AP249" s="154">
        <v>45833</v>
      </c>
      <c r="AQ249" s="42"/>
      <c r="AR249" s="42"/>
      <c r="AS249" s="42"/>
      <c r="AT249" s="42"/>
      <c r="AU249" s="42"/>
      <c r="AV249" s="42"/>
      <c r="AW249" s="42"/>
      <c r="AX249" s="42"/>
    </row>
    <row r="250" spans="1:50" ht="12.75" customHeight="1">
      <c r="A250" s="42">
        <v>1005488395</v>
      </c>
      <c r="B250" s="42" t="s">
        <v>582</v>
      </c>
      <c r="C250" s="42" t="s">
        <v>583</v>
      </c>
      <c r="D250" s="42" t="s">
        <v>584</v>
      </c>
      <c r="E250" s="42" t="s">
        <v>448</v>
      </c>
      <c r="F250" s="154">
        <v>36856</v>
      </c>
      <c r="G250" s="42" t="s">
        <v>585</v>
      </c>
      <c r="H250" s="42">
        <v>3023190109</v>
      </c>
      <c r="I250" s="42" t="s">
        <v>586</v>
      </c>
      <c r="J250" s="42"/>
      <c r="K250" s="42"/>
      <c r="L250" s="42"/>
      <c r="M250" s="42" t="s">
        <v>451</v>
      </c>
      <c r="N250" s="42" t="s">
        <v>452</v>
      </c>
      <c r="O250" s="42" t="s">
        <v>453</v>
      </c>
      <c r="P250" s="154">
        <v>45901</v>
      </c>
      <c r="Q250" s="154">
        <v>45901</v>
      </c>
      <c r="R250" s="154"/>
      <c r="S250" s="42">
        <v>5</v>
      </c>
      <c r="T250" s="42" t="s">
        <v>499</v>
      </c>
      <c r="U250" s="42">
        <v>11</v>
      </c>
      <c r="V250" s="42" t="s">
        <v>456</v>
      </c>
      <c r="W250" s="42">
        <v>18</v>
      </c>
      <c r="X250" s="42" t="s">
        <v>536</v>
      </c>
      <c r="Y250" s="42">
        <v>2310450</v>
      </c>
      <c r="Z250" s="42" t="s">
        <v>568</v>
      </c>
      <c r="AA250" s="42">
        <v>314</v>
      </c>
      <c r="AB250" s="42">
        <v>15</v>
      </c>
      <c r="AC250" s="42">
        <v>4226650</v>
      </c>
      <c r="AD250" s="42" t="s">
        <v>517</v>
      </c>
      <c r="AE250" s="42">
        <v>128</v>
      </c>
      <c r="AF250" s="42" t="s">
        <v>458</v>
      </c>
      <c r="AG250" s="42" t="s">
        <v>459</v>
      </c>
      <c r="AH250" s="42" t="s">
        <v>188</v>
      </c>
      <c r="AI250" s="42" t="s">
        <v>460</v>
      </c>
      <c r="AJ250" s="154">
        <v>45901</v>
      </c>
      <c r="AK250" s="42">
        <v>315</v>
      </c>
      <c r="AL250" s="154">
        <v>45894</v>
      </c>
      <c r="AM250" s="154"/>
      <c r="AN250" s="42"/>
      <c r="AO250" s="154"/>
      <c r="AP250" s="154"/>
      <c r="AQ250" s="42"/>
      <c r="AR250" s="42"/>
      <c r="AS250" s="42"/>
      <c r="AT250" s="42"/>
      <c r="AU250" s="42"/>
      <c r="AV250" s="42"/>
      <c r="AW250" s="42"/>
      <c r="AX250" s="42"/>
    </row>
    <row r="251" spans="1:50" ht="12.75" customHeight="1">
      <c r="A251" s="42">
        <v>1007538666</v>
      </c>
      <c r="B251" s="42" t="s">
        <v>2481</v>
      </c>
      <c r="C251" s="42" t="s">
        <v>1965</v>
      </c>
      <c r="D251" s="42" t="s">
        <v>750</v>
      </c>
      <c r="E251" s="42" t="s">
        <v>448</v>
      </c>
      <c r="F251" s="154">
        <v>36567</v>
      </c>
      <c r="G251" s="42" t="s">
        <v>2482</v>
      </c>
      <c r="H251" s="42">
        <v>3138772730</v>
      </c>
      <c r="I251" s="42" t="s">
        <v>450</v>
      </c>
      <c r="J251" s="42"/>
      <c r="K251" s="42"/>
      <c r="L251" s="42"/>
      <c r="M251" s="42" t="s">
        <v>451</v>
      </c>
      <c r="N251" s="42" t="s">
        <v>452</v>
      </c>
      <c r="O251" s="42" t="s">
        <v>453</v>
      </c>
      <c r="P251" s="154">
        <v>46288</v>
      </c>
      <c r="Q251" s="154">
        <v>46288</v>
      </c>
      <c r="R251" s="154"/>
      <c r="S251" s="42">
        <v>42</v>
      </c>
      <c r="T251" s="42" t="s">
        <v>1166</v>
      </c>
      <c r="U251" s="42">
        <v>19</v>
      </c>
      <c r="V251" s="42" t="s">
        <v>574</v>
      </c>
      <c r="W251" s="42">
        <v>3</v>
      </c>
      <c r="X251" s="42" t="s">
        <v>457</v>
      </c>
      <c r="Y251" s="42">
        <v>2310460</v>
      </c>
      <c r="Z251" s="42" t="s">
        <v>506</v>
      </c>
      <c r="AA251" s="42">
        <v>314</v>
      </c>
      <c r="AB251" s="42">
        <v>15</v>
      </c>
      <c r="AC251" s="42">
        <v>4226650</v>
      </c>
      <c r="AD251" s="42" t="s">
        <v>517</v>
      </c>
      <c r="AE251" s="42">
        <v>132</v>
      </c>
      <c r="AF251" s="42" t="s">
        <v>458</v>
      </c>
      <c r="AG251" s="42" t="s">
        <v>459</v>
      </c>
      <c r="AH251" s="42" t="s">
        <v>188</v>
      </c>
      <c r="AI251" s="42" t="s">
        <v>460</v>
      </c>
      <c r="AJ251" s="154">
        <v>46288</v>
      </c>
      <c r="AK251" s="42">
        <v>420</v>
      </c>
      <c r="AL251" s="154">
        <v>46286</v>
      </c>
      <c r="AM251" s="154"/>
      <c r="AN251" s="42"/>
      <c r="AO251" s="154"/>
      <c r="AP251" s="154"/>
      <c r="AQ251" s="42"/>
      <c r="AR251" s="42"/>
      <c r="AS251" s="42"/>
      <c r="AT251" s="42"/>
      <c r="AU251" s="42"/>
      <c r="AV251" s="42"/>
      <c r="AW251" s="42"/>
      <c r="AX251" s="42"/>
    </row>
    <row r="252" spans="1:50" ht="12.75" customHeight="1">
      <c r="A252" s="42">
        <v>1010039988</v>
      </c>
      <c r="B252" s="42" t="s">
        <v>589</v>
      </c>
      <c r="C252" s="42" t="s">
        <v>590</v>
      </c>
      <c r="D252" s="42" t="s">
        <v>591</v>
      </c>
      <c r="E252" s="42" t="s">
        <v>481</v>
      </c>
      <c r="F252" s="154">
        <v>36920</v>
      </c>
      <c r="G252" s="42" t="s">
        <v>592</v>
      </c>
      <c r="H252" s="42">
        <v>3012896930</v>
      </c>
      <c r="I252" s="42" t="s">
        <v>450</v>
      </c>
      <c r="J252" s="42"/>
      <c r="K252" s="42"/>
      <c r="L252" s="42"/>
      <c r="M252" s="42" t="s">
        <v>451</v>
      </c>
      <c r="N252" s="42" t="s">
        <v>452</v>
      </c>
      <c r="O252" s="42" t="s">
        <v>453</v>
      </c>
      <c r="P252" s="154">
        <v>45530</v>
      </c>
      <c r="Q252" s="154">
        <v>45530</v>
      </c>
      <c r="R252" s="42"/>
      <c r="S252" s="42">
        <v>26</v>
      </c>
      <c r="T252" s="42" t="s">
        <v>528</v>
      </c>
      <c r="U252" s="42">
        <v>19</v>
      </c>
      <c r="V252" s="42" t="s">
        <v>574</v>
      </c>
      <c r="W252" s="42">
        <v>19</v>
      </c>
      <c r="X252" s="42" t="s">
        <v>575</v>
      </c>
      <c r="Y252" s="42">
        <v>2311000</v>
      </c>
      <c r="Z252" s="42" t="s">
        <v>467</v>
      </c>
      <c r="AA252" s="42">
        <v>440</v>
      </c>
      <c r="AB252" s="42">
        <v>9</v>
      </c>
      <c r="AC252" s="42">
        <v>2675559</v>
      </c>
      <c r="AD252" s="42" t="s">
        <v>29</v>
      </c>
      <c r="AE252" s="42">
        <v>162</v>
      </c>
      <c r="AF252" s="42" t="s">
        <v>458</v>
      </c>
      <c r="AG252" s="42" t="s">
        <v>459</v>
      </c>
      <c r="AH252" s="42" t="s">
        <v>188</v>
      </c>
      <c r="AI252" s="42" t="s">
        <v>460</v>
      </c>
      <c r="AJ252" s="154">
        <v>45530</v>
      </c>
      <c r="AK252" s="42">
        <v>396</v>
      </c>
      <c r="AL252" s="154">
        <v>45525</v>
      </c>
      <c r="AM252" s="154"/>
      <c r="AN252" s="42"/>
      <c r="AO252" s="154"/>
      <c r="AP252" s="154">
        <v>45532</v>
      </c>
      <c r="AQ252" s="42"/>
      <c r="AR252" s="42"/>
      <c r="AS252" s="42"/>
      <c r="AT252" s="42"/>
      <c r="AU252" s="42"/>
      <c r="AV252" s="42"/>
      <c r="AW252" s="42"/>
      <c r="AX252" s="42"/>
    </row>
    <row r="253" spans="1:50" ht="12.75" customHeight="1">
      <c r="A253" s="42">
        <v>1010161193</v>
      </c>
      <c r="B253" s="42" t="s">
        <v>593</v>
      </c>
      <c r="C253" s="42" t="s">
        <v>594</v>
      </c>
      <c r="D253" s="42" t="s">
        <v>595</v>
      </c>
      <c r="E253" s="42" t="s">
        <v>481</v>
      </c>
      <c r="F253" s="154">
        <v>31362</v>
      </c>
      <c r="G253" s="42" t="s">
        <v>596</v>
      </c>
      <c r="H253" s="42">
        <v>4763242</v>
      </c>
      <c r="I253" s="42" t="s">
        <v>450</v>
      </c>
      <c r="J253" s="42"/>
      <c r="K253" s="42"/>
      <c r="L253" s="42"/>
      <c r="M253" s="42" t="s">
        <v>448</v>
      </c>
      <c r="N253" s="42" t="s">
        <v>452</v>
      </c>
      <c r="O253" s="42" t="s">
        <v>453</v>
      </c>
      <c r="P253" s="154">
        <v>42816</v>
      </c>
      <c r="Q253" s="154">
        <v>42816</v>
      </c>
      <c r="R253" s="154"/>
      <c r="S253" s="42">
        <v>5</v>
      </c>
      <c r="T253" s="42" t="s">
        <v>499</v>
      </c>
      <c r="U253" s="42">
        <v>19</v>
      </c>
      <c r="V253" s="42" t="s">
        <v>574</v>
      </c>
      <c r="W253" s="42">
        <v>19</v>
      </c>
      <c r="X253" s="42" t="s">
        <v>575</v>
      </c>
      <c r="Y253" s="42">
        <v>2310470</v>
      </c>
      <c r="Z253" s="42" t="s">
        <v>477</v>
      </c>
      <c r="AA253" s="42">
        <v>222</v>
      </c>
      <c r="AB253" s="42">
        <v>25</v>
      </c>
      <c r="AC253" s="42">
        <v>6982028</v>
      </c>
      <c r="AD253" s="42" t="s">
        <v>51</v>
      </c>
      <c r="AE253" s="42">
        <v>52</v>
      </c>
      <c r="AF253" s="42" t="s">
        <v>458</v>
      </c>
      <c r="AG253" s="42" t="s">
        <v>459</v>
      </c>
      <c r="AH253" s="42" t="s">
        <v>188</v>
      </c>
      <c r="AI253" s="42" t="s">
        <v>460</v>
      </c>
      <c r="AJ253" s="154">
        <v>43642</v>
      </c>
      <c r="AK253" s="42">
        <v>74</v>
      </c>
      <c r="AL253" s="154">
        <v>43641</v>
      </c>
      <c r="AM253" s="154"/>
      <c r="AN253" s="42"/>
      <c r="AO253" s="154"/>
      <c r="AP253" s="154">
        <v>44104</v>
      </c>
      <c r="AQ253" s="42"/>
      <c r="AR253" s="42"/>
      <c r="AS253" s="42"/>
      <c r="AT253" s="42"/>
      <c r="AU253" s="42"/>
      <c r="AV253" s="42"/>
      <c r="AW253" s="42"/>
      <c r="AX253" s="42"/>
    </row>
    <row r="254" spans="1:50" ht="12.75" customHeight="1">
      <c r="A254" s="42">
        <v>1010162887</v>
      </c>
      <c r="B254" s="42" t="s">
        <v>469</v>
      </c>
      <c r="C254" s="42" t="s">
        <v>597</v>
      </c>
      <c r="D254" s="42" t="s">
        <v>598</v>
      </c>
      <c r="E254" s="42" t="s">
        <v>481</v>
      </c>
      <c r="F254" s="154">
        <v>31505</v>
      </c>
      <c r="G254" s="42" t="s">
        <v>599</v>
      </c>
      <c r="H254" s="42">
        <v>2605840</v>
      </c>
      <c r="I254" s="42" t="s">
        <v>450</v>
      </c>
      <c r="J254" s="42"/>
      <c r="K254" s="42"/>
      <c r="L254" s="42"/>
      <c r="M254" s="42" t="s">
        <v>451</v>
      </c>
      <c r="N254" s="42" t="s">
        <v>452</v>
      </c>
      <c r="O254" s="42" t="s">
        <v>453</v>
      </c>
      <c r="P254" s="154">
        <v>42898</v>
      </c>
      <c r="Q254" s="154">
        <v>42898</v>
      </c>
      <c r="R254" s="154"/>
      <c r="S254" s="42">
        <v>18</v>
      </c>
      <c r="T254" s="42" t="s">
        <v>472</v>
      </c>
      <c r="U254" s="42">
        <v>11</v>
      </c>
      <c r="V254" s="42" t="s">
        <v>456</v>
      </c>
      <c r="W254" s="42">
        <v>3</v>
      </c>
      <c r="X254" s="42" t="s">
        <v>457</v>
      </c>
      <c r="Y254" s="42">
        <v>85</v>
      </c>
      <c r="Z254" s="42" t="s">
        <v>500</v>
      </c>
      <c r="AA254" s="42">
        <v>219</v>
      </c>
      <c r="AB254" s="42">
        <v>18</v>
      </c>
      <c r="AC254" s="42">
        <v>5951245</v>
      </c>
      <c r="AD254" s="42" t="s">
        <v>72</v>
      </c>
      <c r="AE254" s="42">
        <v>85</v>
      </c>
      <c r="AF254" s="42" t="s">
        <v>458</v>
      </c>
      <c r="AG254" s="42" t="s">
        <v>459</v>
      </c>
      <c r="AH254" s="42" t="s">
        <v>188</v>
      </c>
      <c r="AI254" s="42" t="s">
        <v>460</v>
      </c>
      <c r="AJ254" s="154">
        <v>42898</v>
      </c>
      <c r="AK254" s="42">
        <v>80</v>
      </c>
      <c r="AL254" s="154">
        <v>42880</v>
      </c>
      <c r="AM254" s="154"/>
      <c r="AN254" s="42"/>
      <c r="AO254" s="154"/>
      <c r="AP254" s="154">
        <v>44297</v>
      </c>
      <c r="AQ254" s="42"/>
      <c r="AR254" s="42"/>
      <c r="AS254" s="42"/>
      <c r="AT254" s="42"/>
      <c r="AU254" s="42"/>
      <c r="AV254" s="42"/>
      <c r="AW254" s="42"/>
      <c r="AX254" s="42"/>
    </row>
    <row r="255" spans="1:50" ht="12.75" customHeight="1">
      <c r="A255" s="42">
        <v>1010171625</v>
      </c>
      <c r="B255" s="42" t="s">
        <v>601</v>
      </c>
      <c r="C255" s="42" t="s">
        <v>445</v>
      </c>
      <c r="D255" s="42" t="s">
        <v>602</v>
      </c>
      <c r="E255" s="42" t="s">
        <v>481</v>
      </c>
      <c r="F255" s="154">
        <v>31853</v>
      </c>
      <c r="G255" s="42" t="s">
        <v>603</v>
      </c>
      <c r="H255" s="42">
        <v>3002752886</v>
      </c>
      <c r="I255" s="42" t="s">
        <v>450</v>
      </c>
      <c r="J255" s="42"/>
      <c r="K255" s="42"/>
      <c r="L255" s="42"/>
      <c r="M255" s="42" t="s">
        <v>448</v>
      </c>
      <c r="N255" s="42" t="s">
        <v>452</v>
      </c>
      <c r="O255" s="42" t="s">
        <v>453</v>
      </c>
      <c r="P255" s="154">
        <v>44896</v>
      </c>
      <c r="Q255" s="154">
        <v>43860</v>
      </c>
      <c r="R255" s="42"/>
      <c r="S255" s="42">
        <v>26</v>
      </c>
      <c r="T255" s="42" t="s">
        <v>528</v>
      </c>
      <c r="U255" s="42">
        <v>11</v>
      </c>
      <c r="V255" s="42" t="s">
        <v>456</v>
      </c>
      <c r="W255" s="42">
        <v>3</v>
      </c>
      <c r="X255" s="42" t="s">
        <v>457</v>
      </c>
      <c r="Y255" s="42">
        <v>2311000</v>
      </c>
      <c r="Z255" s="42" t="s">
        <v>467</v>
      </c>
      <c r="AA255" s="42">
        <v>9</v>
      </c>
      <c r="AB255" s="42">
        <v>7</v>
      </c>
      <c r="AC255" s="42">
        <v>11186814</v>
      </c>
      <c r="AD255" s="42" t="s">
        <v>512</v>
      </c>
      <c r="AE255" s="42">
        <v>8</v>
      </c>
      <c r="AF255" s="42" t="s">
        <v>458</v>
      </c>
      <c r="AG255" s="42" t="s">
        <v>459</v>
      </c>
      <c r="AH255" s="42" t="s">
        <v>484</v>
      </c>
      <c r="AI255" s="42" t="s">
        <v>460</v>
      </c>
      <c r="AJ255" s="154">
        <v>44896</v>
      </c>
      <c r="AK255" s="42">
        <v>462</v>
      </c>
      <c r="AL255" s="154">
        <v>44880</v>
      </c>
      <c r="AM255" s="154"/>
      <c r="AN255" s="42"/>
      <c r="AO255" s="154"/>
      <c r="AP255" s="154">
        <v>45006</v>
      </c>
      <c r="AQ255" s="42"/>
      <c r="AR255" s="42"/>
      <c r="AS255" s="42"/>
      <c r="AT255" s="42"/>
      <c r="AU255" s="42"/>
      <c r="AV255" s="42"/>
      <c r="AW255" s="42"/>
      <c r="AX255" s="42"/>
    </row>
    <row r="256" spans="1:50" ht="12.75" customHeight="1">
      <c r="A256" s="42">
        <v>1010172736</v>
      </c>
      <c r="B256" s="42" t="s">
        <v>606</v>
      </c>
      <c r="C256" s="42" t="s">
        <v>607</v>
      </c>
      <c r="D256" s="42" t="s">
        <v>608</v>
      </c>
      <c r="E256" s="42" t="s">
        <v>481</v>
      </c>
      <c r="F256" s="154">
        <v>31822</v>
      </c>
      <c r="G256" s="42" t="s">
        <v>609</v>
      </c>
      <c r="H256" s="42">
        <v>3880252</v>
      </c>
      <c r="I256" s="42" t="s">
        <v>450</v>
      </c>
      <c r="J256" s="42"/>
      <c r="K256" s="42"/>
      <c r="L256" s="42"/>
      <c r="M256" s="42" t="s">
        <v>451</v>
      </c>
      <c r="N256" s="42" t="s">
        <v>452</v>
      </c>
      <c r="O256" s="42" t="s">
        <v>453</v>
      </c>
      <c r="P256" s="154">
        <v>43375</v>
      </c>
      <c r="Q256" s="154">
        <v>40634</v>
      </c>
      <c r="R256" s="154"/>
      <c r="S256" s="42">
        <v>2</v>
      </c>
      <c r="T256" s="42" t="s">
        <v>455</v>
      </c>
      <c r="U256" s="42">
        <v>11</v>
      </c>
      <c r="V256" s="42" t="s">
        <v>456</v>
      </c>
      <c r="W256" s="42">
        <v>3</v>
      </c>
      <c r="X256" s="42" t="s">
        <v>457</v>
      </c>
      <c r="Y256" s="42">
        <v>2311000</v>
      </c>
      <c r="Z256" s="42" t="s">
        <v>467</v>
      </c>
      <c r="AA256" s="42">
        <v>222</v>
      </c>
      <c r="AB256" s="42">
        <v>24</v>
      </c>
      <c r="AC256" s="42">
        <v>6809900</v>
      </c>
      <c r="AD256" s="42" t="s">
        <v>51</v>
      </c>
      <c r="AE256" s="42">
        <v>21</v>
      </c>
      <c r="AF256" s="42" t="s">
        <v>458</v>
      </c>
      <c r="AG256" s="42" t="s">
        <v>459</v>
      </c>
      <c r="AH256" s="42" t="s">
        <v>188</v>
      </c>
      <c r="AI256" s="42" t="s">
        <v>460</v>
      </c>
      <c r="AJ256" s="154">
        <v>43375</v>
      </c>
      <c r="AK256" s="42">
        <v>84</v>
      </c>
      <c r="AL256" s="154">
        <v>43361</v>
      </c>
      <c r="AM256" s="154"/>
      <c r="AN256" s="42"/>
      <c r="AO256" s="154"/>
      <c r="AP256" s="154">
        <v>44125</v>
      </c>
      <c r="AQ256" s="42"/>
      <c r="AR256" s="42"/>
      <c r="AS256" s="42"/>
      <c r="AT256" s="42"/>
      <c r="AU256" s="42"/>
      <c r="AV256" s="42"/>
      <c r="AW256" s="42"/>
      <c r="AX256" s="42"/>
    </row>
    <row r="257" spans="1:50" ht="12.75" customHeight="1">
      <c r="A257" s="42">
        <v>1010173382</v>
      </c>
      <c r="B257" s="42" t="s">
        <v>614</v>
      </c>
      <c r="C257" s="42" t="s">
        <v>615</v>
      </c>
      <c r="D257" s="42" t="s">
        <v>616</v>
      </c>
      <c r="E257" s="42" t="s">
        <v>481</v>
      </c>
      <c r="F257" s="154">
        <v>32053</v>
      </c>
      <c r="G257" s="42" t="s">
        <v>617</v>
      </c>
      <c r="H257" s="42">
        <v>3184152356</v>
      </c>
      <c r="I257" s="42" t="s">
        <v>586</v>
      </c>
      <c r="J257" s="42"/>
      <c r="K257" s="42"/>
      <c r="L257" s="42"/>
      <c r="M257" s="42" t="s">
        <v>451</v>
      </c>
      <c r="N257" s="42" t="s">
        <v>452</v>
      </c>
      <c r="O257" s="42" t="s">
        <v>453</v>
      </c>
      <c r="P257" s="154">
        <v>44537</v>
      </c>
      <c r="Q257" s="154">
        <v>42790</v>
      </c>
      <c r="R257" s="154"/>
      <c r="S257" s="42">
        <v>24</v>
      </c>
      <c r="T257" s="42" t="s">
        <v>619</v>
      </c>
      <c r="U257" s="42">
        <v>11</v>
      </c>
      <c r="V257" s="42" t="s">
        <v>456</v>
      </c>
      <c r="W257" s="42">
        <v>19</v>
      </c>
      <c r="X257" s="42" t="s">
        <v>575</v>
      </c>
      <c r="Y257" s="42">
        <v>2310200</v>
      </c>
      <c r="Z257" s="42" t="s">
        <v>623</v>
      </c>
      <c r="AA257" s="42">
        <v>219</v>
      </c>
      <c r="AB257" s="42">
        <v>8</v>
      </c>
      <c r="AC257" s="42">
        <v>4802489</v>
      </c>
      <c r="AD257" s="42" t="s">
        <v>72</v>
      </c>
      <c r="AE257" s="42">
        <v>101</v>
      </c>
      <c r="AF257" s="42" t="s">
        <v>458</v>
      </c>
      <c r="AG257" s="42" t="s">
        <v>459</v>
      </c>
      <c r="AH257" s="42" t="s">
        <v>49</v>
      </c>
      <c r="AI257" s="42" t="s">
        <v>460</v>
      </c>
      <c r="AJ257" s="154">
        <v>44537</v>
      </c>
      <c r="AK257" s="42">
        <v>135</v>
      </c>
      <c r="AL257" s="154">
        <v>44396</v>
      </c>
      <c r="AM257" s="154">
        <v>45259</v>
      </c>
      <c r="AN257" s="42">
        <v>615</v>
      </c>
      <c r="AO257" s="154">
        <v>45258</v>
      </c>
      <c r="AP257" s="154">
        <v>45658</v>
      </c>
      <c r="AQ257" s="42"/>
      <c r="AR257" s="42"/>
      <c r="AS257" s="42"/>
      <c r="AT257" s="42"/>
      <c r="AU257" s="42"/>
      <c r="AV257" s="42"/>
      <c r="AW257" s="42"/>
      <c r="AX257" s="42"/>
    </row>
    <row r="258" spans="1:50" ht="12.75" customHeight="1">
      <c r="A258" s="42">
        <v>1010176886</v>
      </c>
      <c r="B258" s="42" t="s">
        <v>624</v>
      </c>
      <c r="C258" s="42" t="s">
        <v>625</v>
      </c>
      <c r="D258" s="42" t="s">
        <v>626</v>
      </c>
      <c r="E258" s="42" t="s">
        <v>448</v>
      </c>
      <c r="F258" s="154">
        <v>32294</v>
      </c>
      <c r="G258" s="42" t="s">
        <v>627</v>
      </c>
      <c r="H258" s="42">
        <v>6348695</v>
      </c>
      <c r="I258" s="42" t="s">
        <v>586</v>
      </c>
      <c r="J258" s="42">
        <v>1010176886</v>
      </c>
      <c r="K258" s="42">
        <v>2</v>
      </c>
      <c r="L258" s="42">
        <v>51</v>
      </c>
      <c r="M258" s="42" t="s">
        <v>448</v>
      </c>
      <c r="N258" s="42" t="s">
        <v>452</v>
      </c>
      <c r="O258" s="42" t="s">
        <v>453</v>
      </c>
      <c r="P258" s="154">
        <v>44144</v>
      </c>
      <c r="Q258" s="154">
        <v>44144</v>
      </c>
      <c r="R258" s="154"/>
      <c r="S258" s="42">
        <v>18</v>
      </c>
      <c r="T258" s="42" t="s">
        <v>472</v>
      </c>
      <c r="U258" s="42">
        <v>11</v>
      </c>
      <c r="V258" s="42" t="s">
        <v>456</v>
      </c>
      <c r="W258" s="42">
        <v>3</v>
      </c>
      <c r="X258" s="42" t="s">
        <v>457</v>
      </c>
      <c r="Y258" s="42">
        <v>2310440</v>
      </c>
      <c r="Z258" s="42" t="s">
        <v>628</v>
      </c>
      <c r="AA258" s="42">
        <v>314</v>
      </c>
      <c r="AB258" s="42">
        <v>15</v>
      </c>
      <c r="AC258" s="42">
        <v>4226650</v>
      </c>
      <c r="AD258" s="42" t="s">
        <v>517</v>
      </c>
      <c r="AE258" s="42">
        <v>134</v>
      </c>
      <c r="AF258" s="42" t="s">
        <v>458</v>
      </c>
      <c r="AG258" s="42" t="s">
        <v>459</v>
      </c>
      <c r="AH258" s="42" t="s">
        <v>49</v>
      </c>
      <c r="AI258" s="42" t="s">
        <v>460</v>
      </c>
      <c r="AJ258" s="154">
        <v>44144</v>
      </c>
      <c r="AK258" s="42">
        <v>201</v>
      </c>
      <c r="AL258" s="154">
        <v>44124</v>
      </c>
      <c r="AM258" s="154">
        <v>44820</v>
      </c>
      <c r="AN258" s="42">
        <v>325</v>
      </c>
      <c r="AO258" s="154">
        <v>44817</v>
      </c>
      <c r="AP258" s="154"/>
      <c r="AQ258" s="42"/>
      <c r="AR258" s="42"/>
      <c r="AS258" s="42"/>
      <c r="AT258" s="42"/>
      <c r="AU258" s="42"/>
      <c r="AV258" s="42"/>
      <c r="AW258" s="42"/>
      <c r="AX258" s="42"/>
    </row>
    <row r="259" spans="1:50" ht="12.75" customHeight="1">
      <c r="A259" s="42">
        <v>1010181160</v>
      </c>
      <c r="B259" s="42" t="s">
        <v>630</v>
      </c>
      <c r="C259" s="42" t="s">
        <v>631</v>
      </c>
      <c r="D259" s="42" t="s">
        <v>632</v>
      </c>
      <c r="E259" s="42" t="s">
        <v>481</v>
      </c>
      <c r="F259" s="154">
        <v>32552</v>
      </c>
      <c r="G259" s="42" t="s">
        <v>633</v>
      </c>
      <c r="H259" s="42">
        <v>3138644207</v>
      </c>
      <c r="I259" s="42" t="s">
        <v>586</v>
      </c>
      <c r="J259" s="42"/>
      <c r="K259" s="42"/>
      <c r="L259" s="42"/>
      <c r="M259" s="42" t="s">
        <v>448</v>
      </c>
      <c r="N259" s="42" t="s">
        <v>452</v>
      </c>
      <c r="O259" s="42" t="s">
        <v>453</v>
      </c>
      <c r="P259" s="154">
        <v>45386</v>
      </c>
      <c r="Q259" s="154">
        <v>45386</v>
      </c>
      <c r="R259" s="154"/>
      <c r="S259" s="42">
        <v>8</v>
      </c>
      <c r="T259" s="42" t="s">
        <v>466</v>
      </c>
      <c r="U259" s="42">
        <v>11</v>
      </c>
      <c r="V259" s="42" t="s">
        <v>456</v>
      </c>
      <c r="W259" s="42">
        <v>3</v>
      </c>
      <c r="X259" s="42" t="s">
        <v>457</v>
      </c>
      <c r="Y259" s="42">
        <v>2310100</v>
      </c>
      <c r="Z259" s="42" t="s">
        <v>541</v>
      </c>
      <c r="AA259" s="42">
        <v>115</v>
      </c>
      <c r="AB259" s="42">
        <v>6</v>
      </c>
      <c r="AC259" s="42">
        <v>10208470</v>
      </c>
      <c r="AD259" s="42" t="s">
        <v>635</v>
      </c>
      <c r="AE259" s="42">
        <v>16</v>
      </c>
      <c r="AF259" s="42" t="s">
        <v>458</v>
      </c>
      <c r="AG259" s="42" t="s">
        <v>459</v>
      </c>
      <c r="AH259" s="42" t="s">
        <v>484</v>
      </c>
      <c r="AI259" s="42" t="s">
        <v>460</v>
      </c>
      <c r="AJ259" s="154">
        <v>45386</v>
      </c>
      <c r="AK259" s="42">
        <v>194</v>
      </c>
      <c r="AL259" s="154">
        <v>45385</v>
      </c>
      <c r="AM259" s="154">
        <v>45635</v>
      </c>
      <c r="AN259" s="42">
        <v>540</v>
      </c>
      <c r="AO259" s="154">
        <v>45629</v>
      </c>
      <c r="AP259" s="154">
        <v>45714</v>
      </c>
      <c r="AQ259" s="42"/>
      <c r="AR259" s="42"/>
      <c r="AS259" s="42"/>
      <c r="AT259" s="42"/>
      <c r="AU259" s="42"/>
      <c r="AV259" s="42"/>
      <c r="AW259" s="42"/>
      <c r="AX259" s="42"/>
    </row>
    <row r="260" spans="1:50" ht="12.75" customHeight="1">
      <c r="A260" s="42">
        <v>1010201219</v>
      </c>
      <c r="B260" s="42" t="s">
        <v>636</v>
      </c>
      <c r="C260" s="42" t="s">
        <v>637</v>
      </c>
      <c r="D260" s="42" t="s">
        <v>638</v>
      </c>
      <c r="E260" s="42" t="s">
        <v>481</v>
      </c>
      <c r="F260" s="154">
        <v>33633</v>
      </c>
      <c r="G260" s="42" t="s">
        <v>639</v>
      </c>
      <c r="H260" s="42">
        <v>7507169</v>
      </c>
      <c r="I260" s="42" t="s">
        <v>586</v>
      </c>
      <c r="J260" s="42">
        <v>1010201219</v>
      </c>
      <c r="K260" s="42">
        <v>2</v>
      </c>
      <c r="L260" s="42"/>
      <c r="M260" s="42" t="s">
        <v>451</v>
      </c>
      <c r="N260" s="42" t="s">
        <v>452</v>
      </c>
      <c r="O260" s="42" t="s">
        <v>453</v>
      </c>
      <c r="P260" s="154">
        <v>42843</v>
      </c>
      <c r="Q260" s="154">
        <v>42843</v>
      </c>
      <c r="R260" s="42"/>
      <c r="S260" s="42">
        <v>26</v>
      </c>
      <c r="T260" s="42" t="s">
        <v>528</v>
      </c>
      <c r="U260" s="42">
        <v>18</v>
      </c>
      <c r="V260" s="42" t="s">
        <v>565</v>
      </c>
      <c r="W260" s="42">
        <v>3</v>
      </c>
      <c r="X260" s="42" t="s">
        <v>457</v>
      </c>
      <c r="Y260" s="42">
        <v>2310300</v>
      </c>
      <c r="Z260" s="42" t="s">
        <v>138</v>
      </c>
      <c r="AA260" s="42">
        <v>219</v>
      </c>
      <c r="AB260" s="42">
        <v>10</v>
      </c>
      <c r="AC260" s="42">
        <v>4938935</v>
      </c>
      <c r="AD260" s="42" t="s">
        <v>72</v>
      </c>
      <c r="AE260" s="42">
        <v>103</v>
      </c>
      <c r="AF260" s="42" t="s">
        <v>458</v>
      </c>
      <c r="AG260" s="42" t="s">
        <v>459</v>
      </c>
      <c r="AH260" s="42" t="s">
        <v>188</v>
      </c>
      <c r="AI260" s="42" t="s">
        <v>460</v>
      </c>
      <c r="AJ260" s="154">
        <v>42843</v>
      </c>
      <c r="AK260" s="42">
        <v>52</v>
      </c>
      <c r="AL260" s="154">
        <v>42832</v>
      </c>
      <c r="AM260" s="154"/>
      <c r="AN260" s="42"/>
      <c r="AO260" s="154"/>
      <c r="AP260" s="154">
        <v>44088</v>
      </c>
      <c r="AQ260" s="42"/>
      <c r="AR260" s="42"/>
      <c r="AS260" s="42"/>
      <c r="AT260" s="42"/>
      <c r="AU260" s="42"/>
      <c r="AV260" s="42"/>
      <c r="AW260" s="42"/>
      <c r="AX260" s="42"/>
    </row>
    <row r="261" spans="1:50" ht="12.75" customHeight="1">
      <c r="A261" s="42">
        <v>1010213468</v>
      </c>
      <c r="B261" s="42" t="s">
        <v>640</v>
      </c>
      <c r="C261" s="42" t="s">
        <v>538</v>
      </c>
      <c r="D261" s="42" t="s">
        <v>641</v>
      </c>
      <c r="E261" s="42" t="s">
        <v>448</v>
      </c>
      <c r="F261" s="154">
        <v>34380</v>
      </c>
      <c r="G261" s="42" t="s">
        <v>643</v>
      </c>
      <c r="H261" s="42">
        <v>3214467362</v>
      </c>
      <c r="I261" s="42" t="s">
        <v>450</v>
      </c>
      <c r="J261" s="42"/>
      <c r="K261" s="42"/>
      <c r="L261" s="42"/>
      <c r="M261" s="42" t="s">
        <v>547</v>
      </c>
      <c r="N261" s="42" t="s">
        <v>452</v>
      </c>
      <c r="O261" s="42" t="s">
        <v>453</v>
      </c>
      <c r="P261" s="154">
        <v>46224</v>
      </c>
      <c r="Q261" s="154">
        <v>46224</v>
      </c>
      <c r="R261" s="42"/>
      <c r="S261" s="42">
        <v>8</v>
      </c>
      <c r="T261" s="42" t="s">
        <v>466</v>
      </c>
      <c r="U261" s="42">
        <v>11</v>
      </c>
      <c r="V261" s="42" t="s">
        <v>456</v>
      </c>
      <c r="W261" s="42">
        <v>3</v>
      </c>
      <c r="X261" s="42" t="s">
        <v>457</v>
      </c>
      <c r="Y261" s="42">
        <v>2310470</v>
      </c>
      <c r="Z261" s="42" t="s">
        <v>477</v>
      </c>
      <c r="AA261" s="42">
        <v>222</v>
      </c>
      <c r="AB261" s="42">
        <v>19</v>
      </c>
      <c r="AC261" s="42">
        <v>6258912</v>
      </c>
      <c r="AD261" s="42" t="s">
        <v>51</v>
      </c>
      <c r="AE261" s="42">
        <v>72</v>
      </c>
      <c r="AF261" s="42" t="s">
        <v>458</v>
      </c>
      <c r="AG261" s="42" t="s">
        <v>459</v>
      </c>
      <c r="AH261" s="42" t="s">
        <v>644</v>
      </c>
      <c r="AI261" s="42" t="s">
        <v>460</v>
      </c>
      <c r="AJ261" s="154">
        <v>46224</v>
      </c>
      <c r="AK261" s="42">
        <v>236</v>
      </c>
      <c r="AL261" s="154">
        <v>46169</v>
      </c>
      <c r="AM261" s="154"/>
      <c r="AN261" s="42"/>
      <c r="AO261" s="154"/>
      <c r="AP261" s="154"/>
      <c r="AQ261" s="42"/>
      <c r="AR261" s="42"/>
      <c r="AS261" s="42"/>
      <c r="AT261" s="42"/>
      <c r="AU261" s="42"/>
      <c r="AV261" s="42"/>
      <c r="AW261" s="42"/>
      <c r="AX261" s="42"/>
    </row>
    <row r="262" spans="1:50" ht="12.75" customHeight="1">
      <c r="A262" s="42">
        <v>1010220018</v>
      </c>
      <c r="B262" s="42" t="s">
        <v>645</v>
      </c>
      <c r="C262" s="42" t="s">
        <v>646</v>
      </c>
      <c r="D262" s="42" t="s">
        <v>647</v>
      </c>
      <c r="E262" s="42" t="s">
        <v>481</v>
      </c>
      <c r="F262" s="154">
        <v>34732</v>
      </c>
      <c r="G262" s="42" t="s">
        <v>648</v>
      </c>
      <c r="H262" s="42">
        <v>3204541125</v>
      </c>
      <c r="I262" s="42" t="s">
        <v>450</v>
      </c>
      <c r="J262" s="42"/>
      <c r="K262" s="42"/>
      <c r="L262" s="42"/>
      <c r="M262" s="42" t="s">
        <v>451</v>
      </c>
      <c r="N262" s="42" t="s">
        <v>452</v>
      </c>
      <c r="O262" s="42" t="s">
        <v>453</v>
      </c>
      <c r="P262" s="154">
        <v>45170</v>
      </c>
      <c r="Q262" s="154">
        <v>45170</v>
      </c>
      <c r="R262" s="154"/>
      <c r="S262" s="42">
        <v>8</v>
      </c>
      <c r="T262" s="42" t="s">
        <v>466</v>
      </c>
      <c r="U262" s="42">
        <v>19</v>
      </c>
      <c r="V262" s="42" t="s">
        <v>574</v>
      </c>
      <c r="W262" s="42">
        <v>3</v>
      </c>
      <c r="X262" s="42" t="s">
        <v>457</v>
      </c>
      <c r="Y262" s="42">
        <v>2310460</v>
      </c>
      <c r="Z262" s="42" t="s">
        <v>506</v>
      </c>
      <c r="AA262" s="42">
        <v>314</v>
      </c>
      <c r="AB262" s="42">
        <v>9</v>
      </c>
      <c r="AC262" s="42">
        <v>3687785</v>
      </c>
      <c r="AD262" s="42" t="s">
        <v>517</v>
      </c>
      <c r="AE262" s="42">
        <v>136</v>
      </c>
      <c r="AF262" s="42" t="s">
        <v>458</v>
      </c>
      <c r="AG262" s="42" t="s">
        <v>459</v>
      </c>
      <c r="AH262" s="42" t="s">
        <v>188</v>
      </c>
      <c r="AI262" s="42" t="s">
        <v>460</v>
      </c>
      <c r="AJ262" s="154">
        <v>45170</v>
      </c>
      <c r="AK262" s="42">
        <v>339</v>
      </c>
      <c r="AL262" s="154">
        <v>45092</v>
      </c>
      <c r="AM262" s="154"/>
      <c r="AN262" s="42"/>
      <c r="AO262" s="154"/>
      <c r="AP262" s="154">
        <v>46034</v>
      </c>
      <c r="AQ262" s="42"/>
      <c r="AR262" s="42"/>
      <c r="AS262" s="42"/>
      <c r="AT262" s="42"/>
      <c r="AU262" s="42"/>
      <c r="AV262" s="42"/>
      <c r="AW262" s="42"/>
      <c r="AX262" s="42"/>
    </row>
    <row r="263" spans="1:50" ht="12.75" customHeight="1">
      <c r="A263" s="42">
        <v>52486713</v>
      </c>
      <c r="B263" s="42" t="s">
        <v>981</v>
      </c>
      <c r="C263" s="42" t="s">
        <v>982</v>
      </c>
      <c r="D263" s="42" t="s">
        <v>983</v>
      </c>
      <c r="E263" s="42" t="s">
        <v>448</v>
      </c>
      <c r="F263" s="154">
        <v>29492</v>
      </c>
      <c r="G263" s="42" t="s">
        <v>1799</v>
      </c>
      <c r="H263" s="42">
        <v>8143204</v>
      </c>
      <c r="I263" s="42" t="s">
        <v>450</v>
      </c>
      <c r="J263" s="42"/>
      <c r="K263" s="42"/>
      <c r="L263" s="42"/>
      <c r="M263" s="42" t="s">
        <v>451</v>
      </c>
      <c r="N263" s="42" t="s">
        <v>452</v>
      </c>
      <c r="O263" s="42" t="s">
        <v>453</v>
      </c>
      <c r="P263" s="154">
        <v>44139</v>
      </c>
      <c r="Q263" s="154">
        <v>44139</v>
      </c>
      <c r="R263" s="154"/>
      <c r="S263" s="42">
        <v>26</v>
      </c>
      <c r="T263" s="42" t="s">
        <v>528</v>
      </c>
      <c r="U263" s="42">
        <v>11</v>
      </c>
      <c r="V263" s="42" t="s">
        <v>456</v>
      </c>
      <c r="W263" s="42">
        <v>3</v>
      </c>
      <c r="X263" s="42" t="s">
        <v>457</v>
      </c>
      <c r="Y263" s="42">
        <v>2310460</v>
      </c>
      <c r="Z263" s="42" t="s">
        <v>506</v>
      </c>
      <c r="AA263" s="42">
        <v>219</v>
      </c>
      <c r="AB263" s="42">
        <v>18</v>
      </c>
      <c r="AC263" s="42">
        <v>5951245</v>
      </c>
      <c r="AD263" s="42" t="s">
        <v>72</v>
      </c>
      <c r="AE263" s="42">
        <v>83</v>
      </c>
      <c r="AF263" s="42" t="s">
        <v>458</v>
      </c>
      <c r="AG263" s="42" t="s">
        <v>459</v>
      </c>
      <c r="AH263" s="42" t="s">
        <v>49</v>
      </c>
      <c r="AI263" s="42" t="s">
        <v>460</v>
      </c>
      <c r="AJ263" s="154">
        <v>44139</v>
      </c>
      <c r="AK263" s="42">
        <v>146</v>
      </c>
      <c r="AL263" s="154">
        <v>44118</v>
      </c>
      <c r="AM263" s="154">
        <v>45937</v>
      </c>
      <c r="AN263" s="42">
        <v>371</v>
      </c>
      <c r="AO263" s="154">
        <v>45936</v>
      </c>
      <c r="AP263" s="154"/>
      <c r="AQ263" s="42"/>
      <c r="AR263" s="42"/>
      <c r="AS263" s="42"/>
      <c r="AT263" s="42"/>
      <c r="AU263" s="42"/>
      <c r="AV263" s="42"/>
      <c r="AW263" s="42"/>
      <c r="AX263" s="42"/>
    </row>
    <row r="264" spans="1:50" ht="12.75" customHeight="1">
      <c r="A264" s="42">
        <v>52489363</v>
      </c>
      <c r="B264" s="42" t="s">
        <v>1133</v>
      </c>
      <c r="C264" s="42" t="s">
        <v>636</v>
      </c>
      <c r="D264" s="42" t="s">
        <v>1801</v>
      </c>
      <c r="E264" s="42" t="s">
        <v>481</v>
      </c>
      <c r="F264" s="154">
        <v>28340</v>
      </c>
      <c r="G264" s="42" t="s">
        <v>1802</v>
      </c>
      <c r="H264" s="42">
        <v>5389197</v>
      </c>
      <c r="I264" s="42" t="s">
        <v>450</v>
      </c>
      <c r="J264" s="42"/>
      <c r="K264" s="42"/>
      <c r="L264" s="42"/>
      <c r="M264" s="42" t="s">
        <v>527</v>
      </c>
      <c r="N264" s="42" t="s">
        <v>5</v>
      </c>
      <c r="O264" s="42" t="s">
        <v>453</v>
      </c>
      <c r="P264" s="154">
        <v>42842</v>
      </c>
      <c r="Q264" s="154">
        <v>42842</v>
      </c>
      <c r="R264" s="154"/>
      <c r="S264" s="42">
        <v>5</v>
      </c>
      <c r="T264" s="42" t="s">
        <v>499</v>
      </c>
      <c r="U264" s="42">
        <v>11</v>
      </c>
      <c r="V264" s="42" t="s">
        <v>456</v>
      </c>
      <c r="W264" s="42">
        <v>3</v>
      </c>
      <c r="X264" s="42" t="s">
        <v>457</v>
      </c>
      <c r="Y264" s="42">
        <v>147</v>
      </c>
      <c r="Z264" s="42" t="s">
        <v>500</v>
      </c>
      <c r="AA264" s="42">
        <v>407</v>
      </c>
      <c r="AB264" s="42">
        <v>15</v>
      </c>
      <c r="AC264" s="42">
        <v>3212811</v>
      </c>
      <c r="AD264" s="42" t="s">
        <v>146</v>
      </c>
      <c r="AE264" s="42">
        <v>147</v>
      </c>
      <c r="AF264" s="42" t="s">
        <v>458</v>
      </c>
      <c r="AG264" s="42" t="s">
        <v>459</v>
      </c>
      <c r="AH264" s="42" t="s">
        <v>188</v>
      </c>
      <c r="AI264" s="42" t="s">
        <v>460</v>
      </c>
      <c r="AJ264" s="154">
        <v>42842</v>
      </c>
      <c r="AK264" s="42">
        <v>49</v>
      </c>
      <c r="AL264" s="154">
        <v>42831</v>
      </c>
      <c r="AM264" s="154"/>
      <c r="AN264" s="42"/>
      <c r="AO264" s="154"/>
      <c r="AP264" s="154">
        <v>44181</v>
      </c>
      <c r="AQ264" s="42"/>
      <c r="AR264" s="42"/>
      <c r="AS264" s="42"/>
      <c r="AT264" s="42"/>
      <c r="AU264" s="42"/>
      <c r="AV264" s="42"/>
      <c r="AW264" s="42"/>
      <c r="AX264" s="42"/>
    </row>
    <row r="265" spans="1:50" ht="12.75" customHeight="1">
      <c r="A265" s="42">
        <v>52501377</v>
      </c>
      <c r="B265" s="42" t="s">
        <v>1042</v>
      </c>
      <c r="C265" s="42" t="s">
        <v>1804</v>
      </c>
      <c r="D265" s="42" t="s">
        <v>1052</v>
      </c>
      <c r="E265" s="42" t="s">
        <v>481</v>
      </c>
      <c r="F265" s="154">
        <v>28916</v>
      </c>
      <c r="G265" s="42" t="s">
        <v>1805</v>
      </c>
      <c r="H265" s="42">
        <v>8627055</v>
      </c>
      <c r="I265" s="42" t="s">
        <v>450</v>
      </c>
      <c r="J265" s="42"/>
      <c r="K265" s="42"/>
      <c r="L265" s="42"/>
      <c r="M265" s="42" t="s">
        <v>451</v>
      </c>
      <c r="N265" s="42" t="s">
        <v>452</v>
      </c>
      <c r="O265" s="42" t="s">
        <v>453</v>
      </c>
      <c r="P265" s="154">
        <v>44370</v>
      </c>
      <c r="Q265" s="154">
        <v>42051</v>
      </c>
      <c r="R265" s="154">
        <v>41340</v>
      </c>
      <c r="S265" s="42">
        <v>5</v>
      </c>
      <c r="T265" s="42" t="s">
        <v>499</v>
      </c>
      <c r="U265" s="42">
        <v>11</v>
      </c>
      <c r="V265" s="42" t="s">
        <v>456</v>
      </c>
      <c r="W265" s="42">
        <v>3</v>
      </c>
      <c r="X265" s="42" t="s">
        <v>457</v>
      </c>
      <c r="Y265" s="42">
        <v>2310470</v>
      </c>
      <c r="Z265" s="42" t="s">
        <v>477</v>
      </c>
      <c r="AA265" s="42">
        <v>222</v>
      </c>
      <c r="AB265" s="42">
        <v>27</v>
      </c>
      <c r="AC265" s="42">
        <v>7358647</v>
      </c>
      <c r="AD265" s="42" t="s">
        <v>51</v>
      </c>
      <c r="AE265" s="42">
        <v>47</v>
      </c>
      <c r="AF265" s="42" t="s">
        <v>458</v>
      </c>
      <c r="AG265" s="42" t="s">
        <v>459</v>
      </c>
      <c r="AH265" s="42" t="s">
        <v>49</v>
      </c>
      <c r="AI265" s="42" t="s">
        <v>460</v>
      </c>
      <c r="AJ265" s="154">
        <v>44370</v>
      </c>
      <c r="AK265" s="42">
        <v>94</v>
      </c>
      <c r="AL265" s="154">
        <v>44335</v>
      </c>
      <c r="AM265" s="154"/>
      <c r="AN265" s="42"/>
      <c r="AO265" s="154"/>
      <c r="AP265" s="154">
        <v>45107</v>
      </c>
      <c r="AQ265" s="42"/>
      <c r="AR265" s="42"/>
      <c r="AS265" s="42"/>
      <c r="AT265" s="42"/>
      <c r="AU265" s="42"/>
      <c r="AV265" s="42"/>
      <c r="AW265" s="42"/>
      <c r="AX265" s="42"/>
    </row>
    <row r="266" spans="1:50" ht="12.75" customHeight="1">
      <c r="A266" s="42">
        <v>52503443</v>
      </c>
      <c r="B266" s="42" t="s">
        <v>977</v>
      </c>
      <c r="C266" s="42" t="s">
        <v>1807</v>
      </c>
      <c r="D266" s="42" t="s">
        <v>787</v>
      </c>
      <c r="E266" s="42" t="s">
        <v>481</v>
      </c>
      <c r="F266" s="154">
        <v>28791</v>
      </c>
      <c r="G266" s="42" t="s">
        <v>1809</v>
      </c>
      <c r="H266" s="42">
        <v>3062644</v>
      </c>
      <c r="I266" s="42" t="s">
        <v>450</v>
      </c>
      <c r="J266" s="42"/>
      <c r="K266" s="42"/>
      <c r="L266" s="42"/>
      <c r="M266" s="42" t="s">
        <v>451</v>
      </c>
      <c r="N266" s="42" t="s">
        <v>452</v>
      </c>
      <c r="O266" s="42" t="s">
        <v>453</v>
      </c>
      <c r="P266" s="154">
        <v>44175</v>
      </c>
      <c r="Q266" s="154">
        <v>42901</v>
      </c>
      <c r="R266" s="154"/>
      <c r="S266" s="42">
        <v>5</v>
      </c>
      <c r="T266" s="42" t="s">
        <v>499</v>
      </c>
      <c r="U266" s="42">
        <v>11</v>
      </c>
      <c r="V266" s="42" t="s">
        <v>456</v>
      </c>
      <c r="W266" s="42">
        <v>3</v>
      </c>
      <c r="X266" s="42" t="s">
        <v>457</v>
      </c>
      <c r="Y266" s="42">
        <v>2310200</v>
      </c>
      <c r="Z266" s="42" t="s">
        <v>623</v>
      </c>
      <c r="AA266" s="42">
        <v>222</v>
      </c>
      <c r="AB266" s="42">
        <v>24</v>
      </c>
      <c r="AC266" s="42">
        <v>6809900</v>
      </c>
      <c r="AD266" s="42" t="s">
        <v>51</v>
      </c>
      <c r="AE266" s="42">
        <v>54</v>
      </c>
      <c r="AF266" s="42" t="s">
        <v>458</v>
      </c>
      <c r="AG266" s="42" t="s">
        <v>459</v>
      </c>
      <c r="AH266" s="42" t="s">
        <v>49</v>
      </c>
      <c r="AI266" s="42" t="s">
        <v>460</v>
      </c>
      <c r="AJ266" s="154">
        <v>44175</v>
      </c>
      <c r="AK266" s="42">
        <v>127</v>
      </c>
      <c r="AL266" s="154">
        <v>44118</v>
      </c>
      <c r="AM266" s="154"/>
      <c r="AN266" s="42"/>
      <c r="AO266" s="154"/>
      <c r="AP266" s="154">
        <v>45620</v>
      </c>
      <c r="AQ266" s="42"/>
      <c r="AR266" s="42"/>
      <c r="AS266" s="42"/>
      <c r="AT266" s="42"/>
      <c r="AU266" s="42"/>
      <c r="AV266" s="42"/>
      <c r="AW266" s="42"/>
      <c r="AX266" s="42"/>
    </row>
    <row r="267" spans="1:50" ht="12.75" customHeight="1">
      <c r="A267" s="42">
        <v>52505859</v>
      </c>
      <c r="B267" s="42" t="s">
        <v>826</v>
      </c>
      <c r="C267" s="42" t="s">
        <v>790</v>
      </c>
      <c r="D267" s="42" t="s">
        <v>1811</v>
      </c>
      <c r="E267" s="42" t="s">
        <v>481</v>
      </c>
      <c r="F267" s="154">
        <v>28897</v>
      </c>
      <c r="G267" s="42" t="s">
        <v>1812</v>
      </c>
      <c r="H267" s="42">
        <v>3014487474</v>
      </c>
      <c r="I267" s="42" t="s">
        <v>450</v>
      </c>
      <c r="J267" s="42"/>
      <c r="K267" s="42"/>
      <c r="L267" s="42"/>
      <c r="M267" s="42" t="s">
        <v>451</v>
      </c>
      <c r="N267" s="42" t="s">
        <v>5</v>
      </c>
      <c r="O267" s="42" t="s">
        <v>453</v>
      </c>
      <c r="P267" s="154">
        <v>42870</v>
      </c>
      <c r="Q267" s="154">
        <v>42870</v>
      </c>
      <c r="R267" s="154"/>
      <c r="S267" s="42">
        <v>8</v>
      </c>
      <c r="T267" s="42" t="s">
        <v>466</v>
      </c>
      <c r="U267" s="42">
        <v>23</v>
      </c>
      <c r="V267" s="42" t="s">
        <v>669</v>
      </c>
      <c r="W267" s="42">
        <v>3</v>
      </c>
      <c r="X267" s="42" t="s">
        <v>457</v>
      </c>
      <c r="Y267" s="42">
        <v>150</v>
      </c>
      <c r="Z267" s="42" t="s">
        <v>500</v>
      </c>
      <c r="AA267" s="42">
        <v>407</v>
      </c>
      <c r="AB267" s="42">
        <v>15</v>
      </c>
      <c r="AC267" s="42">
        <v>3212811</v>
      </c>
      <c r="AD267" s="42" t="s">
        <v>146</v>
      </c>
      <c r="AE267" s="42">
        <v>150</v>
      </c>
      <c r="AF267" s="42" t="s">
        <v>458</v>
      </c>
      <c r="AG267" s="42" t="s">
        <v>459</v>
      </c>
      <c r="AH267" s="42" t="s">
        <v>188</v>
      </c>
      <c r="AI267" s="42" t="s">
        <v>460</v>
      </c>
      <c r="AJ267" s="154">
        <v>42870</v>
      </c>
      <c r="AK267" s="42">
        <v>72</v>
      </c>
      <c r="AL267" s="154">
        <v>42865</v>
      </c>
      <c r="AM267" s="154"/>
      <c r="AN267" s="42"/>
      <c r="AO267" s="154"/>
      <c r="AP267" s="154">
        <v>43236</v>
      </c>
      <c r="AQ267" s="42"/>
      <c r="AR267" s="42"/>
      <c r="AS267" s="42"/>
      <c r="AT267" s="42"/>
      <c r="AU267" s="42"/>
      <c r="AV267" s="42"/>
      <c r="AW267" s="42"/>
      <c r="AX267" s="42"/>
    </row>
    <row r="268" spans="1:50" ht="12.75" customHeight="1">
      <c r="A268" s="42">
        <v>52519358</v>
      </c>
      <c r="B268" s="42" t="s">
        <v>824</v>
      </c>
      <c r="C268" s="42" t="s">
        <v>514</v>
      </c>
      <c r="D268" s="42" t="s">
        <v>1813</v>
      </c>
      <c r="E268" s="42" t="s">
        <v>448</v>
      </c>
      <c r="F268" s="154">
        <v>28492</v>
      </c>
      <c r="G268" s="42" t="s">
        <v>1814</v>
      </c>
      <c r="H268" s="42">
        <v>5402521</v>
      </c>
      <c r="I268" s="42" t="s">
        <v>450</v>
      </c>
      <c r="J268" s="42"/>
      <c r="K268" s="42"/>
      <c r="L268" s="42"/>
      <c r="M268" s="42" t="s">
        <v>527</v>
      </c>
      <c r="N268" s="42" t="s">
        <v>452</v>
      </c>
      <c r="O268" s="42" t="s">
        <v>453</v>
      </c>
      <c r="P268" s="154">
        <v>46204</v>
      </c>
      <c r="Q268" s="154">
        <v>46204</v>
      </c>
      <c r="R268" s="154"/>
      <c r="S268" s="42">
        <v>5</v>
      </c>
      <c r="T268" s="42" t="s">
        <v>499</v>
      </c>
      <c r="U268" s="42">
        <v>11</v>
      </c>
      <c r="V268" s="42" t="s">
        <v>456</v>
      </c>
      <c r="W268" s="42">
        <v>3</v>
      </c>
      <c r="X268" s="42" t="s">
        <v>457</v>
      </c>
      <c r="Y268" s="42">
        <v>2310470</v>
      </c>
      <c r="Z268" s="42" t="s">
        <v>477</v>
      </c>
      <c r="AA268" s="42">
        <v>219</v>
      </c>
      <c r="AB268" s="42">
        <v>15</v>
      </c>
      <c r="AC268" s="42">
        <v>5771486</v>
      </c>
      <c r="AD268" s="42" t="s">
        <v>72</v>
      </c>
      <c r="AE268" s="42">
        <v>99</v>
      </c>
      <c r="AF268" s="42" t="s">
        <v>458</v>
      </c>
      <c r="AG268" s="42" t="s">
        <v>459</v>
      </c>
      <c r="AH268" s="42" t="s">
        <v>644</v>
      </c>
      <c r="AI268" s="42" t="s">
        <v>460</v>
      </c>
      <c r="AJ268" s="154">
        <v>46204</v>
      </c>
      <c r="AK268" s="42">
        <v>220</v>
      </c>
      <c r="AL268" s="154">
        <v>46162</v>
      </c>
      <c r="AM268" s="154"/>
      <c r="AN268" s="42"/>
      <c r="AO268" s="154"/>
      <c r="AP268" s="154"/>
      <c r="AQ268" s="42"/>
      <c r="AR268" s="42"/>
      <c r="AS268" s="42"/>
      <c r="AT268" s="42"/>
      <c r="AU268" s="42"/>
      <c r="AV268" s="42"/>
      <c r="AW268" s="42"/>
      <c r="AX268" s="42"/>
    </row>
    <row r="269" spans="1:50" ht="12.75" customHeight="1">
      <c r="A269" s="42">
        <v>52534865</v>
      </c>
      <c r="B269" s="42" t="s">
        <v>1815</v>
      </c>
      <c r="C269" s="42" t="s">
        <v>1044</v>
      </c>
      <c r="D269" s="42" t="s">
        <v>1816</v>
      </c>
      <c r="E269" s="42" t="s">
        <v>481</v>
      </c>
      <c r="F269" s="154">
        <v>29043</v>
      </c>
      <c r="G269" s="42" t="s">
        <v>1817</v>
      </c>
      <c r="H269" s="42">
        <v>4128074</v>
      </c>
      <c r="I269" s="42" t="s">
        <v>450</v>
      </c>
      <c r="J269" s="42"/>
      <c r="K269" s="42"/>
      <c r="L269" s="42"/>
      <c r="M269" s="42" t="s">
        <v>451</v>
      </c>
      <c r="N269" s="42" t="s">
        <v>452</v>
      </c>
      <c r="O269" s="42" t="s">
        <v>453</v>
      </c>
      <c r="P269" s="154">
        <v>44315</v>
      </c>
      <c r="Q269" s="154">
        <v>44315</v>
      </c>
      <c r="R269" s="154"/>
      <c r="S269" s="42">
        <v>6</v>
      </c>
      <c r="T269" s="42" t="s">
        <v>511</v>
      </c>
      <c r="U269" s="42">
        <v>11</v>
      </c>
      <c r="V269" s="42" t="s">
        <v>456</v>
      </c>
      <c r="W269" s="42">
        <v>3</v>
      </c>
      <c r="X269" s="42" t="s">
        <v>457</v>
      </c>
      <c r="Y269" s="42">
        <v>2310450</v>
      </c>
      <c r="Z269" s="42" t="s">
        <v>568</v>
      </c>
      <c r="AA269" s="42">
        <v>222</v>
      </c>
      <c r="AB269" s="42">
        <v>21</v>
      </c>
      <c r="AC269" s="42">
        <v>6566429</v>
      </c>
      <c r="AD269" s="42" t="s">
        <v>51</v>
      </c>
      <c r="AE269" s="42">
        <v>68</v>
      </c>
      <c r="AF269" s="42" t="s">
        <v>458</v>
      </c>
      <c r="AG269" s="42" t="s">
        <v>459</v>
      </c>
      <c r="AH269" s="42" t="s">
        <v>188</v>
      </c>
      <c r="AI269" s="42" t="s">
        <v>460</v>
      </c>
      <c r="AJ269" s="154">
        <v>44315</v>
      </c>
      <c r="AK269" s="42">
        <v>83</v>
      </c>
      <c r="AL269" s="154">
        <v>44313</v>
      </c>
      <c r="AM269" s="154"/>
      <c r="AN269" s="42"/>
      <c r="AO269" s="154"/>
      <c r="AP269" s="154">
        <v>44369</v>
      </c>
      <c r="AQ269" s="42"/>
      <c r="AR269" s="42"/>
      <c r="AS269" s="42"/>
      <c r="AT269" s="42"/>
      <c r="AU269" s="42"/>
      <c r="AV269" s="42"/>
      <c r="AW269" s="42"/>
      <c r="AX269" s="42"/>
    </row>
    <row r="270" spans="1:50" ht="12.75" customHeight="1">
      <c r="A270" s="42">
        <v>52542976</v>
      </c>
      <c r="B270" s="42" t="s">
        <v>721</v>
      </c>
      <c r="C270" s="42" t="s">
        <v>985</v>
      </c>
      <c r="D270" s="42" t="s">
        <v>525</v>
      </c>
      <c r="E270" s="42" t="s">
        <v>448</v>
      </c>
      <c r="F270" s="154">
        <v>29485</v>
      </c>
      <c r="G270" s="42" t="s">
        <v>1822</v>
      </c>
      <c r="H270" s="42">
        <v>3096895</v>
      </c>
      <c r="I270" s="42" t="s">
        <v>450</v>
      </c>
      <c r="J270" s="42"/>
      <c r="K270" s="42"/>
      <c r="L270" s="42"/>
      <c r="M270" s="42" t="s">
        <v>451</v>
      </c>
      <c r="N270" s="42" t="s">
        <v>452</v>
      </c>
      <c r="O270" s="42" t="s">
        <v>453</v>
      </c>
      <c r="P270" s="154">
        <v>44144</v>
      </c>
      <c r="Q270" s="154">
        <v>44144</v>
      </c>
      <c r="R270" s="154"/>
      <c r="S270" s="42">
        <v>5</v>
      </c>
      <c r="T270" s="42" t="s">
        <v>499</v>
      </c>
      <c r="U270" s="42">
        <v>11</v>
      </c>
      <c r="V270" s="42" t="s">
        <v>456</v>
      </c>
      <c r="W270" s="42">
        <v>3</v>
      </c>
      <c r="X270" s="42" t="s">
        <v>457</v>
      </c>
      <c r="Y270" s="42">
        <v>2310200</v>
      </c>
      <c r="Z270" s="42" t="s">
        <v>623</v>
      </c>
      <c r="AA270" s="42">
        <v>425</v>
      </c>
      <c r="AB270" s="42">
        <v>24</v>
      </c>
      <c r="AC270" s="42">
        <v>4110053</v>
      </c>
      <c r="AD270" s="42" t="s">
        <v>255</v>
      </c>
      <c r="AE270" s="42">
        <v>166</v>
      </c>
      <c r="AF270" s="42" t="s">
        <v>458</v>
      </c>
      <c r="AG270" s="42" t="s">
        <v>459</v>
      </c>
      <c r="AH270" s="42" t="s">
        <v>49</v>
      </c>
      <c r="AI270" s="42" t="s">
        <v>460</v>
      </c>
      <c r="AJ270" s="154">
        <v>44144</v>
      </c>
      <c r="AK270" s="42">
        <v>174</v>
      </c>
      <c r="AL270" s="154">
        <v>44124</v>
      </c>
      <c r="AM270" s="154">
        <v>45259</v>
      </c>
      <c r="AN270" s="42">
        <v>617</v>
      </c>
      <c r="AO270" s="154">
        <v>45258</v>
      </c>
      <c r="AP270" s="154"/>
      <c r="AQ270" s="42"/>
      <c r="AR270" s="42"/>
      <c r="AS270" s="42"/>
      <c r="AT270" s="42"/>
      <c r="AU270" s="42"/>
      <c r="AV270" s="42"/>
      <c r="AW270" s="42"/>
      <c r="AX270" s="42"/>
    </row>
    <row r="271" spans="1:50" ht="12.75" customHeight="1">
      <c r="A271" s="42">
        <v>52557124</v>
      </c>
      <c r="B271" s="42" t="s">
        <v>734</v>
      </c>
      <c r="C271" s="42" t="s">
        <v>533</v>
      </c>
      <c r="D271" s="42" t="s">
        <v>989</v>
      </c>
      <c r="E271" s="42" t="s">
        <v>481</v>
      </c>
      <c r="F271" s="154">
        <v>26165</v>
      </c>
      <c r="G271" s="42" t="s">
        <v>1824</v>
      </c>
      <c r="H271" s="42">
        <v>3003799886</v>
      </c>
      <c r="I271" s="42" t="s">
        <v>450</v>
      </c>
      <c r="J271" s="42"/>
      <c r="K271" s="42"/>
      <c r="L271" s="42"/>
      <c r="M271" s="42"/>
      <c r="N271" s="42"/>
      <c r="O271" s="42" t="s">
        <v>453</v>
      </c>
      <c r="P271" s="154">
        <v>42585</v>
      </c>
      <c r="Q271" s="154">
        <v>36307</v>
      </c>
      <c r="R271" s="154"/>
      <c r="S271" s="42">
        <v>18</v>
      </c>
      <c r="T271" s="42" t="s">
        <v>472</v>
      </c>
      <c r="U271" s="42">
        <v>11</v>
      </c>
      <c r="V271" s="42" t="s">
        <v>456</v>
      </c>
      <c r="W271" s="42">
        <v>3</v>
      </c>
      <c r="X271" s="42" t="s">
        <v>457</v>
      </c>
      <c r="Y271" s="42">
        <v>2310450</v>
      </c>
      <c r="Z271" s="42" t="s">
        <v>568</v>
      </c>
      <c r="AA271" s="42">
        <v>440</v>
      </c>
      <c r="AB271" s="42">
        <v>19</v>
      </c>
      <c r="AC271" s="42">
        <v>3687785</v>
      </c>
      <c r="AD271" s="42" t="s">
        <v>29</v>
      </c>
      <c r="AE271" s="42">
        <v>159</v>
      </c>
      <c r="AF271" s="42" t="s">
        <v>458</v>
      </c>
      <c r="AG271" s="42" t="s">
        <v>459</v>
      </c>
      <c r="AH271" s="42" t="s">
        <v>49</v>
      </c>
      <c r="AI271" s="42" t="s">
        <v>460</v>
      </c>
      <c r="AJ271" s="154">
        <v>42585</v>
      </c>
      <c r="AK271" s="42">
        <v>2</v>
      </c>
      <c r="AL271" s="154">
        <v>42585</v>
      </c>
      <c r="AM271" s="154">
        <v>45792</v>
      </c>
      <c r="AN271" s="42">
        <v>187</v>
      </c>
      <c r="AO271" s="154">
        <v>45789</v>
      </c>
      <c r="AP271" s="154"/>
      <c r="AQ271" s="42"/>
      <c r="AR271" s="42"/>
      <c r="AS271" s="42"/>
      <c r="AT271" s="42"/>
      <c r="AU271" s="42"/>
      <c r="AV271" s="42"/>
      <c r="AW271" s="42"/>
      <c r="AX271" s="42"/>
    </row>
    <row r="272" spans="1:50" ht="12.75" customHeight="1">
      <c r="A272" s="42">
        <v>52646082</v>
      </c>
      <c r="B272" s="42" t="s">
        <v>990</v>
      </c>
      <c r="C272" s="42" t="s">
        <v>991</v>
      </c>
      <c r="D272" s="42" t="s">
        <v>992</v>
      </c>
      <c r="E272" s="42" t="s">
        <v>448</v>
      </c>
      <c r="F272" s="154">
        <v>27092</v>
      </c>
      <c r="G272" s="42" t="s">
        <v>1827</v>
      </c>
      <c r="H272" s="42">
        <v>3108523684</v>
      </c>
      <c r="I272" s="42" t="s">
        <v>450</v>
      </c>
      <c r="J272" s="42"/>
      <c r="K272" s="42"/>
      <c r="L272" s="42"/>
      <c r="M272" s="42" t="s">
        <v>451</v>
      </c>
      <c r="N272" s="42" t="s">
        <v>452</v>
      </c>
      <c r="O272" s="42" t="s">
        <v>453</v>
      </c>
      <c r="P272" s="154">
        <v>44145</v>
      </c>
      <c r="Q272" s="154">
        <v>44145</v>
      </c>
      <c r="R272" s="154"/>
      <c r="S272" s="42">
        <v>8</v>
      </c>
      <c r="T272" s="42" t="s">
        <v>466</v>
      </c>
      <c r="U272" s="42">
        <v>11</v>
      </c>
      <c r="V272" s="42" t="s">
        <v>456</v>
      </c>
      <c r="W272" s="42">
        <v>3</v>
      </c>
      <c r="X272" s="42" t="s">
        <v>457</v>
      </c>
      <c r="Y272" s="42">
        <v>2310470</v>
      </c>
      <c r="Z272" s="42" t="s">
        <v>477</v>
      </c>
      <c r="AA272" s="42">
        <v>219</v>
      </c>
      <c r="AB272" s="42">
        <v>18</v>
      </c>
      <c r="AC272" s="42">
        <v>5951245</v>
      </c>
      <c r="AD272" s="42" t="s">
        <v>72</v>
      </c>
      <c r="AE272" s="42">
        <v>93</v>
      </c>
      <c r="AF272" s="42" t="s">
        <v>458</v>
      </c>
      <c r="AG272" s="42" t="s">
        <v>459</v>
      </c>
      <c r="AH272" s="42" t="s">
        <v>49</v>
      </c>
      <c r="AI272" s="42" t="s">
        <v>460</v>
      </c>
      <c r="AJ272" s="154">
        <v>44145</v>
      </c>
      <c r="AK272" s="42">
        <v>123</v>
      </c>
      <c r="AL272" s="154">
        <v>44118</v>
      </c>
      <c r="AM272" s="154">
        <v>45691</v>
      </c>
      <c r="AN272" s="42">
        <v>576</v>
      </c>
      <c r="AO272" s="154">
        <v>45649</v>
      </c>
      <c r="AP272" s="154"/>
      <c r="AQ272" s="42"/>
      <c r="AR272" s="42"/>
      <c r="AS272" s="42"/>
      <c r="AT272" s="42"/>
      <c r="AU272" s="42"/>
      <c r="AV272" s="42"/>
      <c r="AW272" s="42"/>
      <c r="AX272" s="42"/>
    </row>
    <row r="273" spans="1:50" ht="12.75" customHeight="1">
      <c r="A273" s="42">
        <v>52697802</v>
      </c>
      <c r="B273" s="42" t="s">
        <v>904</v>
      </c>
      <c r="C273" s="42" t="s">
        <v>744</v>
      </c>
      <c r="D273" s="42" t="s">
        <v>1828</v>
      </c>
      <c r="E273" s="42" t="s">
        <v>481</v>
      </c>
      <c r="F273" s="154">
        <v>29381</v>
      </c>
      <c r="G273" s="42" t="s">
        <v>1829</v>
      </c>
      <c r="H273" s="42">
        <v>2742907</v>
      </c>
      <c r="I273" s="42" t="s">
        <v>450</v>
      </c>
      <c r="J273" s="42"/>
      <c r="K273" s="42"/>
      <c r="L273" s="42"/>
      <c r="M273" s="42" t="s">
        <v>451</v>
      </c>
      <c r="N273" s="42" t="s">
        <v>452</v>
      </c>
      <c r="O273" s="42" t="s">
        <v>453</v>
      </c>
      <c r="P273" s="154">
        <v>44281</v>
      </c>
      <c r="Q273" s="154">
        <v>44281</v>
      </c>
      <c r="R273" s="154"/>
      <c r="S273" s="42">
        <v>8</v>
      </c>
      <c r="T273" s="42" t="s">
        <v>466</v>
      </c>
      <c r="U273" s="42">
        <v>31</v>
      </c>
      <c r="V273" s="42" t="s">
        <v>1038</v>
      </c>
      <c r="W273" s="42">
        <v>22</v>
      </c>
      <c r="X273" s="42" t="s">
        <v>1038</v>
      </c>
      <c r="Y273" s="42">
        <v>2311000</v>
      </c>
      <c r="Z273" s="42" t="s">
        <v>467</v>
      </c>
      <c r="AA273" s="42">
        <v>222</v>
      </c>
      <c r="AB273" s="42">
        <v>24</v>
      </c>
      <c r="AC273" s="42">
        <v>6809900</v>
      </c>
      <c r="AD273" s="42" t="s">
        <v>51</v>
      </c>
      <c r="AE273" s="42">
        <v>21</v>
      </c>
      <c r="AF273" s="42" t="s">
        <v>458</v>
      </c>
      <c r="AG273" s="42" t="s">
        <v>459</v>
      </c>
      <c r="AH273" s="42" t="s">
        <v>188</v>
      </c>
      <c r="AI273" s="42" t="s">
        <v>460</v>
      </c>
      <c r="AJ273" s="154">
        <v>44281</v>
      </c>
      <c r="AK273" s="42">
        <v>35</v>
      </c>
      <c r="AL273" s="154">
        <v>44273</v>
      </c>
      <c r="AM273" s="154"/>
      <c r="AN273" s="42"/>
      <c r="AO273" s="154"/>
      <c r="AP273" s="154">
        <v>44377</v>
      </c>
      <c r="AQ273" s="42"/>
      <c r="AR273" s="42"/>
      <c r="AS273" s="42"/>
      <c r="AT273" s="42"/>
      <c r="AU273" s="42"/>
      <c r="AV273" s="42"/>
      <c r="AW273" s="42"/>
      <c r="AX273" s="42"/>
    </row>
    <row r="274" spans="1:50" ht="12.75" customHeight="1">
      <c r="A274" s="42">
        <v>52699744</v>
      </c>
      <c r="B274" s="42" t="s">
        <v>594</v>
      </c>
      <c r="C274" s="42" t="s">
        <v>636</v>
      </c>
      <c r="D274" s="42" t="s">
        <v>993</v>
      </c>
      <c r="E274" s="42" t="s">
        <v>481</v>
      </c>
      <c r="F274" s="154">
        <v>29368</v>
      </c>
      <c r="G274" s="42" t="s">
        <v>1830</v>
      </c>
      <c r="H274" s="42">
        <v>3014600512</v>
      </c>
      <c r="I274" s="42" t="s">
        <v>450</v>
      </c>
      <c r="J274" s="42"/>
      <c r="K274" s="42"/>
      <c r="L274" s="42"/>
      <c r="M274" s="42" t="s">
        <v>451</v>
      </c>
      <c r="N274" s="42" t="s">
        <v>452</v>
      </c>
      <c r="O274" s="42" t="s">
        <v>453</v>
      </c>
      <c r="P274" s="154">
        <v>45873</v>
      </c>
      <c r="Q274" s="154">
        <v>45873</v>
      </c>
      <c r="R274" s="154"/>
      <c r="S274" s="42">
        <v>5</v>
      </c>
      <c r="T274" s="42" t="s">
        <v>499</v>
      </c>
      <c r="U274" s="42">
        <v>31</v>
      </c>
      <c r="V274" s="42" t="s">
        <v>1038</v>
      </c>
      <c r="W274" s="42">
        <v>22</v>
      </c>
      <c r="X274" s="42" t="s">
        <v>1038</v>
      </c>
      <c r="Y274" s="42">
        <v>2310440</v>
      </c>
      <c r="Z274" s="42" t="s">
        <v>628</v>
      </c>
      <c r="AA274" s="42">
        <v>9</v>
      </c>
      <c r="AB274" s="42">
        <v>7</v>
      </c>
      <c r="AC274" s="42">
        <v>11186814</v>
      </c>
      <c r="AD274" s="42" t="s">
        <v>512</v>
      </c>
      <c r="AE274" s="42">
        <v>3</v>
      </c>
      <c r="AF274" s="42" t="s">
        <v>458</v>
      </c>
      <c r="AG274" s="42" t="s">
        <v>459</v>
      </c>
      <c r="AH274" s="42" t="s">
        <v>484</v>
      </c>
      <c r="AI274" s="42" t="s">
        <v>460</v>
      </c>
      <c r="AJ274" s="154">
        <v>45873</v>
      </c>
      <c r="AK274" s="42">
        <v>288</v>
      </c>
      <c r="AL274" s="154">
        <v>45870</v>
      </c>
      <c r="AM274" s="154"/>
      <c r="AN274" s="42"/>
      <c r="AO274" s="154"/>
      <c r="AP274" s="154">
        <v>46176</v>
      </c>
      <c r="AQ274" s="42"/>
      <c r="AR274" s="42"/>
      <c r="AS274" s="42"/>
      <c r="AT274" s="42"/>
      <c r="AU274" s="42"/>
      <c r="AV274" s="42"/>
      <c r="AW274" s="42"/>
      <c r="AX274" s="42"/>
    </row>
    <row r="275" spans="1:50" ht="12.75" customHeight="1">
      <c r="A275" s="42">
        <v>52755962</v>
      </c>
      <c r="B275" s="42" t="s">
        <v>1832</v>
      </c>
      <c r="C275" s="42" t="s">
        <v>1833</v>
      </c>
      <c r="D275" s="42" t="s">
        <v>1834</v>
      </c>
      <c r="E275" s="42" t="s">
        <v>481</v>
      </c>
      <c r="F275" s="154">
        <v>30143</v>
      </c>
      <c r="G275" s="42" t="s">
        <v>1835</v>
      </c>
      <c r="H275" s="42">
        <v>5970591</v>
      </c>
      <c r="I275" s="42" t="s">
        <v>450</v>
      </c>
      <c r="J275" s="42"/>
      <c r="K275" s="42"/>
      <c r="L275" s="42"/>
      <c r="M275" s="42" t="s">
        <v>448</v>
      </c>
      <c r="N275" s="42" t="s">
        <v>452</v>
      </c>
      <c r="O275" s="42" t="s">
        <v>453</v>
      </c>
      <c r="P275" s="154">
        <v>44145</v>
      </c>
      <c r="Q275" s="154">
        <v>43374</v>
      </c>
      <c r="R275" s="154">
        <v>41096</v>
      </c>
      <c r="S275" s="42">
        <v>8</v>
      </c>
      <c r="T275" s="42" t="s">
        <v>466</v>
      </c>
      <c r="U275" s="42">
        <v>11</v>
      </c>
      <c r="V275" s="42" t="s">
        <v>456</v>
      </c>
      <c r="W275" s="42">
        <v>3</v>
      </c>
      <c r="X275" s="42" t="s">
        <v>457</v>
      </c>
      <c r="Y275" s="42">
        <v>2310470</v>
      </c>
      <c r="Z275" s="42" t="s">
        <v>477</v>
      </c>
      <c r="AA275" s="42">
        <v>314</v>
      </c>
      <c r="AB275" s="42">
        <v>20</v>
      </c>
      <c r="AC275" s="42">
        <v>4789274</v>
      </c>
      <c r="AD275" s="42" t="s">
        <v>517</v>
      </c>
      <c r="AE275" s="42">
        <v>123</v>
      </c>
      <c r="AF275" s="42" t="s">
        <v>458</v>
      </c>
      <c r="AG275" s="42" t="s">
        <v>459</v>
      </c>
      <c r="AH275" s="42" t="s">
        <v>644</v>
      </c>
      <c r="AI275" s="42" t="s">
        <v>460</v>
      </c>
      <c r="AJ275" s="154">
        <v>44145</v>
      </c>
      <c r="AK275" s="42">
        <v>125</v>
      </c>
      <c r="AL275" s="154">
        <v>44118</v>
      </c>
      <c r="AM275" s="154"/>
      <c r="AN275" s="42"/>
      <c r="AO275" s="154"/>
      <c r="AP275" s="154">
        <v>44168</v>
      </c>
      <c r="AQ275" s="42"/>
      <c r="AR275" s="42"/>
      <c r="AS275" s="42"/>
      <c r="AT275" s="42"/>
      <c r="AU275" s="42"/>
      <c r="AV275" s="42"/>
      <c r="AW275" s="42"/>
      <c r="AX275" s="42"/>
    </row>
    <row r="276" spans="1:50" ht="12.75" customHeight="1">
      <c r="A276" s="42">
        <v>52761888</v>
      </c>
      <c r="B276" s="42" t="s">
        <v>856</v>
      </c>
      <c r="C276" s="42" t="s">
        <v>1836</v>
      </c>
      <c r="D276" s="42" t="s">
        <v>1837</v>
      </c>
      <c r="E276" s="42" t="s">
        <v>481</v>
      </c>
      <c r="F276" s="154">
        <v>30815</v>
      </c>
      <c r="G276" s="42" t="s">
        <v>1838</v>
      </c>
      <c r="H276" s="42">
        <v>4785809</v>
      </c>
      <c r="I276" s="42" t="s">
        <v>450</v>
      </c>
      <c r="J276" s="42"/>
      <c r="K276" s="42"/>
      <c r="L276" s="42"/>
      <c r="M276" s="42" t="s">
        <v>451</v>
      </c>
      <c r="N276" s="42" t="s">
        <v>452</v>
      </c>
      <c r="O276" s="42" t="s">
        <v>453</v>
      </c>
      <c r="P276" s="154">
        <v>42852</v>
      </c>
      <c r="Q276" s="154">
        <v>42852</v>
      </c>
      <c r="R276" s="154"/>
      <c r="S276" s="42">
        <v>5</v>
      </c>
      <c r="T276" s="42" t="s">
        <v>499</v>
      </c>
      <c r="U276" s="42">
        <v>18</v>
      </c>
      <c r="V276" s="42" t="s">
        <v>565</v>
      </c>
      <c r="W276" s="42">
        <v>3</v>
      </c>
      <c r="X276" s="42" t="s">
        <v>457</v>
      </c>
      <c r="Y276" s="42">
        <v>2310460</v>
      </c>
      <c r="Z276" s="42" t="s">
        <v>506</v>
      </c>
      <c r="AA276" s="42">
        <v>222</v>
      </c>
      <c r="AB276" s="42">
        <v>24</v>
      </c>
      <c r="AC276" s="42">
        <v>6809900</v>
      </c>
      <c r="AD276" s="42" t="s">
        <v>51</v>
      </c>
      <c r="AE276" s="42">
        <v>57</v>
      </c>
      <c r="AF276" s="42" t="s">
        <v>458</v>
      </c>
      <c r="AG276" s="42" t="s">
        <v>459</v>
      </c>
      <c r="AH276" s="42" t="s">
        <v>188</v>
      </c>
      <c r="AI276" s="42" t="s">
        <v>460</v>
      </c>
      <c r="AJ276" s="154">
        <v>42852</v>
      </c>
      <c r="AK276" s="42">
        <v>41</v>
      </c>
      <c r="AL276" s="154">
        <v>42825</v>
      </c>
      <c r="AM276" s="154"/>
      <c r="AN276" s="42"/>
      <c r="AO276" s="154"/>
      <c r="AP276" s="154">
        <v>43926</v>
      </c>
      <c r="AQ276" s="42"/>
      <c r="AR276" s="42"/>
      <c r="AS276" s="42"/>
      <c r="AT276" s="42"/>
      <c r="AU276" s="42"/>
      <c r="AV276" s="42"/>
      <c r="AW276" s="42"/>
      <c r="AX276" s="42"/>
    </row>
    <row r="277" spans="1:50" ht="12.75" customHeight="1">
      <c r="A277" s="42">
        <v>52768137</v>
      </c>
      <c r="B277" s="42" t="s">
        <v>533</v>
      </c>
      <c r="C277" s="42" t="s">
        <v>995</v>
      </c>
      <c r="D277" s="42" t="s">
        <v>996</v>
      </c>
      <c r="E277" s="42" t="s">
        <v>481</v>
      </c>
      <c r="F277" s="154">
        <v>29276</v>
      </c>
      <c r="G277" s="42" t="s">
        <v>1839</v>
      </c>
      <c r="H277" s="42">
        <v>8129408</v>
      </c>
      <c r="I277" s="42" t="s">
        <v>450</v>
      </c>
      <c r="J277" s="42"/>
      <c r="K277" s="42"/>
      <c r="L277" s="42"/>
      <c r="M277" s="42" t="s">
        <v>451</v>
      </c>
      <c r="N277" s="42" t="s">
        <v>452</v>
      </c>
      <c r="O277" s="42" t="s">
        <v>453</v>
      </c>
      <c r="P277" s="154">
        <v>42843</v>
      </c>
      <c r="Q277" s="154">
        <v>42843</v>
      </c>
      <c r="R277" s="154"/>
      <c r="S277" s="42">
        <v>8</v>
      </c>
      <c r="T277" s="42" t="s">
        <v>466</v>
      </c>
      <c r="U277" s="42">
        <v>11</v>
      </c>
      <c r="V277" s="42" t="s">
        <v>456</v>
      </c>
      <c r="W277" s="42">
        <v>3</v>
      </c>
      <c r="X277" s="42" t="s">
        <v>457</v>
      </c>
      <c r="Y277" s="42">
        <v>2311000</v>
      </c>
      <c r="Z277" s="42" t="s">
        <v>467</v>
      </c>
      <c r="AA277" s="42">
        <v>219</v>
      </c>
      <c r="AB277" s="42">
        <v>18</v>
      </c>
      <c r="AC277" s="42">
        <v>5951245</v>
      </c>
      <c r="AD277" s="42" t="s">
        <v>72</v>
      </c>
      <c r="AE277" s="42">
        <v>108</v>
      </c>
      <c r="AF277" s="42" t="s">
        <v>458</v>
      </c>
      <c r="AG277" s="42" t="s">
        <v>459</v>
      </c>
      <c r="AH277" s="42" t="s">
        <v>188</v>
      </c>
      <c r="AI277" s="42" t="s">
        <v>460</v>
      </c>
      <c r="AJ277" s="154">
        <v>43636</v>
      </c>
      <c r="AK277" s="42">
        <v>62</v>
      </c>
      <c r="AL277" s="154">
        <v>43630</v>
      </c>
      <c r="AM277" s="154"/>
      <c r="AN277" s="42"/>
      <c r="AO277" s="154"/>
      <c r="AP277" s="154">
        <v>46085</v>
      </c>
      <c r="AQ277" s="42"/>
      <c r="AR277" s="42"/>
      <c r="AS277" s="42"/>
      <c r="AT277" s="42"/>
      <c r="AU277" s="42"/>
      <c r="AV277" s="42"/>
      <c r="AW277" s="42"/>
      <c r="AX277" s="42"/>
    </row>
    <row r="278" spans="1:50" ht="12.75" customHeight="1">
      <c r="A278" s="42">
        <v>52781142</v>
      </c>
      <c r="B278" s="42" t="s">
        <v>847</v>
      </c>
      <c r="C278" s="42" t="s">
        <v>561</v>
      </c>
      <c r="D278" s="42" t="s">
        <v>997</v>
      </c>
      <c r="E278" s="42" t="s">
        <v>448</v>
      </c>
      <c r="F278" s="154">
        <v>29551</v>
      </c>
      <c r="G278" s="42" t="s">
        <v>1840</v>
      </c>
      <c r="H278" s="42">
        <v>3105865967</v>
      </c>
      <c r="I278" s="42" t="s">
        <v>450</v>
      </c>
      <c r="J278" s="42"/>
      <c r="K278" s="42"/>
      <c r="L278" s="42"/>
      <c r="M278" s="42" t="s">
        <v>451</v>
      </c>
      <c r="N278" s="42" t="s">
        <v>452</v>
      </c>
      <c r="O278" s="42" t="s">
        <v>453</v>
      </c>
      <c r="P278" s="154">
        <v>45170</v>
      </c>
      <c r="Q278" s="154">
        <v>45170</v>
      </c>
      <c r="R278" s="154"/>
      <c r="S278" s="42">
        <v>18</v>
      </c>
      <c r="T278" s="42" t="s">
        <v>472</v>
      </c>
      <c r="U278" s="42">
        <v>11</v>
      </c>
      <c r="V278" s="42" t="s">
        <v>456</v>
      </c>
      <c r="W278" s="42">
        <v>3</v>
      </c>
      <c r="X278" s="42" t="s">
        <v>457</v>
      </c>
      <c r="Y278" s="42">
        <v>2311000</v>
      </c>
      <c r="Z278" s="42" t="s">
        <v>467</v>
      </c>
      <c r="AA278" s="42">
        <v>407</v>
      </c>
      <c r="AB278" s="42">
        <v>16</v>
      </c>
      <c r="AC278" s="42">
        <v>3338526</v>
      </c>
      <c r="AD278" s="42" t="s">
        <v>146</v>
      </c>
      <c r="AE278" s="42">
        <v>145</v>
      </c>
      <c r="AF278" s="42" t="s">
        <v>458</v>
      </c>
      <c r="AG278" s="42" t="s">
        <v>459</v>
      </c>
      <c r="AH278" s="42" t="s">
        <v>49</v>
      </c>
      <c r="AI278" s="42" t="s">
        <v>460</v>
      </c>
      <c r="AJ278" s="154">
        <v>45170</v>
      </c>
      <c r="AK278" s="42">
        <v>214</v>
      </c>
      <c r="AL278" s="154">
        <v>45019</v>
      </c>
      <c r="AM278" s="154">
        <v>45813</v>
      </c>
      <c r="AN278" s="42">
        <v>219</v>
      </c>
      <c r="AO278" s="154">
        <v>45811</v>
      </c>
      <c r="AP278" s="154"/>
      <c r="AQ278" s="42"/>
      <c r="AR278" s="42"/>
      <c r="AS278" s="42"/>
      <c r="AT278" s="42"/>
      <c r="AU278" s="42"/>
      <c r="AV278" s="42"/>
      <c r="AW278" s="42"/>
      <c r="AX278" s="42"/>
    </row>
    <row r="279" spans="1:50" ht="12.75" customHeight="1">
      <c r="A279" s="42">
        <v>52818411</v>
      </c>
      <c r="B279" s="42" t="s">
        <v>1001</v>
      </c>
      <c r="C279" s="42" t="s">
        <v>1002</v>
      </c>
      <c r="D279" s="42" t="s">
        <v>1003</v>
      </c>
      <c r="E279" s="42" t="s">
        <v>448</v>
      </c>
      <c r="F279" s="154">
        <v>30799</v>
      </c>
      <c r="G279" s="42" t="s">
        <v>1842</v>
      </c>
      <c r="H279" s="42">
        <v>3101975</v>
      </c>
      <c r="I279" s="42" t="s">
        <v>450</v>
      </c>
      <c r="J279" s="42"/>
      <c r="K279" s="42"/>
      <c r="L279" s="42"/>
      <c r="M279" s="42" t="s">
        <v>448</v>
      </c>
      <c r="N279" s="42" t="s">
        <v>452</v>
      </c>
      <c r="O279" s="42" t="s">
        <v>453</v>
      </c>
      <c r="P279" s="154">
        <v>44326</v>
      </c>
      <c r="Q279" s="154">
        <v>44326</v>
      </c>
      <c r="R279" s="154">
        <v>42268</v>
      </c>
      <c r="S279" s="42">
        <v>42</v>
      </c>
      <c r="T279" s="42" t="s">
        <v>1166</v>
      </c>
      <c r="U279" s="42">
        <v>11</v>
      </c>
      <c r="V279" s="42" t="s">
        <v>456</v>
      </c>
      <c r="W279" s="42">
        <v>3</v>
      </c>
      <c r="X279" s="42" t="s">
        <v>457</v>
      </c>
      <c r="Y279" s="42">
        <v>2310460</v>
      </c>
      <c r="Z279" s="42" t="s">
        <v>506</v>
      </c>
      <c r="AA279" s="42">
        <v>222</v>
      </c>
      <c r="AB279" s="42">
        <v>21</v>
      </c>
      <c r="AC279" s="42">
        <v>6566429</v>
      </c>
      <c r="AD279" s="42" t="s">
        <v>51</v>
      </c>
      <c r="AE279" s="42">
        <v>64</v>
      </c>
      <c r="AF279" s="42" t="s">
        <v>458</v>
      </c>
      <c r="AG279" s="42" t="s">
        <v>459</v>
      </c>
      <c r="AH279" s="42" t="s">
        <v>49</v>
      </c>
      <c r="AI279" s="42" t="s">
        <v>460</v>
      </c>
      <c r="AJ279" s="154">
        <v>44326</v>
      </c>
      <c r="AK279" s="42">
        <v>39</v>
      </c>
      <c r="AL279" s="154">
        <v>44274</v>
      </c>
      <c r="AM279" s="154">
        <v>45439</v>
      </c>
      <c r="AN279" s="42">
        <v>258</v>
      </c>
      <c r="AO279" s="154">
        <v>45439</v>
      </c>
      <c r="AP279" s="154"/>
      <c r="AQ279" s="42"/>
      <c r="AR279" s="42"/>
      <c r="AS279" s="42"/>
      <c r="AT279" s="42"/>
      <c r="AU279" s="42"/>
      <c r="AV279" s="42"/>
      <c r="AW279" s="42"/>
      <c r="AX279" s="42"/>
    </row>
    <row r="280" spans="1:50" ht="12.75" customHeight="1">
      <c r="A280" s="42">
        <v>1012339868</v>
      </c>
      <c r="B280" s="42" t="s">
        <v>650</v>
      </c>
      <c r="C280" s="42" t="s">
        <v>533</v>
      </c>
      <c r="D280" s="42" t="s">
        <v>651</v>
      </c>
      <c r="E280" s="42" t="s">
        <v>448</v>
      </c>
      <c r="F280" s="154">
        <v>32165</v>
      </c>
      <c r="G280" s="42" t="s">
        <v>652</v>
      </c>
      <c r="H280" s="42">
        <v>7755797</v>
      </c>
      <c r="I280" s="42" t="s">
        <v>450</v>
      </c>
      <c r="J280" s="42"/>
      <c r="K280" s="42"/>
      <c r="L280" s="42"/>
      <c r="M280" s="42" t="s">
        <v>448</v>
      </c>
      <c r="N280" s="42" t="s">
        <v>452</v>
      </c>
      <c r="O280" s="42" t="s">
        <v>453</v>
      </c>
      <c r="P280" s="154">
        <v>44147</v>
      </c>
      <c r="Q280" s="154">
        <v>44147</v>
      </c>
      <c r="R280" s="154"/>
      <c r="S280" s="42">
        <v>8</v>
      </c>
      <c r="T280" s="42" t="s">
        <v>466</v>
      </c>
      <c r="U280" s="42">
        <v>11</v>
      </c>
      <c r="V280" s="42" t="s">
        <v>456</v>
      </c>
      <c r="W280" s="42">
        <v>3</v>
      </c>
      <c r="X280" s="42" t="s">
        <v>457</v>
      </c>
      <c r="Y280" s="42">
        <v>2310430</v>
      </c>
      <c r="Z280" s="42" t="s">
        <v>494</v>
      </c>
      <c r="AA280" s="42">
        <v>407</v>
      </c>
      <c r="AB280" s="42">
        <v>26</v>
      </c>
      <c r="AC280" s="42">
        <v>4316410</v>
      </c>
      <c r="AD280" s="42" t="s">
        <v>146</v>
      </c>
      <c r="AE280" s="42">
        <v>138</v>
      </c>
      <c r="AF280" s="42" t="s">
        <v>458</v>
      </c>
      <c r="AG280" s="42" t="s">
        <v>459</v>
      </c>
      <c r="AH280" s="42" t="s">
        <v>49</v>
      </c>
      <c r="AI280" s="42" t="s">
        <v>460</v>
      </c>
      <c r="AJ280" s="154">
        <v>44147</v>
      </c>
      <c r="AK280" s="42">
        <v>193</v>
      </c>
      <c r="AL280" s="154">
        <v>44124</v>
      </c>
      <c r="AM280" s="154">
        <v>46204</v>
      </c>
      <c r="AN280" s="42">
        <v>273</v>
      </c>
      <c r="AO280" s="154">
        <v>46196</v>
      </c>
      <c r="AP280" s="154"/>
      <c r="AQ280" s="42"/>
      <c r="AR280" s="42"/>
      <c r="AS280" s="42"/>
      <c r="AT280" s="42"/>
      <c r="AU280" s="42"/>
      <c r="AV280" s="42"/>
      <c r="AW280" s="42"/>
      <c r="AX280" s="42"/>
    </row>
    <row r="281" spans="1:50" ht="12.75" customHeight="1">
      <c r="A281" s="42">
        <v>1012367914</v>
      </c>
      <c r="B281" s="42" t="s">
        <v>653</v>
      </c>
      <c r="C281" s="42" t="s">
        <v>654</v>
      </c>
      <c r="D281" s="42" t="s">
        <v>655</v>
      </c>
      <c r="E281" s="42" t="s">
        <v>481</v>
      </c>
      <c r="F281" s="154">
        <v>33079</v>
      </c>
      <c r="G281" s="42" t="s">
        <v>657</v>
      </c>
      <c r="H281" s="42">
        <v>6017856546</v>
      </c>
      <c r="I281" s="42" t="s">
        <v>586</v>
      </c>
      <c r="J281" s="42"/>
      <c r="K281" s="42"/>
      <c r="L281" s="42"/>
      <c r="M281" s="42" t="s">
        <v>451</v>
      </c>
      <c r="N281" s="42" t="s">
        <v>452</v>
      </c>
      <c r="O281" s="42" t="s">
        <v>453</v>
      </c>
      <c r="P281" s="154">
        <v>44998</v>
      </c>
      <c r="Q281" s="154">
        <v>44998</v>
      </c>
      <c r="R281" s="154"/>
      <c r="S281" s="42">
        <v>8</v>
      </c>
      <c r="T281" s="42" t="s">
        <v>466</v>
      </c>
      <c r="U281" s="42">
        <v>11</v>
      </c>
      <c r="V281" s="42" t="s">
        <v>456</v>
      </c>
      <c r="W281" s="42">
        <v>3</v>
      </c>
      <c r="X281" s="42" t="s">
        <v>457</v>
      </c>
      <c r="Y281" s="42">
        <v>2311000</v>
      </c>
      <c r="Z281" s="42" t="s">
        <v>467</v>
      </c>
      <c r="AA281" s="42">
        <v>407</v>
      </c>
      <c r="AB281" s="42">
        <v>15</v>
      </c>
      <c r="AC281" s="42">
        <v>3212811</v>
      </c>
      <c r="AD281" s="42" t="s">
        <v>146</v>
      </c>
      <c r="AE281" s="42">
        <v>150</v>
      </c>
      <c r="AF281" s="42" t="s">
        <v>458</v>
      </c>
      <c r="AG281" s="42" t="s">
        <v>459</v>
      </c>
      <c r="AH281" s="42" t="s">
        <v>188</v>
      </c>
      <c r="AI281" s="42" t="s">
        <v>460</v>
      </c>
      <c r="AJ281" s="154">
        <v>44998</v>
      </c>
      <c r="AK281" s="42">
        <v>89</v>
      </c>
      <c r="AL281" s="154">
        <v>44986</v>
      </c>
      <c r="AM281" s="154"/>
      <c r="AN281" s="42"/>
      <c r="AO281" s="154"/>
      <c r="AP281" s="154">
        <v>46034</v>
      </c>
      <c r="AQ281" s="42"/>
      <c r="AR281" s="42"/>
      <c r="AS281" s="42"/>
      <c r="AT281" s="42"/>
      <c r="AU281" s="42"/>
      <c r="AV281" s="42"/>
      <c r="AW281" s="42"/>
      <c r="AX281" s="42"/>
    </row>
    <row r="282" spans="1:50" ht="12.75" customHeight="1">
      <c r="A282" s="42">
        <v>1013587782</v>
      </c>
      <c r="B282" s="42" t="s">
        <v>658</v>
      </c>
      <c r="C282" s="42" t="s">
        <v>468</v>
      </c>
      <c r="D282" s="42" t="s">
        <v>659</v>
      </c>
      <c r="E282" s="42" t="s">
        <v>481</v>
      </c>
      <c r="F282" s="154">
        <v>31877</v>
      </c>
      <c r="G282" s="42" t="s">
        <v>660</v>
      </c>
      <c r="H282" s="42">
        <v>7405368</v>
      </c>
      <c r="I282" s="42" t="s">
        <v>586</v>
      </c>
      <c r="J282" s="42">
        <v>1013587782</v>
      </c>
      <c r="K282" s="42">
        <v>1</v>
      </c>
      <c r="L282" s="42">
        <v>2</v>
      </c>
      <c r="M282" s="42" t="s">
        <v>451</v>
      </c>
      <c r="N282" s="42" t="s">
        <v>452</v>
      </c>
      <c r="O282" s="42" t="s">
        <v>453</v>
      </c>
      <c r="P282" s="154">
        <v>42887</v>
      </c>
      <c r="Q282" s="154">
        <v>41163</v>
      </c>
      <c r="R282" s="154"/>
      <c r="S282" s="42">
        <v>8</v>
      </c>
      <c r="T282" s="42" t="s">
        <v>466</v>
      </c>
      <c r="U282" s="42">
        <v>11</v>
      </c>
      <c r="V282" s="42" t="s">
        <v>456</v>
      </c>
      <c r="W282" s="42">
        <v>3</v>
      </c>
      <c r="X282" s="42" t="s">
        <v>457</v>
      </c>
      <c r="Y282" s="42">
        <v>127</v>
      </c>
      <c r="Z282" s="42" t="s">
        <v>500</v>
      </c>
      <c r="AA282" s="42">
        <v>314</v>
      </c>
      <c r="AB282" s="42">
        <v>15</v>
      </c>
      <c r="AC282" s="42">
        <v>4226650</v>
      </c>
      <c r="AD282" s="42" t="s">
        <v>517</v>
      </c>
      <c r="AE282" s="42">
        <v>127</v>
      </c>
      <c r="AF282" s="42" t="s">
        <v>458</v>
      </c>
      <c r="AG282" s="42" t="s">
        <v>459</v>
      </c>
      <c r="AH282" s="42" t="s">
        <v>188</v>
      </c>
      <c r="AI282" s="42" t="s">
        <v>460</v>
      </c>
      <c r="AJ282" s="154">
        <v>42887</v>
      </c>
      <c r="AK282" s="42">
        <v>68</v>
      </c>
      <c r="AL282" s="154">
        <v>42865</v>
      </c>
      <c r="AM282" s="154"/>
      <c r="AN282" s="42"/>
      <c r="AO282" s="154"/>
      <c r="AP282" s="154">
        <v>44488</v>
      </c>
      <c r="AQ282" s="42"/>
      <c r="AR282" s="42"/>
      <c r="AS282" s="42"/>
      <c r="AT282" s="42"/>
      <c r="AU282" s="42"/>
      <c r="AV282" s="42"/>
      <c r="AW282" s="42"/>
      <c r="AX282" s="42"/>
    </row>
    <row r="283" spans="1:50" ht="12.75" customHeight="1">
      <c r="A283" s="42">
        <v>1013590021</v>
      </c>
      <c r="B283" s="42" t="s">
        <v>661</v>
      </c>
      <c r="C283" s="42" t="s">
        <v>468</v>
      </c>
      <c r="D283" s="42" t="s">
        <v>662</v>
      </c>
      <c r="E283" s="42" t="s">
        <v>481</v>
      </c>
      <c r="F283" s="154">
        <v>31971</v>
      </c>
      <c r="G283" s="42" t="s">
        <v>663</v>
      </c>
      <c r="H283" s="42">
        <v>3871727</v>
      </c>
      <c r="I283" s="42" t="s">
        <v>450</v>
      </c>
      <c r="J283" s="42"/>
      <c r="K283" s="42"/>
      <c r="L283" s="42"/>
      <c r="M283" s="42" t="s">
        <v>451</v>
      </c>
      <c r="N283" s="42" t="s">
        <v>452</v>
      </c>
      <c r="O283" s="42" t="s">
        <v>453</v>
      </c>
      <c r="P283" s="154">
        <v>42907</v>
      </c>
      <c r="Q283" s="154">
        <v>42907</v>
      </c>
      <c r="R283" s="42"/>
      <c r="S283" s="42">
        <v>8</v>
      </c>
      <c r="T283" s="42" t="s">
        <v>466</v>
      </c>
      <c r="U283" s="42">
        <v>11</v>
      </c>
      <c r="V283" s="42" t="s">
        <v>456</v>
      </c>
      <c r="W283" s="42">
        <v>3</v>
      </c>
      <c r="X283" s="42" t="s">
        <v>457</v>
      </c>
      <c r="Y283" s="42">
        <v>64</v>
      </c>
      <c r="Z283" s="42" t="s">
        <v>500</v>
      </c>
      <c r="AA283" s="42">
        <v>222</v>
      </c>
      <c r="AB283" s="42">
        <v>21</v>
      </c>
      <c r="AC283" s="42">
        <v>6566429</v>
      </c>
      <c r="AD283" s="42" t="s">
        <v>51</v>
      </c>
      <c r="AE283" s="42">
        <v>64</v>
      </c>
      <c r="AF283" s="42" t="s">
        <v>458</v>
      </c>
      <c r="AG283" s="42" t="s">
        <v>459</v>
      </c>
      <c r="AH283" s="42" t="s">
        <v>188</v>
      </c>
      <c r="AI283" s="42" t="s">
        <v>460</v>
      </c>
      <c r="AJ283" s="154">
        <v>42907</v>
      </c>
      <c r="AK283" s="42">
        <v>90</v>
      </c>
      <c r="AL283" s="154">
        <v>42893</v>
      </c>
      <c r="AM283" s="154"/>
      <c r="AN283" s="42"/>
      <c r="AO283" s="154"/>
      <c r="AP283" s="154">
        <v>44325</v>
      </c>
      <c r="AQ283" s="42"/>
      <c r="AR283" s="42"/>
      <c r="AS283" s="42"/>
      <c r="AT283" s="42"/>
      <c r="AU283" s="42"/>
      <c r="AV283" s="42"/>
      <c r="AW283" s="42"/>
      <c r="AX283" s="42"/>
    </row>
    <row r="284" spans="1:50" ht="12.75" customHeight="1">
      <c r="A284" s="42">
        <v>1013593388</v>
      </c>
      <c r="B284" s="42" t="s">
        <v>664</v>
      </c>
      <c r="C284" s="42" t="s">
        <v>665</v>
      </c>
      <c r="D284" s="42" t="s">
        <v>666</v>
      </c>
      <c r="E284" s="42" t="s">
        <v>481</v>
      </c>
      <c r="F284" s="154">
        <v>32171</v>
      </c>
      <c r="G284" s="42" t="s">
        <v>668</v>
      </c>
      <c r="H284" s="42">
        <v>7979041</v>
      </c>
      <c r="I284" s="42" t="s">
        <v>586</v>
      </c>
      <c r="J284" s="42">
        <v>1013593388</v>
      </c>
      <c r="K284" s="42">
        <v>2</v>
      </c>
      <c r="L284" s="42"/>
      <c r="M284" s="42" t="s">
        <v>451</v>
      </c>
      <c r="N284" s="42" t="s">
        <v>452</v>
      </c>
      <c r="O284" s="42" t="s">
        <v>453</v>
      </c>
      <c r="P284" s="154">
        <v>43642</v>
      </c>
      <c r="Q284" s="154">
        <v>43642</v>
      </c>
      <c r="R284" s="154"/>
      <c r="S284" s="42">
        <v>8</v>
      </c>
      <c r="T284" s="42" t="s">
        <v>466</v>
      </c>
      <c r="U284" s="42">
        <v>23</v>
      </c>
      <c r="V284" s="42" t="s">
        <v>669</v>
      </c>
      <c r="W284" s="42">
        <v>3</v>
      </c>
      <c r="X284" s="42" t="s">
        <v>457</v>
      </c>
      <c r="Y284" s="42">
        <v>2310440</v>
      </c>
      <c r="Z284" s="42" t="s">
        <v>628</v>
      </c>
      <c r="AA284" s="42">
        <v>314</v>
      </c>
      <c r="AB284" s="42">
        <v>15</v>
      </c>
      <c r="AC284" s="42">
        <v>4226650</v>
      </c>
      <c r="AD284" s="42" t="s">
        <v>517</v>
      </c>
      <c r="AE284" s="42">
        <v>133</v>
      </c>
      <c r="AF284" s="42" t="s">
        <v>458</v>
      </c>
      <c r="AG284" s="42" t="s">
        <v>459</v>
      </c>
      <c r="AH284" s="42" t="s">
        <v>188</v>
      </c>
      <c r="AI284" s="42" t="s">
        <v>460</v>
      </c>
      <c r="AJ284" s="154">
        <v>43642</v>
      </c>
      <c r="AK284" s="42">
        <v>75</v>
      </c>
      <c r="AL284" s="154">
        <v>43642</v>
      </c>
      <c r="AM284" s="154"/>
      <c r="AN284" s="42"/>
      <c r="AO284" s="154"/>
      <c r="AP284" s="154">
        <v>43982</v>
      </c>
      <c r="AQ284" s="42"/>
      <c r="AR284" s="42"/>
      <c r="AS284" s="42"/>
      <c r="AT284" s="42"/>
      <c r="AU284" s="42"/>
      <c r="AV284" s="42"/>
      <c r="AW284" s="42"/>
      <c r="AX284" s="42"/>
    </row>
    <row r="285" spans="1:50" ht="12.75" customHeight="1">
      <c r="A285" s="42">
        <v>1013608357</v>
      </c>
      <c r="B285" s="42" t="s">
        <v>670</v>
      </c>
      <c r="C285" s="42" t="s">
        <v>538</v>
      </c>
      <c r="D285" s="42" t="s">
        <v>671</v>
      </c>
      <c r="E285" s="42" t="s">
        <v>448</v>
      </c>
      <c r="F285" s="154">
        <v>32803</v>
      </c>
      <c r="G285" s="42" t="s">
        <v>672</v>
      </c>
      <c r="H285" s="42">
        <v>6453198</v>
      </c>
      <c r="I285" s="42" t="s">
        <v>450</v>
      </c>
      <c r="J285" s="42"/>
      <c r="K285" s="42"/>
      <c r="L285" s="42"/>
      <c r="M285" s="42" t="s">
        <v>547</v>
      </c>
      <c r="N285" s="42" t="s">
        <v>452</v>
      </c>
      <c r="O285" s="42" t="s">
        <v>453</v>
      </c>
      <c r="P285" s="154">
        <v>44463</v>
      </c>
      <c r="Q285" s="154">
        <v>44463</v>
      </c>
      <c r="R285" s="154"/>
      <c r="S285" s="42">
        <v>8</v>
      </c>
      <c r="T285" s="42" t="s">
        <v>466</v>
      </c>
      <c r="U285" s="42">
        <v>11</v>
      </c>
      <c r="V285" s="42" t="s">
        <v>456</v>
      </c>
      <c r="W285" s="42">
        <v>3</v>
      </c>
      <c r="X285" s="42" t="s">
        <v>457</v>
      </c>
      <c r="Y285" s="42">
        <v>2310470</v>
      </c>
      <c r="Z285" s="42" t="s">
        <v>477</v>
      </c>
      <c r="AA285" s="42">
        <v>219</v>
      </c>
      <c r="AB285" s="42">
        <v>18</v>
      </c>
      <c r="AC285" s="42">
        <v>5951245</v>
      </c>
      <c r="AD285" s="42" t="s">
        <v>72</v>
      </c>
      <c r="AE285" s="42">
        <v>89</v>
      </c>
      <c r="AF285" s="42" t="s">
        <v>458</v>
      </c>
      <c r="AG285" s="42" t="s">
        <v>459</v>
      </c>
      <c r="AH285" s="42" t="s">
        <v>49</v>
      </c>
      <c r="AI285" s="42" t="s">
        <v>460</v>
      </c>
      <c r="AJ285" s="154">
        <v>44463</v>
      </c>
      <c r="AK285" s="42">
        <v>157</v>
      </c>
      <c r="AL285" s="154">
        <v>44432</v>
      </c>
      <c r="AM285" s="154">
        <v>45505</v>
      </c>
      <c r="AN285" s="42">
        <v>361</v>
      </c>
      <c r="AO285" s="154">
        <v>45499</v>
      </c>
      <c r="AP285" s="154"/>
      <c r="AQ285" s="42"/>
      <c r="AR285" s="42"/>
      <c r="AS285" s="42"/>
      <c r="AT285" s="42"/>
      <c r="AU285" s="42"/>
      <c r="AV285" s="42"/>
      <c r="AW285" s="42"/>
      <c r="AX285" s="42"/>
    </row>
    <row r="286" spans="1:50" ht="12.75" customHeight="1">
      <c r="A286" s="42">
        <v>1013651214</v>
      </c>
      <c r="B286" s="42" t="s">
        <v>673</v>
      </c>
      <c r="C286" s="42" t="s">
        <v>468</v>
      </c>
      <c r="D286" s="42" t="s">
        <v>674</v>
      </c>
      <c r="E286" s="42" t="s">
        <v>481</v>
      </c>
      <c r="F286" s="154">
        <v>34545</v>
      </c>
      <c r="G286" s="42" t="s">
        <v>675</v>
      </c>
      <c r="H286" s="42">
        <v>7411236</v>
      </c>
      <c r="I286" s="42" t="s">
        <v>450</v>
      </c>
      <c r="J286" s="42"/>
      <c r="K286" s="42"/>
      <c r="L286" s="42"/>
      <c r="M286" s="42" t="s">
        <v>448</v>
      </c>
      <c r="N286" s="42" t="s">
        <v>452</v>
      </c>
      <c r="O286" s="42" t="s">
        <v>453</v>
      </c>
      <c r="P286" s="154">
        <v>43503</v>
      </c>
      <c r="Q286" s="154">
        <v>43503</v>
      </c>
      <c r="R286" s="154"/>
      <c r="S286" s="42">
        <v>2</v>
      </c>
      <c r="T286" s="42" t="s">
        <v>455</v>
      </c>
      <c r="U286" s="42">
        <v>18</v>
      </c>
      <c r="V286" s="42" t="s">
        <v>565</v>
      </c>
      <c r="W286" s="42">
        <v>3</v>
      </c>
      <c r="X286" s="42" t="s">
        <v>457</v>
      </c>
      <c r="Y286" s="42">
        <v>150</v>
      </c>
      <c r="Z286" s="42" t="s">
        <v>500</v>
      </c>
      <c r="AA286" s="42">
        <v>407</v>
      </c>
      <c r="AB286" s="42">
        <v>15</v>
      </c>
      <c r="AC286" s="42">
        <v>3212811</v>
      </c>
      <c r="AD286" s="42" t="s">
        <v>146</v>
      </c>
      <c r="AE286" s="42">
        <v>150</v>
      </c>
      <c r="AF286" s="42" t="s">
        <v>458</v>
      </c>
      <c r="AG286" s="42" t="s">
        <v>459</v>
      </c>
      <c r="AH286" s="42" t="s">
        <v>188</v>
      </c>
      <c r="AI286" s="42" t="s">
        <v>460</v>
      </c>
      <c r="AJ286" s="154">
        <v>43503</v>
      </c>
      <c r="AK286" s="42">
        <v>10</v>
      </c>
      <c r="AL286" s="154">
        <v>43503</v>
      </c>
      <c r="AM286" s="154"/>
      <c r="AN286" s="42"/>
      <c r="AO286" s="154"/>
      <c r="AP286" s="154">
        <v>44143</v>
      </c>
      <c r="AQ286" s="42"/>
      <c r="AR286" s="42"/>
      <c r="AS286" s="42"/>
      <c r="AT286" s="42"/>
      <c r="AU286" s="42"/>
      <c r="AV286" s="42"/>
      <c r="AW286" s="42"/>
      <c r="AX286" s="42"/>
    </row>
    <row r="287" spans="1:50" ht="12.75" customHeight="1">
      <c r="A287" s="42">
        <v>1014212093</v>
      </c>
      <c r="B287" s="42" t="s">
        <v>676</v>
      </c>
      <c r="C287" s="42" t="s">
        <v>677</v>
      </c>
      <c r="D287" s="42" t="s">
        <v>678</v>
      </c>
      <c r="E287" s="42" t="s">
        <v>481</v>
      </c>
      <c r="F287" s="154">
        <v>33058</v>
      </c>
      <c r="G287" s="42" t="s">
        <v>679</v>
      </c>
      <c r="H287" s="42">
        <v>3124898935</v>
      </c>
      <c r="I287" s="42" t="s">
        <v>450</v>
      </c>
      <c r="J287" s="42"/>
      <c r="K287" s="42"/>
      <c r="L287" s="42"/>
      <c r="M287" s="42" t="s">
        <v>451</v>
      </c>
      <c r="N287" s="42" t="s">
        <v>452</v>
      </c>
      <c r="O287" s="42" t="s">
        <v>453</v>
      </c>
      <c r="P287" s="154">
        <v>45363</v>
      </c>
      <c r="Q287" s="154">
        <v>45363</v>
      </c>
      <c r="R287" s="154"/>
      <c r="S287" s="42">
        <v>5</v>
      </c>
      <c r="T287" s="42" t="s">
        <v>499</v>
      </c>
      <c r="U287" s="42">
        <v>18</v>
      </c>
      <c r="V287" s="42" t="s">
        <v>565</v>
      </c>
      <c r="W287" s="42">
        <v>3</v>
      </c>
      <c r="X287" s="42" t="s">
        <v>457</v>
      </c>
      <c r="Y287" s="42">
        <v>0</v>
      </c>
      <c r="Z287" s="42" t="s">
        <v>500</v>
      </c>
      <c r="AA287" s="42">
        <v>314</v>
      </c>
      <c r="AB287" s="42">
        <v>15</v>
      </c>
      <c r="AC287" s="42">
        <v>4226650</v>
      </c>
      <c r="AD287" s="42" t="s">
        <v>517</v>
      </c>
      <c r="AE287" s="42">
        <v>114</v>
      </c>
      <c r="AF287" s="42" t="s">
        <v>458</v>
      </c>
      <c r="AG287" s="42" t="s">
        <v>459</v>
      </c>
      <c r="AH287" s="42" t="s">
        <v>49</v>
      </c>
      <c r="AI287" s="42" t="s">
        <v>460</v>
      </c>
      <c r="AJ287" s="154">
        <v>45363</v>
      </c>
      <c r="AK287" s="42">
        <v>554</v>
      </c>
      <c r="AL287" s="154">
        <v>45219</v>
      </c>
      <c r="AM287" s="154">
        <v>45729</v>
      </c>
      <c r="AN287" s="42">
        <v>104</v>
      </c>
      <c r="AO287" s="154">
        <v>45727</v>
      </c>
      <c r="AP287" s="154">
        <v>46000</v>
      </c>
      <c r="AQ287" s="42"/>
      <c r="AR287" s="42"/>
      <c r="AS287" s="42"/>
      <c r="AT287" s="42"/>
      <c r="AU287" s="42"/>
      <c r="AV287" s="42"/>
      <c r="AW287" s="42"/>
      <c r="AX287" s="42"/>
    </row>
    <row r="288" spans="1:50" ht="12.75" customHeight="1">
      <c r="A288" s="42">
        <v>1014976247</v>
      </c>
      <c r="B288" s="42" t="s">
        <v>491</v>
      </c>
      <c r="C288" s="42" t="s">
        <v>681</v>
      </c>
      <c r="D288" s="42" t="s">
        <v>682</v>
      </c>
      <c r="E288" s="42" t="s">
        <v>448</v>
      </c>
      <c r="F288" s="154">
        <v>38005</v>
      </c>
      <c r="G288" s="42" t="s">
        <v>683</v>
      </c>
      <c r="H288" s="42">
        <v>6014828323</v>
      </c>
      <c r="I288" s="42" t="s">
        <v>450</v>
      </c>
      <c r="J288" s="42"/>
      <c r="K288" s="42"/>
      <c r="L288" s="42"/>
      <c r="M288" s="42" t="s">
        <v>451</v>
      </c>
      <c r="N288" s="42" t="s">
        <v>452</v>
      </c>
      <c r="O288" s="42" t="s">
        <v>453</v>
      </c>
      <c r="P288" s="154">
        <v>46275</v>
      </c>
      <c r="Q288" s="154">
        <v>46275</v>
      </c>
      <c r="R288" s="154"/>
      <c r="S288" s="42">
        <v>8</v>
      </c>
      <c r="T288" s="42" t="s">
        <v>466</v>
      </c>
      <c r="U288" s="42">
        <v>11</v>
      </c>
      <c r="V288" s="42" t="s">
        <v>456</v>
      </c>
      <c r="W288" s="42">
        <v>18</v>
      </c>
      <c r="X288" s="42" t="s">
        <v>536</v>
      </c>
      <c r="Y288" s="42">
        <v>2310440</v>
      </c>
      <c r="Z288" s="42" t="s">
        <v>628</v>
      </c>
      <c r="AA288" s="42">
        <v>314</v>
      </c>
      <c r="AB288" s="42">
        <v>15</v>
      </c>
      <c r="AC288" s="42">
        <v>4226650</v>
      </c>
      <c r="AD288" s="42" t="s">
        <v>517</v>
      </c>
      <c r="AE288" s="42">
        <v>133</v>
      </c>
      <c r="AF288" s="42" t="s">
        <v>458</v>
      </c>
      <c r="AG288" s="42" t="s">
        <v>459</v>
      </c>
      <c r="AH288" s="42" t="s">
        <v>188</v>
      </c>
      <c r="AI288" s="42" t="s">
        <v>460</v>
      </c>
      <c r="AJ288" s="154">
        <v>46275</v>
      </c>
      <c r="AK288" s="42">
        <v>386</v>
      </c>
      <c r="AL288" s="154">
        <v>46268</v>
      </c>
      <c r="AM288" s="154"/>
      <c r="AN288" s="42"/>
      <c r="AO288" s="154"/>
      <c r="AP288" s="154"/>
      <c r="AQ288" s="42"/>
      <c r="AR288" s="42"/>
      <c r="AS288" s="42"/>
      <c r="AT288" s="42"/>
      <c r="AU288" s="42"/>
      <c r="AV288" s="42"/>
      <c r="AW288" s="42"/>
      <c r="AX288" s="42"/>
    </row>
    <row r="289" spans="1:50" ht="12.75" customHeight="1">
      <c r="A289" s="42">
        <v>1015393324</v>
      </c>
      <c r="B289" s="42" t="s">
        <v>538</v>
      </c>
      <c r="C289" s="42" t="s">
        <v>685</v>
      </c>
      <c r="D289" s="42" t="s">
        <v>686</v>
      </c>
      <c r="E289" s="42" t="s">
        <v>481</v>
      </c>
      <c r="F289" s="154">
        <v>31381</v>
      </c>
      <c r="G289" s="42" t="s">
        <v>687</v>
      </c>
      <c r="H289" s="42">
        <v>7469896</v>
      </c>
      <c r="I289" s="42" t="s">
        <v>586</v>
      </c>
      <c r="J289" s="42" t="s">
        <v>688</v>
      </c>
      <c r="K289" s="42">
        <v>2</v>
      </c>
      <c r="L289" s="42">
        <v>1</v>
      </c>
      <c r="M289" s="42" t="s">
        <v>448</v>
      </c>
      <c r="N289" s="42" t="s">
        <v>452</v>
      </c>
      <c r="O289" s="42" t="s">
        <v>453</v>
      </c>
      <c r="P289" s="154">
        <v>44147</v>
      </c>
      <c r="Q289" s="154">
        <v>44147</v>
      </c>
      <c r="R289" s="42"/>
      <c r="S289" s="42">
        <v>18</v>
      </c>
      <c r="T289" s="42" t="s">
        <v>472</v>
      </c>
      <c r="U289" s="42">
        <v>11</v>
      </c>
      <c r="V289" s="42" t="s">
        <v>456</v>
      </c>
      <c r="W289" s="42">
        <v>18</v>
      </c>
      <c r="X289" s="42" t="s">
        <v>536</v>
      </c>
      <c r="Y289" s="42">
        <v>2310470</v>
      </c>
      <c r="Z289" s="42" t="s">
        <v>477</v>
      </c>
      <c r="AA289" s="42">
        <v>219</v>
      </c>
      <c r="AB289" s="42">
        <v>1</v>
      </c>
      <c r="AC289" s="42">
        <v>3989530</v>
      </c>
      <c r="AD289" s="42" t="s">
        <v>72</v>
      </c>
      <c r="AE289" s="42">
        <v>116</v>
      </c>
      <c r="AF289" s="42" t="s">
        <v>458</v>
      </c>
      <c r="AG289" s="42" t="s">
        <v>459</v>
      </c>
      <c r="AH289" s="42" t="s">
        <v>49</v>
      </c>
      <c r="AI289" s="42" t="s">
        <v>460</v>
      </c>
      <c r="AJ289" s="154">
        <v>44147</v>
      </c>
      <c r="AK289" s="42">
        <v>121</v>
      </c>
      <c r="AL289" s="154">
        <v>44118</v>
      </c>
      <c r="AM289" s="154">
        <v>45932</v>
      </c>
      <c r="AN289" s="42">
        <v>351</v>
      </c>
      <c r="AO289" s="154">
        <v>45916</v>
      </c>
      <c r="AP289" s="154">
        <v>46082</v>
      </c>
      <c r="AQ289" s="42"/>
      <c r="AR289" s="42"/>
      <c r="AS289" s="42"/>
      <c r="AT289" s="42"/>
      <c r="AU289" s="42"/>
      <c r="AV289" s="42"/>
      <c r="AW289" s="42"/>
      <c r="AX289" s="42"/>
    </row>
    <row r="290" spans="1:50" ht="12.75" customHeight="1">
      <c r="A290" s="42">
        <v>1015406682</v>
      </c>
      <c r="B290" s="42" t="s">
        <v>446</v>
      </c>
      <c r="C290" s="42" t="s">
        <v>702</v>
      </c>
      <c r="D290" s="42" t="s">
        <v>703</v>
      </c>
      <c r="E290" s="42" t="s">
        <v>448</v>
      </c>
      <c r="F290" s="154">
        <v>32369</v>
      </c>
      <c r="G290" s="42" t="s">
        <v>704</v>
      </c>
      <c r="H290" s="42">
        <v>3006444710</v>
      </c>
      <c r="I290" s="42" t="s">
        <v>586</v>
      </c>
      <c r="J290" s="42"/>
      <c r="K290" s="42"/>
      <c r="L290" s="42"/>
      <c r="M290" s="42" t="s">
        <v>451</v>
      </c>
      <c r="N290" s="42" t="s">
        <v>452</v>
      </c>
      <c r="O290" s="42" t="s">
        <v>453</v>
      </c>
      <c r="P290" s="154">
        <v>45516</v>
      </c>
      <c r="Q290" s="154">
        <v>45516</v>
      </c>
      <c r="R290" s="154"/>
      <c r="S290" s="42">
        <v>5</v>
      </c>
      <c r="T290" s="42" t="s">
        <v>499</v>
      </c>
      <c r="U290" s="42">
        <v>19</v>
      </c>
      <c r="V290" s="42" t="s">
        <v>574</v>
      </c>
      <c r="W290" s="42">
        <v>3</v>
      </c>
      <c r="X290" s="42" t="s">
        <v>457</v>
      </c>
      <c r="Y290" s="42">
        <v>2310450</v>
      </c>
      <c r="Z290" s="42" t="s">
        <v>568</v>
      </c>
      <c r="AA290" s="42">
        <v>9</v>
      </c>
      <c r="AB290" s="42">
        <v>7</v>
      </c>
      <c r="AC290" s="42">
        <v>11186814</v>
      </c>
      <c r="AD290" s="42" t="s">
        <v>512</v>
      </c>
      <c r="AE290" s="42">
        <v>7</v>
      </c>
      <c r="AF290" s="42" t="s">
        <v>458</v>
      </c>
      <c r="AG290" s="42" t="s">
        <v>459</v>
      </c>
      <c r="AH290" s="42" t="s">
        <v>484</v>
      </c>
      <c r="AI290" s="42" t="s">
        <v>460</v>
      </c>
      <c r="AJ290" s="154">
        <v>45516</v>
      </c>
      <c r="AK290" s="42">
        <v>370</v>
      </c>
      <c r="AL290" s="154">
        <v>45506</v>
      </c>
      <c r="AM290" s="154"/>
      <c r="AN290" s="42"/>
      <c r="AO290" s="154"/>
      <c r="AP290" s="154"/>
      <c r="AQ290" s="42"/>
      <c r="AR290" s="42"/>
      <c r="AS290" s="42"/>
      <c r="AT290" s="42"/>
      <c r="AU290" s="42"/>
      <c r="AV290" s="42"/>
      <c r="AW290" s="42"/>
      <c r="AX290" s="42"/>
    </row>
    <row r="291" spans="1:50" ht="12.75" customHeight="1">
      <c r="A291" s="42">
        <v>1015409873</v>
      </c>
      <c r="B291" s="42" t="s">
        <v>706</v>
      </c>
      <c r="C291" s="42" t="s">
        <v>538</v>
      </c>
      <c r="D291" s="42" t="s">
        <v>707</v>
      </c>
      <c r="E291" s="42" t="s">
        <v>448</v>
      </c>
      <c r="F291" s="154">
        <v>32534</v>
      </c>
      <c r="G291" s="42" t="s">
        <v>708</v>
      </c>
      <c r="H291" s="42">
        <v>4561852</v>
      </c>
      <c r="I291" s="42" t="s">
        <v>450</v>
      </c>
      <c r="J291" s="42"/>
      <c r="K291" s="42"/>
      <c r="L291" s="42"/>
      <c r="M291" s="42" t="s">
        <v>451</v>
      </c>
      <c r="N291" s="42" t="s">
        <v>452</v>
      </c>
      <c r="O291" s="42" t="s">
        <v>453</v>
      </c>
      <c r="P291" s="154">
        <v>44566</v>
      </c>
      <c r="Q291" s="154">
        <v>44566</v>
      </c>
      <c r="R291" s="42"/>
      <c r="S291" s="42">
        <v>18</v>
      </c>
      <c r="T291" s="42" t="s">
        <v>472</v>
      </c>
      <c r="U291" s="42">
        <v>18</v>
      </c>
      <c r="V291" s="42" t="s">
        <v>565</v>
      </c>
      <c r="W291" s="42">
        <v>3</v>
      </c>
      <c r="X291" s="42" t="s">
        <v>457</v>
      </c>
      <c r="Y291" s="42">
        <v>2311000</v>
      </c>
      <c r="Z291" s="42" t="s">
        <v>467</v>
      </c>
      <c r="AA291" s="42">
        <v>407</v>
      </c>
      <c r="AB291" s="42">
        <v>16</v>
      </c>
      <c r="AC291" s="42">
        <v>3338526</v>
      </c>
      <c r="AD291" s="42" t="s">
        <v>146</v>
      </c>
      <c r="AE291" s="42">
        <v>144</v>
      </c>
      <c r="AF291" s="42" t="s">
        <v>458</v>
      </c>
      <c r="AG291" s="42" t="s">
        <v>459</v>
      </c>
      <c r="AH291" s="42" t="s">
        <v>49</v>
      </c>
      <c r="AI291" s="42" t="s">
        <v>460</v>
      </c>
      <c r="AJ291" s="154">
        <v>44566</v>
      </c>
      <c r="AK291" s="42">
        <v>240</v>
      </c>
      <c r="AL291" s="154">
        <v>44543</v>
      </c>
      <c r="AM291" s="154">
        <v>46204</v>
      </c>
      <c r="AN291" s="42">
        <v>258</v>
      </c>
      <c r="AO291" s="154">
        <v>46190</v>
      </c>
      <c r="AP291" s="154"/>
      <c r="AQ291" s="42"/>
      <c r="AR291" s="42"/>
      <c r="AS291" s="42"/>
      <c r="AT291" s="42"/>
      <c r="AU291" s="42"/>
      <c r="AV291" s="42"/>
      <c r="AW291" s="42"/>
      <c r="AX291" s="42"/>
    </row>
    <row r="292" spans="1:50" ht="12.75" customHeight="1">
      <c r="A292" s="42">
        <v>1015419295</v>
      </c>
      <c r="B292" s="42" t="s">
        <v>711</v>
      </c>
      <c r="C292" s="42" t="s">
        <v>712</v>
      </c>
      <c r="D292" s="42" t="s">
        <v>713</v>
      </c>
      <c r="E292" s="42" t="s">
        <v>448</v>
      </c>
      <c r="F292" s="154">
        <v>33129</v>
      </c>
      <c r="G292" s="42" t="s">
        <v>714</v>
      </c>
      <c r="H292" s="42">
        <v>6307808</v>
      </c>
      <c r="I292" s="42" t="s">
        <v>586</v>
      </c>
      <c r="J292" s="42">
        <v>1015419295</v>
      </c>
      <c r="K292" s="42">
        <v>2</v>
      </c>
      <c r="L292" s="42"/>
      <c r="M292" s="42" t="s">
        <v>448</v>
      </c>
      <c r="N292" s="42" t="s">
        <v>452</v>
      </c>
      <c r="O292" s="42" t="s">
        <v>453</v>
      </c>
      <c r="P292" s="154">
        <v>42828</v>
      </c>
      <c r="Q292" s="154">
        <v>42828</v>
      </c>
      <c r="R292" s="154"/>
      <c r="S292" s="42">
        <v>8</v>
      </c>
      <c r="T292" s="42" t="s">
        <v>466</v>
      </c>
      <c r="U292" s="42">
        <v>18</v>
      </c>
      <c r="V292" s="42" t="s">
        <v>565</v>
      </c>
      <c r="W292" s="42">
        <v>3</v>
      </c>
      <c r="X292" s="42" t="s">
        <v>457</v>
      </c>
      <c r="Y292" s="42">
        <v>2310470</v>
      </c>
      <c r="Z292" s="42" t="s">
        <v>477</v>
      </c>
      <c r="AA292" s="42">
        <v>219</v>
      </c>
      <c r="AB292" s="42">
        <v>15</v>
      </c>
      <c r="AC292" s="42">
        <v>5771486</v>
      </c>
      <c r="AD292" s="42" t="s">
        <v>72</v>
      </c>
      <c r="AE292" s="42">
        <v>96</v>
      </c>
      <c r="AF292" s="42" t="s">
        <v>458</v>
      </c>
      <c r="AG292" s="42" t="s">
        <v>459</v>
      </c>
      <c r="AH292" s="42" t="s">
        <v>49</v>
      </c>
      <c r="AI292" s="42" t="s">
        <v>460</v>
      </c>
      <c r="AJ292" s="154">
        <v>44141</v>
      </c>
      <c r="AK292" s="42">
        <v>119</v>
      </c>
      <c r="AL292" s="154">
        <v>44118</v>
      </c>
      <c r="AM292" s="154">
        <v>45566</v>
      </c>
      <c r="AN292" s="42">
        <v>451</v>
      </c>
      <c r="AO292" s="154">
        <v>45558</v>
      </c>
      <c r="AP292" s="154"/>
      <c r="AQ292" s="42"/>
      <c r="AR292" s="42"/>
      <c r="AS292" s="42"/>
      <c r="AT292" s="42"/>
      <c r="AU292" s="42"/>
      <c r="AV292" s="42"/>
      <c r="AW292" s="42"/>
      <c r="AX292" s="42"/>
    </row>
    <row r="293" spans="1:50" ht="12.75" customHeight="1">
      <c r="A293" s="42">
        <v>1015425376</v>
      </c>
      <c r="B293" s="42" t="s">
        <v>717</v>
      </c>
      <c r="C293" s="42" t="s">
        <v>445</v>
      </c>
      <c r="D293" s="42" t="s">
        <v>719</v>
      </c>
      <c r="E293" s="42" t="s">
        <v>448</v>
      </c>
      <c r="F293" s="154">
        <v>33479</v>
      </c>
      <c r="G293" s="42" t="s">
        <v>720</v>
      </c>
      <c r="H293" s="42">
        <v>4214656</v>
      </c>
      <c r="I293" s="42" t="s">
        <v>450</v>
      </c>
      <c r="J293" s="42"/>
      <c r="K293" s="42"/>
      <c r="L293" s="42"/>
      <c r="M293" s="42" t="s">
        <v>451</v>
      </c>
      <c r="N293" s="42" t="s">
        <v>452</v>
      </c>
      <c r="O293" s="42" t="s">
        <v>453</v>
      </c>
      <c r="P293" s="154">
        <v>44147</v>
      </c>
      <c r="Q293" s="154">
        <v>44147</v>
      </c>
      <c r="R293" s="154"/>
      <c r="S293" s="42">
        <v>5</v>
      </c>
      <c r="T293" s="42" t="s">
        <v>499</v>
      </c>
      <c r="U293" s="42">
        <v>19</v>
      </c>
      <c r="V293" s="42" t="s">
        <v>574</v>
      </c>
      <c r="W293" s="42">
        <v>19</v>
      </c>
      <c r="X293" s="42" t="s">
        <v>575</v>
      </c>
      <c r="Y293" s="42">
        <v>2311000</v>
      </c>
      <c r="Z293" s="42" t="s">
        <v>467</v>
      </c>
      <c r="AA293" s="42">
        <v>219</v>
      </c>
      <c r="AB293" s="42">
        <v>10</v>
      </c>
      <c r="AC293" s="42">
        <v>4938935</v>
      </c>
      <c r="AD293" s="42" t="s">
        <v>72</v>
      </c>
      <c r="AE293" s="42">
        <v>105</v>
      </c>
      <c r="AF293" s="42" t="s">
        <v>458</v>
      </c>
      <c r="AG293" s="42" t="s">
        <v>459</v>
      </c>
      <c r="AH293" s="42" t="s">
        <v>49</v>
      </c>
      <c r="AI293" s="42" t="s">
        <v>460</v>
      </c>
      <c r="AJ293" s="154">
        <v>44147</v>
      </c>
      <c r="AK293" s="42">
        <v>167</v>
      </c>
      <c r="AL293" s="154">
        <v>44124</v>
      </c>
      <c r="AM293" s="154">
        <v>45328</v>
      </c>
      <c r="AN293" s="42">
        <v>81</v>
      </c>
      <c r="AO293" s="154">
        <v>45328</v>
      </c>
      <c r="AP293" s="154"/>
      <c r="AQ293" s="42"/>
      <c r="AR293" s="42"/>
      <c r="AS293" s="42"/>
      <c r="AT293" s="42"/>
      <c r="AU293" s="42"/>
      <c r="AV293" s="42"/>
      <c r="AW293" s="42"/>
      <c r="AX293" s="42"/>
    </row>
    <row r="294" spans="1:50" ht="12.75" customHeight="1">
      <c r="A294" s="42">
        <v>1015438831</v>
      </c>
      <c r="B294" s="42" t="s">
        <v>721</v>
      </c>
      <c r="C294" s="42" t="s">
        <v>722</v>
      </c>
      <c r="D294" s="42" t="s">
        <v>723</v>
      </c>
      <c r="E294" s="42" t="s">
        <v>448</v>
      </c>
      <c r="F294" s="154">
        <v>34133</v>
      </c>
      <c r="G294" s="42" t="s">
        <v>724</v>
      </c>
      <c r="H294" s="42">
        <v>3015523561</v>
      </c>
      <c r="I294" s="42" t="s">
        <v>586</v>
      </c>
      <c r="J294" s="42"/>
      <c r="K294" s="42"/>
      <c r="L294" s="42"/>
      <c r="M294" s="42" t="s">
        <v>451</v>
      </c>
      <c r="N294" s="42" t="s">
        <v>452</v>
      </c>
      <c r="O294" s="42" t="s">
        <v>453</v>
      </c>
      <c r="P294" s="154">
        <v>45489</v>
      </c>
      <c r="Q294" s="154">
        <v>45489</v>
      </c>
      <c r="R294" s="154"/>
      <c r="S294" s="42">
        <v>5</v>
      </c>
      <c r="T294" s="42" t="s">
        <v>499</v>
      </c>
      <c r="U294" s="42">
        <v>11</v>
      </c>
      <c r="V294" s="42" t="s">
        <v>456</v>
      </c>
      <c r="W294" s="42">
        <v>3</v>
      </c>
      <c r="X294" s="42" t="s">
        <v>457</v>
      </c>
      <c r="Y294" s="42">
        <v>2310450</v>
      </c>
      <c r="Z294" s="42" t="s">
        <v>568</v>
      </c>
      <c r="AA294" s="42">
        <v>314</v>
      </c>
      <c r="AB294" s="42">
        <v>15</v>
      </c>
      <c r="AC294" s="42">
        <v>4226650</v>
      </c>
      <c r="AD294" s="42" t="s">
        <v>517</v>
      </c>
      <c r="AE294" s="42">
        <v>129</v>
      </c>
      <c r="AF294" s="42" t="s">
        <v>458</v>
      </c>
      <c r="AG294" s="42" t="s">
        <v>459</v>
      </c>
      <c r="AH294" s="42" t="s">
        <v>188</v>
      </c>
      <c r="AI294" s="42" t="s">
        <v>460</v>
      </c>
      <c r="AJ294" s="154">
        <v>45489</v>
      </c>
      <c r="AK294" s="42">
        <v>345</v>
      </c>
      <c r="AL294" s="154">
        <v>45485</v>
      </c>
      <c r="AM294" s="154"/>
      <c r="AN294" s="42"/>
      <c r="AO294" s="154"/>
      <c r="AP294" s="154"/>
      <c r="AQ294" s="42"/>
      <c r="AR294" s="42"/>
      <c r="AS294" s="42"/>
      <c r="AT294" s="42"/>
      <c r="AU294" s="42"/>
      <c r="AV294" s="42"/>
      <c r="AW294" s="42"/>
      <c r="AX294" s="42"/>
    </row>
    <row r="295" spans="1:50" ht="12.75" customHeight="1">
      <c r="A295" s="42">
        <v>1015438900</v>
      </c>
      <c r="B295" s="42" t="s">
        <v>731</v>
      </c>
      <c r="C295" s="42" t="s">
        <v>533</v>
      </c>
      <c r="D295" s="42" t="s">
        <v>732</v>
      </c>
      <c r="E295" s="42" t="s">
        <v>481</v>
      </c>
      <c r="F295" s="154">
        <v>34131</v>
      </c>
      <c r="G295" s="42" t="s">
        <v>735</v>
      </c>
      <c r="H295" s="42">
        <v>3112740283</v>
      </c>
      <c r="I295" s="42" t="s">
        <v>450</v>
      </c>
      <c r="J295" s="42"/>
      <c r="K295" s="42"/>
      <c r="L295" s="42"/>
      <c r="M295" s="42" t="s">
        <v>451</v>
      </c>
      <c r="N295" s="42" t="s">
        <v>452</v>
      </c>
      <c r="O295" s="42" t="s">
        <v>453</v>
      </c>
      <c r="P295" s="154">
        <v>42872</v>
      </c>
      <c r="Q295" s="154">
        <v>42585</v>
      </c>
      <c r="R295" s="154"/>
      <c r="S295" s="42">
        <v>8</v>
      </c>
      <c r="T295" s="42" t="s">
        <v>466</v>
      </c>
      <c r="U295" s="42">
        <v>18</v>
      </c>
      <c r="V295" s="42" t="s">
        <v>565</v>
      </c>
      <c r="W295" s="42">
        <v>18</v>
      </c>
      <c r="X295" s="42" t="s">
        <v>536</v>
      </c>
      <c r="Y295" s="42">
        <v>115</v>
      </c>
      <c r="Z295" s="42" t="s">
        <v>500</v>
      </c>
      <c r="AA295" s="42">
        <v>219</v>
      </c>
      <c r="AB295" s="42">
        <v>1</v>
      </c>
      <c r="AC295" s="42">
        <v>3989530</v>
      </c>
      <c r="AD295" s="42" t="s">
        <v>72</v>
      </c>
      <c r="AE295" s="42">
        <v>115</v>
      </c>
      <c r="AF295" s="42" t="s">
        <v>458</v>
      </c>
      <c r="AG295" s="42" t="s">
        <v>459</v>
      </c>
      <c r="AH295" s="42" t="s">
        <v>188</v>
      </c>
      <c r="AI295" s="42" t="s">
        <v>460</v>
      </c>
      <c r="AJ295" s="154">
        <v>42872</v>
      </c>
      <c r="AK295" s="42">
        <v>66</v>
      </c>
      <c r="AL295" s="154">
        <v>42859</v>
      </c>
      <c r="AM295" s="154"/>
      <c r="AN295" s="42"/>
      <c r="AO295" s="154"/>
      <c r="AP295" s="154">
        <v>44137</v>
      </c>
      <c r="AQ295" s="42"/>
      <c r="AR295" s="42"/>
      <c r="AS295" s="42"/>
      <c r="AT295" s="42"/>
      <c r="AU295" s="42"/>
      <c r="AV295" s="42"/>
      <c r="AW295" s="42"/>
      <c r="AX295" s="42"/>
    </row>
    <row r="296" spans="1:50" ht="12.75" customHeight="1">
      <c r="A296" s="42">
        <v>1016059342</v>
      </c>
      <c r="B296" s="42" t="s">
        <v>631</v>
      </c>
      <c r="C296" s="42" t="s">
        <v>478</v>
      </c>
      <c r="D296" s="42" t="s">
        <v>747</v>
      </c>
      <c r="E296" s="42" t="s">
        <v>481</v>
      </c>
      <c r="F296" s="154">
        <v>34222</v>
      </c>
      <c r="G296" s="42" t="s">
        <v>748</v>
      </c>
      <c r="H296" s="42">
        <v>4795334</v>
      </c>
      <c r="I296" s="42" t="s">
        <v>450</v>
      </c>
      <c r="J296" s="42"/>
      <c r="K296" s="42"/>
      <c r="L296" s="42"/>
      <c r="M296" s="42" t="s">
        <v>451</v>
      </c>
      <c r="N296" s="42" t="s">
        <v>452</v>
      </c>
      <c r="O296" s="42" t="s">
        <v>453</v>
      </c>
      <c r="P296" s="154">
        <v>42803</v>
      </c>
      <c r="Q296" s="154">
        <v>42803</v>
      </c>
      <c r="R296" s="154"/>
      <c r="S296" s="42">
        <v>5</v>
      </c>
      <c r="T296" s="42" t="s">
        <v>499</v>
      </c>
      <c r="U296" s="42">
        <v>18</v>
      </c>
      <c r="V296" s="42" t="s">
        <v>565</v>
      </c>
      <c r="W296" s="42">
        <v>3</v>
      </c>
      <c r="X296" s="42" t="s">
        <v>457</v>
      </c>
      <c r="Y296" s="42">
        <v>96</v>
      </c>
      <c r="Z296" s="42" t="s">
        <v>500</v>
      </c>
      <c r="AA296" s="42">
        <v>219</v>
      </c>
      <c r="AB296" s="42">
        <v>15</v>
      </c>
      <c r="AC296" s="42">
        <v>5771486</v>
      </c>
      <c r="AD296" s="42" t="s">
        <v>72</v>
      </c>
      <c r="AE296" s="42">
        <v>96</v>
      </c>
      <c r="AF296" s="42" t="s">
        <v>458</v>
      </c>
      <c r="AG296" s="42" t="s">
        <v>459</v>
      </c>
      <c r="AH296" s="42" t="s">
        <v>188</v>
      </c>
      <c r="AI296" s="42" t="s">
        <v>460</v>
      </c>
      <c r="AJ296" s="154">
        <v>43522</v>
      </c>
      <c r="AK296" s="42">
        <v>19</v>
      </c>
      <c r="AL296" s="154">
        <v>43517</v>
      </c>
      <c r="AM296" s="154"/>
      <c r="AN296" s="42"/>
      <c r="AO296" s="154"/>
      <c r="AP296" s="154">
        <v>44140</v>
      </c>
      <c r="AQ296" s="42"/>
      <c r="AR296" s="42"/>
      <c r="AS296" s="42"/>
      <c r="AT296" s="42"/>
      <c r="AU296" s="42"/>
      <c r="AV296" s="42"/>
      <c r="AW296" s="42"/>
      <c r="AX296" s="42"/>
    </row>
    <row r="297" spans="1:50" ht="12.75" customHeight="1">
      <c r="A297" s="42">
        <v>52827794</v>
      </c>
      <c r="B297" s="42" t="s">
        <v>1843</v>
      </c>
      <c r="C297" s="42" t="s">
        <v>1002</v>
      </c>
      <c r="D297" s="42" t="s">
        <v>1844</v>
      </c>
      <c r="E297" s="42" t="s">
        <v>448</v>
      </c>
      <c r="F297" s="154">
        <v>29420</v>
      </c>
      <c r="G297" s="42" t="s">
        <v>1845</v>
      </c>
      <c r="H297" s="42">
        <v>2795984</v>
      </c>
      <c r="I297" s="42" t="s">
        <v>450</v>
      </c>
      <c r="J297" s="42"/>
      <c r="K297" s="42"/>
      <c r="L297" s="42"/>
      <c r="M297" s="42" t="s">
        <v>451</v>
      </c>
      <c r="N297" s="42" t="s">
        <v>452</v>
      </c>
      <c r="O297" s="42" t="s">
        <v>453</v>
      </c>
      <c r="P297" s="154">
        <v>46266</v>
      </c>
      <c r="Q297" s="154">
        <v>46266</v>
      </c>
      <c r="R297" s="154"/>
      <c r="S297" s="42">
        <v>8</v>
      </c>
      <c r="T297" s="42" t="s">
        <v>466</v>
      </c>
      <c r="U297" s="42">
        <v>11</v>
      </c>
      <c r="V297" s="42" t="s">
        <v>456</v>
      </c>
      <c r="W297" s="42">
        <v>3</v>
      </c>
      <c r="X297" s="42" t="s">
        <v>457</v>
      </c>
      <c r="Y297" s="42">
        <v>2300100</v>
      </c>
      <c r="Z297" s="42" t="s">
        <v>483</v>
      </c>
      <c r="AA297" s="42">
        <v>407</v>
      </c>
      <c r="AB297" s="42">
        <v>20</v>
      </c>
      <c r="AC297" s="42">
        <v>3799538</v>
      </c>
      <c r="AD297" s="42" t="s">
        <v>146</v>
      </c>
      <c r="AE297" s="42">
        <v>141</v>
      </c>
      <c r="AF297" s="42" t="s">
        <v>458</v>
      </c>
      <c r="AG297" s="42" t="s">
        <v>459</v>
      </c>
      <c r="AH297" s="42" t="s">
        <v>644</v>
      </c>
      <c r="AI297" s="42" t="s">
        <v>460</v>
      </c>
      <c r="AJ297" s="154">
        <v>46266</v>
      </c>
      <c r="AK297" s="42">
        <v>312</v>
      </c>
      <c r="AL297" s="154">
        <v>46225</v>
      </c>
      <c r="AM297" s="154"/>
      <c r="AN297" s="42"/>
      <c r="AO297" s="154"/>
      <c r="AP297" s="154"/>
      <c r="AQ297" s="42"/>
      <c r="AR297" s="42"/>
      <c r="AS297" s="42"/>
      <c r="AT297" s="42"/>
      <c r="AU297" s="42"/>
      <c r="AV297" s="42"/>
      <c r="AW297" s="42"/>
      <c r="AX297" s="42"/>
    </row>
    <row r="298" spans="1:50" ht="12.75" customHeight="1">
      <c r="A298" s="42">
        <v>52830395</v>
      </c>
      <c r="B298" s="42" t="s">
        <v>561</v>
      </c>
      <c r="C298" s="42" t="s">
        <v>1497</v>
      </c>
      <c r="D298" s="42" t="s">
        <v>1846</v>
      </c>
      <c r="E298" s="42" t="s">
        <v>481</v>
      </c>
      <c r="F298" s="154">
        <v>29556</v>
      </c>
      <c r="G298" s="42" t="s">
        <v>1847</v>
      </c>
      <c r="H298" s="42">
        <v>2079461</v>
      </c>
      <c r="I298" s="42" t="s">
        <v>450</v>
      </c>
      <c r="J298" s="42"/>
      <c r="K298" s="42"/>
      <c r="L298" s="42"/>
      <c r="M298" s="42" t="s">
        <v>448</v>
      </c>
      <c r="N298" s="42" t="s">
        <v>452</v>
      </c>
      <c r="O298" s="42" t="s">
        <v>453</v>
      </c>
      <c r="P298" s="154">
        <v>42824</v>
      </c>
      <c r="Q298" s="154">
        <v>42824</v>
      </c>
      <c r="R298" s="154"/>
      <c r="S298" s="42">
        <v>18</v>
      </c>
      <c r="T298" s="42" t="s">
        <v>472</v>
      </c>
      <c r="U298" s="42">
        <v>11</v>
      </c>
      <c r="V298" s="42" t="s">
        <v>456</v>
      </c>
      <c r="W298" s="42">
        <v>3</v>
      </c>
      <c r="X298" s="42" t="s">
        <v>457</v>
      </c>
      <c r="Y298" s="42">
        <v>74</v>
      </c>
      <c r="Z298" s="42" t="s">
        <v>500</v>
      </c>
      <c r="AA298" s="42">
        <v>219</v>
      </c>
      <c r="AB298" s="42">
        <v>18</v>
      </c>
      <c r="AC298" s="42">
        <v>5951245</v>
      </c>
      <c r="AD298" s="42" t="s">
        <v>72</v>
      </c>
      <c r="AE298" s="42">
        <v>74</v>
      </c>
      <c r="AF298" s="42" t="s">
        <v>458</v>
      </c>
      <c r="AG298" s="42" t="s">
        <v>459</v>
      </c>
      <c r="AH298" s="42" t="s">
        <v>188</v>
      </c>
      <c r="AI298" s="42" t="s">
        <v>460</v>
      </c>
      <c r="AJ298" s="154">
        <v>42824</v>
      </c>
      <c r="AK298" s="42">
        <v>29</v>
      </c>
      <c r="AL298" s="154">
        <v>42808</v>
      </c>
      <c r="AM298" s="154"/>
      <c r="AN298" s="42"/>
      <c r="AO298" s="154"/>
      <c r="AP298" s="154">
        <v>44192</v>
      </c>
      <c r="AQ298" s="42"/>
      <c r="AR298" s="42"/>
      <c r="AS298" s="42"/>
      <c r="AT298" s="42"/>
      <c r="AU298" s="42"/>
      <c r="AV298" s="42"/>
      <c r="AW298" s="42"/>
      <c r="AX298" s="42"/>
    </row>
    <row r="299" spans="1:50" ht="12.75" customHeight="1">
      <c r="A299" s="42">
        <v>52863214</v>
      </c>
      <c r="B299" s="42" t="s">
        <v>974</v>
      </c>
      <c r="C299" s="42" t="s">
        <v>773</v>
      </c>
      <c r="D299" s="42" t="s">
        <v>1848</v>
      </c>
      <c r="E299" s="42" t="s">
        <v>481</v>
      </c>
      <c r="F299" s="154">
        <v>29753</v>
      </c>
      <c r="G299" s="42" t="s">
        <v>1849</v>
      </c>
      <c r="H299" s="42">
        <v>6941956</v>
      </c>
      <c r="I299" s="42" t="s">
        <v>450</v>
      </c>
      <c r="J299" s="42"/>
      <c r="K299" s="42"/>
      <c r="L299" s="42"/>
      <c r="M299" s="42" t="s">
        <v>547</v>
      </c>
      <c r="N299" s="42" t="s">
        <v>452</v>
      </c>
      <c r="O299" s="42" t="s">
        <v>453</v>
      </c>
      <c r="P299" s="154">
        <v>44054</v>
      </c>
      <c r="Q299" s="154">
        <v>44054</v>
      </c>
      <c r="R299" s="42"/>
      <c r="S299" s="42">
        <v>42</v>
      </c>
      <c r="T299" s="42" t="s">
        <v>1166</v>
      </c>
      <c r="U299" s="42">
        <v>11</v>
      </c>
      <c r="V299" s="42" t="s">
        <v>456</v>
      </c>
      <c r="W299" s="42">
        <v>3</v>
      </c>
      <c r="X299" s="42" t="s">
        <v>457</v>
      </c>
      <c r="Y299" s="42">
        <v>2300100</v>
      </c>
      <c r="Z299" s="42" t="s">
        <v>483</v>
      </c>
      <c r="AA299" s="42">
        <v>219</v>
      </c>
      <c r="AB299" s="42">
        <v>18</v>
      </c>
      <c r="AC299" s="42">
        <v>5951245</v>
      </c>
      <c r="AD299" s="42" t="s">
        <v>72</v>
      </c>
      <c r="AE299" s="42">
        <v>73</v>
      </c>
      <c r="AF299" s="42" t="s">
        <v>458</v>
      </c>
      <c r="AG299" s="42" t="s">
        <v>459</v>
      </c>
      <c r="AH299" s="42" t="s">
        <v>188</v>
      </c>
      <c r="AI299" s="42" t="s">
        <v>460</v>
      </c>
      <c r="AJ299" s="154">
        <v>44054</v>
      </c>
      <c r="AK299" s="42">
        <v>83</v>
      </c>
      <c r="AL299" s="154">
        <v>44054</v>
      </c>
      <c r="AM299" s="154"/>
      <c r="AN299" s="42"/>
      <c r="AO299" s="154"/>
      <c r="AP299" s="154">
        <v>44241</v>
      </c>
      <c r="AQ299" s="42"/>
      <c r="AR299" s="42"/>
      <c r="AS299" s="42"/>
      <c r="AT299" s="42"/>
      <c r="AU299" s="42"/>
      <c r="AV299" s="42"/>
      <c r="AW299" s="42"/>
      <c r="AX299" s="42"/>
    </row>
    <row r="300" spans="1:50" ht="12.75" customHeight="1">
      <c r="A300" s="42">
        <v>52868519</v>
      </c>
      <c r="B300" s="42" t="s">
        <v>463</v>
      </c>
      <c r="C300" s="42" t="s">
        <v>773</v>
      </c>
      <c r="D300" s="42" t="s">
        <v>1004</v>
      </c>
      <c r="E300" s="42" t="s">
        <v>448</v>
      </c>
      <c r="F300" s="154">
        <v>30205</v>
      </c>
      <c r="G300" s="42" t="s">
        <v>1851</v>
      </c>
      <c r="H300" s="42">
        <v>6733470</v>
      </c>
      <c r="I300" s="42" t="s">
        <v>450</v>
      </c>
      <c r="J300" s="42"/>
      <c r="K300" s="42"/>
      <c r="L300" s="42"/>
      <c r="M300" s="42" t="s">
        <v>547</v>
      </c>
      <c r="N300" s="42" t="s">
        <v>452</v>
      </c>
      <c r="O300" s="42" t="s">
        <v>453</v>
      </c>
      <c r="P300" s="154">
        <v>44242</v>
      </c>
      <c r="Q300" s="154">
        <v>42339</v>
      </c>
      <c r="R300" s="154"/>
      <c r="S300" s="42">
        <v>8</v>
      </c>
      <c r="T300" s="42" t="s">
        <v>466</v>
      </c>
      <c r="U300" s="42">
        <v>11</v>
      </c>
      <c r="V300" s="42" t="s">
        <v>456</v>
      </c>
      <c r="W300" s="42">
        <v>3</v>
      </c>
      <c r="X300" s="42" t="s">
        <v>457</v>
      </c>
      <c r="Y300" s="42">
        <v>0</v>
      </c>
      <c r="Z300" s="42" t="s">
        <v>500</v>
      </c>
      <c r="AA300" s="42">
        <v>0</v>
      </c>
      <c r="AB300" s="42">
        <v>18</v>
      </c>
      <c r="AC300" s="42"/>
      <c r="AD300" s="42" t="s">
        <v>529</v>
      </c>
      <c r="AE300" s="42">
        <v>73</v>
      </c>
      <c r="AF300" s="42" t="s">
        <v>458</v>
      </c>
      <c r="AG300" s="42" t="s">
        <v>459</v>
      </c>
      <c r="AH300" s="42" t="s">
        <v>49</v>
      </c>
      <c r="AI300" s="42" t="s">
        <v>460</v>
      </c>
      <c r="AJ300" s="154">
        <v>44242</v>
      </c>
      <c r="AK300" s="42">
        <v>164</v>
      </c>
      <c r="AL300" s="154">
        <v>44124</v>
      </c>
      <c r="AM300" s="154"/>
      <c r="AN300" s="42"/>
      <c r="AO300" s="154"/>
      <c r="AP300" s="154"/>
      <c r="AQ300" s="42"/>
      <c r="AR300" s="42"/>
      <c r="AS300" s="42"/>
      <c r="AT300" s="42"/>
      <c r="AU300" s="42"/>
      <c r="AV300" s="42"/>
      <c r="AW300" s="42"/>
      <c r="AX300" s="42"/>
    </row>
    <row r="301" spans="1:50" ht="12.75" customHeight="1">
      <c r="A301" s="42">
        <v>52871047</v>
      </c>
      <c r="B301" s="42" t="s">
        <v>1852</v>
      </c>
      <c r="C301" s="42" t="s">
        <v>1077</v>
      </c>
      <c r="D301" s="42" t="s">
        <v>464</v>
      </c>
      <c r="E301" s="42" t="s">
        <v>481</v>
      </c>
      <c r="F301" s="154">
        <v>29692</v>
      </c>
      <c r="G301" s="42" t="s">
        <v>1853</v>
      </c>
      <c r="H301" s="42">
        <v>7312147</v>
      </c>
      <c r="I301" s="42" t="s">
        <v>450</v>
      </c>
      <c r="J301" s="42"/>
      <c r="K301" s="42"/>
      <c r="L301" s="42"/>
      <c r="M301" s="42" t="s">
        <v>451</v>
      </c>
      <c r="N301" s="42" t="s">
        <v>452</v>
      </c>
      <c r="O301" s="42" t="s">
        <v>453</v>
      </c>
      <c r="P301" s="154">
        <v>44200</v>
      </c>
      <c r="Q301" s="154">
        <v>44200</v>
      </c>
      <c r="R301" s="154">
        <v>41113</v>
      </c>
      <c r="S301" s="42">
        <v>18</v>
      </c>
      <c r="T301" s="42" t="s">
        <v>472</v>
      </c>
      <c r="U301" s="42">
        <v>11</v>
      </c>
      <c r="V301" s="42" t="s">
        <v>456</v>
      </c>
      <c r="W301" s="42">
        <v>3</v>
      </c>
      <c r="X301" s="42" t="s">
        <v>457</v>
      </c>
      <c r="Y301" s="42">
        <v>2310300</v>
      </c>
      <c r="Z301" s="42" t="s">
        <v>138</v>
      </c>
      <c r="AA301" s="42">
        <v>219</v>
      </c>
      <c r="AB301" s="42">
        <v>13</v>
      </c>
      <c r="AC301" s="42">
        <v>5471098</v>
      </c>
      <c r="AD301" s="42" t="s">
        <v>72</v>
      </c>
      <c r="AE301" s="42">
        <v>100</v>
      </c>
      <c r="AF301" s="42" t="s">
        <v>458</v>
      </c>
      <c r="AG301" s="42" t="s">
        <v>459</v>
      </c>
      <c r="AH301" s="42" t="s">
        <v>49</v>
      </c>
      <c r="AI301" s="42" t="s">
        <v>460</v>
      </c>
      <c r="AJ301" s="154">
        <v>44200</v>
      </c>
      <c r="AK301" s="42">
        <v>143</v>
      </c>
      <c r="AL301" s="154">
        <v>44118</v>
      </c>
      <c r="AM301" s="154">
        <v>45085</v>
      </c>
      <c r="AN301" s="42">
        <v>290</v>
      </c>
      <c r="AO301" s="154">
        <v>45062</v>
      </c>
      <c r="AP301" s="154">
        <v>45721</v>
      </c>
      <c r="AQ301" s="42"/>
      <c r="AR301" s="42"/>
      <c r="AS301" s="42"/>
      <c r="AT301" s="42"/>
      <c r="AU301" s="42"/>
      <c r="AV301" s="42"/>
      <c r="AW301" s="42"/>
      <c r="AX301" s="42"/>
    </row>
    <row r="302" spans="1:50" ht="12.75" customHeight="1">
      <c r="A302" s="42">
        <v>52886975</v>
      </c>
      <c r="B302" s="42" t="s">
        <v>870</v>
      </c>
      <c r="C302" s="42" t="s">
        <v>790</v>
      </c>
      <c r="D302" s="42" t="s">
        <v>1857</v>
      </c>
      <c r="E302" s="42" t="s">
        <v>481</v>
      </c>
      <c r="F302" s="154">
        <v>29906</v>
      </c>
      <c r="G302" s="42" t="s">
        <v>1858</v>
      </c>
      <c r="H302" s="42">
        <v>4732075</v>
      </c>
      <c r="I302" s="42" t="s">
        <v>450</v>
      </c>
      <c r="J302" s="42"/>
      <c r="K302" s="42"/>
      <c r="L302" s="42"/>
      <c r="M302" s="42" t="s">
        <v>451</v>
      </c>
      <c r="N302" s="42" t="s">
        <v>452</v>
      </c>
      <c r="O302" s="42" t="s">
        <v>453</v>
      </c>
      <c r="P302" s="154">
        <v>44243</v>
      </c>
      <c r="Q302" s="154">
        <v>44243</v>
      </c>
      <c r="R302" s="154"/>
      <c r="S302" s="42">
        <v>38</v>
      </c>
      <c r="T302" s="42" t="s">
        <v>1325</v>
      </c>
      <c r="U302" s="42">
        <v>18</v>
      </c>
      <c r="V302" s="42" t="s">
        <v>565</v>
      </c>
      <c r="W302" s="42">
        <v>23</v>
      </c>
      <c r="X302" s="42" t="s">
        <v>473</v>
      </c>
      <c r="Y302" s="42">
        <v>2300100</v>
      </c>
      <c r="Z302" s="42" t="s">
        <v>483</v>
      </c>
      <c r="AA302" s="42">
        <v>105</v>
      </c>
      <c r="AB302" s="42">
        <v>5</v>
      </c>
      <c r="AC302" s="42">
        <v>9154873</v>
      </c>
      <c r="AD302" s="42" t="s">
        <v>26</v>
      </c>
      <c r="AE302" s="42">
        <v>13</v>
      </c>
      <c r="AF302" s="42" t="s">
        <v>458</v>
      </c>
      <c r="AG302" s="42" t="s">
        <v>459</v>
      </c>
      <c r="AH302" s="42" t="s">
        <v>484</v>
      </c>
      <c r="AI302" s="42" t="s">
        <v>460</v>
      </c>
      <c r="AJ302" s="154">
        <v>44243</v>
      </c>
      <c r="AK302" s="42">
        <v>19</v>
      </c>
      <c r="AL302" s="154">
        <v>44242</v>
      </c>
      <c r="AM302" s="154"/>
      <c r="AN302" s="42"/>
      <c r="AO302" s="154"/>
      <c r="AP302" s="154">
        <v>44377</v>
      </c>
      <c r="AQ302" s="42"/>
      <c r="AR302" s="42"/>
      <c r="AS302" s="42"/>
      <c r="AT302" s="42"/>
      <c r="AU302" s="42"/>
      <c r="AV302" s="42"/>
      <c r="AW302" s="42"/>
      <c r="AX302" s="42"/>
    </row>
    <row r="303" spans="1:50" ht="12.75" customHeight="1">
      <c r="A303" s="42">
        <v>52955543</v>
      </c>
      <c r="B303" s="42" t="s">
        <v>1544</v>
      </c>
      <c r="C303" s="42" t="s">
        <v>524</v>
      </c>
      <c r="D303" s="42" t="s">
        <v>1860</v>
      </c>
      <c r="E303" s="42" t="s">
        <v>481</v>
      </c>
      <c r="F303" s="154">
        <v>30197</v>
      </c>
      <c r="G303" s="42" t="s">
        <v>1861</v>
      </c>
      <c r="H303" s="42">
        <v>2530510</v>
      </c>
      <c r="I303" s="42" t="s">
        <v>450</v>
      </c>
      <c r="J303" s="42"/>
      <c r="K303" s="42"/>
      <c r="L303" s="42"/>
      <c r="M303" s="42" t="s">
        <v>451</v>
      </c>
      <c r="N303" s="42" t="s">
        <v>452</v>
      </c>
      <c r="O303" s="42" t="s">
        <v>453</v>
      </c>
      <c r="P303" s="154">
        <v>42893</v>
      </c>
      <c r="Q303" s="154">
        <v>42893</v>
      </c>
      <c r="R303" s="154"/>
      <c r="S303" s="42">
        <v>8</v>
      </c>
      <c r="T303" s="42" t="s">
        <v>466</v>
      </c>
      <c r="U303" s="42">
        <v>19</v>
      </c>
      <c r="V303" s="42" t="s">
        <v>574</v>
      </c>
      <c r="W303" s="42">
        <v>3</v>
      </c>
      <c r="X303" s="42" t="s">
        <v>457</v>
      </c>
      <c r="Y303" s="42">
        <v>2311000</v>
      </c>
      <c r="Z303" s="42" t="s">
        <v>467</v>
      </c>
      <c r="AA303" s="42">
        <v>222</v>
      </c>
      <c r="AB303" s="42">
        <v>24</v>
      </c>
      <c r="AC303" s="42">
        <v>6809900</v>
      </c>
      <c r="AD303" s="42" t="s">
        <v>51</v>
      </c>
      <c r="AE303" s="42">
        <v>21</v>
      </c>
      <c r="AF303" s="42" t="s">
        <v>458</v>
      </c>
      <c r="AG303" s="42" t="s">
        <v>459</v>
      </c>
      <c r="AH303" s="42" t="s">
        <v>188</v>
      </c>
      <c r="AI303" s="42" t="s">
        <v>460</v>
      </c>
      <c r="AJ303" s="154">
        <v>42893</v>
      </c>
      <c r="AK303" s="42">
        <v>83</v>
      </c>
      <c r="AL303" s="154">
        <v>42886</v>
      </c>
      <c r="AM303" s="154"/>
      <c r="AN303" s="42"/>
      <c r="AO303" s="154"/>
      <c r="AP303" s="154">
        <v>43345</v>
      </c>
      <c r="AQ303" s="42"/>
      <c r="AR303" s="42"/>
      <c r="AS303" s="42"/>
      <c r="AT303" s="42"/>
      <c r="AU303" s="42"/>
      <c r="AV303" s="42"/>
      <c r="AW303" s="42"/>
      <c r="AX303" s="42"/>
    </row>
    <row r="304" spans="1:50" ht="12.75" customHeight="1">
      <c r="A304" s="42">
        <v>52960475</v>
      </c>
      <c r="B304" s="42" t="s">
        <v>834</v>
      </c>
      <c r="C304" s="42" t="s">
        <v>728</v>
      </c>
      <c r="D304" s="42" t="s">
        <v>1868</v>
      </c>
      <c r="E304" s="42" t="s">
        <v>481</v>
      </c>
      <c r="F304" s="154">
        <v>30187</v>
      </c>
      <c r="G304" s="42" t="s">
        <v>1869</v>
      </c>
      <c r="H304" s="42">
        <v>3175125553</v>
      </c>
      <c r="I304" s="42" t="s">
        <v>450</v>
      </c>
      <c r="J304" s="42"/>
      <c r="K304" s="42"/>
      <c r="L304" s="42"/>
      <c r="M304" s="42" t="s">
        <v>547</v>
      </c>
      <c r="N304" s="42" t="s">
        <v>452</v>
      </c>
      <c r="O304" s="42" t="s">
        <v>453</v>
      </c>
      <c r="P304" s="154">
        <v>44886</v>
      </c>
      <c r="Q304" s="154">
        <v>44886</v>
      </c>
      <c r="R304" s="154"/>
      <c r="S304" s="42">
        <v>5</v>
      </c>
      <c r="T304" s="42" t="s">
        <v>499</v>
      </c>
      <c r="U304" s="42">
        <v>11</v>
      </c>
      <c r="V304" s="42" t="s">
        <v>456</v>
      </c>
      <c r="W304" s="42">
        <v>3</v>
      </c>
      <c r="X304" s="42" t="s">
        <v>457</v>
      </c>
      <c r="Y304" s="42">
        <v>2300100</v>
      </c>
      <c r="Z304" s="42" t="s">
        <v>483</v>
      </c>
      <c r="AA304" s="42">
        <v>105</v>
      </c>
      <c r="AB304" s="42">
        <v>5</v>
      </c>
      <c r="AC304" s="42">
        <v>9154873</v>
      </c>
      <c r="AD304" s="42" t="s">
        <v>26</v>
      </c>
      <c r="AE304" s="42">
        <v>13</v>
      </c>
      <c r="AF304" s="42" t="s">
        <v>458</v>
      </c>
      <c r="AG304" s="42" t="s">
        <v>459</v>
      </c>
      <c r="AH304" s="42" t="s">
        <v>484</v>
      </c>
      <c r="AI304" s="42" t="s">
        <v>460</v>
      </c>
      <c r="AJ304" s="154">
        <v>44886</v>
      </c>
      <c r="AK304" s="42">
        <v>467</v>
      </c>
      <c r="AL304" s="154">
        <v>44886</v>
      </c>
      <c r="AM304" s="154"/>
      <c r="AN304" s="42"/>
      <c r="AO304" s="154"/>
      <c r="AP304" s="154">
        <v>45306</v>
      </c>
      <c r="AQ304" s="42"/>
      <c r="AR304" s="42"/>
      <c r="AS304" s="42"/>
      <c r="AT304" s="42"/>
      <c r="AU304" s="42"/>
      <c r="AV304" s="42"/>
      <c r="AW304" s="42"/>
      <c r="AX304" s="42"/>
    </row>
    <row r="305" spans="1:50" ht="12.75" customHeight="1">
      <c r="A305" s="42">
        <v>52966706</v>
      </c>
      <c r="B305" s="42" t="s">
        <v>1870</v>
      </c>
      <c r="C305" s="42" t="s">
        <v>1871</v>
      </c>
      <c r="D305" s="42" t="s">
        <v>729</v>
      </c>
      <c r="E305" s="42" t="s">
        <v>448</v>
      </c>
      <c r="F305" s="154">
        <v>30675</v>
      </c>
      <c r="G305" s="42" t="s">
        <v>1872</v>
      </c>
      <c r="H305" s="42">
        <v>4726456</v>
      </c>
      <c r="I305" s="42" t="s">
        <v>450</v>
      </c>
      <c r="J305" s="42"/>
      <c r="K305" s="42"/>
      <c r="L305" s="42"/>
      <c r="M305" s="42" t="s">
        <v>451</v>
      </c>
      <c r="N305" s="42" t="s">
        <v>5</v>
      </c>
      <c r="O305" s="42" t="s">
        <v>453</v>
      </c>
      <c r="P305" s="154">
        <v>46237</v>
      </c>
      <c r="Q305" s="154">
        <v>46237</v>
      </c>
      <c r="R305" s="154"/>
      <c r="S305" s="42">
        <v>42</v>
      </c>
      <c r="T305" s="42" t="s">
        <v>1166</v>
      </c>
      <c r="U305" s="42">
        <v>11</v>
      </c>
      <c r="V305" s="42" t="s">
        <v>456</v>
      </c>
      <c r="W305" s="42">
        <v>3</v>
      </c>
      <c r="X305" s="42" t="s">
        <v>457</v>
      </c>
      <c r="Y305" s="42">
        <v>2310440</v>
      </c>
      <c r="Z305" s="42" t="s">
        <v>628</v>
      </c>
      <c r="AA305" s="42">
        <v>9</v>
      </c>
      <c r="AB305" s="42">
        <v>7</v>
      </c>
      <c r="AC305" s="42">
        <v>11186814</v>
      </c>
      <c r="AD305" s="42" t="s">
        <v>512</v>
      </c>
      <c r="AE305" s="42">
        <v>3</v>
      </c>
      <c r="AF305" s="42" t="s">
        <v>458</v>
      </c>
      <c r="AG305" s="42" t="s">
        <v>459</v>
      </c>
      <c r="AH305" s="42" t="s">
        <v>484</v>
      </c>
      <c r="AI305" s="42" t="s">
        <v>460</v>
      </c>
      <c r="AJ305" s="154">
        <v>46237</v>
      </c>
      <c r="AK305" s="42">
        <v>310</v>
      </c>
      <c r="AL305" s="154">
        <v>46224</v>
      </c>
      <c r="AM305" s="154"/>
      <c r="AN305" s="42"/>
      <c r="AO305" s="154"/>
      <c r="AP305" s="154"/>
      <c r="AQ305" s="42"/>
      <c r="AR305" s="42"/>
      <c r="AS305" s="42"/>
      <c r="AT305" s="42"/>
      <c r="AU305" s="42"/>
      <c r="AV305" s="42"/>
      <c r="AW305" s="42"/>
      <c r="AX305" s="42"/>
    </row>
    <row r="306" spans="1:50" ht="12.75" customHeight="1">
      <c r="A306" s="42">
        <v>52966718</v>
      </c>
      <c r="B306" s="42" t="s">
        <v>1098</v>
      </c>
      <c r="C306" s="42" t="s">
        <v>1874</v>
      </c>
      <c r="D306" s="42" t="s">
        <v>1875</v>
      </c>
      <c r="E306" s="42" t="s">
        <v>481</v>
      </c>
      <c r="F306" s="154">
        <v>30583</v>
      </c>
      <c r="G306" s="42" t="s">
        <v>1876</v>
      </c>
      <c r="H306" s="42">
        <v>4563203</v>
      </c>
      <c r="I306" s="42" t="s">
        <v>450</v>
      </c>
      <c r="J306" s="42"/>
      <c r="K306" s="42"/>
      <c r="L306" s="42"/>
      <c r="M306" s="42" t="s">
        <v>451</v>
      </c>
      <c r="N306" s="42" t="s">
        <v>5</v>
      </c>
      <c r="O306" s="42" t="s">
        <v>453</v>
      </c>
      <c r="P306" s="154">
        <v>43879</v>
      </c>
      <c r="Q306" s="154">
        <v>43879</v>
      </c>
      <c r="R306" s="154"/>
      <c r="S306" s="42">
        <v>5</v>
      </c>
      <c r="T306" s="42" t="s">
        <v>499</v>
      </c>
      <c r="U306" s="42">
        <v>11</v>
      </c>
      <c r="V306" s="42" t="s">
        <v>456</v>
      </c>
      <c r="W306" s="42">
        <v>3</v>
      </c>
      <c r="X306" s="42" t="s">
        <v>457</v>
      </c>
      <c r="Y306" s="42">
        <v>2310460</v>
      </c>
      <c r="Z306" s="42" t="s">
        <v>506</v>
      </c>
      <c r="AA306" s="42">
        <v>9</v>
      </c>
      <c r="AB306" s="42">
        <v>7</v>
      </c>
      <c r="AC306" s="42">
        <v>11186814</v>
      </c>
      <c r="AD306" s="42" t="s">
        <v>512</v>
      </c>
      <c r="AE306" s="42">
        <v>6</v>
      </c>
      <c r="AF306" s="42" t="s">
        <v>458</v>
      </c>
      <c r="AG306" s="42" t="s">
        <v>459</v>
      </c>
      <c r="AH306" s="42" t="s">
        <v>484</v>
      </c>
      <c r="AI306" s="42" t="s">
        <v>460</v>
      </c>
      <c r="AJ306" s="154">
        <v>43879</v>
      </c>
      <c r="AK306" s="42">
        <v>32</v>
      </c>
      <c r="AL306" s="154">
        <v>43878</v>
      </c>
      <c r="AM306" s="154"/>
      <c r="AN306" s="42"/>
      <c r="AO306" s="154"/>
      <c r="AP306" s="154">
        <v>45243</v>
      </c>
      <c r="AQ306" s="42"/>
      <c r="AR306" s="42"/>
      <c r="AS306" s="42"/>
      <c r="AT306" s="42"/>
      <c r="AU306" s="42"/>
      <c r="AV306" s="42"/>
      <c r="AW306" s="42"/>
      <c r="AX306" s="42"/>
    </row>
    <row r="307" spans="1:50" ht="12.75" customHeight="1">
      <c r="A307" s="42">
        <v>52973759</v>
      </c>
      <c r="B307" s="42" t="s">
        <v>1304</v>
      </c>
      <c r="C307" s="42" t="s">
        <v>486</v>
      </c>
      <c r="D307" s="42" t="s">
        <v>1878</v>
      </c>
      <c r="E307" s="42" t="s">
        <v>481</v>
      </c>
      <c r="F307" s="154">
        <v>31212</v>
      </c>
      <c r="G307" s="42" t="s">
        <v>1879</v>
      </c>
      <c r="H307" s="42">
        <v>6017627870</v>
      </c>
      <c r="I307" s="42" t="s">
        <v>450</v>
      </c>
      <c r="J307" s="42"/>
      <c r="K307" s="42"/>
      <c r="L307" s="42"/>
      <c r="M307" s="42" t="s">
        <v>451</v>
      </c>
      <c r="N307" s="42" t="s">
        <v>452</v>
      </c>
      <c r="O307" s="42" t="s">
        <v>453</v>
      </c>
      <c r="P307" s="154">
        <v>44886</v>
      </c>
      <c r="Q307" s="154">
        <v>44886</v>
      </c>
      <c r="R307" s="154"/>
      <c r="S307" s="42">
        <v>18</v>
      </c>
      <c r="T307" s="42" t="s">
        <v>472</v>
      </c>
      <c r="U307" s="42">
        <v>11</v>
      </c>
      <c r="V307" s="42" t="s">
        <v>456</v>
      </c>
      <c r="W307" s="42">
        <v>3</v>
      </c>
      <c r="X307" s="42" t="s">
        <v>457</v>
      </c>
      <c r="Y307" s="42">
        <v>2310460</v>
      </c>
      <c r="Z307" s="42" t="s">
        <v>506</v>
      </c>
      <c r="AA307" s="42">
        <v>440</v>
      </c>
      <c r="AB307" s="42">
        <v>9</v>
      </c>
      <c r="AC307" s="42">
        <v>2675559</v>
      </c>
      <c r="AD307" s="42" t="s">
        <v>29</v>
      </c>
      <c r="AE307" s="42">
        <v>163</v>
      </c>
      <c r="AF307" s="42" t="s">
        <v>458</v>
      </c>
      <c r="AG307" s="42" t="s">
        <v>459</v>
      </c>
      <c r="AH307" s="42" t="s">
        <v>188</v>
      </c>
      <c r="AI307" s="42" t="s">
        <v>460</v>
      </c>
      <c r="AJ307" s="154">
        <v>44886</v>
      </c>
      <c r="AK307" s="42">
        <v>414</v>
      </c>
      <c r="AL307" s="154">
        <v>44867</v>
      </c>
      <c r="AM307" s="154"/>
      <c r="AN307" s="42"/>
      <c r="AO307" s="154"/>
      <c r="AP307" s="154">
        <v>45047</v>
      </c>
      <c r="AQ307" s="42"/>
      <c r="AR307" s="42"/>
      <c r="AS307" s="42"/>
      <c r="AT307" s="42"/>
      <c r="AU307" s="42"/>
      <c r="AV307" s="42"/>
      <c r="AW307" s="42"/>
      <c r="AX307" s="42"/>
    </row>
    <row r="308" spans="1:50" ht="12.75" customHeight="1">
      <c r="A308" s="42">
        <v>53001416</v>
      </c>
      <c r="B308" s="42" t="s">
        <v>463</v>
      </c>
      <c r="C308" s="42" t="s">
        <v>829</v>
      </c>
      <c r="D308" s="42" t="s">
        <v>1005</v>
      </c>
      <c r="E308" s="42" t="s">
        <v>448</v>
      </c>
      <c r="F308" s="154">
        <v>30991</v>
      </c>
      <c r="G308" s="42" t="s">
        <v>1882</v>
      </c>
      <c r="H308" s="42">
        <v>6785554</v>
      </c>
      <c r="I308" s="42" t="s">
        <v>450</v>
      </c>
      <c r="J308" s="42"/>
      <c r="K308" s="42"/>
      <c r="L308" s="42"/>
      <c r="M308" s="42" t="s">
        <v>448</v>
      </c>
      <c r="N308" s="42" t="s">
        <v>5</v>
      </c>
      <c r="O308" s="42" t="s">
        <v>453</v>
      </c>
      <c r="P308" s="154">
        <v>44643</v>
      </c>
      <c r="Q308" s="154">
        <v>44643</v>
      </c>
      <c r="R308" s="154"/>
      <c r="S308" s="42">
        <v>8</v>
      </c>
      <c r="T308" s="42" t="s">
        <v>466</v>
      </c>
      <c r="U308" s="42">
        <v>11</v>
      </c>
      <c r="V308" s="42" t="s">
        <v>456</v>
      </c>
      <c r="W308" s="42">
        <v>3</v>
      </c>
      <c r="X308" s="42" t="s">
        <v>457</v>
      </c>
      <c r="Y308" s="42">
        <v>2310440</v>
      </c>
      <c r="Z308" s="42" t="s">
        <v>628</v>
      </c>
      <c r="AA308" s="42">
        <v>219</v>
      </c>
      <c r="AB308" s="42">
        <v>18</v>
      </c>
      <c r="AC308" s="42">
        <v>5951245</v>
      </c>
      <c r="AD308" s="42" t="s">
        <v>72</v>
      </c>
      <c r="AE308" s="42">
        <v>86</v>
      </c>
      <c r="AF308" s="42" t="s">
        <v>458</v>
      </c>
      <c r="AG308" s="42" t="s">
        <v>459</v>
      </c>
      <c r="AH308" s="42" t="s">
        <v>49</v>
      </c>
      <c r="AI308" s="42" t="s">
        <v>460</v>
      </c>
      <c r="AJ308" s="154">
        <v>44643</v>
      </c>
      <c r="AK308" s="42">
        <v>64</v>
      </c>
      <c r="AL308" s="154">
        <v>44616</v>
      </c>
      <c r="AM308" s="154">
        <v>45994</v>
      </c>
      <c r="AN308" s="42">
        <v>451</v>
      </c>
      <c r="AO308" s="154">
        <v>45993</v>
      </c>
      <c r="AP308" s="154"/>
      <c r="AQ308" s="42"/>
      <c r="AR308" s="42"/>
      <c r="AS308" s="42"/>
      <c r="AT308" s="42"/>
      <c r="AU308" s="42"/>
      <c r="AV308" s="42"/>
      <c r="AW308" s="42"/>
      <c r="AX308" s="42"/>
    </row>
    <row r="309" spans="1:50" ht="12.75" customHeight="1">
      <c r="A309" s="42">
        <v>53014890</v>
      </c>
      <c r="B309" s="42" t="s">
        <v>1008</v>
      </c>
      <c r="C309" s="42" t="s">
        <v>1009</v>
      </c>
      <c r="D309" s="42" t="s">
        <v>750</v>
      </c>
      <c r="E309" s="42" t="s">
        <v>481</v>
      </c>
      <c r="F309" s="154">
        <v>30991</v>
      </c>
      <c r="G309" s="42" t="s">
        <v>1884</v>
      </c>
      <c r="H309" s="42">
        <v>3105979634</v>
      </c>
      <c r="I309" s="42" t="s">
        <v>450</v>
      </c>
      <c r="J309" s="42"/>
      <c r="K309" s="42"/>
      <c r="L309" s="42"/>
      <c r="M309" s="42" t="s">
        <v>451</v>
      </c>
      <c r="N309" s="42" t="s">
        <v>452</v>
      </c>
      <c r="O309" s="42" t="s">
        <v>453</v>
      </c>
      <c r="P309" s="154">
        <v>45369</v>
      </c>
      <c r="Q309" s="154">
        <v>45369</v>
      </c>
      <c r="R309" s="154"/>
      <c r="S309" s="42">
        <v>5</v>
      </c>
      <c r="T309" s="42" t="s">
        <v>499</v>
      </c>
      <c r="U309" s="42">
        <v>11</v>
      </c>
      <c r="V309" s="42" t="s">
        <v>456</v>
      </c>
      <c r="W309" s="42">
        <v>18</v>
      </c>
      <c r="X309" s="42" t="s">
        <v>536</v>
      </c>
      <c r="Y309" s="42">
        <v>2310400</v>
      </c>
      <c r="Z309" s="42" t="s">
        <v>841</v>
      </c>
      <c r="AA309" s="42">
        <v>45</v>
      </c>
      <c r="AB309" s="42">
        <v>8</v>
      </c>
      <c r="AC309" s="42">
        <v>12531747</v>
      </c>
      <c r="AD309" s="42" t="s">
        <v>842</v>
      </c>
      <c r="AE309" s="42">
        <v>4</v>
      </c>
      <c r="AF309" s="42" t="s">
        <v>458</v>
      </c>
      <c r="AG309" s="42" t="s">
        <v>459</v>
      </c>
      <c r="AH309" s="42" t="s">
        <v>484</v>
      </c>
      <c r="AI309" s="42" t="s">
        <v>460</v>
      </c>
      <c r="AJ309" s="154">
        <v>45957</v>
      </c>
      <c r="AK309" s="42">
        <v>400</v>
      </c>
      <c r="AL309" s="154">
        <v>45952</v>
      </c>
      <c r="AM309" s="154">
        <v>45910</v>
      </c>
      <c r="AN309" s="42">
        <v>340</v>
      </c>
      <c r="AO309" s="154">
        <v>45909</v>
      </c>
      <c r="AP309" s="154">
        <v>46265</v>
      </c>
      <c r="AQ309" s="42"/>
      <c r="AR309" s="42"/>
      <c r="AS309" s="42"/>
      <c r="AT309" s="42"/>
      <c r="AU309" s="42"/>
      <c r="AV309" s="42"/>
      <c r="AW309" s="42"/>
      <c r="AX309" s="42"/>
    </row>
    <row r="310" spans="1:50" ht="12.75" customHeight="1">
      <c r="A310" s="42">
        <v>53015269</v>
      </c>
      <c r="B310" s="42" t="s">
        <v>1010</v>
      </c>
      <c r="C310" s="42" t="s">
        <v>578</v>
      </c>
      <c r="D310" s="42" t="s">
        <v>1011</v>
      </c>
      <c r="E310" s="42" t="s">
        <v>448</v>
      </c>
      <c r="F310" s="154">
        <v>30957</v>
      </c>
      <c r="G310" s="42" t="s">
        <v>1885</v>
      </c>
      <c r="H310" s="42">
        <v>3934493</v>
      </c>
      <c r="I310" s="42" t="s">
        <v>450</v>
      </c>
      <c r="J310" s="42"/>
      <c r="K310" s="42"/>
      <c r="L310" s="42"/>
      <c r="M310" s="42" t="s">
        <v>451</v>
      </c>
      <c r="N310" s="42" t="s">
        <v>452</v>
      </c>
      <c r="O310" s="42" t="s">
        <v>453</v>
      </c>
      <c r="P310" s="154">
        <v>43049</v>
      </c>
      <c r="Q310" s="154">
        <v>43049</v>
      </c>
      <c r="R310" s="154">
        <v>41284</v>
      </c>
      <c r="S310" s="42">
        <v>8</v>
      </c>
      <c r="T310" s="42" t="s">
        <v>466</v>
      </c>
      <c r="U310" s="42">
        <v>11</v>
      </c>
      <c r="V310" s="42" t="s">
        <v>456</v>
      </c>
      <c r="W310" s="42">
        <v>3</v>
      </c>
      <c r="X310" s="42" t="s">
        <v>457</v>
      </c>
      <c r="Y310" s="42">
        <v>2310460</v>
      </c>
      <c r="Z310" s="42" t="s">
        <v>506</v>
      </c>
      <c r="AA310" s="42">
        <v>222</v>
      </c>
      <c r="AB310" s="42">
        <v>24</v>
      </c>
      <c r="AC310" s="42">
        <v>6809900</v>
      </c>
      <c r="AD310" s="42" t="s">
        <v>51</v>
      </c>
      <c r="AE310" s="42">
        <v>55</v>
      </c>
      <c r="AF310" s="42" t="s">
        <v>458</v>
      </c>
      <c r="AG310" s="42" t="s">
        <v>459</v>
      </c>
      <c r="AH310" s="42" t="s">
        <v>49</v>
      </c>
      <c r="AI310" s="42" t="s">
        <v>460</v>
      </c>
      <c r="AJ310" s="154">
        <v>44138</v>
      </c>
      <c r="AK310" s="42">
        <v>145</v>
      </c>
      <c r="AL310" s="154">
        <v>44118</v>
      </c>
      <c r="AM310" s="154">
        <v>46204</v>
      </c>
      <c r="AN310" s="42">
        <v>277</v>
      </c>
      <c r="AO310" s="154">
        <v>46196</v>
      </c>
      <c r="AP310" s="154"/>
      <c r="AQ310" s="42"/>
      <c r="AR310" s="42"/>
      <c r="AS310" s="42"/>
      <c r="AT310" s="42"/>
      <c r="AU310" s="42"/>
      <c r="AV310" s="42"/>
      <c r="AW310" s="42"/>
      <c r="AX310" s="42"/>
    </row>
    <row r="311" spans="1:50" ht="12.75" customHeight="1">
      <c r="A311" s="42">
        <v>53053250</v>
      </c>
      <c r="B311" s="42" t="s">
        <v>561</v>
      </c>
      <c r="C311" s="42" t="s">
        <v>759</v>
      </c>
      <c r="D311" s="42" t="s">
        <v>1888</v>
      </c>
      <c r="E311" s="42" t="s">
        <v>481</v>
      </c>
      <c r="F311" s="154">
        <v>30942</v>
      </c>
      <c r="G311" s="42" t="s">
        <v>1889</v>
      </c>
      <c r="H311" s="42">
        <v>3208858449</v>
      </c>
      <c r="I311" s="42" t="s">
        <v>450</v>
      </c>
      <c r="J311" s="42"/>
      <c r="K311" s="42"/>
      <c r="L311" s="42"/>
      <c r="M311" s="42" t="s">
        <v>448</v>
      </c>
      <c r="N311" s="42" t="s">
        <v>452</v>
      </c>
      <c r="O311" s="42" t="s">
        <v>453</v>
      </c>
      <c r="P311" s="154">
        <v>44589</v>
      </c>
      <c r="Q311" s="154">
        <v>44589</v>
      </c>
      <c r="R311" s="154"/>
      <c r="S311" s="42">
        <v>8</v>
      </c>
      <c r="T311" s="42" t="s">
        <v>466</v>
      </c>
      <c r="U311" s="42">
        <v>11</v>
      </c>
      <c r="V311" s="42" t="s">
        <v>456</v>
      </c>
      <c r="W311" s="42">
        <v>3</v>
      </c>
      <c r="X311" s="42" t="s">
        <v>457</v>
      </c>
      <c r="Y311" s="42">
        <v>2300100</v>
      </c>
      <c r="Z311" s="42" t="s">
        <v>483</v>
      </c>
      <c r="AA311" s="42">
        <v>105</v>
      </c>
      <c r="AB311" s="42">
        <v>5</v>
      </c>
      <c r="AC311" s="42">
        <v>9154873</v>
      </c>
      <c r="AD311" s="42" t="s">
        <v>26</v>
      </c>
      <c r="AE311" s="42">
        <v>13</v>
      </c>
      <c r="AF311" s="42" t="s">
        <v>458</v>
      </c>
      <c r="AG311" s="42" t="s">
        <v>459</v>
      </c>
      <c r="AH311" s="42" t="s">
        <v>484</v>
      </c>
      <c r="AI311" s="42" t="s">
        <v>460</v>
      </c>
      <c r="AJ311" s="154">
        <v>44589</v>
      </c>
      <c r="AK311" s="42">
        <v>34</v>
      </c>
      <c r="AL311" s="154">
        <v>44589</v>
      </c>
      <c r="AM311" s="154"/>
      <c r="AN311" s="42"/>
      <c r="AO311" s="154"/>
      <c r="AP311" s="154">
        <v>44752</v>
      </c>
      <c r="AQ311" s="42"/>
      <c r="AR311" s="42"/>
      <c r="AS311" s="42"/>
      <c r="AT311" s="42"/>
      <c r="AU311" s="42"/>
      <c r="AV311" s="42"/>
      <c r="AW311" s="42"/>
      <c r="AX311" s="42"/>
    </row>
    <row r="312" spans="1:50" ht="12.75" customHeight="1">
      <c r="A312" s="42">
        <v>53066719</v>
      </c>
      <c r="B312" s="42" t="s">
        <v>774</v>
      </c>
      <c r="C312" s="42" t="s">
        <v>774</v>
      </c>
      <c r="D312" s="42" t="s">
        <v>1012</v>
      </c>
      <c r="E312" s="42" t="s">
        <v>481</v>
      </c>
      <c r="F312" s="154">
        <v>30863</v>
      </c>
      <c r="G312" s="42" t="s">
        <v>1892</v>
      </c>
      <c r="H312" s="42">
        <v>6482076</v>
      </c>
      <c r="I312" s="42" t="s">
        <v>450</v>
      </c>
      <c r="J312" s="42"/>
      <c r="K312" s="42"/>
      <c r="L312" s="42"/>
      <c r="M312" s="42" t="s">
        <v>448</v>
      </c>
      <c r="N312" s="42" t="s">
        <v>5</v>
      </c>
      <c r="O312" s="42" t="s">
        <v>453</v>
      </c>
      <c r="P312" s="154">
        <v>44211</v>
      </c>
      <c r="Q312" s="154">
        <v>44211</v>
      </c>
      <c r="R312" s="154"/>
      <c r="S312" s="42">
        <v>42</v>
      </c>
      <c r="T312" s="42" t="s">
        <v>1166</v>
      </c>
      <c r="U312" s="42">
        <v>19</v>
      </c>
      <c r="V312" s="42" t="s">
        <v>574</v>
      </c>
      <c r="W312" s="42">
        <v>3</v>
      </c>
      <c r="X312" s="42" t="s">
        <v>457</v>
      </c>
      <c r="Y312" s="42">
        <v>2310470</v>
      </c>
      <c r="Z312" s="42" t="s">
        <v>477</v>
      </c>
      <c r="AA312" s="42">
        <v>222</v>
      </c>
      <c r="AB312" s="42">
        <v>21</v>
      </c>
      <c r="AC312" s="42">
        <v>6566429</v>
      </c>
      <c r="AD312" s="42" t="s">
        <v>51</v>
      </c>
      <c r="AE312" s="42">
        <v>65</v>
      </c>
      <c r="AF312" s="42" t="s">
        <v>458</v>
      </c>
      <c r="AG312" s="42" t="s">
        <v>459</v>
      </c>
      <c r="AH312" s="42" t="s">
        <v>49</v>
      </c>
      <c r="AI312" s="42" t="s">
        <v>460</v>
      </c>
      <c r="AJ312" s="154">
        <v>44211</v>
      </c>
      <c r="AK312" s="42">
        <v>199</v>
      </c>
      <c r="AL312" s="154">
        <v>44124</v>
      </c>
      <c r="AM312" s="154">
        <v>44866</v>
      </c>
      <c r="AN312" s="42">
        <v>398</v>
      </c>
      <c r="AO312" s="154">
        <v>44860</v>
      </c>
      <c r="AP312" s="154">
        <v>46265</v>
      </c>
      <c r="AQ312" s="42"/>
      <c r="AR312" s="42"/>
      <c r="AS312" s="42"/>
      <c r="AT312" s="42"/>
      <c r="AU312" s="42"/>
      <c r="AV312" s="42"/>
      <c r="AW312" s="42"/>
      <c r="AX312" s="42"/>
    </row>
    <row r="313" spans="1:50" ht="12.75" customHeight="1">
      <c r="A313" s="42">
        <v>53100696</v>
      </c>
      <c r="B313" s="42" t="s">
        <v>759</v>
      </c>
      <c r="C313" s="42" t="s">
        <v>677</v>
      </c>
      <c r="D313" s="42" t="s">
        <v>1015</v>
      </c>
      <c r="E313" s="42" t="s">
        <v>448</v>
      </c>
      <c r="F313" s="154">
        <v>31139</v>
      </c>
      <c r="G313" s="42" t="s">
        <v>1894</v>
      </c>
      <c r="H313" s="42">
        <v>4958950</v>
      </c>
      <c r="I313" s="42" t="s">
        <v>450</v>
      </c>
      <c r="J313" s="42"/>
      <c r="K313" s="42"/>
      <c r="L313" s="42"/>
      <c r="M313" s="42" t="s">
        <v>448</v>
      </c>
      <c r="N313" s="42" t="s">
        <v>452</v>
      </c>
      <c r="O313" s="42" t="s">
        <v>453</v>
      </c>
      <c r="P313" s="154">
        <v>44378</v>
      </c>
      <c r="Q313" s="154">
        <v>43374</v>
      </c>
      <c r="R313" s="42"/>
      <c r="S313" s="42">
        <v>8</v>
      </c>
      <c r="T313" s="42" t="s">
        <v>466</v>
      </c>
      <c r="U313" s="42">
        <v>11</v>
      </c>
      <c r="V313" s="42" t="s">
        <v>456</v>
      </c>
      <c r="W313" s="42">
        <v>3</v>
      </c>
      <c r="X313" s="42" t="s">
        <v>457</v>
      </c>
      <c r="Y313" s="42">
        <v>2310470</v>
      </c>
      <c r="Z313" s="42" t="s">
        <v>477</v>
      </c>
      <c r="AA313" s="42">
        <v>314</v>
      </c>
      <c r="AB313" s="42">
        <v>20</v>
      </c>
      <c r="AC313" s="42">
        <v>4789274</v>
      </c>
      <c r="AD313" s="42" t="s">
        <v>517</v>
      </c>
      <c r="AE313" s="42">
        <v>124</v>
      </c>
      <c r="AF313" s="42" t="s">
        <v>458</v>
      </c>
      <c r="AG313" s="42" t="s">
        <v>459</v>
      </c>
      <c r="AH313" s="42" t="s">
        <v>49</v>
      </c>
      <c r="AI313" s="42" t="s">
        <v>460</v>
      </c>
      <c r="AJ313" s="154">
        <v>44378</v>
      </c>
      <c r="AK313" s="42">
        <v>40</v>
      </c>
      <c r="AL313" s="154">
        <v>44274</v>
      </c>
      <c r="AM313" s="154">
        <v>45118</v>
      </c>
      <c r="AN313" s="42">
        <v>374</v>
      </c>
      <c r="AO313" s="154">
        <v>45113</v>
      </c>
      <c r="AP313" s="154"/>
      <c r="AQ313" s="42"/>
      <c r="AR313" s="42"/>
      <c r="AS313" s="42"/>
      <c r="AT313" s="42"/>
      <c r="AU313" s="42"/>
      <c r="AV313" s="42"/>
      <c r="AW313" s="42"/>
      <c r="AX313" s="42"/>
    </row>
    <row r="314" spans="1:50" ht="12.75" customHeight="1">
      <c r="A314" s="42">
        <v>1018403375</v>
      </c>
      <c r="B314" s="42" t="s">
        <v>761</v>
      </c>
      <c r="C314" s="42" t="s">
        <v>762</v>
      </c>
      <c r="D314" s="42" t="s">
        <v>763</v>
      </c>
      <c r="E314" s="42" t="s">
        <v>481</v>
      </c>
      <c r="F314" s="154">
        <v>30924</v>
      </c>
      <c r="G314" s="42" t="s">
        <v>764</v>
      </c>
      <c r="H314" s="42">
        <v>3102038403</v>
      </c>
      <c r="I314" s="42" t="s">
        <v>450</v>
      </c>
      <c r="J314" s="42"/>
      <c r="K314" s="42"/>
      <c r="L314" s="42"/>
      <c r="M314" s="42" t="s">
        <v>547</v>
      </c>
      <c r="N314" s="42" t="s">
        <v>452</v>
      </c>
      <c r="O314" s="42" t="s">
        <v>453</v>
      </c>
      <c r="P314" s="154">
        <v>44512</v>
      </c>
      <c r="Q314" s="154">
        <v>43866</v>
      </c>
      <c r="R314" s="154"/>
      <c r="S314" s="42">
        <v>8</v>
      </c>
      <c r="T314" s="42" t="s">
        <v>466</v>
      </c>
      <c r="U314" s="42">
        <v>11</v>
      </c>
      <c r="V314" s="42" t="s">
        <v>456</v>
      </c>
      <c r="W314" s="42">
        <v>19</v>
      </c>
      <c r="X314" s="42" t="s">
        <v>575</v>
      </c>
      <c r="Y314" s="42">
        <v>2310470</v>
      </c>
      <c r="Z314" s="42" t="s">
        <v>477</v>
      </c>
      <c r="AA314" s="42">
        <v>9</v>
      </c>
      <c r="AB314" s="42">
        <v>7</v>
      </c>
      <c r="AC314" s="42">
        <v>11186814</v>
      </c>
      <c r="AD314" s="42" t="s">
        <v>512</v>
      </c>
      <c r="AE314" s="42">
        <v>4</v>
      </c>
      <c r="AF314" s="42" t="s">
        <v>458</v>
      </c>
      <c r="AG314" s="42" t="s">
        <v>459</v>
      </c>
      <c r="AH314" s="42" t="s">
        <v>484</v>
      </c>
      <c r="AI314" s="42" t="s">
        <v>460</v>
      </c>
      <c r="AJ314" s="154">
        <v>44512</v>
      </c>
      <c r="AK314" s="42">
        <v>214</v>
      </c>
      <c r="AL314" s="154">
        <v>44512</v>
      </c>
      <c r="AM314" s="154"/>
      <c r="AN314" s="42"/>
      <c r="AO314" s="154"/>
      <c r="AP314" s="154">
        <v>45368</v>
      </c>
      <c r="AQ314" s="42"/>
      <c r="AR314" s="42"/>
      <c r="AS314" s="42"/>
      <c r="AT314" s="42"/>
      <c r="AU314" s="42"/>
      <c r="AV314" s="42"/>
      <c r="AW314" s="42"/>
      <c r="AX314" s="42"/>
    </row>
    <row r="315" spans="1:50" ht="12.75" customHeight="1">
      <c r="A315" s="42">
        <v>1018404326</v>
      </c>
      <c r="B315" s="42" t="s">
        <v>769</v>
      </c>
      <c r="C315" s="42" t="s">
        <v>770</v>
      </c>
      <c r="D315" s="42" t="s">
        <v>771</v>
      </c>
      <c r="E315" s="42" t="s">
        <v>481</v>
      </c>
      <c r="F315" s="154">
        <v>31523</v>
      </c>
      <c r="G315" s="42" t="s">
        <v>772</v>
      </c>
      <c r="H315" s="42">
        <v>3104610858</v>
      </c>
      <c r="I315" s="42" t="s">
        <v>450</v>
      </c>
      <c r="J315" s="42"/>
      <c r="K315" s="42"/>
      <c r="L315" s="42"/>
      <c r="M315" s="42" t="s">
        <v>451</v>
      </c>
      <c r="N315" s="42" t="s">
        <v>452</v>
      </c>
      <c r="O315" s="42" t="s">
        <v>453</v>
      </c>
      <c r="P315" s="154">
        <v>42941</v>
      </c>
      <c r="Q315" s="154">
        <v>42941</v>
      </c>
      <c r="R315" s="154"/>
      <c r="S315" s="42">
        <v>5</v>
      </c>
      <c r="T315" s="42" t="s">
        <v>499</v>
      </c>
      <c r="U315" s="42">
        <v>11</v>
      </c>
      <c r="V315" s="42" t="s">
        <v>456</v>
      </c>
      <c r="W315" s="42">
        <v>3</v>
      </c>
      <c r="X315" s="42" t="s">
        <v>457</v>
      </c>
      <c r="Y315" s="42">
        <v>2310470</v>
      </c>
      <c r="Z315" s="42" t="s">
        <v>477</v>
      </c>
      <c r="AA315" s="42">
        <v>222</v>
      </c>
      <c r="AB315" s="42">
        <v>21</v>
      </c>
      <c r="AC315" s="42">
        <v>6566429</v>
      </c>
      <c r="AD315" s="42" t="s">
        <v>51</v>
      </c>
      <c r="AE315" s="42">
        <v>66</v>
      </c>
      <c r="AF315" s="42" t="s">
        <v>458</v>
      </c>
      <c r="AG315" s="42" t="s">
        <v>459</v>
      </c>
      <c r="AH315" s="42" t="s">
        <v>188</v>
      </c>
      <c r="AI315" s="42" t="s">
        <v>460</v>
      </c>
      <c r="AJ315" s="154">
        <v>42941</v>
      </c>
      <c r="AK315" s="42">
        <v>104</v>
      </c>
      <c r="AL315" s="154">
        <v>42922</v>
      </c>
      <c r="AM315" s="154"/>
      <c r="AN315" s="42"/>
      <c r="AO315" s="154"/>
      <c r="AP315" s="154">
        <v>43306</v>
      </c>
      <c r="AQ315" s="42"/>
      <c r="AR315" s="42"/>
      <c r="AS315" s="42"/>
      <c r="AT315" s="42"/>
      <c r="AU315" s="42"/>
      <c r="AV315" s="42"/>
      <c r="AW315" s="42"/>
      <c r="AX315" s="42"/>
    </row>
    <row r="316" spans="1:50" ht="12.75" customHeight="1">
      <c r="A316" s="42">
        <v>1018407635</v>
      </c>
      <c r="B316" s="42" t="s">
        <v>758</v>
      </c>
      <c r="C316" s="42" t="s">
        <v>786</v>
      </c>
      <c r="D316" s="42" t="s">
        <v>787</v>
      </c>
      <c r="E316" s="42" t="s">
        <v>481</v>
      </c>
      <c r="F316" s="154">
        <v>31747</v>
      </c>
      <c r="G316" s="42" t="s">
        <v>789</v>
      </c>
      <c r="H316" s="42">
        <v>3223035028</v>
      </c>
      <c r="I316" s="42" t="s">
        <v>450</v>
      </c>
      <c r="J316" s="42"/>
      <c r="K316" s="42"/>
      <c r="L316" s="42"/>
      <c r="M316" s="42" t="s">
        <v>451</v>
      </c>
      <c r="N316" s="42" t="s">
        <v>452</v>
      </c>
      <c r="O316" s="42" t="s">
        <v>453</v>
      </c>
      <c r="P316" s="154">
        <v>43473</v>
      </c>
      <c r="Q316" s="154">
        <v>43473</v>
      </c>
      <c r="R316" s="154"/>
      <c r="S316" s="42">
        <v>18</v>
      </c>
      <c r="T316" s="42" t="s">
        <v>472</v>
      </c>
      <c r="U316" s="42">
        <v>11</v>
      </c>
      <c r="V316" s="42" t="s">
        <v>456</v>
      </c>
      <c r="W316" s="42">
        <v>3</v>
      </c>
      <c r="X316" s="42" t="s">
        <v>457</v>
      </c>
      <c r="Y316" s="42">
        <v>106</v>
      </c>
      <c r="Z316" s="42" t="s">
        <v>500</v>
      </c>
      <c r="AA316" s="42">
        <v>219</v>
      </c>
      <c r="AB316" s="42">
        <v>9</v>
      </c>
      <c r="AC316" s="42">
        <v>4897424</v>
      </c>
      <c r="AD316" s="42" t="s">
        <v>72</v>
      </c>
      <c r="AE316" s="42">
        <v>106</v>
      </c>
      <c r="AF316" s="42" t="s">
        <v>458</v>
      </c>
      <c r="AG316" s="42" t="s">
        <v>459</v>
      </c>
      <c r="AH316" s="42" t="s">
        <v>188</v>
      </c>
      <c r="AI316" s="42" t="s">
        <v>460</v>
      </c>
      <c r="AJ316" s="154">
        <v>43473</v>
      </c>
      <c r="AK316" s="42">
        <v>153</v>
      </c>
      <c r="AL316" s="154">
        <v>43462</v>
      </c>
      <c r="AM316" s="154"/>
      <c r="AN316" s="42"/>
      <c r="AO316" s="154"/>
      <c r="AP316" s="154">
        <v>44293</v>
      </c>
      <c r="AQ316" s="42"/>
      <c r="AR316" s="42"/>
      <c r="AS316" s="42"/>
      <c r="AT316" s="42"/>
      <c r="AU316" s="42"/>
      <c r="AV316" s="42"/>
      <c r="AW316" s="42"/>
      <c r="AX316" s="42"/>
    </row>
    <row r="317" spans="1:50" ht="12.75" customHeight="1">
      <c r="A317" s="42">
        <v>1018407982</v>
      </c>
      <c r="B317" s="42" t="s">
        <v>446</v>
      </c>
      <c r="C317" s="42" t="s">
        <v>780</v>
      </c>
      <c r="D317" s="42" t="s">
        <v>795</v>
      </c>
      <c r="E317" s="42" t="s">
        <v>481</v>
      </c>
      <c r="F317" s="154">
        <v>31790</v>
      </c>
      <c r="G317" s="42" t="s">
        <v>796</v>
      </c>
      <c r="H317" s="42">
        <v>6553041</v>
      </c>
      <c r="I317" s="42" t="s">
        <v>586</v>
      </c>
      <c r="J317" s="42"/>
      <c r="K317" s="42"/>
      <c r="L317" s="42"/>
      <c r="M317" s="42" t="s">
        <v>451</v>
      </c>
      <c r="N317" s="42" t="s">
        <v>452</v>
      </c>
      <c r="O317" s="42" t="s">
        <v>453</v>
      </c>
      <c r="P317" s="154">
        <v>44440</v>
      </c>
      <c r="Q317" s="154">
        <v>44440</v>
      </c>
      <c r="R317" s="154"/>
      <c r="S317" s="42">
        <v>2</v>
      </c>
      <c r="T317" s="42" t="s">
        <v>455</v>
      </c>
      <c r="U317" s="42">
        <v>11</v>
      </c>
      <c r="V317" s="42" t="s">
        <v>456</v>
      </c>
      <c r="W317" s="42">
        <v>3</v>
      </c>
      <c r="X317" s="42" t="s">
        <v>457</v>
      </c>
      <c r="Y317" s="42">
        <v>2310430</v>
      </c>
      <c r="Z317" s="42" t="s">
        <v>494</v>
      </c>
      <c r="AA317" s="42">
        <v>219</v>
      </c>
      <c r="AB317" s="42">
        <v>15</v>
      </c>
      <c r="AC317" s="42">
        <v>5771486</v>
      </c>
      <c r="AD317" s="42" t="s">
        <v>72</v>
      </c>
      <c r="AE317" s="42">
        <v>89</v>
      </c>
      <c r="AF317" s="42" t="s">
        <v>458</v>
      </c>
      <c r="AG317" s="42" t="s">
        <v>459</v>
      </c>
      <c r="AH317" s="42" t="s">
        <v>49</v>
      </c>
      <c r="AI317" s="42" t="s">
        <v>460</v>
      </c>
      <c r="AJ317" s="154">
        <v>44440</v>
      </c>
      <c r="AK317" s="42">
        <v>99</v>
      </c>
      <c r="AL317" s="154">
        <v>44343</v>
      </c>
      <c r="AM317" s="154">
        <v>45366</v>
      </c>
      <c r="AN317" s="42">
        <v>152</v>
      </c>
      <c r="AO317" s="154">
        <v>45365</v>
      </c>
      <c r="AP317" s="154">
        <v>45474</v>
      </c>
      <c r="AQ317" s="42"/>
      <c r="AR317" s="42"/>
      <c r="AS317" s="42"/>
      <c r="AT317" s="42"/>
      <c r="AU317" s="42"/>
      <c r="AV317" s="42"/>
      <c r="AW317" s="42"/>
      <c r="AX317" s="42"/>
    </row>
    <row r="318" spans="1:50" ht="12.75" customHeight="1">
      <c r="A318" s="42">
        <v>1018409494</v>
      </c>
      <c r="B318" s="42" t="s">
        <v>725</v>
      </c>
      <c r="C318" s="42" t="s">
        <v>645</v>
      </c>
      <c r="D318" s="42" t="s">
        <v>726</v>
      </c>
      <c r="E318" s="42" t="s">
        <v>481</v>
      </c>
      <c r="F318" s="154">
        <v>31833</v>
      </c>
      <c r="G318" s="42" t="s">
        <v>807</v>
      </c>
      <c r="H318" s="42">
        <v>3187393758</v>
      </c>
      <c r="I318" s="42" t="s">
        <v>450</v>
      </c>
      <c r="J318" s="42"/>
      <c r="K318" s="42"/>
      <c r="L318" s="42"/>
      <c r="M318" s="42" t="s">
        <v>451</v>
      </c>
      <c r="N318" s="42" t="s">
        <v>452</v>
      </c>
      <c r="O318" s="42" t="s">
        <v>453</v>
      </c>
      <c r="P318" s="154">
        <v>44141</v>
      </c>
      <c r="Q318" s="154">
        <v>42779</v>
      </c>
      <c r="R318" s="154">
        <v>42157</v>
      </c>
      <c r="S318" s="42">
        <v>5</v>
      </c>
      <c r="T318" s="42" t="s">
        <v>499</v>
      </c>
      <c r="U318" s="42">
        <v>11</v>
      </c>
      <c r="V318" s="42" t="s">
        <v>456</v>
      </c>
      <c r="W318" s="42">
        <v>3</v>
      </c>
      <c r="X318" s="42" t="s">
        <v>457</v>
      </c>
      <c r="Y318" s="42">
        <v>0</v>
      </c>
      <c r="Z318" s="42" t="s">
        <v>500</v>
      </c>
      <c r="AA318" s="42">
        <v>219</v>
      </c>
      <c r="AB318" s="42">
        <v>15</v>
      </c>
      <c r="AC318" s="42">
        <v>5771486</v>
      </c>
      <c r="AD318" s="42" t="s">
        <v>72</v>
      </c>
      <c r="AE318" s="42">
        <v>96</v>
      </c>
      <c r="AF318" s="42" t="s">
        <v>458</v>
      </c>
      <c r="AG318" s="42" t="s">
        <v>459</v>
      </c>
      <c r="AH318" s="42" t="s">
        <v>49</v>
      </c>
      <c r="AI318" s="42" t="s">
        <v>460</v>
      </c>
      <c r="AJ318" s="154">
        <v>44141</v>
      </c>
      <c r="AK318" s="42">
        <v>110</v>
      </c>
      <c r="AL318" s="154">
        <v>44118</v>
      </c>
      <c r="AM318" s="154">
        <v>45364</v>
      </c>
      <c r="AN318" s="42">
        <v>147</v>
      </c>
      <c r="AO318" s="154">
        <v>45364</v>
      </c>
      <c r="AP318" s="154">
        <v>45994</v>
      </c>
      <c r="AQ318" s="42"/>
      <c r="AR318" s="42"/>
      <c r="AS318" s="42"/>
      <c r="AT318" s="42"/>
      <c r="AU318" s="42"/>
      <c r="AV318" s="42"/>
      <c r="AW318" s="42"/>
      <c r="AX318" s="42"/>
    </row>
    <row r="319" spans="1:50" ht="12.75" customHeight="1">
      <c r="A319" s="42">
        <v>1018410117</v>
      </c>
      <c r="B319" s="42" t="s">
        <v>818</v>
      </c>
      <c r="C319" s="42" t="s">
        <v>741</v>
      </c>
      <c r="D319" s="42" t="s">
        <v>820</v>
      </c>
      <c r="E319" s="42" t="s">
        <v>481</v>
      </c>
      <c r="F319" s="154">
        <v>31883</v>
      </c>
      <c r="G319" s="42" t="s">
        <v>822</v>
      </c>
      <c r="H319" s="42">
        <v>4677589</v>
      </c>
      <c r="I319" s="42" t="s">
        <v>450</v>
      </c>
      <c r="J319" s="42"/>
      <c r="K319" s="42"/>
      <c r="L319" s="42"/>
      <c r="M319" s="42" t="s">
        <v>527</v>
      </c>
      <c r="N319" s="42" t="s">
        <v>5</v>
      </c>
      <c r="O319" s="42" t="s">
        <v>453</v>
      </c>
      <c r="P319" s="154">
        <v>43049</v>
      </c>
      <c r="Q319" s="154">
        <v>43049</v>
      </c>
      <c r="R319" s="154"/>
      <c r="S319" s="42">
        <v>6</v>
      </c>
      <c r="T319" s="42" t="s">
        <v>511</v>
      </c>
      <c r="U319" s="42">
        <v>11</v>
      </c>
      <c r="V319" s="42" t="s">
        <v>456</v>
      </c>
      <c r="W319" s="42">
        <v>23</v>
      </c>
      <c r="X319" s="42" t="s">
        <v>473</v>
      </c>
      <c r="Y319" s="42">
        <v>2310460</v>
      </c>
      <c r="Z319" s="42" t="s">
        <v>506</v>
      </c>
      <c r="AA319" s="42">
        <v>219</v>
      </c>
      <c r="AB319" s="42">
        <v>18</v>
      </c>
      <c r="AC319" s="42">
        <v>5951245</v>
      </c>
      <c r="AD319" s="42" t="s">
        <v>72</v>
      </c>
      <c r="AE319" s="42">
        <v>84</v>
      </c>
      <c r="AF319" s="42" t="s">
        <v>458</v>
      </c>
      <c r="AG319" s="42" t="s">
        <v>459</v>
      </c>
      <c r="AH319" s="42" t="s">
        <v>188</v>
      </c>
      <c r="AI319" s="42" t="s">
        <v>460</v>
      </c>
      <c r="AJ319" s="154">
        <v>43049</v>
      </c>
      <c r="AK319" s="42">
        <v>184</v>
      </c>
      <c r="AL319" s="154">
        <v>43049</v>
      </c>
      <c r="AM319" s="154"/>
      <c r="AN319" s="42"/>
      <c r="AO319" s="154"/>
      <c r="AP319" s="154">
        <v>44012</v>
      </c>
      <c r="AQ319" s="42"/>
      <c r="AR319" s="42"/>
      <c r="AS319" s="42"/>
      <c r="AT319" s="42"/>
      <c r="AU319" s="42"/>
      <c r="AV319" s="42"/>
      <c r="AW319" s="42"/>
      <c r="AX319" s="42"/>
    </row>
    <row r="320" spans="1:50" ht="12.75" customHeight="1">
      <c r="A320" s="42">
        <v>1018423025</v>
      </c>
      <c r="B320" s="42" t="s">
        <v>727</v>
      </c>
      <c r="C320" s="42" t="s">
        <v>728</v>
      </c>
      <c r="D320" s="42" t="s">
        <v>729</v>
      </c>
      <c r="E320" s="42" t="s">
        <v>448</v>
      </c>
      <c r="F320" s="154">
        <v>32331</v>
      </c>
      <c r="G320" s="42" t="s">
        <v>828</v>
      </c>
      <c r="H320" s="42">
        <v>3006151709</v>
      </c>
      <c r="I320" s="42" t="s">
        <v>450</v>
      </c>
      <c r="J320" s="42"/>
      <c r="K320" s="42"/>
      <c r="L320" s="42"/>
      <c r="M320" s="42" t="s">
        <v>448</v>
      </c>
      <c r="N320" s="42" t="s">
        <v>452</v>
      </c>
      <c r="O320" s="42" t="s">
        <v>453</v>
      </c>
      <c r="P320" s="154">
        <v>45421</v>
      </c>
      <c r="Q320" s="154">
        <v>45421</v>
      </c>
      <c r="R320" s="154"/>
      <c r="S320" s="42">
        <v>5</v>
      </c>
      <c r="T320" s="42" t="s">
        <v>499</v>
      </c>
      <c r="U320" s="42">
        <v>11</v>
      </c>
      <c r="V320" s="42" t="s">
        <v>456</v>
      </c>
      <c r="W320" s="42">
        <v>3</v>
      </c>
      <c r="X320" s="42" t="s">
        <v>457</v>
      </c>
      <c r="Y320" s="42">
        <v>2311000</v>
      </c>
      <c r="Z320" s="42" t="s">
        <v>467</v>
      </c>
      <c r="AA320" s="42">
        <v>9</v>
      </c>
      <c r="AB320" s="42">
        <v>7</v>
      </c>
      <c r="AC320" s="42">
        <v>11186814</v>
      </c>
      <c r="AD320" s="42" t="s">
        <v>512</v>
      </c>
      <c r="AE320" s="42">
        <v>8</v>
      </c>
      <c r="AF320" s="42" t="s">
        <v>458</v>
      </c>
      <c r="AG320" s="42" t="s">
        <v>459</v>
      </c>
      <c r="AH320" s="42" t="s">
        <v>484</v>
      </c>
      <c r="AI320" s="42" t="s">
        <v>460</v>
      </c>
      <c r="AJ320" s="154">
        <v>45957</v>
      </c>
      <c r="AK320" s="42">
        <v>399</v>
      </c>
      <c r="AL320" s="154">
        <v>45952</v>
      </c>
      <c r="AM320" s="154">
        <v>45797</v>
      </c>
      <c r="AN320" s="42">
        <v>198</v>
      </c>
      <c r="AO320" s="154">
        <v>45793</v>
      </c>
      <c r="AP320" s="154"/>
      <c r="AQ320" s="42"/>
      <c r="AR320" s="42"/>
      <c r="AS320" s="42"/>
      <c r="AT320" s="42"/>
      <c r="AU320" s="42"/>
      <c r="AV320" s="42"/>
      <c r="AW320" s="42"/>
      <c r="AX320" s="42"/>
    </row>
    <row r="321" spans="1:50" ht="12.75" customHeight="1">
      <c r="A321" s="42">
        <v>1018435319</v>
      </c>
      <c r="B321" s="42" t="s">
        <v>834</v>
      </c>
      <c r="C321" s="42" t="s">
        <v>835</v>
      </c>
      <c r="D321" s="42" t="s">
        <v>837</v>
      </c>
      <c r="E321" s="42" t="s">
        <v>481</v>
      </c>
      <c r="F321" s="154">
        <v>33015</v>
      </c>
      <c r="G321" s="42" t="s">
        <v>840</v>
      </c>
      <c r="H321" s="42">
        <v>3230118</v>
      </c>
      <c r="I321" s="42" t="s">
        <v>586</v>
      </c>
      <c r="J321" s="42">
        <v>1018435319</v>
      </c>
      <c r="K321" s="42">
        <v>2</v>
      </c>
      <c r="L321" s="42">
        <v>51</v>
      </c>
      <c r="M321" s="42" t="s">
        <v>451</v>
      </c>
      <c r="N321" s="42" t="s">
        <v>452</v>
      </c>
      <c r="O321" s="42" t="s">
        <v>453</v>
      </c>
      <c r="P321" s="154">
        <v>43843</v>
      </c>
      <c r="Q321" s="154">
        <v>43843</v>
      </c>
      <c r="R321" s="42">
        <v>41863</v>
      </c>
      <c r="S321" s="42">
        <v>5</v>
      </c>
      <c r="T321" s="42" t="s">
        <v>499</v>
      </c>
      <c r="U321" s="42">
        <v>11</v>
      </c>
      <c r="V321" s="42" t="s">
        <v>456</v>
      </c>
      <c r="W321" s="42">
        <v>3</v>
      </c>
      <c r="X321" s="42" t="s">
        <v>457</v>
      </c>
      <c r="Y321" s="42">
        <v>2310400</v>
      </c>
      <c r="Z321" s="42" t="s">
        <v>841</v>
      </c>
      <c r="AA321" s="42">
        <v>45</v>
      </c>
      <c r="AB321" s="42">
        <v>8</v>
      </c>
      <c r="AC321" s="42">
        <v>12531747</v>
      </c>
      <c r="AD321" s="42" t="s">
        <v>842</v>
      </c>
      <c r="AE321" s="42">
        <v>2</v>
      </c>
      <c r="AF321" s="42" t="s">
        <v>458</v>
      </c>
      <c r="AG321" s="42" t="s">
        <v>459</v>
      </c>
      <c r="AH321" s="42" t="s">
        <v>484</v>
      </c>
      <c r="AI321" s="42" t="s">
        <v>460</v>
      </c>
      <c r="AJ321" s="154">
        <v>43843</v>
      </c>
      <c r="AK321" s="42">
        <v>4</v>
      </c>
      <c r="AL321" s="154">
        <v>43843</v>
      </c>
      <c r="AM321" s="154">
        <v>45292</v>
      </c>
      <c r="AN321" s="42">
        <v>639</v>
      </c>
      <c r="AO321" s="154">
        <v>45288</v>
      </c>
      <c r="AP321" s="154">
        <v>45336</v>
      </c>
      <c r="AQ321" s="42"/>
      <c r="AR321" s="42"/>
      <c r="AS321" s="42"/>
      <c r="AT321" s="42"/>
      <c r="AU321" s="42"/>
      <c r="AV321" s="42"/>
      <c r="AW321" s="42"/>
      <c r="AX321" s="42"/>
    </row>
    <row r="322" spans="1:50" ht="12.75" customHeight="1">
      <c r="A322" s="42">
        <v>1018435583</v>
      </c>
      <c r="B322" s="42" t="s">
        <v>733</v>
      </c>
      <c r="C322" s="42" t="s">
        <v>734</v>
      </c>
      <c r="D322" s="42" t="s">
        <v>736</v>
      </c>
      <c r="E322" s="42" t="s">
        <v>448</v>
      </c>
      <c r="F322" s="154">
        <v>32926</v>
      </c>
      <c r="G322" s="42" t="s">
        <v>845</v>
      </c>
      <c r="H322" s="42">
        <v>3043779150</v>
      </c>
      <c r="I322" s="42" t="s">
        <v>450</v>
      </c>
      <c r="J322" s="42"/>
      <c r="K322" s="42"/>
      <c r="L322" s="42"/>
      <c r="M322" s="42" t="s">
        <v>451</v>
      </c>
      <c r="N322" s="42" t="s">
        <v>452</v>
      </c>
      <c r="O322" s="42" t="s">
        <v>453</v>
      </c>
      <c r="P322" s="154">
        <v>44195</v>
      </c>
      <c r="Q322" s="154">
        <v>44195</v>
      </c>
      <c r="R322" s="154"/>
      <c r="S322" s="42">
        <v>8</v>
      </c>
      <c r="T322" s="42" t="s">
        <v>466</v>
      </c>
      <c r="U322" s="42">
        <v>11</v>
      </c>
      <c r="V322" s="42" t="s">
        <v>456</v>
      </c>
      <c r="W322" s="42">
        <v>19</v>
      </c>
      <c r="X322" s="42" t="s">
        <v>575</v>
      </c>
      <c r="Y322" s="42">
        <v>2310440</v>
      </c>
      <c r="Z322" s="42" t="s">
        <v>628</v>
      </c>
      <c r="AA322" s="42">
        <v>222</v>
      </c>
      <c r="AB322" s="42">
        <v>22</v>
      </c>
      <c r="AC322" s="42">
        <v>6752583</v>
      </c>
      <c r="AD322" s="42" t="s">
        <v>51</v>
      </c>
      <c r="AE322" s="42">
        <v>61</v>
      </c>
      <c r="AF322" s="42" t="s">
        <v>458</v>
      </c>
      <c r="AG322" s="42" t="s">
        <v>459</v>
      </c>
      <c r="AH322" s="42" t="s">
        <v>49</v>
      </c>
      <c r="AI322" s="42" t="s">
        <v>460</v>
      </c>
      <c r="AJ322" s="154">
        <v>44195</v>
      </c>
      <c r="AK322" s="42">
        <v>134</v>
      </c>
      <c r="AL322" s="154">
        <v>44118</v>
      </c>
      <c r="AM322" s="154">
        <v>46219</v>
      </c>
      <c r="AN322" s="42">
        <v>300</v>
      </c>
      <c r="AO322" s="154">
        <v>46213</v>
      </c>
      <c r="AP322" s="154"/>
      <c r="AQ322" s="42"/>
      <c r="AR322" s="42"/>
      <c r="AS322" s="42"/>
      <c r="AT322" s="42"/>
      <c r="AU322" s="42"/>
      <c r="AV322" s="42"/>
      <c r="AW322" s="42"/>
      <c r="AX322" s="42"/>
    </row>
    <row r="323" spans="1:50" ht="12.75" customHeight="1">
      <c r="A323" s="42">
        <v>1018482333</v>
      </c>
      <c r="B323" s="42" t="s">
        <v>478</v>
      </c>
      <c r="C323" s="42" t="s">
        <v>737</v>
      </c>
      <c r="D323" s="42" t="s">
        <v>738</v>
      </c>
      <c r="E323" s="42" t="s">
        <v>448</v>
      </c>
      <c r="F323" s="154">
        <v>35085</v>
      </c>
      <c r="G323" s="42" t="s">
        <v>850</v>
      </c>
      <c r="H323" s="42">
        <v>7358350</v>
      </c>
      <c r="I323" s="42" t="s">
        <v>450</v>
      </c>
      <c r="J323" s="42"/>
      <c r="K323" s="42"/>
      <c r="L323" s="42"/>
      <c r="M323" s="42" t="s">
        <v>451</v>
      </c>
      <c r="N323" s="42" t="s">
        <v>452</v>
      </c>
      <c r="O323" s="42" t="s">
        <v>453</v>
      </c>
      <c r="P323" s="154">
        <v>44154</v>
      </c>
      <c r="Q323" s="154">
        <v>44154</v>
      </c>
      <c r="R323" s="154"/>
      <c r="S323" s="42">
        <v>8</v>
      </c>
      <c r="T323" s="42" t="s">
        <v>466</v>
      </c>
      <c r="U323" s="42">
        <v>11</v>
      </c>
      <c r="V323" s="42" t="s">
        <v>456</v>
      </c>
      <c r="W323" s="42">
        <v>3</v>
      </c>
      <c r="X323" s="42" t="s">
        <v>457</v>
      </c>
      <c r="Y323" s="42">
        <v>2310430</v>
      </c>
      <c r="Z323" s="42" t="s">
        <v>494</v>
      </c>
      <c r="AA323" s="42">
        <v>219</v>
      </c>
      <c r="AB323" s="42">
        <v>15</v>
      </c>
      <c r="AC323" s="42">
        <v>5771486</v>
      </c>
      <c r="AD323" s="42" t="s">
        <v>72</v>
      </c>
      <c r="AE323" s="42">
        <v>95</v>
      </c>
      <c r="AF323" s="42" t="s">
        <v>458</v>
      </c>
      <c r="AG323" s="42" t="s">
        <v>459</v>
      </c>
      <c r="AH323" s="42" t="s">
        <v>49</v>
      </c>
      <c r="AI323" s="42" t="s">
        <v>460</v>
      </c>
      <c r="AJ323" s="154">
        <v>44154</v>
      </c>
      <c r="AK323" s="42">
        <v>192</v>
      </c>
      <c r="AL323" s="154">
        <v>44124</v>
      </c>
      <c r="AM323" s="154">
        <v>45308</v>
      </c>
      <c r="AN323" s="42">
        <v>10</v>
      </c>
      <c r="AO323" s="154">
        <v>45306</v>
      </c>
      <c r="AP323" s="154"/>
      <c r="AQ323" s="42"/>
      <c r="AR323" s="42"/>
      <c r="AS323" s="42"/>
      <c r="AT323" s="42"/>
      <c r="AU323" s="42"/>
      <c r="AV323" s="42"/>
      <c r="AW323" s="42"/>
      <c r="AX323" s="42"/>
    </row>
    <row r="324" spans="1:50" ht="12.75" customHeight="1">
      <c r="A324" s="42">
        <v>1018499480</v>
      </c>
      <c r="B324" s="42" t="s">
        <v>740</v>
      </c>
      <c r="C324" s="42" t="s">
        <v>741</v>
      </c>
      <c r="D324" s="42" t="s">
        <v>743</v>
      </c>
      <c r="E324" s="42" t="s">
        <v>481</v>
      </c>
      <c r="F324" s="154">
        <v>35771</v>
      </c>
      <c r="G324" s="42">
        <v>3152958580</v>
      </c>
      <c r="H324" s="42">
        <v>3152958580</v>
      </c>
      <c r="I324" s="42" t="s">
        <v>450</v>
      </c>
      <c r="J324" s="42"/>
      <c r="K324" s="42"/>
      <c r="L324" s="42"/>
      <c r="M324" s="42" t="s">
        <v>451</v>
      </c>
      <c r="N324" s="42" t="s">
        <v>452</v>
      </c>
      <c r="O324" s="42" t="s">
        <v>453</v>
      </c>
      <c r="P324" s="154">
        <v>45791</v>
      </c>
      <c r="Q324" s="154">
        <v>45791</v>
      </c>
      <c r="R324" s="154"/>
      <c r="S324" s="42">
        <v>5</v>
      </c>
      <c r="T324" s="42" t="s">
        <v>499</v>
      </c>
      <c r="U324" s="42">
        <v>11</v>
      </c>
      <c r="V324" s="42" t="s">
        <v>456</v>
      </c>
      <c r="W324" s="42">
        <v>3</v>
      </c>
      <c r="X324" s="42" t="s">
        <v>457</v>
      </c>
      <c r="Y324" s="42">
        <v>2310440</v>
      </c>
      <c r="Z324" s="42" t="s">
        <v>628</v>
      </c>
      <c r="AA324" s="42">
        <v>314</v>
      </c>
      <c r="AB324" s="42">
        <v>15</v>
      </c>
      <c r="AC324" s="42">
        <v>4226650</v>
      </c>
      <c r="AD324" s="42" t="s">
        <v>517</v>
      </c>
      <c r="AE324" s="42">
        <v>133</v>
      </c>
      <c r="AF324" s="42" t="s">
        <v>458</v>
      </c>
      <c r="AG324" s="42" t="s">
        <v>459</v>
      </c>
      <c r="AH324" s="42" t="s">
        <v>188</v>
      </c>
      <c r="AI324" s="42" t="s">
        <v>460</v>
      </c>
      <c r="AJ324" s="154">
        <v>45791</v>
      </c>
      <c r="AK324" s="42">
        <v>171</v>
      </c>
      <c r="AL324" s="154">
        <v>45779</v>
      </c>
      <c r="AM324" s="154"/>
      <c r="AN324" s="42"/>
      <c r="AO324" s="154"/>
      <c r="AP324" s="154">
        <v>46188</v>
      </c>
      <c r="AQ324" s="42"/>
      <c r="AR324" s="42"/>
      <c r="AS324" s="42"/>
      <c r="AT324" s="42"/>
      <c r="AU324" s="42"/>
      <c r="AV324" s="42"/>
      <c r="AW324" s="42"/>
      <c r="AX324" s="42"/>
    </row>
    <row r="325" spans="1:50" ht="12.75" customHeight="1">
      <c r="A325" s="42">
        <v>1019026800</v>
      </c>
      <c r="B325" s="42" t="s">
        <v>864</v>
      </c>
      <c r="C325" s="42" t="s">
        <v>865</v>
      </c>
      <c r="D325" s="42" t="s">
        <v>867</v>
      </c>
      <c r="E325" s="42" t="s">
        <v>481</v>
      </c>
      <c r="F325" s="154">
        <v>32405</v>
      </c>
      <c r="G325" s="42" t="s">
        <v>869</v>
      </c>
      <c r="H325" s="42">
        <v>3102621774</v>
      </c>
      <c r="I325" s="42" t="s">
        <v>450</v>
      </c>
      <c r="J325" s="42"/>
      <c r="K325" s="42"/>
      <c r="L325" s="42"/>
      <c r="M325" s="42" t="s">
        <v>451</v>
      </c>
      <c r="N325" s="42" t="s">
        <v>5</v>
      </c>
      <c r="O325" s="42" t="s">
        <v>453</v>
      </c>
      <c r="P325" s="154">
        <v>44141</v>
      </c>
      <c r="Q325" s="154">
        <v>44141</v>
      </c>
      <c r="R325" s="154"/>
      <c r="S325" s="42">
        <v>26</v>
      </c>
      <c r="T325" s="42" t="s">
        <v>528</v>
      </c>
      <c r="U325" s="42">
        <v>19</v>
      </c>
      <c r="V325" s="42" t="s">
        <v>574</v>
      </c>
      <c r="W325" s="42">
        <v>3</v>
      </c>
      <c r="X325" s="42" t="s">
        <v>457</v>
      </c>
      <c r="Y325" s="42">
        <v>24</v>
      </c>
      <c r="Z325" s="42" t="s">
        <v>500</v>
      </c>
      <c r="AA325" s="42">
        <v>219</v>
      </c>
      <c r="AB325" s="42">
        <v>18</v>
      </c>
      <c r="AC325" s="42">
        <v>5951245</v>
      </c>
      <c r="AD325" s="42" t="s">
        <v>72</v>
      </c>
      <c r="AE325" s="42">
        <v>24</v>
      </c>
      <c r="AF325" s="42" t="s">
        <v>458</v>
      </c>
      <c r="AG325" s="42" t="s">
        <v>459</v>
      </c>
      <c r="AH325" s="42" t="s">
        <v>49</v>
      </c>
      <c r="AI325" s="42" t="s">
        <v>460</v>
      </c>
      <c r="AJ325" s="154">
        <v>44141</v>
      </c>
      <c r="AK325" s="42">
        <v>171</v>
      </c>
      <c r="AL325" s="154">
        <v>44124</v>
      </c>
      <c r="AM325" s="154"/>
      <c r="AN325" s="42"/>
      <c r="AO325" s="154"/>
      <c r="AP325" s="154">
        <v>44830</v>
      </c>
      <c r="AQ325" s="42"/>
      <c r="AR325" s="42"/>
      <c r="AS325" s="42"/>
      <c r="AT325" s="42"/>
      <c r="AU325" s="42"/>
      <c r="AV325" s="42"/>
      <c r="AW325" s="42"/>
      <c r="AX325" s="42"/>
    </row>
    <row r="326" spans="1:50" ht="12.75" customHeight="1">
      <c r="A326" s="42">
        <v>1019032759</v>
      </c>
      <c r="B326" s="42" t="s">
        <v>759</v>
      </c>
      <c r="C326" s="42" t="s">
        <v>875</v>
      </c>
      <c r="D326" s="42" t="s">
        <v>750</v>
      </c>
      <c r="E326" s="42" t="s">
        <v>481</v>
      </c>
      <c r="F326" s="154">
        <v>32580</v>
      </c>
      <c r="G326" s="42" t="s">
        <v>876</v>
      </c>
      <c r="H326" s="42">
        <v>3015391952</v>
      </c>
      <c r="I326" s="42" t="s">
        <v>450</v>
      </c>
      <c r="J326" s="42"/>
      <c r="K326" s="42"/>
      <c r="L326" s="42"/>
      <c r="M326" s="42" t="s">
        <v>451</v>
      </c>
      <c r="N326" s="42" t="s">
        <v>452</v>
      </c>
      <c r="O326" s="42" t="s">
        <v>453</v>
      </c>
      <c r="P326" s="154">
        <v>43874</v>
      </c>
      <c r="Q326" s="154">
        <v>43874</v>
      </c>
      <c r="R326" s="154">
        <v>41487</v>
      </c>
      <c r="S326" s="42">
        <v>8</v>
      </c>
      <c r="T326" s="42" t="s">
        <v>466</v>
      </c>
      <c r="U326" s="42">
        <v>19</v>
      </c>
      <c r="V326" s="42" t="s">
        <v>574</v>
      </c>
      <c r="W326" s="42">
        <v>19</v>
      </c>
      <c r="X326" s="42" t="s">
        <v>575</v>
      </c>
      <c r="Y326" s="42">
        <v>2310430</v>
      </c>
      <c r="Z326" s="42" t="s">
        <v>494</v>
      </c>
      <c r="AA326" s="42">
        <v>9</v>
      </c>
      <c r="AB326" s="42">
        <v>7</v>
      </c>
      <c r="AC326" s="42">
        <v>11186814</v>
      </c>
      <c r="AD326" s="42" t="s">
        <v>512</v>
      </c>
      <c r="AE326" s="42">
        <v>13</v>
      </c>
      <c r="AF326" s="42" t="s">
        <v>458</v>
      </c>
      <c r="AG326" s="42" t="s">
        <v>459</v>
      </c>
      <c r="AH326" s="42" t="s">
        <v>484</v>
      </c>
      <c r="AI326" s="42" t="s">
        <v>460</v>
      </c>
      <c r="AJ326" s="154">
        <v>44470</v>
      </c>
      <c r="AK326" s="42">
        <v>189</v>
      </c>
      <c r="AL326" s="154">
        <v>44469</v>
      </c>
      <c r="AM326" s="154">
        <v>44228</v>
      </c>
      <c r="AN326" s="42">
        <v>8</v>
      </c>
      <c r="AO326" s="154">
        <v>44225</v>
      </c>
      <c r="AP326" s="154">
        <v>45368</v>
      </c>
      <c r="AQ326" s="42"/>
      <c r="AR326" s="42"/>
      <c r="AS326" s="42"/>
      <c r="AT326" s="42"/>
      <c r="AU326" s="42"/>
      <c r="AV326" s="42"/>
      <c r="AW326" s="42"/>
      <c r="AX326" s="42"/>
    </row>
    <row r="327" spans="1:50" ht="12.75" customHeight="1">
      <c r="A327" s="42">
        <v>1019047209</v>
      </c>
      <c r="B327" s="42" t="s">
        <v>883</v>
      </c>
      <c r="C327" s="42" t="s">
        <v>758</v>
      </c>
      <c r="D327" s="42" t="s">
        <v>885</v>
      </c>
      <c r="E327" s="42" t="s">
        <v>481</v>
      </c>
      <c r="F327" s="154">
        <v>33035</v>
      </c>
      <c r="G327" s="42" t="s">
        <v>887</v>
      </c>
      <c r="H327" s="42">
        <v>9085333</v>
      </c>
      <c r="I327" s="42" t="s">
        <v>450</v>
      </c>
      <c r="J327" s="42"/>
      <c r="K327" s="42"/>
      <c r="L327" s="42"/>
      <c r="M327" s="42" t="s">
        <v>451</v>
      </c>
      <c r="N327" s="42" t="s">
        <v>452</v>
      </c>
      <c r="O327" s="42" t="s">
        <v>453</v>
      </c>
      <c r="P327" s="154">
        <v>43873</v>
      </c>
      <c r="Q327" s="154">
        <v>43873</v>
      </c>
      <c r="R327" s="154"/>
      <c r="S327" s="42">
        <v>8</v>
      </c>
      <c r="T327" s="42" t="s">
        <v>466</v>
      </c>
      <c r="U327" s="42">
        <v>19</v>
      </c>
      <c r="V327" s="42" t="s">
        <v>574</v>
      </c>
      <c r="W327" s="42">
        <v>18</v>
      </c>
      <c r="X327" s="42" t="s">
        <v>536</v>
      </c>
      <c r="Y327" s="42">
        <v>162</v>
      </c>
      <c r="Z327" s="42" t="s">
        <v>500</v>
      </c>
      <c r="AA327" s="42">
        <v>440</v>
      </c>
      <c r="AB327" s="42">
        <v>9</v>
      </c>
      <c r="AC327" s="42">
        <v>2675559</v>
      </c>
      <c r="AD327" s="42" t="s">
        <v>29</v>
      </c>
      <c r="AE327" s="42">
        <v>162</v>
      </c>
      <c r="AF327" s="42" t="s">
        <v>458</v>
      </c>
      <c r="AG327" s="42" t="s">
        <v>459</v>
      </c>
      <c r="AH327" s="42" t="s">
        <v>188</v>
      </c>
      <c r="AI327" s="42" t="s">
        <v>460</v>
      </c>
      <c r="AJ327" s="154">
        <v>43873</v>
      </c>
      <c r="AK327" s="42">
        <v>26</v>
      </c>
      <c r="AL327" s="154">
        <v>43871</v>
      </c>
      <c r="AM327" s="154"/>
      <c r="AN327" s="42"/>
      <c r="AO327" s="154"/>
      <c r="AP327" s="154">
        <v>44146</v>
      </c>
      <c r="AQ327" s="42"/>
      <c r="AR327" s="42"/>
      <c r="AS327" s="42"/>
      <c r="AT327" s="42"/>
      <c r="AU327" s="42"/>
      <c r="AV327" s="42"/>
      <c r="AW327" s="42"/>
      <c r="AX327" s="42"/>
    </row>
    <row r="328" spans="1:50" ht="12.75" customHeight="1">
      <c r="A328" s="42">
        <v>1019058729</v>
      </c>
      <c r="B328" s="42" t="s">
        <v>744</v>
      </c>
      <c r="C328" s="42" t="s">
        <v>745</v>
      </c>
      <c r="D328" s="42" t="s">
        <v>746</v>
      </c>
      <c r="E328" s="42" t="s">
        <v>448</v>
      </c>
      <c r="F328" s="154">
        <v>33319</v>
      </c>
      <c r="G328" s="42" t="s">
        <v>892</v>
      </c>
      <c r="H328" s="42">
        <v>6015253189</v>
      </c>
      <c r="I328" s="42" t="s">
        <v>586</v>
      </c>
      <c r="J328" s="42"/>
      <c r="K328" s="42"/>
      <c r="L328" s="42"/>
      <c r="M328" s="42" t="s">
        <v>451</v>
      </c>
      <c r="N328" s="42" t="s">
        <v>452</v>
      </c>
      <c r="O328" s="42" t="s">
        <v>453</v>
      </c>
      <c r="P328" s="154">
        <v>44839</v>
      </c>
      <c r="Q328" s="154">
        <v>44839</v>
      </c>
      <c r="R328" s="154"/>
      <c r="S328" s="42">
        <v>5</v>
      </c>
      <c r="T328" s="42" t="s">
        <v>499</v>
      </c>
      <c r="U328" s="42">
        <v>11</v>
      </c>
      <c r="V328" s="42" t="s">
        <v>456</v>
      </c>
      <c r="W328" s="42">
        <v>3</v>
      </c>
      <c r="X328" s="42" t="s">
        <v>457</v>
      </c>
      <c r="Y328" s="42">
        <v>2310460</v>
      </c>
      <c r="Z328" s="42" t="s">
        <v>506</v>
      </c>
      <c r="AA328" s="42">
        <v>222</v>
      </c>
      <c r="AB328" s="42">
        <v>24</v>
      </c>
      <c r="AC328" s="42">
        <v>6809900</v>
      </c>
      <c r="AD328" s="42" t="s">
        <v>51</v>
      </c>
      <c r="AE328" s="42">
        <v>59</v>
      </c>
      <c r="AF328" s="42" t="s">
        <v>458</v>
      </c>
      <c r="AG328" s="42" t="s">
        <v>459</v>
      </c>
      <c r="AH328" s="42" t="s">
        <v>49</v>
      </c>
      <c r="AI328" s="42" t="s">
        <v>460</v>
      </c>
      <c r="AJ328" s="154">
        <v>44839</v>
      </c>
      <c r="AK328" s="42">
        <v>292</v>
      </c>
      <c r="AL328" s="154">
        <v>44792</v>
      </c>
      <c r="AM328" s="154">
        <v>45729</v>
      </c>
      <c r="AN328" s="42">
        <v>105</v>
      </c>
      <c r="AO328" s="154">
        <v>45727</v>
      </c>
      <c r="AP328" s="154"/>
      <c r="AQ328" s="42"/>
      <c r="AR328" s="42"/>
      <c r="AS328" s="42"/>
      <c r="AT328" s="42"/>
      <c r="AU328" s="42"/>
      <c r="AV328" s="42"/>
      <c r="AW328" s="42"/>
      <c r="AX328" s="42"/>
    </row>
    <row r="329" spans="1:50" ht="12.75" customHeight="1">
      <c r="A329" s="42">
        <v>1019081734</v>
      </c>
      <c r="B329" s="42" t="s">
        <v>583</v>
      </c>
      <c r="C329" s="42" t="s">
        <v>870</v>
      </c>
      <c r="D329" s="42" t="s">
        <v>901</v>
      </c>
      <c r="E329" s="42" t="s">
        <v>481</v>
      </c>
      <c r="F329" s="154">
        <v>34083</v>
      </c>
      <c r="G329" s="42" t="s">
        <v>902</v>
      </c>
      <c r="H329" s="42">
        <v>7018610</v>
      </c>
      <c r="I329" s="42" t="s">
        <v>450</v>
      </c>
      <c r="J329" s="42"/>
      <c r="K329" s="42"/>
      <c r="L329" s="42"/>
      <c r="M329" s="42" t="s">
        <v>547</v>
      </c>
      <c r="N329" s="42" t="s">
        <v>452</v>
      </c>
      <c r="O329" s="42" t="s">
        <v>453</v>
      </c>
      <c r="P329" s="154">
        <v>42843</v>
      </c>
      <c r="Q329" s="154">
        <v>42843</v>
      </c>
      <c r="R329" s="154"/>
      <c r="S329" s="42">
        <v>26</v>
      </c>
      <c r="T329" s="42" t="s">
        <v>528</v>
      </c>
      <c r="U329" s="42">
        <v>18</v>
      </c>
      <c r="V329" s="42" t="s">
        <v>565</v>
      </c>
      <c r="W329" s="42">
        <v>18</v>
      </c>
      <c r="X329" s="42" t="s">
        <v>536</v>
      </c>
      <c r="Y329" s="42">
        <v>2310300</v>
      </c>
      <c r="Z329" s="42" t="s">
        <v>138</v>
      </c>
      <c r="AA329" s="42">
        <v>440</v>
      </c>
      <c r="AB329" s="42">
        <v>9</v>
      </c>
      <c r="AC329" s="42">
        <v>2675559</v>
      </c>
      <c r="AD329" s="42" t="s">
        <v>29</v>
      </c>
      <c r="AE329" s="42">
        <v>161</v>
      </c>
      <c r="AF329" s="42" t="s">
        <v>458</v>
      </c>
      <c r="AG329" s="42" t="s">
        <v>459</v>
      </c>
      <c r="AH329" s="42" t="s">
        <v>188</v>
      </c>
      <c r="AI329" s="42" t="s">
        <v>460</v>
      </c>
      <c r="AJ329" s="154">
        <v>42843</v>
      </c>
      <c r="AK329" s="42">
        <v>57</v>
      </c>
      <c r="AL329" s="154">
        <v>42832</v>
      </c>
      <c r="AM329" s="154"/>
      <c r="AN329" s="42"/>
      <c r="AO329" s="154"/>
      <c r="AP329" s="154">
        <v>43101</v>
      </c>
      <c r="AQ329" s="42"/>
      <c r="AR329" s="42"/>
      <c r="AS329" s="42"/>
      <c r="AT329" s="42"/>
      <c r="AU329" s="42"/>
      <c r="AV329" s="42"/>
      <c r="AW329" s="42"/>
      <c r="AX329" s="42"/>
    </row>
    <row r="330" spans="1:50" ht="12.75" customHeight="1">
      <c r="A330" s="42">
        <v>1019124791</v>
      </c>
      <c r="B330" s="42" t="s">
        <v>907</v>
      </c>
      <c r="C330" s="42" t="s">
        <v>636</v>
      </c>
      <c r="D330" s="42" t="s">
        <v>908</v>
      </c>
      <c r="E330" s="42" t="s">
        <v>481</v>
      </c>
      <c r="F330" s="154">
        <v>35316</v>
      </c>
      <c r="G330" s="42" t="s">
        <v>909</v>
      </c>
      <c r="H330" s="42">
        <v>3152991975</v>
      </c>
      <c r="I330" s="42" t="s">
        <v>586</v>
      </c>
      <c r="J330" s="42"/>
      <c r="K330" s="42"/>
      <c r="L330" s="42"/>
      <c r="M330" s="42" t="s">
        <v>451</v>
      </c>
      <c r="N330" s="42" t="s">
        <v>452</v>
      </c>
      <c r="O330" s="42" t="s">
        <v>453</v>
      </c>
      <c r="P330" s="154">
        <v>44876</v>
      </c>
      <c r="Q330" s="154">
        <v>44876</v>
      </c>
      <c r="R330" s="154"/>
      <c r="S330" s="42">
        <v>8</v>
      </c>
      <c r="T330" s="42" t="s">
        <v>466</v>
      </c>
      <c r="U330" s="42">
        <v>11</v>
      </c>
      <c r="V330" s="42" t="s">
        <v>456</v>
      </c>
      <c r="W330" s="42">
        <v>23</v>
      </c>
      <c r="X330" s="42" t="s">
        <v>473</v>
      </c>
      <c r="Y330" s="42">
        <v>2310450</v>
      </c>
      <c r="Z330" s="42" t="s">
        <v>568</v>
      </c>
      <c r="AA330" s="42">
        <v>314</v>
      </c>
      <c r="AB330" s="42">
        <v>15</v>
      </c>
      <c r="AC330" s="42">
        <v>4226650</v>
      </c>
      <c r="AD330" s="42" t="s">
        <v>517</v>
      </c>
      <c r="AE330" s="42">
        <v>129</v>
      </c>
      <c r="AF330" s="42" t="s">
        <v>458</v>
      </c>
      <c r="AG330" s="42" t="s">
        <v>459</v>
      </c>
      <c r="AH330" s="42" t="s">
        <v>188</v>
      </c>
      <c r="AI330" s="42" t="s">
        <v>460</v>
      </c>
      <c r="AJ330" s="154">
        <v>44876</v>
      </c>
      <c r="AK330" s="42">
        <v>416</v>
      </c>
      <c r="AL330" s="154">
        <v>44873</v>
      </c>
      <c r="AM330" s="154"/>
      <c r="AN330" s="42"/>
      <c r="AO330" s="154"/>
      <c r="AP330" s="154">
        <v>45047</v>
      </c>
      <c r="AQ330" s="42"/>
      <c r="AR330" s="42"/>
      <c r="AS330" s="42"/>
      <c r="AT330" s="42"/>
      <c r="AU330" s="42"/>
      <c r="AV330" s="42"/>
      <c r="AW330" s="42"/>
      <c r="AX330" s="42"/>
    </row>
    <row r="331" spans="1:50" ht="12.75" customHeight="1">
      <c r="A331" s="42">
        <v>53101988</v>
      </c>
      <c r="B331" s="42" t="s">
        <v>940</v>
      </c>
      <c r="C331" s="42" t="s">
        <v>832</v>
      </c>
      <c r="D331" s="42" t="s">
        <v>1052</v>
      </c>
      <c r="E331" s="42" t="s">
        <v>481</v>
      </c>
      <c r="F331" s="154">
        <v>31279</v>
      </c>
      <c r="G331" s="42" t="s">
        <v>1898</v>
      </c>
      <c r="H331" s="42">
        <v>3202151693</v>
      </c>
      <c r="I331" s="42" t="s">
        <v>450</v>
      </c>
      <c r="J331" s="42"/>
      <c r="K331" s="42"/>
      <c r="L331" s="42"/>
      <c r="M331" s="42" t="s">
        <v>451</v>
      </c>
      <c r="N331" s="42" t="s">
        <v>452</v>
      </c>
      <c r="O331" s="42" t="s">
        <v>453</v>
      </c>
      <c r="P331" s="154">
        <v>42951</v>
      </c>
      <c r="Q331" s="154">
        <v>42951</v>
      </c>
      <c r="R331" s="154"/>
      <c r="S331" s="42">
        <v>8</v>
      </c>
      <c r="T331" s="42" t="s">
        <v>466</v>
      </c>
      <c r="U331" s="42">
        <v>11</v>
      </c>
      <c r="V331" s="42" t="s">
        <v>456</v>
      </c>
      <c r="W331" s="42">
        <v>19</v>
      </c>
      <c r="X331" s="42" t="s">
        <v>575</v>
      </c>
      <c r="Y331" s="42">
        <v>72</v>
      </c>
      <c r="Z331" s="42" t="s">
        <v>500</v>
      </c>
      <c r="AA331" s="42">
        <v>222</v>
      </c>
      <c r="AB331" s="42">
        <v>19</v>
      </c>
      <c r="AC331" s="42">
        <v>6258912</v>
      </c>
      <c r="AD331" s="42" t="s">
        <v>51</v>
      </c>
      <c r="AE331" s="42">
        <v>72</v>
      </c>
      <c r="AF331" s="42" t="s">
        <v>458</v>
      </c>
      <c r="AG331" s="42" t="s">
        <v>459</v>
      </c>
      <c r="AH331" s="42" t="s">
        <v>188</v>
      </c>
      <c r="AI331" s="42" t="s">
        <v>460</v>
      </c>
      <c r="AJ331" s="154">
        <v>42951</v>
      </c>
      <c r="AK331" s="42">
        <v>107</v>
      </c>
      <c r="AL331" s="154">
        <v>42922</v>
      </c>
      <c r="AM331" s="154"/>
      <c r="AN331" s="42"/>
      <c r="AO331" s="154"/>
      <c r="AP331" s="154">
        <v>44271</v>
      </c>
      <c r="AQ331" s="42"/>
      <c r="AR331" s="42"/>
      <c r="AS331" s="42"/>
      <c r="AT331" s="42"/>
      <c r="AU331" s="42"/>
      <c r="AV331" s="42"/>
      <c r="AW331" s="42"/>
      <c r="AX331" s="42"/>
    </row>
    <row r="332" spans="1:50" ht="12.75" customHeight="1">
      <c r="A332" s="42">
        <v>53122985</v>
      </c>
      <c r="B332" s="42" t="s">
        <v>533</v>
      </c>
      <c r="C332" s="42" t="s">
        <v>889</v>
      </c>
      <c r="D332" s="42" t="s">
        <v>1017</v>
      </c>
      <c r="E332" s="42" t="s">
        <v>448</v>
      </c>
      <c r="F332" s="154">
        <v>31186</v>
      </c>
      <c r="G332" s="42" t="s">
        <v>1900</v>
      </c>
      <c r="H332" s="42">
        <v>6013589784</v>
      </c>
      <c r="I332" s="42" t="s">
        <v>450</v>
      </c>
      <c r="J332" s="42"/>
      <c r="K332" s="42"/>
      <c r="L332" s="42"/>
      <c r="M332" s="42" t="s">
        <v>451</v>
      </c>
      <c r="N332" s="42" t="s">
        <v>452</v>
      </c>
      <c r="O332" s="42" t="s">
        <v>453</v>
      </c>
      <c r="P332" s="154">
        <v>45307</v>
      </c>
      <c r="Q332" s="154">
        <v>45307</v>
      </c>
      <c r="R332" s="154"/>
      <c r="S332" s="42">
        <v>5</v>
      </c>
      <c r="T332" s="42" t="s">
        <v>499</v>
      </c>
      <c r="U332" s="42">
        <v>11</v>
      </c>
      <c r="V332" s="42" t="s">
        <v>456</v>
      </c>
      <c r="W332" s="42">
        <v>3</v>
      </c>
      <c r="X332" s="42" t="s">
        <v>457</v>
      </c>
      <c r="Y332" s="42">
        <v>2310450</v>
      </c>
      <c r="Z332" s="42" t="s">
        <v>568</v>
      </c>
      <c r="AA332" s="42">
        <v>219</v>
      </c>
      <c r="AB332" s="42">
        <v>18</v>
      </c>
      <c r="AC332" s="42">
        <v>5951245</v>
      </c>
      <c r="AD332" s="42" t="s">
        <v>72</v>
      </c>
      <c r="AE332" s="42">
        <v>77</v>
      </c>
      <c r="AF332" s="42" t="s">
        <v>458</v>
      </c>
      <c r="AG332" s="42" t="s">
        <v>459</v>
      </c>
      <c r="AH332" s="42" t="s">
        <v>49</v>
      </c>
      <c r="AI332" s="42" t="s">
        <v>460</v>
      </c>
      <c r="AJ332" s="154">
        <v>45307</v>
      </c>
      <c r="AK332" s="42">
        <v>666</v>
      </c>
      <c r="AL332" s="154">
        <v>45286</v>
      </c>
      <c r="AM332" s="154"/>
      <c r="AN332" s="42"/>
      <c r="AO332" s="154"/>
      <c r="AP332" s="154"/>
      <c r="AQ332" s="42"/>
      <c r="AR332" s="42"/>
      <c r="AS332" s="42"/>
      <c r="AT332" s="42"/>
      <c r="AU332" s="42"/>
      <c r="AV332" s="42"/>
      <c r="AW332" s="42"/>
      <c r="AX332" s="42"/>
    </row>
    <row r="333" spans="1:50" ht="12.75" customHeight="1">
      <c r="A333" s="42">
        <v>53165390</v>
      </c>
      <c r="B333" s="42" t="s">
        <v>519</v>
      </c>
      <c r="C333" s="42" t="s">
        <v>1904</v>
      </c>
      <c r="D333" s="42" t="s">
        <v>794</v>
      </c>
      <c r="E333" s="42" t="s">
        <v>448</v>
      </c>
      <c r="F333" s="154">
        <v>31236</v>
      </c>
      <c r="G333" s="42" t="s">
        <v>1905</v>
      </c>
      <c r="H333" s="42">
        <v>4634590</v>
      </c>
      <c r="I333" s="42" t="s">
        <v>450</v>
      </c>
      <c r="J333" s="42"/>
      <c r="K333" s="42"/>
      <c r="L333" s="42"/>
      <c r="M333" s="42" t="s">
        <v>451</v>
      </c>
      <c r="N333" s="42" t="s">
        <v>452</v>
      </c>
      <c r="O333" s="42" t="s">
        <v>453</v>
      </c>
      <c r="P333" s="154">
        <v>46253</v>
      </c>
      <c r="Q333" s="154">
        <v>45819</v>
      </c>
      <c r="R333" s="154"/>
      <c r="S333" s="42">
        <v>5</v>
      </c>
      <c r="T333" s="42" t="s">
        <v>499</v>
      </c>
      <c r="U333" s="42">
        <v>11</v>
      </c>
      <c r="V333" s="42" t="s">
        <v>456</v>
      </c>
      <c r="W333" s="42">
        <v>23</v>
      </c>
      <c r="X333" s="42" t="s">
        <v>473</v>
      </c>
      <c r="Y333" s="42">
        <v>2310430</v>
      </c>
      <c r="Z333" s="42" t="s">
        <v>494</v>
      </c>
      <c r="AA333" s="42">
        <v>222</v>
      </c>
      <c r="AB333" s="42">
        <v>19</v>
      </c>
      <c r="AC333" s="42">
        <v>6258912</v>
      </c>
      <c r="AD333" s="42" t="s">
        <v>51</v>
      </c>
      <c r="AE333" s="42">
        <v>69</v>
      </c>
      <c r="AF333" s="42" t="s">
        <v>458</v>
      </c>
      <c r="AG333" s="42" t="s">
        <v>459</v>
      </c>
      <c r="AH333" s="42" t="s">
        <v>644</v>
      </c>
      <c r="AI333" s="42" t="s">
        <v>460</v>
      </c>
      <c r="AJ333" s="154">
        <v>46253</v>
      </c>
      <c r="AK333" s="42">
        <v>325</v>
      </c>
      <c r="AL333" s="154">
        <v>46230</v>
      </c>
      <c r="AM333" s="154"/>
      <c r="AN333" s="42"/>
      <c r="AO333" s="154"/>
      <c r="AP333" s="154"/>
      <c r="AQ333" s="42"/>
      <c r="AR333" s="42"/>
      <c r="AS333" s="42"/>
      <c r="AT333" s="42"/>
      <c r="AU333" s="42"/>
      <c r="AV333" s="42"/>
      <c r="AW333" s="42"/>
      <c r="AX333" s="42"/>
    </row>
    <row r="334" spans="1:50" ht="12.75" customHeight="1">
      <c r="A334" s="42">
        <v>53166058</v>
      </c>
      <c r="B334" s="42" t="s">
        <v>1018</v>
      </c>
      <c r="C334" s="42" t="s">
        <v>982</v>
      </c>
      <c r="D334" s="42" t="s">
        <v>1019</v>
      </c>
      <c r="E334" s="42" t="s">
        <v>448</v>
      </c>
      <c r="F334" s="154">
        <v>31216</v>
      </c>
      <c r="G334" s="42" t="s">
        <v>1906</v>
      </c>
      <c r="H334" s="42">
        <v>6596185</v>
      </c>
      <c r="I334" s="42" t="s">
        <v>450</v>
      </c>
      <c r="J334" s="42"/>
      <c r="K334" s="42"/>
      <c r="L334" s="42"/>
      <c r="M334" s="42" t="s">
        <v>448</v>
      </c>
      <c r="N334" s="42" t="s">
        <v>452</v>
      </c>
      <c r="O334" s="42" t="s">
        <v>453</v>
      </c>
      <c r="P334" s="154">
        <v>44153</v>
      </c>
      <c r="Q334" s="154">
        <v>44153</v>
      </c>
      <c r="R334" s="154"/>
      <c r="S334" s="42">
        <v>5</v>
      </c>
      <c r="T334" s="42" t="s">
        <v>499</v>
      </c>
      <c r="U334" s="42">
        <v>11</v>
      </c>
      <c r="V334" s="42" t="s">
        <v>456</v>
      </c>
      <c r="W334" s="42">
        <v>19</v>
      </c>
      <c r="X334" s="42" t="s">
        <v>575</v>
      </c>
      <c r="Y334" s="42">
        <v>2311000</v>
      </c>
      <c r="Z334" s="42" t="s">
        <v>467</v>
      </c>
      <c r="AA334" s="42">
        <v>222</v>
      </c>
      <c r="AB334" s="42">
        <v>21</v>
      </c>
      <c r="AC334" s="42">
        <v>6566429</v>
      </c>
      <c r="AD334" s="42" t="s">
        <v>51</v>
      </c>
      <c r="AE334" s="42">
        <v>22</v>
      </c>
      <c r="AF334" s="42" t="s">
        <v>458</v>
      </c>
      <c r="AG334" s="42" t="s">
        <v>459</v>
      </c>
      <c r="AH334" s="42" t="s">
        <v>49</v>
      </c>
      <c r="AI334" s="42" t="s">
        <v>460</v>
      </c>
      <c r="AJ334" s="154">
        <v>44153</v>
      </c>
      <c r="AK334" s="42">
        <v>191</v>
      </c>
      <c r="AL334" s="154">
        <v>44124</v>
      </c>
      <c r="AM334" s="154"/>
      <c r="AN334" s="42"/>
      <c r="AO334" s="154"/>
      <c r="AP334" s="154"/>
      <c r="AQ334" s="42"/>
      <c r="AR334" s="42"/>
      <c r="AS334" s="42"/>
      <c r="AT334" s="42"/>
      <c r="AU334" s="42"/>
      <c r="AV334" s="42"/>
      <c r="AW334" s="42"/>
      <c r="AX334" s="42"/>
    </row>
    <row r="335" spans="1:50" ht="12.75" customHeight="1">
      <c r="A335" s="42">
        <v>60342078</v>
      </c>
      <c r="B335" s="42" t="s">
        <v>758</v>
      </c>
      <c r="C335" s="42" t="s">
        <v>1907</v>
      </c>
      <c r="D335" s="42" t="s">
        <v>1908</v>
      </c>
      <c r="E335" s="42" t="s">
        <v>481</v>
      </c>
      <c r="F335" s="154">
        <v>25934</v>
      </c>
      <c r="G335" s="42" t="s">
        <v>1909</v>
      </c>
      <c r="H335" s="42">
        <v>3115590128</v>
      </c>
      <c r="I335" s="42" t="s">
        <v>450</v>
      </c>
      <c r="J335" s="42"/>
      <c r="K335" s="42"/>
      <c r="L335" s="42"/>
      <c r="M335" s="42" t="s">
        <v>448</v>
      </c>
      <c r="N335" s="42" t="s">
        <v>452</v>
      </c>
      <c r="O335" s="42" t="s">
        <v>453</v>
      </c>
      <c r="P335" s="154">
        <v>44147</v>
      </c>
      <c r="Q335" s="154">
        <v>44147</v>
      </c>
      <c r="R335" s="154"/>
      <c r="S335" s="42">
        <v>6</v>
      </c>
      <c r="T335" s="42" t="s">
        <v>511</v>
      </c>
      <c r="U335" s="42">
        <v>11</v>
      </c>
      <c r="V335" s="42" t="s">
        <v>456</v>
      </c>
      <c r="W335" s="42">
        <v>3</v>
      </c>
      <c r="X335" s="42" t="s">
        <v>457</v>
      </c>
      <c r="Y335" s="42">
        <v>0</v>
      </c>
      <c r="Z335" s="42" t="s">
        <v>500</v>
      </c>
      <c r="AA335" s="42">
        <v>314</v>
      </c>
      <c r="AB335" s="42">
        <v>20</v>
      </c>
      <c r="AC335" s="42">
        <v>4789274</v>
      </c>
      <c r="AD335" s="42" t="s">
        <v>517</v>
      </c>
      <c r="AE335" s="42">
        <v>122</v>
      </c>
      <c r="AF335" s="42" t="s">
        <v>458</v>
      </c>
      <c r="AG335" s="42" t="s">
        <v>459</v>
      </c>
      <c r="AH335" s="42" t="s">
        <v>49</v>
      </c>
      <c r="AI335" s="42" t="s">
        <v>460</v>
      </c>
      <c r="AJ335" s="154">
        <v>44147</v>
      </c>
      <c r="AK335" s="42">
        <v>150</v>
      </c>
      <c r="AL335" s="154">
        <v>44118</v>
      </c>
      <c r="AM335" s="154"/>
      <c r="AN335" s="42"/>
      <c r="AO335" s="154"/>
      <c r="AP335" s="154">
        <v>45778</v>
      </c>
      <c r="AQ335" s="42"/>
      <c r="AR335" s="42"/>
      <c r="AS335" s="42"/>
      <c r="AT335" s="42"/>
      <c r="AU335" s="42"/>
      <c r="AV335" s="42"/>
      <c r="AW335" s="42"/>
      <c r="AX335" s="42"/>
    </row>
    <row r="336" spans="1:50" ht="12.75" customHeight="1">
      <c r="A336" s="42">
        <v>60348229</v>
      </c>
      <c r="B336" s="42" t="s">
        <v>537</v>
      </c>
      <c r="C336" s="42" t="s">
        <v>538</v>
      </c>
      <c r="D336" s="42" t="s">
        <v>1020</v>
      </c>
      <c r="E336" s="42" t="s">
        <v>448</v>
      </c>
      <c r="F336" s="154">
        <v>26391</v>
      </c>
      <c r="G336" s="42" t="s">
        <v>1911</v>
      </c>
      <c r="H336" s="42">
        <v>8851047</v>
      </c>
      <c r="I336" s="42" t="s">
        <v>450</v>
      </c>
      <c r="J336" s="42"/>
      <c r="K336" s="42"/>
      <c r="L336" s="42"/>
      <c r="M336" s="42" t="s">
        <v>448</v>
      </c>
      <c r="N336" s="42" t="s">
        <v>452</v>
      </c>
      <c r="O336" s="42" t="s">
        <v>453</v>
      </c>
      <c r="P336" s="154">
        <v>44167</v>
      </c>
      <c r="Q336" s="154">
        <v>44167</v>
      </c>
      <c r="R336" s="154"/>
      <c r="S336" s="42">
        <v>5</v>
      </c>
      <c r="T336" s="42" t="s">
        <v>499</v>
      </c>
      <c r="U336" s="42">
        <v>11</v>
      </c>
      <c r="V336" s="42" t="s">
        <v>456</v>
      </c>
      <c r="W336" s="42">
        <v>3</v>
      </c>
      <c r="X336" s="42" t="s">
        <v>457</v>
      </c>
      <c r="Y336" s="42">
        <v>2311000</v>
      </c>
      <c r="Z336" s="42" t="s">
        <v>467</v>
      </c>
      <c r="AA336" s="42">
        <v>219</v>
      </c>
      <c r="AB336" s="42">
        <v>18</v>
      </c>
      <c r="AC336" s="42">
        <v>5951245</v>
      </c>
      <c r="AD336" s="42" t="s">
        <v>72</v>
      </c>
      <c r="AE336" s="42">
        <v>75</v>
      </c>
      <c r="AF336" s="42" t="s">
        <v>458</v>
      </c>
      <c r="AG336" s="42" t="s">
        <v>459</v>
      </c>
      <c r="AH336" s="42" t="s">
        <v>49</v>
      </c>
      <c r="AI336" s="42" t="s">
        <v>460</v>
      </c>
      <c r="AJ336" s="154">
        <v>44167</v>
      </c>
      <c r="AK336" s="42">
        <v>176</v>
      </c>
      <c r="AL336" s="154">
        <v>44124</v>
      </c>
      <c r="AM336" s="154"/>
      <c r="AN336" s="42"/>
      <c r="AO336" s="154"/>
      <c r="AP336" s="154"/>
      <c r="AQ336" s="42"/>
      <c r="AR336" s="42"/>
      <c r="AS336" s="42"/>
      <c r="AT336" s="42"/>
      <c r="AU336" s="42"/>
      <c r="AV336" s="42"/>
      <c r="AW336" s="42"/>
      <c r="AX336" s="42"/>
    </row>
    <row r="337" spans="1:50" ht="12.75" customHeight="1">
      <c r="A337" s="42">
        <v>60367185</v>
      </c>
      <c r="B337" s="42" t="s">
        <v>761</v>
      </c>
      <c r="C337" s="42" t="s">
        <v>1913</v>
      </c>
      <c r="D337" s="42" t="s">
        <v>1914</v>
      </c>
      <c r="E337" s="42" t="s">
        <v>481</v>
      </c>
      <c r="F337" s="154">
        <v>27411</v>
      </c>
      <c r="G337" s="42" t="s">
        <v>1915</v>
      </c>
      <c r="H337" s="42">
        <v>3030402</v>
      </c>
      <c r="I337" s="42" t="s">
        <v>450</v>
      </c>
      <c r="J337" s="42"/>
      <c r="K337" s="42"/>
      <c r="L337" s="42"/>
      <c r="M337" s="42" t="s">
        <v>547</v>
      </c>
      <c r="N337" s="42" t="s">
        <v>452</v>
      </c>
      <c r="O337" s="42" t="s">
        <v>453</v>
      </c>
      <c r="P337" s="154">
        <v>43867</v>
      </c>
      <c r="Q337" s="154">
        <v>43867</v>
      </c>
      <c r="R337" s="42">
        <v>39630</v>
      </c>
      <c r="S337" s="42">
        <v>8</v>
      </c>
      <c r="T337" s="42" t="s">
        <v>466</v>
      </c>
      <c r="U337" s="42">
        <v>11</v>
      </c>
      <c r="V337" s="42" t="s">
        <v>456</v>
      </c>
      <c r="W337" s="42">
        <v>23</v>
      </c>
      <c r="X337" s="42" t="s">
        <v>473</v>
      </c>
      <c r="Y337" s="42">
        <v>2310430</v>
      </c>
      <c r="Z337" s="42" t="s">
        <v>494</v>
      </c>
      <c r="AA337" s="42">
        <v>9</v>
      </c>
      <c r="AB337" s="42">
        <v>7</v>
      </c>
      <c r="AC337" s="42">
        <v>11186814</v>
      </c>
      <c r="AD337" s="42" t="s">
        <v>512</v>
      </c>
      <c r="AE337" s="42">
        <v>5</v>
      </c>
      <c r="AF337" s="42" t="s">
        <v>458</v>
      </c>
      <c r="AG337" s="42" t="s">
        <v>459</v>
      </c>
      <c r="AH337" s="42" t="s">
        <v>484</v>
      </c>
      <c r="AI337" s="42" t="s">
        <v>460</v>
      </c>
      <c r="AJ337" s="154">
        <v>43867</v>
      </c>
      <c r="AK337" s="42">
        <v>15</v>
      </c>
      <c r="AL337" s="154">
        <v>43857</v>
      </c>
      <c r="AM337" s="154"/>
      <c r="AN337" s="42"/>
      <c r="AO337" s="154"/>
      <c r="AP337" s="154">
        <v>44469</v>
      </c>
      <c r="AQ337" s="42"/>
      <c r="AR337" s="42"/>
      <c r="AS337" s="42"/>
      <c r="AT337" s="42"/>
      <c r="AU337" s="42"/>
      <c r="AV337" s="42"/>
      <c r="AW337" s="42"/>
      <c r="AX337" s="42"/>
    </row>
    <row r="338" spans="1:50" ht="12.75" customHeight="1">
      <c r="A338" s="42">
        <v>63301719</v>
      </c>
      <c r="B338" s="42" t="s">
        <v>478</v>
      </c>
      <c r="C338" s="42" t="s">
        <v>1917</v>
      </c>
      <c r="D338" s="42" t="s">
        <v>1918</v>
      </c>
      <c r="E338" s="42" t="s">
        <v>481</v>
      </c>
      <c r="F338" s="154">
        <v>22604</v>
      </c>
      <c r="G338" s="42" t="s">
        <v>1919</v>
      </c>
      <c r="H338" s="42">
        <v>3133983375</v>
      </c>
      <c r="I338" s="42" t="s">
        <v>450</v>
      </c>
      <c r="J338" s="42"/>
      <c r="K338" s="42"/>
      <c r="L338" s="42"/>
      <c r="M338" s="42" t="s">
        <v>451</v>
      </c>
      <c r="N338" s="42" t="s">
        <v>452</v>
      </c>
      <c r="O338" s="42" t="s">
        <v>453</v>
      </c>
      <c r="P338" s="154">
        <v>44266</v>
      </c>
      <c r="Q338" s="154">
        <v>43434</v>
      </c>
      <c r="R338" s="154"/>
      <c r="S338" s="42">
        <v>18</v>
      </c>
      <c r="T338" s="42" t="s">
        <v>472</v>
      </c>
      <c r="U338" s="42">
        <v>18</v>
      </c>
      <c r="V338" s="42" t="s">
        <v>565</v>
      </c>
      <c r="W338" s="42">
        <v>3</v>
      </c>
      <c r="X338" s="42" t="s">
        <v>457</v>
      </c>
      <c r="Y338" s="42">
        <v>2311000</v>
      </c>
      <c r="Z338" s="42" t="s">
        <v>467</v>
      </c>
      <c r="AA338" s="42">
        <v>314</v>
      </c>
      <c r="AB338" s="42">
        <v>20</v>
      </c>
      <c r="AC338" s="42">
        <v>4789274</v>
      </c>
      <c r="AD338" s="42" t="s">
        <v>517</v>
      </c>
      <c r="AE338" s="42">
        <v>120</v>
      </c>
      <c r="AF338" s="42" t="s">
        <v>458</v>
      </c>
      <c r="AG338" s="42" t="s">
        <v>459</v>
      </c>
      <c r="AH338" s="42" t="s">
        <v>644</v>
      </c>
      <c r="AI338" s="42" t="s">
        <v>460</v>
      </c>
      <c r="AJ338" s="154">
        <v>44266</v>
      </c>
      <c r="AK338" s="42">
        <v>194</v>
      </c>
      <c r="AL338" s="154">
        <v>44124</v>
      </c>
      <c r="AM338" s="154"/>
      <c r="AN338" s="42"/>
      <c r="AO338" s="154"/>
      <c r="AP338" s="154">
        <v>44439</v>
      </c>
      <c r="AQ338" s="42"/>
      <c r="AR338" s="42"/>
      <c r="AS338" s="42"/>
      <c r="AT338" s="42"/>
      <c r="AU338" s="42"/>
      <c r="AV338" s="42"/>
      <c r="AW338" s="42"/>
      <c r="AX338" s="42"/>
    </row>
    <row r="339" spans="1:50" ht="12.75" customHeight="1">
      <c r="A339" s="42">
        <v>64586540</v>
      </c>
      <c r="B339" s="42" t="s">
        <v>681</v>
      </c>
      <c r="C339" s="42" t="s">
        <v>1023</v>
      </c>
      <c r="D339" s="42" t="s">
        <v>1024</v>
      </c>
      <c r="E339" s="42" t="s">
        <v>448</v>
      </c>
      <c r="F339" s="154">
        <v>29294</v>
      </c>
      <c r="G339" s="42" t="s">
        <v>1920</v>
      </c>
      <c r="H339" s="42">
        <v>3004787684</v>
      </c>
      <c r="I339" s="42" t="s">
        <v>450</v>
      </c>
      <c r="J339" s="42"/>
      <c r="K339" s="42"/>
      <c r="L339" s="42"/>
      <c r="M339" s="42" t="s">
        <v>451</v>
      </c>
      <c r="N339" s="42" t="s">
        <v>452</v>
      </c>
      <c r="O339" s="42" t="s">
        <v>453</v>
      </c>
      <c r="P339" s="154">
        <v>44603</v>
      </c>
      <c r="Q339" s="154">
        <v>44603</v>
      </c>
      <c r="R339" s="154"/>
      <c r="S339" s="42">
        <v>26</v>
      </c>
      <c r="T339" s="42" t="s">
        <v>528</v>
      </c>
      <c r="U339" s="42">
        <v>11</v>
      </c>
      <c r="V339" s="42" t="s">
        <v>456</v>
      </c>
      <c r="W339" s="42">
        <v>3</v>
      </c>
      <c r="X339" s="42" t="s">
        <v>457</v>
      </c>
      <c r="Y339" s="42">
        <v>2300100</v>
      </c>
      <c r="Z339" s="42" t="s">
        <v>483</v>
      </c>
      <c r="AA339" s="42">
        <v>105</v>
      </c>
      <c r="AB339" s="42">
        <v>5</v>
      </c>
      <c r="AC339" s="42">
        <v>9154873</v>
      </c>
      <c r="AD339" s="42" t="s">
        <v>26</v>
      </c>
      <c r="AE339" s="42">
        <v>13</v>
      </c>
      <c r="AF339" s="42" t="s">
        <v>458</v>
      </c>
      <c r="AG339" s="42" t="s">
        <v>459</v>
      </c>
      <c r="AH339" s="42" t="s">
        <v>49</v>
      </c>
      <c r="AI339" s="42" t="s">
        <v>460</v>
      </c>
      <c r="AJ339" s="154">
        <v>44603</v>
      </c>
      <c r="AK339" s="42">
        <v>15</v>
      </c>
      <c r="AL339" s="154">
        <v>44575</v>
      </c>
      <c r="AM339" s="154">
        <v>46266</v>
      </c>
      <c r="AN339" s="42">
        <v>370</v>
      </c>
      <c r="AO339" s="154">
        <v>46258</v>
      </c>
      <c r="AP339" s="154"/>
      <c r="AQ339" s="42"/>
      <c r="AR339" s="42"/>
      <c r="AS339" s="42"/>
      <c r="AT339" s="42"/>
      <c r="AU339" s="42"/>
      <c r="AV339" s="42"/>
      <c r="AW339" s="42"/>
      <c r="AX339" s="42"/>
    </row>
    <row r="340" spans="1:50" ht="12.75" customHeight="1">
      <c r="A340" s="42">
        <v>65554501</v>
      </c>
      <c r="B340" s="42" t="s">
        <v>777</v>
      </c>
      <c r="C340" s="42" t="s">
        <v>538</v>
      </c>
      <c r="D340" s="42" t="s">
        <v>1922</v>
      </c>
      <c r="E340" s="42" t="s">
        <v>481</v>
      </c>
      <c r="F340" s="154">
        <v>27741</v>
      </c>
      <c r="G340" s="42" t="s">
        <v>1923</v>
      </c>
      <c r="H340" s="42">
        <v>4713886</v>
      </c>
      <c r="I340" s="42" t="s">
        <v>450</v>
      </c>
      <c r="J340" s="42"/>
      <c r="K340" s="42"/>
      <c r="L340" s="42"/>
      <c r="M340" s="42" t="s">
        <v>451</v>
      </c>
      <c r="N340" s="42" t="s">
        <v>452</v>
      </c>
      <c r="O340" s="42" t="s">
        <v>453</v>
      </c>
      <c r="P340" s="154">
        <v>44081</v>
      </c>
      <c r="Q340" s="154">
        <v>44081</v>
      </c>
      <c r="R340" s="154"/>
      <c r="S340" s="42">
        <v>42</v>
      </c>
      <c r="T340" s="42" t="s">
        <v>1166</v>
      </c>
      <c r="U340" s="42">
        <v>11</v>
      </c>
      <c r="V340" s="42" t="s">
        <v>456</v>
      </c>
      <c r="W340" s="42">
        <v>3</v>
      </c>
      <c r="X340" s="42" t="s">
        <v>457</v>
      </c>
      <c r="Y340" s="42">
        <v>2311000</v>
      </c>
      <c r="Z340" s="42" t="s">
        <v>467</v>
      </c>
      <c r="AA340" s="42">
        <v>9</v>
      </c>
      <c r="AB340" s="42">
        <v>7</v>
      </c>
      <c r="AC340" s="42">
        <v>11186814</v>
      </c>
      <c r="AD340" s="42" t="s">
        <v>512</v>
      </c>
      <c r="AE340" s="42">
        <v>8</v>
      </c>
      <c r="AF340" s="42" t="s">
        <v>458</v>
      </c>
      <c r="AG340" s="42" t="s">
        <v>459</v>
      </c>
      <c r="AH340" s="42" t="s">
        <v>484</v>
      </c>
      <c r="AI340" s="42" t="s">
        <v>460</v>
      </c>
      <c r="AJ340" s="154">
        <v>44081</v>
      </c>
      <c r="AK340" s="42">
        <v>86</v>
      </c>
      <c r="AL340" s="154">
        <v>44070</v>
      </c>
      <c r="AM340" s="154"/>
      <c r="AN340" s="42"/>
      <c r="AO340" s="154"/>
      <c r="AP340" s="154">
        <v>44879</v>
      </c>
      <c r="AQ340" s="42"/>
      <c r="AR340" s="42"/>
      <c r="AS340" s="42"/>
      <c r="AT340" s="42"/>
      <c r="AU340" s="42"/>
      <c r="AV340" s="42"/>
      <c r="AW340" s="42"/>
      <c r="AX340" s="42"/>
    </row>
    <row r="341" spans="1:50" ht="12.75" customHeight="1">
      <c r="A341" s="42">
        <v>65712117</v>
      </c>
      <c r="B341" s="42" t="s">
        <v>1330</v>
      </c>
      <c r="C341" s="42" t="s">
        <v>554</v>
      </c>
      <c r="D341" s="42" t="s">
        <v>1925</v>
      </c>
      <c r="E341" s="42" t="s">
        <v>481</v>
      </c>
      <c r="F341" s="154">
        <v>24595</v>
      </c>
      <c r="G341" s="42" t="s">
        <v>1926</v>
      </c>
      <c r="H341" s="42">
        <v>6750846</v>
      </c>
      <c r="I341" s="42" t="s">
        <v>450</v>
      </c>
      <c r="J341" s="42"/>
      <c r="K341" s="42"/>
      <c r="L341" s="42"/>
      <c r="M341" s="42" t="s">
        <v>547</v>
      </c>
      <c r="N341" s="42" t="s">
        <v>452</v>
      </c>
      <c r="O341" s="42" t="s">
        <v>453</v>
      </c>
      <c r="P341" s="154">
        <v>42759</v>
      </c>
      <c r="Q341" s="154">
        <v>42759</v>
      </c>
      <c r="R341" s="154"/>
      <c r="S341" s="42">
        <v>8</v>
      </c>
      <c r="T341" s="42" t="s">
        <v>466</v>
      </c>
      <c r="U341" s="42">
        <v>11</v>
      </c>
      <c r="V341" s="42" t="s">
        <v>456</v>
      </c>
      <c r="W341" s="42">
        <v>3</v>
      </c>
      <c r="X341" s="42" t="s">
        <v>457</v>
      </c>
      <c r="Y341" s="42">
        <v>2300100</v>
      </c>
      <c r="Z341" s="42" t="s">
        <v>483</v>
      </c>
      <c r="AA341" s="42">
        <v>314</v>
      </c>
      <c r="AB341" s="42">
        <v>21</v>
      </c>
      <c r="AC341" s="42">
        <v>4789389</v>
      </c>
      <c r="AD341" s="42" t="s">
        <v>517</v>
      </c>
      <c r="AE341" s="42">
        <v>117</v>
      </c>
      <c r="AF341" s="42" t="s">
        <v>458</v>
      </c>
      <c r="AG341" s="42" t="s">
        <v>459</v>
      </c>
      <c r="AH341" s="42" t="s">
        <v>188</v>
      </c>
      <c r="AI341" s="42" t="s">
        <v>460</v>
      </c>
      <c r="AJ341" s="154">
        <v>42759</v>
      </c>
      <c r="AK341" s="42">
        <v>3</v>
      </c>
      <c r="AL341" s="154">
        <v>42755</v>
      </c>
      <c r="AM341" s="154"/>
      <c r="AN341" s="42"/>
      <c r="AO341" s="154"/>
      <c r="AP341" s="154">
        <v>42856</v>
      </c>
      <c r="AQ341" s="42"/>
      <c r="AR341" s="42"/>
      <c r="AS341" s="42"/>
      <c r="AT341" s="42"/>
      <c r="AU341" s="42"/>
      <c r="AV341" s="42"/>
      <c r="AW341" s="42"/>
      <c r="AX341" s="42"/>
    </row>
    <row r="342" spans="1:50" ht="12.75" customHeight="1">
      <c r="A342" s="42">
        <v>6758776</v>
      </c>
      <c r="B342" s="42" t="s">
        <v>1041</v>
      </c>
      <c r="C342" s="42" t="s">
        <v>1055</v>
      </c>
      <c r="D342" s="42" t="s">
        <v>1927</v>
      </c>
      <c r="E342" s="42" t="s">
        <v>481</v>
      </c>
      <c r="F342" s="154">
        <v>19496</v>
      </c>
      <c r="G342" s="42" t="s">
        <v>1928</v>
      </c>
      <c r="H342" s="42">
        <v>2530811</v>
      </c>
      <c r="I342" s="42" t="s">
        <v>586</v>
      </c>
      <c r="J342" s="42">
        <v>6758776</v>
      </c>
      <c r="K342" s="42">
        <v>2</v>
      </c>
      <c r="L342" s="42">
        <v>55</v>
      </c>
      <c r="M342" s="42"/>
      <c r="N342" s="42"/>
      <c r="O342" s="42" t="s">
        <v>453</v>
      </c>
      <c r="P342" s="154">
        <v>42585</v>
      </c>
      <c r="Q342" s="154">
        <v>31944</v>
      </c>
      <c r="R342" s="154"/>
      <c r="S342" s="42">
        <v>8</v>
      </c>
      <c r="T342" s="42" t="s">
        <v>466</v>
      </c>
      <c r="U342" s="42">
        <v>11</v>
      </c>
      <c r="V342" s="42" t="s">
        <v>456</v>
      </c>
      <c r="W342" s="42">
        <v>1</v>
      </c>
      <c r="X342" s="42" t="s">
        <v>1370</v>
      </c>
      <c r="Y342" s="42">
        <v>2310470</v>
      </c>
      <c r="Z342" s="42" t="s">
        <v>477</v>
      </c>
      <c r="AA342" s="42">
        <v>219</v>
      </c>
      <c r="AB342" s="42">
        <v>18</v>
      </c>
      <c r="AC342" s="42">
        <v>5951245</v>
      </c>
      <c r="AD342" s="42" t="s">
        <v>72</v>
      </c>
      <c r="AE342" s="42">
        <v>88</v>
      </c>
      <c r="AF342" s="42" t="s">
        <v>458</v>
      </c>
      <c r="AG342" s="42" t="s">
        <v>459</v>
      </c>
      <c r="AH342" s="42" t="s">
        <v>49</v>
      </c>
      <c r="AI342" s="42" t="s">
        <v>460</v>
      </c>
      <c r="AJ342" s="154">
        <v>42585</v>
      </c>
      <c r="AK342" s="42">
        <v>2</v>
      </c>
      <c r="AL342" s="154">
        <v>42585</v>
      </c>
      <c r="AM342" s="154">
        <v>45026</v>
      </c>
      <c r="AN342" s="42">
        <v>209</v>
      </c>
      <c r="AO342" s="154">
        <v>45016</v>
      </c>
      <c r="AP342" s="154">
        <v>45291</v>
      </c>
      <c r="AQ342" s="42"/>
      <c r="AR342" s="42"/>
      <c r="AS342" s="42"/>
      <c r="AT342" s="42"/>
      <c r="AU342" s="42"/>
      <c r="AV342" s="42"/>
      <c r="AW342" s="42"/>
      <c r="AX342" s="42"/>
    </row>
    <row r="343" spans="1:50" ht="12.75" customHeight="1">
      <c r="A343" s="42">
        <v>6761621</v>
      </c>
      <c r="B343" s="42" t="s">
        <v>1176</v>
      </c>
      <c r="C343" s="42" t="s">
        <v>1929</v>
      </c>
      <c r="D343" s="42" t="s">
        <v>1930</v>
      </c>
      <c r="E343" s="42" t="s">
        <v>481</v>
      </c>
      <c r="F343" s="154">
        <v>21518</v>
      </c>
      <c r="G343" s="42" t="s">
        <v>1931</v>
      </c>
      <c r="H343" s="42">
        <v>7578266</v>
      </c>
      <c r="I343" s="42" t="s">
        <v>586</v>
      </c>
      <c r="J343" s="42">
        <v>728700</v>
      </c>
      <c r="K343" s="42">
        <v>2</v>
      </c>
      <c r="L343" s="42"/>
      <c r="M343" s="42"/>
      <c r="N343" s="42"/>
      <c r="O343" s="42" t="s">
        <v>453</v>
      </c>
      <c r="P343" s="154">
        <v>42585</v>
      </c>
      <c r="Q343" s="154">
        <v>33730</v>
      </c>
      <c r="R343" s="154"/>
      <c r="S343" s="42">
        <v>5</v>
      </c>
      <c r="T343" s="42" t="s">
        <v>499</v>
      </c>
      <c r="U343" s="42">
        <v>11</v>
      </c>
      <c r="V343" s="42" t="s">
        <v>456</v>
      </c>
      <c r="W343" s="42">
        <v>1</v>
      </c>
      <c r="X343" s="42" t="s">
        <v>1370</v>
      </c>
      <c r="Y343" s="42">
        <v>51</v>
      </c>
      <c r="Z343" s="42" t="s">
        <v>500</v>
      </c>
      <c r="AA343" s="42">
        <v>222</v>
      </c>
      <c r="AB343" s="42">
        <v>26</v>
      </c>
      <c r="AC343" s="42">
        <v>7296816</v>
      </c>
      <c r="AD343" s="42" t="s">
        <v>51</v>
      </c>
      <c r="AE343" s="42">
        <v>51</v>
      </c>
      <c r="AF343" s="42" t="s">
        <v>458</v>
      </c>
      <c r="AG343" s="42" t="s">
        <v>459</v>
      </c>
      <c r="AH343" s="42" t="s">
        <v>49</v>
      </c>
      <c r="AI343" s="42" t="s">
        <v>460</v>
      </c>
      <c r="AJ343" s="154">
        <v>42585</v>
      </c>
      <c r="AK343" s="42">
        <v>2</v>
      </c>
      <c r="AL343" s="154">
        <v>42585</v>
      </c>
      <c r="AM343" s="154"/>
      <c r="AN343" s="42"/>
      <c r="AO343" s="154"/>
      <c r="AP343" s="154">
        <v>44865</v>
      </c>
      <c r="AQ343" s="42"/>
      <c r="AR343" s="42"/>
      <c r="AS343" s="42"/>
      <c r="AT343" s="42"/>
      <c r="AU343" s="42"/>
      <c r="AV343" s="42"/>
      <c r="AW343" s="42"/>
      <c r="AX343" s="42"/>
    </row>
    <row r="344" spans="1:50" ht="12.75" customHeight="1">
      <c r="A344" s="42">
        <v>6765913</v>
      </c>
      <c r="B344" s="42" t="s">
        <v>977</v>
      </c>
      <c r="C344" s="42" t="s">
        <v>1026</v>
      </c>
      <c r="D344" s="42" t="s">
        <v>1027</v>
      </c>
      <c r="E344" s="42" t="s">
        <v>448</v>
      </c>
      <c r="F344" s="154">
        <v>21496</v>
      </c>
      <c r="G344" s="42" t="s">
        <v>1932</v>
      </c>
      <c r="H344" s="42">
        <v>3125015008</v>
      </c>
      <c r="I344" s="42" t="s">
        <v>586</v>
      </c>
      <c r="J344" s="42">
        <v>6765913</v>
      </c>
      <c r="K344" s="42">
        <v>2</v>
      </c>
      <c r="L344" s="42">
        <v>55</v>
      </c>
      <c r="M344" s="42" t="s">
        <v>448</v>
      </c>
      <c r="N344" s="42" t="s">
        <v>452</v>
      </c>
      <c r="O344" s="42" t="s">
        <v>453</v>
      </c>
      <c r="P344" s="154">
        <v>44249</v>
      </c>
      <c r="Q344" s="154">
        <v>44249</v>
      </c>
      <c r="R344" s="154"/>
      <c r="S344" s="42">
        <v>5</v>
      </c>
      <c r="T344" s="42" t="s">
        <v>499</v>
      </c>
      <c r="U344" s="42">
        <v>11</v>
      </c>
      <c r="V344" s="42" t="s">
        <v>456</v>
      </c>
      <c r="W344" s="42">
        <v>3</v>
      </c>
      <c r="X344" s="42" t="s">
        <v>457</v>
      </c>
      <c r="Y344" s="42">
        <v>2310450</v>
      </c>
      <c r="Z344" s="42" t="s">
        <v>568</v>
      </c>
      <c r="AA344" s="42">
        <v>222</v>
      </c>
      <c r="AB344" s="42">
        <v>20</v>
      </c>
      <c r="AC344" s="42">
        <v>6405934</v>
      </c>
      <c r="AD344" s="42" t="s">
        <v>51</v>
      </c>
      <c r="AE344" s="42">
        <v>68</v>
      </c>
      <c r="AF344" s="42" t="s">
        <v>458</v>
      </c>
      <c r="AG344" s="42" t="s">
        <v>459</v>
      </c>
      <c r="AH344" s="42" t="s">
        <v>49</v>
      </c>
      <c r="AI344" s="42" t="s">
        <v>460</v>
      </c>
      <c r="AJ344" s="154">
        <v>44249</v>
      </c>
      <c r="AK344" s="42">
        <v>116</v>
      </c>
      <c r="AL344" s="154">
        <v>44118</v>
      </c>
      <c r="AM344" s="154">
        <v>45386</v>
      </c>
      <c r="AN344" s="42">
        <v>175</v>
      </c>
      <c r="AO344" s="154">
        <v>45372</v>
      </c>
      <c r="AP344" s="154"/>
      <c r="AQ344" s="42"/>
      <c r="AR344" s="42"/>
      <c r="AS344" s="42"/>
      <c r="AT344" s="42"/>
      <c r="AU344" s="42"/>
      <c r="AV344" s="42"/>
      <c r="AW344" s="42"/>
      <c r="AX344" s="42"/>
    </row>
    <row r="345" spans="1:50" ht="12.75" customHeight="1">
      <c r="A345" s="42">
        <v>7178362</v>
      </c>
      <c r="B345" s="42" t="s">
        <v>1933</v>
      </c>
      <c r="C345" s="42" t="s">
        <v>1934</v>
      </c>
      <c r="D345" s="42" t="s">
        <v>1076</v>
      </c>
      <c r="E345" s="42" t="s">
        <v>481</v>
      </c>
      <c r="F345" s="154">
        <v>29078</v>
      </c>
      <c r="G345" s="42" t="s">
        <v>1935</v>
      </c>
      <c r="H345" s="42">
        <v>3124811406</v>
      </c>
      <c r="I345" s="42" t="s">
        <v>586</v>
      </c>
      <c r="J345" s="42">
        <v>79081109163</v>
      </c>
      <c r="K345" s="42">
        <v>2</v>
      </c>
      <c r="L345" s="42">
        <v>8</v>
      </c>
      <c r="M345" s="42" t="s">
        <v>451</v>
      </c>
      <c r="N345" s="42" t="s">
        <v>452</v>
      </c>
      <c r="O345" s="42" t="s">
        <v>453</v>
      </c>
      <c r="P345" s="154">
        <v>44140</v>
      </c>
      <c r="Q345" s="154">
        <v>44140</v>
      </c>
      <c r="R345" s="154"/>
      <c r="S345" s="42">
        <v>6</v>
      </c>
      <c r="T345" s="42" t="s">
        <v>511</v>
      </c>
      <c r="U345" s="42">
        <v>11</v>
      </c>
      <c r="V345" s="42" t="s">
        <v>456</v>
      </c>
      <c r="W345" s="42">
        <v>19</v>
      </c>
      <c r="X345" s="42" t="s">
        <v>575</v>
      </c>
      <c r="Y345" s="42">
        <v>0</v>
      </c>
      <c r="Z345" s="42" t="s">
        <v>500</v>
      </c>
      <c r="AA345" s="42">
        <v>222</v>
      </c>
      <c r="AB345" s="42">
        <v>24</v>
      </c>
      <c r="AC345" s="42">
        <v>6809900</v>
      </c>
      <c r="AD345" s="42" t="s">
        <v>51</v>
      </c>
      <c r="AE345" s="42">
        <v>57</v>
      </c>
      <c r="AF345" s="42" t="s">
        <v>458</v>
      </c>
      <c r="AG345" s="42" t="s">
        <v>459</v>
      </c>
      <c r="AH345" s="42" t="s">
        <v>49</v>
      </c>
      <c r="AI345" s="42" t="s">
        <v>460</v>
      </c>
      <c r="AJ345" s="154">
        <v>44140</v>
      </c>
      <c r="AK345" s="42">
        <v>162</v>
      </c>
      <c r="AL345" s="154">
        <v>44124</v>
      </c>
      <c r="AM345" s="154"/>
      <c r="AN345" s="42"/>
      <c r="AO345" s="154"/>
      <c r="AP345" s="154">
        <v>45000</v>
      </c>
      <c r="AQ345" s="42"/>
      <c r="AR345" s="42"/>
      <c r="AS345" s="42"/>
      <c r="AT345" s="42"/>
      <c r="AU345" s="42"/>
      <c r="AV345" s="42"/>
      <c r="AW345" s="42"/>
      <c r="AX345" s="42"/>
    </row>
    <row r="346" spans="1:50" ht="12.75" customHeight="1">
      <c r="A346" s="42">
        <v>72171247</v>
      </c>
      <c r="B346" s="42" t="s">
        <v>1936</v>
      </c>
      <c r="C346" s="42" t="s">
        <v>1937</v>
      </c>
      <c r="D346" s="42" t="s">
        <v>1938</v>
      </c>
      <c r="E346" s="42" t="s">
        <v>481</v>
      </c>
      <c r="F346" s="154">
        <v>25704</v>
      </c>
      <c r="G346" s="42" t="s">
        <v>1939</v>
      </c>
      <c r="H346" s="42">
        <v>8741108</v>
      </c>
      <c r="I346" s="42" t="s">
        <v>586</v>
      </c>
      <c r="J346" s="42"/>
      <c r="K346" s="42"/>
      <c r="L346" s="42"/>
      <c r="M346" s="42" t="s">
        <v>451</v>
      </c>
      <c r="N346" s="42" t="s">
        <v>5</v>
      </c>
      <c r="O346" s="42" t="s">
        <v>453</v>
      </c>
      <c r="P346" s="154">
        <v>43914</v>
      </c>
      <c r="Q346" s="154">
        <v>43914</v>
      </c>
      <c r="R346" s="154"/>
      <c r="S346" s="42">
        <v>6</v>
      </c>
      <c r="T346" s="42" t="s">
        <v>511</v>
      </c>
      <c r="U346" s="42">
        <v>11</v>
      </c>
      <c r="V346" s="42" t="s">
        <v>456</v>
      </c>
      <c r="W346" s="42">
        <v>3</v>
      </c>
      <c r="X346" s="42" t="s">
        <v>457</v>
      </c>
      <c r="Y346" s="42">
        <v>3</v>
      </c>
      <c r="Z346" s="42" t="s">
        <v>500</v>
      </c>
      <c r="AA346" s="42">
        <v>9</v>
      </c>
      <c r="AB346" s="42">
        <v>7</v>
      </c>
      <c r="AC346" s="42">
        <v>11186814</v>
      </c>
      <c r="AD346" s="42" t="s">
        <v>512</v>
      </c>
      <c r="AE346" s="42">
        <v>3</v>
      </c>
      <c r="AF346" s="42" t="s">
        <v>458</v>
      </c>
      <c r="AG346" s="42" t="s">
        <v>459</v>
      </c>
      <c r="AH346" s="42" t="s">
        <v>484</v>
      </c>
      <c r="AI346" s="42" t="s">
        <v>460</v>
      </c>
      <c r="AJ346" s="154">
        <v>43914</v>
      </c>
      <c r="AK346" s="42">
        <v>40</v>
      </c>
      <c r="AL346" s="154">
        <v>43900</v>
      </c>
      <c r="AM346" s="154"/>
      <c r="AN346" s="42"/>
      <c r="AO346" s="154"/>
      <c r="AP346" s="154">
        <v>44347</v>
      </c>
      <c r="AQ346" s="42"/>
      <c r="AR346" s="42"/>
      <c r="AS346" s="42"/>
      <c r="AT346" s="42"/>
      <c r="AU346" s="42"/>
      <c r="AV346" s="42"/>
      <c r="AW346" s="42"/>
      <c r="AX346" s="42"/>
    </row>
    <row r="347" spans="1:50" ht="12.75" customHeight="1">
      <c r="A347" s="42">
        <v>72258258</v>
      </c>
      <c r="B347" s="42" t="s">
        <v>1941</v>
      </c>
      <c r="C347" s="42" t="s">
        <v>1942</v>
      </c>
      <c r="D347" s="42" t="s">
        <v>1943</v>
      </c>
      <c r="E347" s="42" t="s">
        <v>481</v>
      </c>
      <c r="F347" s="154">
        <v>29642</v>
      </c>
      <c r="G347" s="42" t="s">
        <v>1944</v>
      </c>
      <c r="H347" s="42">
        <v>6013480842</v>
      </c>
      <c r="I347" s="42" t="s">
        <v>586</v>
      </c>
      <c r="J347" s="42"/>
      <c r="K347" s="42"/>
      <c r="L347" s="42"/>
      <c r="M347" s="42" t="s">
        <v>547</v>
      </c>
      <c r="N347" s="42" t="s">
        <v>5</v>
      </c>
      <c r="O347" s="42" t="s">
        <v>453</v>
      </c>
      <c r="P347" s="154">
        <v>44986</v>
      </c>
      <c r="Q347" s="154">
        <v>44986</v>
      </c>
      <c r="R347" s="154"/>
      <c r="S347" s="42">
        <v>26</v>
      </c>
      <c r="T347" s="42" t="s">
        <v>528</v>
      </c>
      <c r="U347" s="42">
        <v>18</v>
      </c>
      <c r="V347" s="42" t="s">
        <v>565</v>
      </c>
      <c r="W347" s="42">
        <v>22</v>
      </c>
      <c r="X347" s="42" t="s">
        <v>1038</v>
      </c>
      <c r="Y347" s="42">
        <v>2310200</v>
      </c>
      <c r="Z347" s="42" t="s">
        <v>623</v>
      </c>
      <c r="AA347" s="42">
        <v>6</v>
      </c>
      <c r="AB347" s="42">
        <v>6</v>
      </c>
      <c r="AC347" s="42">
        <v>10208470</v>
      </c>
      <c r="AD347" s="42" t="s">
        <v>28</v>
      </c>
      <c r="AE347" s="42">
        <v>171</v>
      </c>
      <c r="AF347" s="42" t="s">
        <v>458</v>
      </c>
      <c r="AG347" s="42" t="s">
        <v>459</v>
      </c>
      <c r="AH347" s="42" t="s">
        <v>484</v>
      </c>
      <c r="AI347" s="42" t="s">
        <v>460</v>
      </c>
      <c r="AJ347" s="154">
        <v>44986</v>
      </c>
      <c r="AK347" s="42">
        <v>85</v>
      </c>
      <c r="AL347" s="154">
        <v>44985</v>
      </c>
      <c r="AM347" s="154"/>
      <c r="AN347" s="42"/>
      <c r="AO347" s="154"/>
      <c r="AP347" s="154">
        <v>45403</v>
      </c>
      <c r="AQ347" s="42"/>
      <c r="AR347" s="42"/>
      <c r="AS347" s="42"/>
      <c r="AT347" s="42"/>
      <c r="AU347" s="42"/>
      <c r="AV347" s="42"/>
      <c r="AW347" s="42"/>
      <c r="AX347" s="42"/>
    </row>
    <row r="348" spans="1:50" ht="12.75" customHeight="1">
      <c r="A348" s="42">
        <v>1020725639</v>
      </c>
      <c r="B348" s="42" t="s">
        <v>478</v>
      </c>
      <c r="C348" s="42" t="s">
        <v>914</v>
      </c>
      <c r="D348" s="42" t="s">
        <v>915</v>
      </c>
      <c r="E348" s="42" t="s">
        <v>481</v>
      </c>
      <c r="F348" s="154">
        <v>31838</v>
      </c>
      <c r="G348" s="42" t="s">
        <v>916</v>
      </c>
      <c r="H348" s="42">
        <v>3399474</v>
      </c>
      <c r="I348" s="42" t="s">
        <v>450</v>
      </c>
      <c r="J348" s="42"/>
      <c r="K348" s="42"/>
      <c r="L348" s="42"/>
      <c r="M348" s="42" t="s">
        <v>451</v>
      </c>
      <c r="N348" s="42" t="s">
        <v>452</v>
      </c>
      <c r="O348" s="42" t="s">
        <v>453</v>
      </c>
      <c r="P348" s="154">
        <v>42585</v>
      </c>
      <c r="Q348" s="154">
        <v>42368</v>
      </c>
      <c r="R348" s="154"/>
      <c r="S348" s="42">
        <v>8</v>
      </c>
      <c r="T348" s="42" t="s">
        <v>466</v>
      </c>
      <c r="U348" s="42">
        <v>11</v>
      </c>
      <c r="V348" s="42" t="s">
        <v>456</v>
      </c>
      <c r="W348" s="42">
        <v>3</v>
      </c>
      <c r="X348" s="42" t="s">
        <v>457</v>
      </c>
      <c r="Y348" s="42">
        <v>92</v>
      </c>
      <c r="Z348" s="42" t="s">
        <v>500</v>
      </c>
      <c r="AA348" s="42">
        <v>219</v>
      </c>
      <c r="AB348" s="42">
        <v>18</v>
      </c>
      <c r="AC348" s="42">
        <v>5951245</v>
      </c>
      <c r="AD348" s="42" t="s">
        <v>72</v>
      </c>
      <c r="AE348" s="42">
        <v>92</v>
      </c>
      <c r="AF348" s="42" t="s">
        <v>458</v>
      </c>
      <c r="AG348" s="42" t="s">
        <v>459</v>
      </c>
      <c r="AH348" s="42" t="s">
        <v>188</v>
      </c>
      <c r="AI348" s="42" t="s">
        <v>460</v>
      </c>
      <c r="AJ348" s="154">
        <v>42815</v>
      </c>
      <c r="AK348" s="42">
        <v>27</v>
      </c>
      <c r="AL348" s="154">
        <v>42802</v>
      </c>
      <c r="AM348" s="154"/>
      <c r="AN348" s="42"/>
      <c r="AO348" s="154"/>
      <c r="AP348" s="154">
        <v>44165</v>
      </c>
      <c r="AQ348" s="42"/>
      <c r="AR348" s="42"/>
      <c r="AS348" s="42"/>
      <c r="AT348" s="42"/>
      <c r="AU348" s="42"/>
      <c r="AV348" s="42"/>
      <c r="AW348" s="42"/>
      <c r="AX348" s="42"/>
    </row>
    <row r="349" spans="1:50" ht="12.75" customHeight="1">
      <c r="A349" s="42">
        <v>1020733114</v>
      </c>
      <c r="B349" s="42" t="s">
        <v>922</v>
      </c>
      <c r="C349" s="42" t="s">
        <v>923</v>
      </c>
      <c r="D349" s="42" t="s">
        <v>825</v>
      </c>
      <c r="E349" s="42" t="s">
        <v>481</v>
      </c>
      <c r="F349" s="154">
        <v>32151</v>
      </c>
      <c r="G349" s="42" t="s">
        <v>925</v>
      </c>
      <c r="H349" s="42">
        <v>3124477106</v>
      </c>
      <c r="I349" s="42" t="s">
        <v>586</v>
      </c>
      <c r="J349" s="42">
        <v>1020733114</v>
      </c>
      <c r="K349" s="42">
        <v>2</v>
      </c>
      <c r="L349" s="42"/>
      <c r="M349" s="42" t="s">
        <v>451</v>
      </c>
      <c r="N349" s="42" t="s">
        <v>452</v>
      </c>
      <c r="O349" s="42" t="s">
        <v>453</v>
      </c>
      <c r="P349" s="154">
        <v>42845</v>
      </c>
      <c r="Q349" s="154">
        <v>42845</v>
      </c>
      <c r="R349" s="42"/>
      <c r="S349" s="42">
        <v>5</v>
      </c>
      <c r="T349" s="42" t="s">
        <v>499</v>
      </c>
      <c r="U349" s="42">
        <v>19</v>
      </c>
      <c r="V349" s="42" t="s">
        <v>574</v>
      </c>
      <c r="W349" s="42">
        <v>19</v>
      </c>
      <c r="X349" s="42" t="s">
        <v>575</v>
      </c>
      <c r="Y349" s="42">
        <v>2310450</v>
      </c>
      <c r="Z349" s="42" t="s">
        <v>568</v>
      </c>
      <c r="AA349" s="42">
        <v>222</v>
      </c>
      <c r="AB349" s="42">
        <v>20</v>
      </c>
      <c r="AC349" s="42">
        <v>6405934</v>
      </c>
      <c r="AD349" s="42" t="s">
        <v>51</v>
      </c>
      <c r="AE349" s="42">
        <v>68</v>
      </c>
      <c r="AF349" s="42" t="s">
        <v>458</v>
      </c>
      <c r="AG349" s="42" t="s">
        <v>459</v>
      </c>
      <c r="AH349" s="42" t="s">
        <v>188</v>
      </c>
      <c r="AI349" s="42" t="s">
        <v>460</v>
      </c>
      <c r="AJ349" s="154">
        <v>42845</v>
      </c>
      <c r="AK349" s="42">
        <v>56</v>
      </c>
      <c r="AL349" s="154">
        <v>42832</v>
      </c>
      <c r="AM349" s="154"/>
      <c r="AN349" s="42"/>
      <c r="AO349" s="154"/>
      <c r="AP349" s="154">
        <v>43312</v>
      </c>
      <c r="AQ349" s="42"/>
      <c r="AR349" s="42"/>
      <c r="AS349" s="42"/>
      <c r="AT349" s="42"/>
      <c r="AU349" s="42"/>
      <c r="AV349" s="42"/>
      <c r="AW349" s="42"/>
      <c r="AX349" s="42"/>
    </row>
    <row r="350" spans="1:50" ht="12.75" customHeight="1">
      <c r="A350" s="42">
        <v>1020736320</v>
      </c>
      <c r="B350" s="42" t="s">
        <v>578</v>
      </c>
      <c r="C350" s="42" t="s">
        <v>932</v>
      </c>
      <c r="D350" s="42" t="s">
        <v>933</v>
      </c>
      <c r="E350" s="42" t="s">
        <v>481</v>
      </c>
      <c r="F350" s="154">
        <v>32423</v>
      </c>
      <c r="G350" s="42" t="s">
        <v>935</v>
      </c>
      <c r="H350" s="42">
        <v>7045133</v>
      </c>
      <c r="I350" s="42" t="s">
        <v>450</v>
      </c>
      <c r="J350" s="42"/>
      <c r="K350" s="42"/>
      <c r="L350" s="42"/>
      <c r="M350" s="42" t="s">
        <v>451</v>
      </c>
      <c r="N350" s="42" t="s">
        <v>452</v>
      </c>
      <c r="O350" s="42" t="s">
        <v>453</v>
      </c>
      <c r="P350" s="154">
        <v>42803</v>
      </c>
      <c r="Q350" s="154">
        <v>42803</v>
      </c>
      <c r="R350" s="154"/>
      <c r="S350" s="42">
        <v>6</v>
      </c>
      <c r="T350" s="42" t="s">
        <v>511</v>
      </c>
      <c r="U350" s="42">
        <v>19</v>
      </c>
      <c r="V350" s="42" t="s">
        <v>574</v>
      </c>
      <c r="W350" s="42">
        <v>3</v>
      </c>
      <c r="X350" s="42" t="s">
        <v>457</v>
      </c>
      <c r="Y350" s="42">
        <v>2300100</v>
      </c>
      <c r="Z350" s="42" t="s">
        <v>483</v>
      </c>
      <c r="AA350" s="42">
        <v>219</v>
      </c>
      <c r="AB350" s="42">
        <v>18</v>
      </c>
      <c r="AC350" s="42">
        <v>5951245</v>
      </c>
      <c r="AD350" s="42" t="s">
        <v>72</v>
      </c>
      <c r="AE350" s="42">
        <v>73</v>
      </c>
      <c r="AF350" s="42" t="s">
        <v>458</v>
      </c>
      <c r="AG350" s="42" t="s">
        <v>459</v>
      </c>
      <c r="AH350" s="42" t="s">
        <v>188</v>
      </c>
      <c r="AI350" s="42" t="s">
        <v>460</v>
      </c>
      <c r="AJ350" s="154">
        <v>42803</v>
      </c>
      <c r="AK350" s="42">
        <v>21</v>
      </c>
      <c r="AL350" s="154">
        <v>42802</v>
      </c>
      <c r="AM350" s="154"/>
      <c r="AN350" s="42"/>
      <c r="AO350" s="154"/>
      <c r="AP350" s="154">
        <v>44045</v>
      </c>
      <c r="AQ350" s="42"/>
      <c r="AR350" s="42"/>
      <c r="AS350" s="42"/>
      <c r="AT350" s="42"/>
      <c r="AU350" s="42"/>
      <c r="AV350" s="42"/>
      <c r="AW350" s="42"/>
      <c r="AX350" s="42"/>
    </row>
    <row r="351" spans="1:50" ht="12.75" customHeight="1">
      <c r="A351" s="42">
        <v>1020737908</v>
      </c>
      <c r="B351" s="42" t="s">
        <v>939</v>
      </c>
      <c r="C351" s="42" t="s">
        <v>849</v>
      </c>
      <c r="D351" s="42" t="s">
        <v>942</v>
      </c>
      <c r="E351" s="42" t="s">
        <v>481</v>
      </c>
      <c r="F351" s="154">
        <v>32496</v>
      </c>
      <c r="G351" s="42" t="s">
        <v>944</v>
      </c>
      <c r="H351" s="42">
        <v>6615115</v>
      </c>
      <c r="I351" s="42" t="s">
        <v>586</v>
      </c>
      <c r="J351" s="42"/>
      <c r="K351" s="42"/>
      <c r="L351" s="42"/>
      <c r="M351" s="42" t="s">
        <v>448</v>
      </c>
      <c r="N351" s="42" t="s">
        <v>452</v>
      </c>
      <c r="O351" s="42" t="s">
        <v>453</v>
      </c>
      <c r="P351" s="154">
        <v>44659</v>
      </c>
      <c r="Q351" s="154">
        <v>44659</v>
      </c>
      <c r="R351" s="154"/>
      <c r="S351" s="42">
        <v>5</v>
      </c>
      <c r="T351" s="42" t="s">
        <v>499</v>
      </c>
      <c r="U351" s="42">
        <v>18</v>
      </c>
      <c r="V351" s="42" t="s">
        <v>565</v>
      </c>
      <c r="W351" s="42">
        <v>18</v>
      </c>
      <c r="X351" s="42" t="s">
        <v>536</v>
      </c>
      <c r="Y351" s="42">
        <v>2300100</v>
      </c>
      <c r="Z351" s="42" t="s">
        <v>483</v>
      </c>
      <c r="AA351" s="42">
        <v>105</v>
      </c>
      <c r="AB351" s="42">
        <v>5</v>
      </c>
      <c r="AC351" s="42">
        <v>9154873</v>
      </c>
      <c r="AD351" s="42" t="s">
        <v>26</v>
      </c>
      <c r="AE351" s="42">
        <v>14</v>
      </c>
      <c r="AF351" s="42" t="s">
        <v>458</v>
      </c>
      <c r="AG351" s="42" t="s">
        <v>459</v>
      </c>
      <c r="AH351" s="42" t="s">
        <v>484</v>
      </c>
      <c r="AI351" s="42" t="s">
        <v>460</v>
      </c>
      <c r="AJ351" s="154">
        <v>44659</v>
      </c>
      <c r="AK351" s="42">
        <v>114</v>
      </c>
      <c r="AL351" s="154">
        <v>44659</v>
      </c>
      <c r="AM351" s="154"/>
      <c r="AN351" s="42"/>
      <c r="AO351" s="154"/>
      <c r="AP351" s="154">
        <v>45306</v>
      </c>
      <c r="AQ351" s="42"/>
      <c r="AR351" s="42"/>
      <c r="AS351" s="42"/>
      <c r="AT351" s="42"/>
      <c r="AU351" s="42"/>
      <c r="AV351" s="42"/>
      <c r="AW351" s="42"/>
      <c r="AX351" s="42"/>
    </row>
    <row r="352" spans="1:50" ht="12.75" customHeight="1">
      <c r="A352" s="42">
        <v>1020791433</v>
      </c>
      <c r="B352" s="42" t="s">
        <v>950</v>
      </c>
      <c r="C352" s="42" t="s">
        <v>877</v>
      </c>
      <c r="D352" s="42" t="s">
        <v>952</v>
      </c>
      <c r="E352" s="42" t="s">
        <v>481</v>
      </c>
      <c r="F352" s="154">
        <v>34416</v>
      </c>
      <c r="G352" s="42" t="s">
        <v>953</v>
      </c>
      <c r="H352" s="42">
        <v>6958770</v>
      </c>
      <c r="I352" s="42" t="s">
        <v>450</v>
      </c>
      <c r="J352" s="42"/>
      <c r="K352" s="42"/>
      <c r="L352" s="42"/>
      <c r="M352" s="42" t="s">
        <v>448</v>
      </c>
      <c r="N352" s="42" t="s">
        <v>452</v>
      </c>
      <c r="O352" s="42" t="s">
        <v>453</v>
      </c>
      <c r="P352" s="154">
        <v>43866</v>
      </c>
      <c r="Q352" s="154">
        <v>43866</v>
      </c>
      <c r="R352" s="42"/>
      <c r="S352" s="42">
        <v>18</v>
      </c>
      <c r="T352" s="42" t="s">
        <v>472</v>
      </c>
      <c r="U352" s="42">
        <v>11</v>
      </c>
      <c r="V352" s="42" t="s">
        <v>456</v>
      </c>
      <c r="W352" s="42">
        <v>18</v>
      </c>
      <c r="X352" s="42" t="s">
        <v>536</v>
      </c>
      <c r="Y352" s="42">
        <v>109</v>
      </c>
      <c r="Z352" s="42" t="s">
        <v>500</v>
      </c>
      <c r="AA352" s="42">
        <v>219</v>
      </c>
      <c r="AB352" s="42">
        <v>3</v>
      </c>
      <c r="AC352" s="42">
        <v>4244468</v>
      </c>
      <c r="AD352" s="42" t="s">
        <v>72</v>
      </c>
      <c r="AE352" s="42">
        <v>109</v>
      </c>
      <c r="AF352" s="42" t="s">
        <v>458</v>
      </c>
      <c r="AG352" s="42" t="s">
        <v>459</v>
      </c>
      <c r="AH352" s="42" t="s">
        <v>188</v>
      </c>
      <c r="AI352" s="42" t="s">
        <v>460</v>
      </c>
      <c r="AJ352" s="154">
        <v>43969</v>
      </c>
      <c r="AK352" s="42">
        <v>55</v>
      </c>
      <c r="AL352" s="154">
        <v>43963</v>
      </c>
      <c r="AM352" s="154"/>
      <c r="AN352" s="42"/>
      <c r="AO352" s="154"/>
      <c r="AP352" s="154">
        <v>44147</v>
      </c>
      <c r="AQ352" s="42"/>
      <c r="AR352" s="42"/>
      <c r="AS352" s="42"/>
      <c r="AT352" s="42"/>
      <c r="AU352" s="42"/>
      <c r="AV352" s="42"/>
      <c r="AW352" s="42"/>
      <c r="AX352" s="42"/>
    </row>
    <row r="353" spans="1:50" ht="12.75" customHeight="1">
      <c r="A353" s="42">
        <v>1020810401</v>
      </c>
      <c r="B353" s="42" t="s">
        <v>749</v>
      </c>
      <c r="C353" s="42" t="s">
        <v>722</v>
      </c>
      <c r="D353" s="42" t="s">
        <v>750</v>
      </c>
      <c r="E353" s="42" t="s">
        <v>448</v>
      </c>
      <c r="F353" s="154">
        <v>34983</v>
      </c>
      <c r="G353" s="42" t="s">
        <v>962</v>
      </c>
      <c r="H353" s="42">
        <v>3202339189</v>
      </c>
      <c r="I353" s="42" t="s">
        <v>450</v>
      </c>
      <c r="J353" s="42"/>
      <c r="K353" s="42"/>
      <c r="L353" s="42"/>
      <c r="M353" s="42" t="s">
        <v>448</v>
      </c>
      <c r="N353" s="42" t="s">
        <v>452</v>
      </c>
      <c r="O353" s="42" t="s">
        <v>453</v>
      </c>
      <c r="P353" s="154">
        <v>45880</v>
      </c>
      <c r="Q353" s="154">
        <v>45880</v>
      </c>
      <c r="R353" s="42"/>
      <c r="S353" s="42">
        <v>18</v>
      </c>
      <c r="T353" s="42" t="s">
        <v>472</v>
      </c>
      <c r="U353" s="42">
        <v>23</v>
      </c>
      <c r="V353" s="42" t="s">
        <v>669</v>
      </c>
      <c r="W353" s="42">
        <v>23</v>
      </c>
      <c r="X353" s="42" t="s">
        <v>473</v>
      </c>
      <c r="Y353" s="42">
        <v>2300100</v>
      </c>
      <c r="Z353" s="42" t="s">
        <v>483</v>
      </c>
      <c r="AA353" s="42">
        <v>105</v>
      </c>
      <c r="AB353" s="42">
        <v>5</v>
      </c>
      <c r="AC353" s="42">
        <v>9154873</v>
      </c>
      <c r="AD353" s="42" t="s">
        <v>26</v>
      </c>
      <c r="AE353" s="42">
        <v>12</v>
      </c>
      <c r="AF353" s="42" t="s">
        <v>458</v>
      </c>
      <c r="AG353" s="42" t="s">
        <v>459</v>
      </c>
      <c r="AH353" s="42" t="s">
        <v>484</v>
      </c>
      <c r="AI353" s="42" t="s">
        <v>460</v>
      </c>
      <c r="AJ353" s="154">
        <v>45880</v>
      </c>
      <c r="AK353" s="42">
        <v>289</v>
      </c>
      <c r="AL353" s="154">
        <v>45870</v>
      </c>
      <c r="AM353" s="154"/>
      <c r="AN353" s="42"/>
      <c r="AO353" s="154"/>
      <c r="AP353" s="154"/>
      <c r="AQ353" s="42"/>
      <c r="AR353" s="42"/>
      <c r="AS353" s="42"/>
      <c r="AT353" s="42"/>
      <c r="AU353" s="42"/>
      <c r="AV353" s="42"/>
      <c r="AW353" s="42"/>
      <c r="AX353" s="42"/>
    </row>
    <row r="354" spans="1:50" ht="12.75" customHeight="1">
      <c r="A354" s="42">
        <v>1020837889</v>
      </c>
      <c r="B354" s="42" t="s">
        <v>751</v>
      </c>
      <c r="C354" s="42" t="s">
        <v>752</v>
      </c>
      <c r="D354" s="42" t="s">
        <v>754</v>
      </c>
      <c r="E354" s="42" t="s">
        <v>448</v>
      </c>
      <c r="F354" s="154">
        <v>36157</v>
      </c>
      <c r="G354" s="42" t="s">
        <v>964</v>
      </c>
      <c r="H354" s="42">
        <v>3505331450</v>
      </c>
      <c r="I354" s="42" t="s">
        <v>586</v>
      </c>
      <c r="J354" s="42"/>
      <c r="K354" s="42"/>
      <c r="L354" s="42"/>
      <c r="M354" s="42" t="s">
        <v>448</v>
      </c>
      <c r="N354" s="42" t="s">
        <v>452</v>
      </c>
      <c r="O354" s="42" t="s">
        <v>453</v>
      </c>
      <c r="P354" s="154">
        <v>45799</v>
      </c>
      <c r="Q354" s="154">
        <v>45799</v>
      </c>
      <c r="R354" s="154"/>
      <c r="S354" s="42">
        <v>8</v>
      </c>
      <c r="T354" s="42" t="s">
        <v>466</v>
      </c>
      <c r="U354" s="42">
        <v>19</v>
      </c>
      <c r="V354" s="42" t="s">
        <v>574</v>
      </c>
      <c r="W354" s="42">
        <v>3</v>
      </c>
      <c r="X354" s="42" t="s">
        <v>457</v>
      </c>
      <c r="Y354" s="42">
        <v>2310470</v>
      </c>
      <c r="Z354" s="42" t="s">
        <v>477</v>
      </c>
      <c r="AA354" s="42">
        <v>219</v>
      </c>
      <c r="AB354" s="42">
        <v>1</v>
      </c>
      <c r="AC354" s="42">
        <v>3989530</v>
      </c>
      <c r="AD354" s="42" t="s">
        <v>72</v>
      </c>
      <c r="AE354" s="42">
        <v>116</v>
      </c>
      <c r="AF354" s="42" t="s">
        <v>458</v>
      </c>
      <c r="AG354" s="42" t="s">
        <v>459</v>
      </c>
      <c r="AH354" s="42" t="s">
        <v>188</v>
      </c>
      <c r="AI354" s="42" t="s">
        <v>460</v>
      </c>
      <c r="AJ354" s="154">
        <v>45799</v>
      </c>
      <c r="AK354" s="42">
        <v>200</v>
      </c>
      <c r="AL354" s="154">
        <v>45793</v>
      </c>
      <c r="AM354" s="154"/>
      <c r="AN354" s="42"/>
      <c r="AO354" s="154"/>
      <c r="AP354" s="154"/>
      <c r="AQ354" s="42"/>
      <c r="AR354" s="42"/>
      <c r="AS354" s="42"/>
      <c r="AT354" s="42"/>
      <c r="AU354" s="42"/>
      <c r="AV354" s="42"/>
      <c r="AW354" s="42"/>
      <c r="AX354" s="42"/>
    </row>
    <row r="355" spans="1:50" ht="12.75" customHeight="1">
      <c r="A355" s="42">
        <v>1022360914</v>
      </c>
      <c r="B355" s="42" t="s">
        <v>967</v>
      </c>
      <c r="C355" s="42" t="s">
        <v>513</v>
      </c>
      <c r="D355" s="42" t="s">
        <v>968</v>
      </c>
      <c r="E355" s="42" t="s">
        <v>481</v>
      </c>
      <c r="F355" s="154">
        <v>32900</v>
      </c>
      <c r="G355" s="42" t="s">
        <v>969</v>
      </c>
      <c r="H355" s="42">
        <v>2633295</v>
      </c>
      <c r="I355" s="42" t="s">
        <v>586</v>
      </c>
      <c r="J355" s="42">
        <v>1022360914</v>
      </c>
      <c r="K355" s="42">
        <v>2</v>
      </c>
      <c r="L355" s="42"/>
      <c r="M355" s="42" t="s">
        <v>451</v>
      </c>
      <c r="N355" s="42" t="s">
        <v>452</v>
      </c>
      <c r="O355" s="42" t="s">
        <v>453</v>
      </c>
      <c r="P355" s="154">
        <v>42892</v>
      </c>
      <c r="Q355" s="154">
        <v>42892</v>
      </c>
      <c r="R355" s="42"/>
      <c r="S355" s="42">
        <v>5</v>
      </c>
      <c r="T355" s="42" t="s">
        <v>499</v>
      </c>
      <c r="U355" s="42">
        <v>11</v>
      </c>
      <c r="V355" s="42" t="s">
        <v>456</v>
      </c>
      <c r="W355" s="42">
        <v>3</v>
      </c>
      <c r="X355" s="42" t="s">
        <v>457</v>
      </c>
      <c r="Y355" s="42">
        <v>2310440</v>
      </c>
      <c r="Z355" s="42" t="s">
        <v>628</v>
      </c>
      <c r="AA355" s="42">
        <v>219</v>
      </c>
      <c r="AB355" s="42">
        <v>1</v>
      </c>
      <c r="AC355" s="42">
        <v>3989530</v>
      </c>
      <c r="AD355" s="42" t="s">
        <v>72</v>
      </c>
      <c r="AE355" s="42">
        <v>112</v>
      </c>
      <c r="AF355" s="42" t="s">
        <v>458</v>
      </c>
      <c r="AG355" s="42" t="s">
        <v>459</v>
      </c>
      <c r="AH355" s="42" t="s">
        <v>188</v>
      </c>
      <c r="AI355" s="42" t="s">
        <v>460</v>
      </c>
      <c r="AJ355" s="154">
        <v>42892</v>
      </c>
      <c r="AK355" s="42">
        <v>77</v>
      </c>
      <c r="AL355" s="154">
        <v>42871</v>
      </c>
      <c r="AM355" s="154"/>
      <c r="AN355" s="42"/>
      <c r="AO355" s="154"/>
      <c r="AP355" s="154">
        <v>45301</v>
      </c>
      <c r="AQ355" s="42"/>
      <c r="AR355" s="42"/>
      <c r="AS355" s="42"/>
      <c r="AT355" s="42"/>
      <c r="AU355" s="42"/>
      <c r="AV355" s="42"/>
      <c r="AW355" s="42"/>
      <c r="AX355" s="42"/>
    </row>
    <row r="356" spans="1:50" ht="12.75" customHeight="1">
      <c r="A356" s="42">
        <v>1022362951</v>
      </c>
      <c r="B356" s="42" t="s">
        <v>755</v>
      </c>
      <c r="C356" s="42" t="s">
        <v>756</v>
      </c>
      <c r="D356" s="42" t="s">
        <v>757</v>
      </c>
      <c r="E356" s="42" t="s">
        <v>448</v>
      </c>
      <c r="F356" s="154">
        <v>33052</v>
      </c>
      <c r="G356" s="42" t="s">
        <v>970</v>
      </c>
      <c r="H356" s="42">
        <v>2697802</v>
      </c>
      <c r="I356" s="42" t="s">
        <v>586</v>
      </c>
      <c r="J356" s="42">
        <v>1022362951</v>
      </c>
      <c r="K356" s="42">
        <v>1</v>
      </c>
      <c r="L356" s="42">
        <v>1</v>
      </c>
      <c r="M356" s="42" t="s">
        <v>451</v>
      </c>
      <c r="N356" s="42" t="s">
        <v>5</v>
      </c>
      <c r="O356" s="42" t="s">
        <v>453</v>
      </c>
      <c r="P356" s="154">
        <v>44145</v>
      </c>
      <c r="Q356" s="154">
        <v>44145</v>
      </c>
      <c r="R356" s="154"/>
      <c r="S356" s="42">
        <v>5</v>
      </c>
      <c r="T356" s="42" t="s">
        <v>499</v>
      </c>
      <c r="U356" s="42">
        <v>11</v>
      </c>
      <c r="V356" s="42" t="s">
        <v>456</v>
      </c>
      <c r="W356" s="42">
        <v>3</v>
      </c>
      <c r="X356" s="42" t="s">
        <v>457</v>
      </c>
      <c r="Y356" s="42">
        <v>2311000</v>
      </c>
      <c r="Z356" s="42" t="s">
        <v>467</v>
      </c>
      <c r="AA356" s="42">
        <v>219</v>
      </c>
      <c r="AB356" s="42">
        <v>8</v>
      </c>
      <c r="AC356" s="42">
        <v>4802489</v>
      </c>
      <c r="AD356" s="42" t="s">
        <v>72</v>
      </c>
      <c r="AE356" s="42">
        <v>108</v>
      </c>
      <c r="AF356" s="42" t="s">
        <v>458</v>
      </c>
      <c r="AG356" s="42" t="s">
        <v>459</v>
      </c>
      <c r="AH356" s="42" t="s">
        <v>49</v>
      </c>
      <c r="AI356" s="42" t="s">
        <v>460</v>
      </c>
      <c r="AJ356" s="154">
        <v>44145</v>
      </c>
      <c r="AK356" s="42">
        <v>169</v>
      </c>
      <c r="AL356" s="154">
        <v>44124</v>
      </c>
      <c r="AM356" s="154">
        <v>45189</v>
      </c>
      <c r="AN356" s="42">
        <v>498</v>
      </c>
      <c r="AO356" s="154">
        <v>45188</v>
      </c>
      <c r="AP356" s="154"/>
      <c r="AQ356" s="42"/>
      <c r="AR356" s="42"/>
      <c r="AS356" s="42"/>
      <c r="AT356" s="42"/>
      <c r="AU356" s="42"/>
      <c r="AV356" s="42"/>
      <c r="AW356" s="42"/>
      <c r="AX356" s="42"/>
    </row>
    <row r="357" spans="1:50" ht="12.75" customHeight="1">
      <c r="A357" s="42">
        <v>1022380851</v>
      </c>
      <c r="B357" s="42" t="s">
        <v>977</v>
      </c>
      <c r="C357" s="42" t="s">
        <v>978</v>
      </c>
      <c r="D357" s="42" t="s">
        <v>750</v>
      </c>
      <c r="E357" s="42" t="s">
        <v>481</v>
      </c>
      <c r="F357" s="154">
        <v>33974</v>
      </c>
      <c r="G357" s="42" t="s">
        <v>979</v>
      </c>
      <c r="H357" s="42">
        <v>3022519616</v>
      </c>
      <c r="I357" s="42" t="s">
        <v>450</v>
      </c>
      <c r="J357" s="42"/>
      <c r="K357" s="42"/>
      <c r="L357" s="42"/>
      <c r="M357" s="42" t="s">
        <v>547</v>
      </c>
      <c r="N357" s="42" t="s">
        <v>452</v>
      </c>
      <c r="O357" s="42" t="s">
        <v>453</v>
      </c>
      <c r="P357" s="154">
        <v>43994</v>
      </c>
      <c r="Q357" s="154">
        <v>43994</v>
      </c>
      <c r="R357" s="154"/>
      <c r="S357" s="42">
        <v>18</v>
      </c>
      <c r="T357" s="42" t="s">
        <v>472</v>
      </c>
      <c r="U357" s="42">
        <v>19</v>
      </c>
      <c r="V357" s="42" t="s">
        <v>574</v>
      </c>
      <c r="W357" s="42">
        <v>3</v>
      </c>
      <c r="X357" s="42" t="s">
        <v>457</v>
      </c>
      <c r="Y357" s="42">
        <v>2310460</v>
      </c>
      <c r="Z357" s="42" t="s">
        <v>506</v>
      </c>
      <c r="AA357" s="42">
        <v>314</v>
      </c>
      <c r="AB357" s="42">
        <v>15</v>
      </c>
      <c r="AC357" s="42">
        <v>4226650</v>
      </c>
      <c r="AD357" s="42" t="s">
        <v>517</v>
      </c>
      <c r="AE357" s="42">
        <v>132</v>
      </c>
      <c r="AF357" s="42" t="s">
        <v>458</v>
      </c>
      <c r="AG357" s="42" t="s">
        <v>459</v>
      </c>
      <c r="AH357" s="42" t="s">
        <v>188</v>
      </c>
      <c r="AI357" s="42" t="s">
        <v>460</v>
      </c>
      <c r="AJ357" s="154">
        <v>43994</v>
      </c>
      <c r="AK357" s="42">
        <v>69</v>
      </c>
      <c r="AL357" s="154">
        <v>43992</v>
      </c>
      <c r="AM357" s="154"/>
      <c r="AN357" s="42"/>
      <c r="AO357" s="154"/>
      <c r="AP357" s="154">
        <v>44272</v>
      </c>
      <c r="AQ357" s="42"/>
      <c r="AR357" s="42"/>
      <c r="AS357" s="42"/>
      <c r="AT357" s="42"/>
      <c r="AU357" s="42"/>
      <c r="AV357" s="42"/>
      <c r="AW357" s="42"/>
      <c r="AX357" s="42"/>
    </row>
    <row r="358" spans="1:50" ht="12.75" customHeight="1">
      <c r="A358" s="42">
        <v>1022933751</v>
      </c>
      <c r="B358" s="42" t="s">
        <v>856</v>
      </c>
      <c r="C358" s="42" t="s">
        <v>986</v>
      </c>
      <c r="D358" s="42" t="s">
        <v>987</v>
      </c>
      <c r="E358" s="42" t="s">
        <v>481</v>
      </c>
      <c r="F358" s="154">
        <v>31895</v>
      </c>
      <c r="G358" s="42" t="s">
        <v>988</v>
      </c>
      <c r="H358" s="42">
        <v>7615217</v>
      </c>
      <c r="I358" s="42" t="s">
        <v>450</v>
      </c>
      <c r="J358" s="42"/>
      <c r="K358" s="42"/>
      <c r="L358" s="42"/>
      <c r="M358" s="42" t="s">
        <v>451</v>
      </c>
      <c r="N358" s="42" t="s">
        <v>452</v>
      </c>
      <c r="O358" s="42" t="s">
        <v>453</v>
      </c>
      <c r="P358" s="154">
        <v>42857</v>
      </c>
      <c r="Q358" s="154">
        <v>42651</v>
      </c>
      <c r="R358" s="154"/>
      <c r="S358" s="42">
        <v>8</v>
      </c>
      <c r="T358" s="42" t="s">
        <v>466</v>
      </c>
      <c r="U358" s="42">
        <v>11</v>
      </c>
      <c r="V358" s="42" t="s">
        <v>456</v>
      </c>
      <c r="W358" s="42">
        <v>3</v>
      </c>
      <c r="X358" s="42" t="s">
        <v>457</v>
      </c>
      <c r="Y358" s="42">
        <v>2310460</v>
      </c>
      <c r="Z358" s="42" t="s">
        <v>506</v>
      </c>
      <c r="AA358" s="42">
        <v>222</v>
      </c>
      <c r="AB358" s="42">
        <v>24</v>
      </c>
      <c r="AC358" s="42">
        <v>6809900</v>
      </c>
      <c r="AD358" s="42" t="s">
        <v>51</v>
      </c>
      <c r="AE358" s="42">
        <v>58</v>
      </c>
      <c r="AF358" s="42" t="s">
        <v>458</v>
      </c>
      <c r="AG358" s="42" t="s">
        <v>459</v>
      </c>
      <c r="AH358" s="42" t="s">
        <v>188</v>
      </c>
      <c r="AI358" s="42" t="s">
        <v>460</v>
      </c>
      <c r="AJ358" s="154">
        <v>42857</v>
      </c>
      <c r="AK358" s="42">
        <v>43</v>
      </c>
      <c r="AL358" s="154">
        <v>42825</v>
      </c>
      <c r="AM358" s="154"/>
      <c r="AN358" s="42"/>
      <c r="AO358" s="154"/>
      <c r="AP358" s="154">
        <v>43404</v>
      </c>
      <c r="AQ358" s="42"/>
      <c r="AR358" s="42"/>
      <c r="AS358" s="42"/>
      <c r="AT358" s="42"/>
      <c r="AU358" s="42"/>
      <c r="AV358" s="42"/>
      <c r="AW358" s="42"/>
      <c r="AX358" s="42"/>
    </row>
    <row r="359" spans="1:50" ht="12.75" customHeight="1">
      <c r="A359" s="42">
        <v>1023894175</v>
      </c>
      <c r="B359" s="42" t="s">
        <v>758</v>
      </c>
      <c r="C359" s="42" t="s">
        <v>759</v>
      </c>
      <c r="D359" s="42" t="s">
        <v>760</v>
      </c>
      <c r="E359" s="42" t="s">
        <v>481</v>
      </c>
      <c r="F359" s="154">
        <v>32943</v>
      </c>
      <c r="G359" s="42" t="s">
        <v>994</v>
      </c>
      <c r="H359" s="42">
        <v>3144812645</v>
      </c>
      <c r="I359" s="42" t="s">
        <v>450</v>
      </c>
      <c r="J359" s="42"/>
      <c r="K359" s="42"/>
      <c r="L359" s="42"/>
      <c r="M359" s="42" t="s">
        <v>451</v>
      </c>
      <c r="N359" s="42" t="s">
        <v>452</v>
      </c>
      <c r="O359" s="42" t="s">
        <v>453</v>
      </c>
      <c r="P359" s="154">
        <v>44736</v>
      </c>
      <c r="Q359" s="154">
        <v>44736</v>
      </c>
      <c r="R359" s="154"/>
      <c r="S359" s="42">
        <v>5</v>
      </c>
      <c r="T359" s="42" t="s">
        <v>499</v>
      </c>
      <c r="U359" s="42">
        <v>23</v>
      </c>
      <c r="V359" s="42" t="s">
        <v>669</v>
      </c>
      <c r="W359" s="42">
        <v>19</v>
      </c>
      <c r="X359" s="42" t="s">
        <v>575</v>
      </c>
      <c r="Y359" s="42">
        <v>2311000</v>
      </c>
      <c r="Z359" s="42" t="s">
        <v>467</v>
      </c>
      <c r="AA359" s="42">
        <v>407</v>
      </c>
      <c r="AB359" s="42">
        <v>11</v>
      </c>
      <c r="AC359" s="42">
        <v>2804649</v>
      </c>
      <c r="AD359" s="42" t="s">
        <v>146</v>
      </c>
      <c r="AE359" s="42">
        <v>163</v>
      </c>
      <c r="AF359" s="42" t="s">
        <v>458</v>
      </c>
      <c r="AG359" s="42" t="s">
        <v>459</v>
      </c>
      <c r="AH359" s="42" t="s">
        <v>188</v>
      </c>
      <c r="AI359" s="42" t="s">
        <v>460</v>
      </c>
      <c r="AJ359" s="154">
        <v>44774</v>
      </c>
      <c r="AK359" s="42">
        <v>263</v>
      </c>
      <c r="AL359" s="154">
        <v>44771</v>
      </c>
      <c r="AM359" s="154"/>
      <c r="AN359" s="42"/>
      <c r="AO359" s="154"/>
      <c r="AP359" s="154">
        <v>46082</v>
      </c>
      <c r="AQ359" s="42"/>
      <c r="AR359" s="42"/>
      <c r="AS359" s="42"/>
      <c r="AT359" s="42"/>
      <c r="AU359" s="42"/>
      <c r="AV359" s="42"/>
      <c r="AW359" s="42"/>
      <c r="AX359" s="42"/>
    </row>
    <row r="360" spans="1:50" ht="12.75" customHeight="1">
      <c r="A360" s="42">
        <v>1024536625</v>
      </c>
      <c r="B360" s="42" t="s">
        <v>478</v>
      </c>
      <c r="C360" s="42" t="s">
        <v>998</v>
      </c>
      <c r="D360" s="42" t="s">
        <v>999</v>
      </c>
      <c r="E360" s="42" t="s">
        <v>481</v>
      </c>
      <c r="F360" s="154">
        <v>33997</v>
      </c>
      <c r="G360" s="42" t="s">
        <v>1000</v>
      </c>
      <c r="H360" s="42">
        <v>7839790</v>
      </c>
      <c r="I360" s="42" t="s">
        <v>586</v>
      </c>
      <c r="J360" s="42">
        <v>1024536625</v>
      </c>
      <c r="K360" s="42">
        <v>2</v>
      </c>
      <c r="L360" s="42">
        <v>59</v>
      </c>
      <c r="M360" s="42" t="s">
        <v>451</v>
      </c>
      <c r="N360" s="42" t="s">
        <v>452</v>
      </c>
      <c r="O360" s="42" t="s">
        <v>453</v>
      </c>
      <c r="P360" s="154">
        <v>42870</v>
      </c>
      <c r="Q360" s="154">
        <v>42870</v>
      </c>
      <c r="R360" s="154"/>
      <c r="S360" s="42">
        <v>8</v>
      </c>
      <c r="T360" s="42" t="s">
        <v>466</v>
      </c>
      <c r="U360" s="42">
        <v>11</v>
      </c>
      <c r="V360" s="42" t="s">
        <v>456</v>
      </c>
      <c r="W360" s="42">
        <v>3</v>
      </c>
      <c r="X360" s="42" t="s">
        <v>457</v>
      </c>
      <c r="Y360" s="42">
        <v>2310470</v>
      </c>
      <c r="Z360" s="42" t="s">
        <v>477</v>
      </c>
      <c r="AA360" s="42">
        <v>219</v>
      </c>
      <c r="AB360" s="42">
        <v>1</v>
      </c>
      <c r="AC360" s="42">
        <v>3989530</v>
      </c>
      <c r="AD360" s="42" t="s">
        <v>72</v>
      </c>
      <c r="AE360" s="42">
        <v>116</v>
      </c>
      <c r="AF360" s="42" t="s">
        <v>458</v>
      </c>
      <c r="AG360" s="42" t="s">
        <v>459</v>
      </c>
      <c r="AH360" s="42" t="s">
        <v>188</v>
      </c>
      <c r="AI360" s="42" t="s">
        <v>460</v>
      </c>
      <c r="AJ360" s="154">
        <v>42870</v>
      </c>
      <c r="AK360" s="42">
        <v>65</v>
      </c>
      <c r="AL360" s="154">
        <v>42859</v>
      </c>
      <c r="AM360" s="154"/>
      <c r="AN360" s="42"/>
      <c r="AO360" s="154"/>
      <c r="AP360" s="154">
        <v>44129</v>
      </c>
      <c r="AQ360" s="42"/>
      <c r="AR360" s="42"/>
      <c r="AS360" s="42"/>
      <c r="AT360" s="42"/>
      <c r="AU360" s="42"/>
      <c r="AV360" s="42"/>
      <c r="AW360" s="42"/>
      <c r="AX360" s="42"/>
    </row>
    <row r="361" spans="1:50" ht="12.75" customHeight="1">
      <c r="A361" s="42">
        <v>1024566898</v>
      </c>
      <c r="B361" s="42" t="s">
        <v>765</v>
      </c>
      <c r="C361" s="42" t="s">
        <v>469</v>
      </c>
      <c r="D361" s="42" t="s">
        <v>766</v>
      </c>
      <c r="E361" s="42" t="s">
        <v>448</v>
      </c>
      <c r="F361" s="154">
        <v>35039</v>
      </c>
      <c r="G361" s="42" t="s">
        <v>1007</v>
      </c>
      <c r="H361" s="42">
        <v>6016595945</v>
      </c>
      <c r="I361" s="42" t="s">
        <v>586</v>
      </c>
      <c r="J361" s="42"/>
      <c r="K361" s="42"/>
      <c r="L361" s="42"/>
      <c r="M361" s="42" t="s">
        <v>451</v>
      </c>
      <c r="N361" s="42" t="s">
        <v>452</v>
      </c>
      <c r="O361" s="42" t="s">
        <v>453</v>
      </c>
      <c r="P361" s="154">
        <v>44820</v>
      </c>
      <c r="Q361" s="154">
        <v>44820</v>
      </c>
      <c r="R361" s="154"/>
      <c r="S361" s="42">
        <v>18</v>
      </c>
      <c r="T361" s="42" t="s">
        <v>472</v>
      </c>
      <c r="U361" s="42">
        <v>19</v>
      </c>
      <c r="V361" s="42" t="s">
        <v>574</v>
      </c>
      <c r="W361" s="42">
        <v>3</v>
      </c>
      <c r="X361" s="42" t="s">
        <v>457</v>
      </c>
      <c r="Y361" s="42">
        <v>2310450</v>
      </c>
      <c r="Z361" s="42" t="s">
        <v>568</v>
      </c>
      <c r="AA361" s="42">
        <v>314</v>
      </c>
      <c r="AB361" s="42">
        <v>9</v>
      </c>
      <c r="AC361" s="42">
        <v>3687785</v>
      </c>
      <c r="AD361" s="42" t="s">
        <v>517</v>
      </c>
      <c r="AE361" s="42">
        <v>135</v>
      </c>
      <c r="AF361" s="42" t="s">
        <v>458</v>
      </c>
      <c r="AG361" s="42" t="s">
        <v>459</v>
      </c>
      <c r="AH361" s="42" t="s">
        <v>188</v>
      </c>
      <c r="AI361" s="42" t="s">
        <v>460</v>
      </c>
      <c r="AJ361" s="154">
        <v>44820</v>
      </c>
      <c r="AK361" s="42">
        <v>324</v>
      </c>
      <c r="AL361" s="154">
        <v>44817</v>
      </c>
      <c r="AM361" s="154"/>
      <c r="AN361" s="42"/>
      <c r="AO361" s="154"/>
      <c r="AP361" s="154"/>
      <c r="AQ361" s="42"/>
      <c r="AR361" s="42"/>
      <c r="AS361" s="42"/>
      <c r="AT361" s="42"/>
      <c r="AU361" s="42"/>
      <c r="AV361" s="42"/>
      <c r="AW361" s="42"/>
      <c r="AX361" s="42"/>
    </row>
    <row r="362" spans="1:50" ht="12.75" customHeight="1">
      <c r="A362" s="42">
        <v>1026251827</v>
      </c>
      <c r="B362" s="42" t="s">
        <v>967</v>
      </c>
      <c r="C362" s="42" t="s">
        <v>1013</v>
      </c>
      <c r="D362" s="42" t="s">
        <v>1014</v>
      </c>
      <c r="E362" s="42" t="s">
        <v>481</v>
      </c>
      <c r="F362" s="154">
        <v>31518</v>
      </c>
      <c r="G362" s="42" t="s">
        <v>1016</v>
      </c>
      <c r="H362" s="42">
        <v>6804150</v>
      </c>
      <c r="I362" s="42" t="s">
        <v>450</v>
      </c>
      <c r="J362" s="42"/>
      <c r="K362" s="42"/>
      <c r="L362" s="42"/>
      <c r="M362" s="42" t="s">
        <v>451</v>
      </c>
      <c r="N362" s="42" t="s">
        <v>452</v>
      </c>
      <c r="O362" s="42" t="s">
        <v>453</v>
      </c>
      <c r="P362" s="154">
        <v>42965</v>
      </c>
      <c r="Q362" s="154">
        <v>42965</v>
      </c>
      <c r="R362" s="154"/>
      <c r="S362" s="42">
        <v>2</v>
      </c>
      <c r="T362" s="42" t="s">
        <v>455</v>
      </c>
      <c r="U362" s="42">
        <v>11</v>
      </c>
      <c r="V362" s="42" t="s">
        <v>456</v>
      </c>
      <c r="W362" s="42">
        <v>3</v>
      </c>
      <c r="X362" s="42" t="s">
        <v>457</v>
      </c>
      <c r="Y362" s="42">
        <v>78</v>
      </c>
      <c r="Z362" s="42" t="s">
        <v>500</v>
      </c>
      <c r="AA362" s="42">
        <v>219</v>
      </c>
      <c r="AB362" s="42">
        <v>18</v>
      </c>
      <c r="AC362" s="42">
        <v>5951245</v>
      </c>
      <c r="AD362" s="42" t="s">
        <v>72</v>
      </c>
      <c r="AE362" s="42">
        <v>78</v>
      </c>
      <c r="AF362" s="42" t="s">
        <v>458</v>
      </c>
      <c r="AG362" s="42" t="s">
        <v>459</v>
      </c>
      <c r="AH362" s="42" t="s">
        <v>188</v>
      </c>
      <c r="AI362" s="42" t="s">
        <v>460</v>
      </c>
      <c r="AJ362" s="154">
        <v>42965</v>
      </c>
      <c r="AK362" s="42">
        <v>117</v>
      </c>
      <c r="AL362" s="154">
        <v>42937</v>
      </c>
      <c r="AM362" s="154"/>
      <c r="AN362" s="42"/>
      <c r="AO362" s="154"/>
      <c r="AP362" s="154">
        <v>44194</v>
      </c>
      <c r="AQ362" s="42"/>
      <c r="AR362" s="42"/>
      <c r="AS362" s="42"/>
      <c r="AT362" s="42"/>
      <c r="AU362" s="42"/>
      <c r="AV362" s="42"/>
      <c r="AW362" s="42"/>
      <c r="AX362" s="42"/>
    </row>
    <row r="363" spans="1:50" ht="12.75" customHeight="1">
      <c r="A363" s="42">
        <v>1026255045</v>
      </c>
      <c r="B363" s="42" t="s">
        <v>468</v>
      </c>
      <c r="C363" s="42" t="s">
        <v>762</v>
      </c>
      <c r="D363" s="42" t="s">
        <v>1021</v>
      </c>
      <c r="E363" s="42" t="s">
        <v>481</v>
      </c>
      <c r="F363" s="154">
        <v>31852</v>
      </c>
      <c r="G363" s="42" t="s">
        <v>1022</v>
      </c>
      <c r="H363" s="42">
        <v>5223766</v>
      </c>
      <c r="I363" s="42" t="s">
        <v>450</v>
      </c>
      <c r="J363" s="42"/>
      <c r="K363" s="42"/>
      <c r="L363" s="42"/>
      <c r="M363" s="42" t="s">
        <v>547</v>
      </c>
      <c r="N363" s="42" t="s">
        <v>452</v>
      </c>
      <c r="O363" s="42" t="s">
        <v>453</v>
      </c>
      <c r="P363" s="154">
        <v>43642</v>
      </c>
      <c r="Q363" s="154">
        <v>43642</v>
      </c>
      <c r="R363" s="154"/>
      <c r="S363" s="42">
        <v>5</v>
      </c>
      <c r="T363" s="42" t="s">
        <v>499</v>
      </c>
      <c r="U363" s="42">
        <v>11</v>
      </c>
      <c r="V363" s="42" t="s">
        <v>456</v>
      </c>
      <c r="W363" s="42">
        <v>18</v>
      </c>
      <c r="X363" s="42" t="s">
        <v>536</v>
      </c>
      <c r="Y363" s="42">
        <v>124</v>
      </c>
      <c r="Z363" s="42" t="s">
        <v>500</v>
      </c>
      <c r="AA363" s="42">
        <v>314</v>
      </c>
      <c r="AB363" s="42">
        <v>20</v>
      </c>
      <c r="AC363" s="42">
        <v>4789274</v>
      </c>
      <c r="AD363" s="42" t="s">
        <v>517</v>
      </c>
      <c r="AE363" s="42">
        <v>124</v>
      </c>
      <c r="AF363" s="42" t="s">
        <v>458</v>
      </c>
      <c r="AG363" s="42" t="s">
        <v>459</v>
      </c>
      <c r="AH363" s="42" t="s">
        <v>188</v>
      </c>
      <c r="AI363" s="42" t="s">
        <v>460</v>
      </c>
      <c r="AJ363" s="154">
        <v>43642</v>
      </c>
      <c r="AK363" s="42">
        <v>97</v>
      </c>
      <c r="AL363" s="154">
        <v>43642</v>
      </c>
      <c r="AM363" s="154"/>
      <c r="AN363" s="42"/>
      <c r="AO363" s="154"/>
      <c r="AP363" s="154">
        <v>44377</v>
      </c>
      <c r="AQ363" s="42"/>
      <c r="AR363" s="42"/>
      <c r="AS363" s="42"/>
      <c r="AT363" s="42"/>
      <c r="AU363" s="42"/>
      <c r="AV363" s="42"/>
      <c r="AW363" s="42"/>
      <c r="AX363" s="42"/>
    </row>
    <row r="364" spans="1:50" ht="12.75" customHeight="1">
      <c r="A364" s="42">
        <v>1026289922</v>
      </c>
      <c r="B364" s="42" t="s">
        <v>513</v>
      </c>
      <c r="C364" s="42" t="s">
        <v>1030</v>
      </c>
      <c r="D364" s="42" t="s">
        <v>1031</v>
      </c>
      <c r="E364" s="42" t="s">
        <v>481</v>
      </c>
      <c r="F364" s="154">
        <v>34598</v>
      </c>
      <c r="G364" s="42" t="s">
        <v>1034</v>
      </c>
      <c r="H364" s="42">
        <v>2364498</v>
      </c>
      <c r="I364" s="42" t="s">
        <v>450</v>
      </c>
      <c r="J364" s="42"/>
      <c r="K364" s="42"/>
      <c r="L364" s="42"/>
      <c r="M364" s="42" t="s">
        <v>448</v>
      </c>
      <c r="N364" s="42" t="s">
        <v>452</v>
      </c>
      <c r="O364" s="42" t="s">
        <v>453</v>
      </c>
      <c r="P364" s="154">
        <v>44148</v>
      </c>
      <c r="Q364" s="154">
        <v>44148</v>
      </c>
      <c r="R364" s="154"/>
      <c r="S364" s="42">
        <v>26</v>
      </c>
      <c r="T364" s="42" t="s">
        <v>528</v>
      </c>
      <c r="U364" s="42">
        <v>19</v>
      </c>
      <c r="V364" s="42" t="s">
        <v>574</v>
      </c>
      <c r="W364" s="42">
        <v>22</v>
      </c>
      <c r="X364" s="42" t="s">
        <v>1038</v>
      </c>
      <c r="Y364" s="42">
        <v>2310440</v>
      </c>
      <c r="Z364" s="42" t="s">
        <v>628</v>
      </c>
      <c r="AA364" s="42">
        <v>219</v>
      </c>
      <c r="AB364" s="42">
        <v>3</v>
      </c>
      <c r="AC364" s="42">
        <v>4244468</v>
      </c>
      <c r="AD364" s="42" t="s">
        <v>72</v>
      </c>
      <c r="AE364" s="42">
        <v>109</v>
      </c>
      <c r="AF364" s="42" t="s">
        <v>458</v>
      </c>
      <c r="AG364" s="42" t="s">
        <v>459</v>
      </c>
      <c r="AH364" s="42" t="s">
        <v>644</v>
      </c>
      <c r="AI364" s="42" t="s">
        <v>460</v>
      </c>
      <c r="AJ364" s="154">
        <v>44148</v>
      </c>
      <c r="AK364" s="42">
        <v>140</v>
      </c>
      <c r="AL364" s="154">
        <v>44118</v>
      </c>
      <c r="AM364" s="154"/>
      <c r="AN364" s="42"/>
      <c r="AO364" s="154"/>
      <c r="AP364" s="154">
        <v>44232</v>
      </c>
      <c r="AQ364" s="42"/>
      <c r="AR364" s="42"/>
      <c r="AS364" s="42"/>
      <c r="AT364" s="42"/>
      <c r="AU364" s="42"/>
      <c r="AV364" s="42"/>
      <c r="AW364" s="42"/>
      <c r="AX364" s="42"/>
    </row>
    <row r="365" spans="1:50" ht="12.75" customHeight="1">
      <c r="A365" s="42">
        <v>1027523637</v>
      </c>
      <c r="B365" s="42" t="s">
        <v>1041</v>
      </c>
      <c r="C365" s="42" t="s">
        <v>1043</v>
      </c>
      <c r="D365" s="42" t="s">
        <v>1045</v>
      </c>
      <c r="E365" s="42" t="s">
        <v>448</v>
      </c>
      <c r="F365" s="154">
        <v>38374</v>
      </c>
      <c r="G365" s="42" t="s">
        <v>1047</v>
      </c>
      <c r="H365" s="42">
        <v>3115587196</v>
      </c>
      <c r="I365" s="42" t="s">
        <v>450</v>
      </c>
      <c r="J365" s="42"/>
      <c r="K365" s="42"/>
      <c r="L365" s="42"/>
      <c r="M365" s="42" t="s">
        <v>451</v>
      </c>
      <c r="N365" s="42" t="s">
        <v>452</v>
      </c>
      <c r="O365" s="42" t="s">
        <v>453</v>
      </c>
      <c r="P365" s="154">
        <v>46273</v>
      </c>
      <c r="Q365" s="154">
        <v>46273</v>
      </c>
      <c r="R365" s="42"/>
      <c r="S365" s="42">
        <v>5</v>
      </c>
      <c r="T365" s="42" t="s">
        <v>499</v>
      </c>
      <c r="U365" s="42">
        <v>19</v>
      </c>
      <c r="V365" s="42" t="s">
        <v>574</v>
      </c>
      <c r="W365" s="42">
        <v>19</v>
      </c>
      <c r="X365" s="42" t="s">
        <v>575</v>
      </c>
      <c r="Y365" s="42">
        <v>2311000</v>
      </c>
      <c r="Z365" s="42" t="s">
        <v>467</v>
      </c>
      <c r="AA365" s="42">
        <v>407</v>
      </c>
      <c r="AB365" s="42">
        <v>17</v>
      </c>
      <c r="AC365" s="42">
        <v>3436326</v>
      </c>
      <c r="AD365" s="42" t="s">
        <v>146</v>
      </c>
      <c r="AE365" s="42">
        <v>143</v>
      </c>
      <c r="AF365" s="42" t="s">
        <v>458</v>
      </c>
      <c r="AG365" s="42" t="s">
        <v>459</v>
      </c>
      <c r="AH365" s="42" t="s">
        <v>188</v>
      </c>
      <c r="AI365" s="42" t="s">
        <v>460</v>
      </c>
      <c r="AJ365" s="154">
        <v>46273</v>
      </c>
      <c r="AK365" s="42">
        <v>387</v>
      </c>
      <c r="AL365" s="154">
        <v>46268</v>
      </c>
      <c r="AM365" s="154"/>
      <c r="AN365" s="42"/>
      <c r="AO365" s="154"/>
      <c r="AP365" s="154"/>
      <c r="AQ365" s="42"/>
      <c r="AR365" s="42"/>
      <c r="AS365" s="42"/>
      <c r="AT365" s="42"/>
      <c r="AU365" s="42"/>
      <c r="AV365" s="42"/>
      <c r="AW365" s="42"/>
      <c r="AX365" s="42"/>
    </row>
    <row r="366" spans="1:50" ht="12.75" customHeight="1">
      <c r="A366" s="42">
        <v>72291125</v>
      </c>
      <c r="B366" s="42" t="s">
        <v>1067</v>
      </c>
      <c r="C366" s="42" t="s">
        <v>1949</v>
      </c>
      <c r="D366" s="42" t="s">
        <v>703</v>
      </c>
      <c r="E366" s="42" t="s">
        <v>481</v>
      </c>
      <c r="F366" s="154">
        <v>30807</v>
      </c>
      <c r="G366" s="42" t="s">
        <v>1950</v>
      </c>
      <c r="H366" s="42">
        <v>3016121719</v>
      </c>
      <c r="I366" s="42" t="s">
        <v>586</v>
      </c>
      <c r="J366" s="42">
        <v>72291125</v>
      </c>
      <c r="K366" s="42">
        <v>2</v>
      </c>
      <c r="L366" s="42">
        <v>11</v>
      </c>
      <c r="M366" s="42" t="s">
        <v>451</v>
      </c>
      <c r="N366" s="42" t="s">
        <v>452</v>
      </c>
      <c r="O366" s="42" t="s">
        <v>453</v>
      </c>
      <c r="P366" s="154">
        <v>42585</v>
      </c>
      <c r="Q366" s="154">
        <v>42468</v>
      </c>
      <c r="R366" s="42"/>
      <c r="S366" s="42">
        <v>8</v>
      </c>
      <c r="T366" s="42" t="s">
        <v>466</v>
      </c>
      <c r="U366" s="42">
        <v>11</v>
      </c>
      <c r="V366" s="42" t="s">
        <v>456</v>
      </c>
      <c r="W366" s="42">
        <v>3</v>
      </c>
      <c r="X366" s="42" t="s">
        <v>457</v>
      </c>
      <c r="Y366" s="42">
        <v>2300100</v>
      </c>
      <c r="Z366" s="42" t="s">
        <v>483</v>
      </c>
      <c r="AA366" s="42">
        <v>105</v>
      </c>
      <c r="AB366" s="42">
        <v>5</v>
      </c>
      <c r="AC366" s="42">
        <v>9154873</v>
      </c>
      <c r="AD366" s="42" t="s">
        <v>26</v>
      </c>
      <c r="AE366" s="42">
        <v>14</v>
      </c>
      <c r="AF366" s="42" t="s">
        <v>458</v>
      </c>
      <c r="AG366" s="42" t="s">
        <v>459</v>
      </c>
      <c r="AH366" s="42" t="s">
        <v>484</v>
      </c>
      <c r="AI366" s="42" t="s">
        <v>460</v>
      </c>
      <c r="AJ366" s="154">
        <v>42585</v>
      </c>
      <c r="AK366" s="42">
        <v>11</v>
      </c>
      <c r="AL366" s="154">
        <v>42585</v>
      </c>
      <c r="AM366" s="154"/>
      <c r="AN366" s="42"/>
      <c r="AO366" s="154"/>
      <c r="AP366" s="154">
        <v>43422</v>
      </c>
      <c r="AQ366" s="42"/>
      <c r="AR366" s="42"/>
      <c r="AS366" s="42"/>
      <c r="AT366" s="42"/>
      <c r="AU366" s="42"/>
      <c r="AV366" s="42"/>
      <c r="AW366" s="42"/>
      <c r="AX366" s="42"/>
    </row>
    <row r="367" spans="1:50" ht="12.75" customHeight="1">
      <c r="A367" s="42">
        <v>73155098</v>
      </c>
      <c r="B367" s="42" t="s">
        <v>773</v>
      </c>
      <c r="C367" s="42" t="s">
        <v>1028</v>
      </c>
      <c r="D367" s="42" t="s">
        <v>1029</v>
      </c>
      <c r="E367" s="42" t="s">
        <v>448</v>
      </c>
      <c r="F367" s="154">
        <v>26572</v>
      </c>
      <c r="G367" s="42" t="s">
        <v>1951</v>
      </c>
      <c r="H367" s="42">
        <v>3976401</v>
      </c>
      <c r="I367" s="42" t="s">
        <v>586</v>
      </c>
      <c r="J367" s="42">
        <v>73155098</v>
      </c>
      <c r="K367" s="42">
        <v>2</v>
      </c>
      <c r="L367" s="42">
        <v>52</v>
      </c>
      <c r="M367" s="42" t="s">
        <v>451</v>
      </c>
      <c r="N367" s="42" t="s">
        <v>452</v>
      </c>
      <c r="O367" s="42" t="s">
        <v>453</v>
      </c>
      <c r="P367" s="154">
        <v>44138</v>
      </c>
      <c r="Q367" s="154">
        <v>44138</v>
      </c>
      <c r="R367" s="154">
        <v>44130</v>
      </c>
      <c r="S367" s="42">
        <v>5</v>
      </c>
      <c r="T367" s="42" t="s">
        <v>499</v>
      </c>
      <c r="U367" s="42">
        <v>11</v>
      </c>
      <c r="V367" s="42" t="s">
        <v>456</v>
      </c>
      <c r="W367" s="42">
        <v>3</v>
      </c>
      <c r="X367" s="42" t="s">
        <v>457</v>
      </c>
      <c r="Y367" s="42">
        <v>2310470</v>
      </c>
      <c r="Z367" s="42" t="s">
        <v>477</v>
      </c>
      <c r="AA367" s="42">
        <v>219</v>
      </c>
      <c r="AB367" s="42">
        <v>18</v>
      </c>
      <c r="AC367" s="42">
        <v>5951245</v>
      </c>
      <c r="AD367" s="42" t="s">
        <v>72</v>
      </c>
      <c r="AE367" s="42">
        <v>91</v>
      </c>
      <c r="AF367" s="42" t="s">
        <v>458</v>
      </c>
      <c r="AG367" s="42" t="s">
        <v>459</v>
      </c>
      <c r="AH367" s="42" t="s">
        <v>49</v>
      </c>
      <c r="AI367" s="42" t="s">
        <v>460</v>
      </c>
      <c r="AJ367" s="154">
        <v>44138</v>
      </c>
      <c r="AK367" s="42">
        <v>126</v>
      </c>
      <c r="AL367" s="154">
        <v>44118</v>
      </c>
      <c r="AM367" s="154">
        <v>45779</v>
      </c>
      <c r="AN367" s="42">
        <v>163</v>
      </c>
      <c r="AO367" s="154">
        <v>45775</v>
      </c>
      <c r="AP367" s="154"/>
      <c r="AQ367" s="42"/>
      <c r="AR367" s="42"/>
      <c r="AS367" s="42"/>
      <c r="AT367" s="42"/>
      <c r="AU367" s="42"/>
      <c r="AV367" s="42"/>
      <c r="AW367" s="42"/>
      <c r="AX367" s="42"/>
    </row>
    <row r="368" spans="1:50" ht="12.75" customHeight="1">
      <c r="A368" s="42">
        <v>75065817</v>
      </c>
      <c r="B368" s="42" t="s">
        <v>1954</v>
      </c>
      <c r="C368" s="42" t="s">
        <v>1955</v>
      </c>
      <c r="D368" s="42" t="s">
        <v>1956</v>
      </c>
      <c r="E368" s="42" t="s">
        <v>481</v>
      </c>
      <c r="F368" s="154">
        <v>26358</v>
      </c>
      <c r="G368" s="42" t="s">
        <v>1957</v>
      </c>
      <c r="H368" s="42">
        <v>3113938067</v>
      </c>
      <c r="I368" s="42" t="s">
        <v>586</v>
      </c>
      <c r="J368" s="42">
        <v>75065817</v>
      </c>
      <c r="K368" s="42">
        <v>2</v>
      </c>
      <c r="L368" s="42">
        <v>31</v>
      </c>
      <c r="M368" s="42" t="s">
        <v>451</v>
      </c>
      <c r="N368" s="42" t="s">
        <v>452</v>
      </c>
      <c r="O368" s="42" t="s">
        <v>453</v>
      </c>
      <c r="P368" s="154">
        <v>44138</v>
      </c>
      <c r="Q368" s="154">
        <v>44048</v>
      </c>
      <c r="R368" s="154">
        <v>43850</v>
      </c>
      <c r="S368" s="42">
        <v>5</v>
      </c>
      <c r="T368" s="42" t="s">
        <v>499</v>
      </c>
      <c r="U368" s="42">
        <v>11</v>
      </c>
      <c r="V368" s="42" t="s">
        <v>456</v>
      </c>
      <c r="W368" s="42">
        <v>3</v>
      </c>
      <c r="X368" s="42" t="s">
        <v>457</v>
      </c>
      <c r="Y368" s="42">
        <v>0</v>
      </c>
      <c r="Z368" s="42" t="s">
        <v>500</v>
      </c>
      <c r="AA368" s="42">
        <v>219</v>
      </c>
      <c r="AB368" s="42">
        <v>18</v>
      </c>
      <c r="AC368" s="42">
        <v>5951245</v>
      </c>
      <c r="AD368" s="42" t="s">
        <v>72</v>
      </c>
      <c r="AE368" s="42">
        <v>94</v>
      </c>
      <c r="AF368" s="42" t="s">
        <v>458</v>
      </c>
      <c r="AG368" s="42" t="s">
        <v>459</v>
      </c>
      <c r="AH368" s="42" t="s">
        <v>49</v>
      </c>
      <c r="AI368" s="42" t="s">
        <v>460</v>
      </c>
      <c r="AJ368" s="154">
        <v>44138</v>
      </c>
      <c r="AK368" s="42">
        <v>137</v>
      </c>
      <c r="AL368" s="154">
        <v>44118</v>
      </c>
      <c r="AM368" s="154">
        <v>45201</v>
      </c>
      <c r="AN368" s="42">
        <v>496</v>
      </c>
      <c r="AO368" s="154">
        <v>45188</v>
      </c>
      <c r="AP368" s="154">
        <v>46007</v>
      </c>
      <c r="AQ368" s="42"/>
      <c r="AR368" s="42"/>
      <c r="AS368" s="42"/>
      <c r="AT368" s="42"/>
      <c r="AU368" s="42"/>
      <c r="AV368" s="42"/>
      <c r="AW368" s="42"/>
      <c r="AX368" s="42"/>
    </row>
    <row r="369" spans="1:50" ht="12.75" customHeight="1">
      <c r="A369" s="42">
        <v>75074516</v>
      </c>
      <c r="B369" s="42" t="s">
        <v>1958</v>
      </c>
      <c r="C369" s="42" t="s">
        <v>1116</v>
      </c>
      <c r="D369" s="42" t="s">
        <v>1959</v>
      </c>
      <c r="E369" s="42" t="s">
        <v>481</v>
      </c>
      <c r="F369" s="154">
        <v>27161</v>
      </c>
      <c r="G369" s="42" t="s">
        <v>1960</v>
      </c>
      <c r="H369" s="42">
        <v>3123023221</v>
      </c>
      <c r="I369" s="42" t="s">
        <v>586</v>
      </c>
      <c r="J369" s="42">
        <v>74051211425</v>
      </c>
      <c r="K369" s="42">
        <v>2</v>
      </c>
      <c r="L369" s="42">
        <v>55</v>
      </c>
      <c r="M369" s="42" t="s">
        <v>451</v>
      </c>
      <c r="N369" s="42" t="s">
        <v>452</v>
      </c>
      <c r="O369" s="42" t="s">
        <v>453</v>
      </c>
      <c r="P369" s="154">
        <v>44228</v>
      </c>
      <c r="Q369" s="154">
        <v>44228</v>
      </c>
      <c r="R369" s="154"/>
      <c r="S369" s="42">
        <v>5</v>
      </c>
      <c r="T369" s="42" t="s">
        <v>499</v>
      </c>
      <c r="U369" s="42">
        <v>18</v>
      </c>
      <c r="V369" s="42" t="s">
        <v>565</v>
      </c>
      <c r="W369" s="42">
        <v>3</v>
      </c>
      <c r="X369" s="42" t="s">
        <v>457</v>
      </c>
      <c r="Y369" s="42">
        <v>2310470</v>
      </c>
      <c r="Z369" s="42" t="s">
        <v>477</v>
      </c>
      <c r="AA369" s="42">
        <v>219</v>
      </c>
      <c r="AB369" s="42">
        <v>15</v>
      </c>
      <c r="AC369" s="42">
        <v>5771486</v>
      </c>
      <c r="AD369" s="42" t="s">
        <v>72</v>
      </c>
      <c r="AE369" s="42">
        <v>74</v>
      </c>
      <c r="AF369" s="42" t="s">
        <v>458</v>
      </c>
      <c r="AG369" s="42" t="s">
        <v>459</v>
      </c>
      <c r="AH369" s="42" t="s">
        <v>49</v>
      </c>
      <c r="AI369" s="42" t="s">
        <v>460</v>
      </c>
      <c r="AJ369" s="154">
        <v>44228</v>
      </c>
      <c r="AK369" s="42">
        <v>153</v>
      </c>
      <c r="AL369" s="154">
        <v>44118</v>
      </c>
      <c r="AM369" s="154">
        <v>44594</v>
      </c>
      <c r="AN369" s="42">
        <v>38</v>
      </c>
      <c r="AO369" s="154">
        <v>44592</v>
      </c>
      <c r="AP369" s="154">
        <v>44985</v>
      </c>
      <c r="AQ369" s="42"/>
      <c r="AR369" s="42"/>
      <c r="AS369" s="42"/>
      <c r="AT369" s="42"/>
      <c r="AU369" s="42"/>
      <c r="AV369" s="42"/>
      <c r="AW369" s="42"/>
      <c r="AX369" s="42"/>
    </row>
    <row r="370" spans="1:50" ht="12.75" customHeight="1">
      <c r="A370" s="42">
        <v>75093516</v>
      </c>
      <c r="B370" s="42" t="s">
        <v>1032</v>
      </c>
      <c r="C370" s="42" t="s">
        <v>1033</v>
      </c>
      <c r="D370" s="42" t="s">
        <v>1035</v>
      </c>
      <c r="E370" s="42" t="s">
        <v>448</v>
      </c>
      <c r="F370" s="154">
        <v>29225</v>
      </c>
      <c r="G370" s="42" t="s">
        <v>1962</v>
      </c>
      <c r="H370" s="42">
        <v>3175026151</v>
      </c>
      <c r="I370" s="42" t="s">
        <v>586</v>
      </c>
      <c r="J370" s="42">
        <v>75093516</v>
      </c>
      <c r="K370" s="42" t="s">
        <v>1963</v>
      </c>
      <c r="L370" s="42">
        <v>31</v>
      </c>
      <c r="M370" s="42" t="s">
        <v>448</v>
      </c>
      <c r="N370" s="42" t="s">
        <v>452</v>
      </c>
      <c r="O370" s="42" t="s">
        <v>453</v>
      </c>
      <c r="P370" s="154">
        <v>44215</v>
      </c>
      <c r="Q370" s="154">
        <v>44215</v>
      </c>
      <c r="R370" s="154"/>
      <c r="S370" s="42">
        <v>5</v>
      </c>
      <c r="T370" s="42" t="s">
        <v>499</v>
      </c>
      <c r="U370" s="42">
        <v>23</v>
      </c>
      <c r="V370" s="42" t="s">
        <v>669</v>
      </c>
      <c r="W370" s="42">
        <v>23</v>
      </c>
      <c r="X370" s="42" t="s">
        <v>473</v>
      </c>
      <c r="Y370" s="42">
        <v>2311000</v>
      </c>
      <c r="Z370" s="42" t="s">
        <v>467</v>
      </c>
      <c r="AA370" s="42">
        <v>219</v>
      </c>
      <c r="AB370" s="42">
        <v>18</v>
      </c>
      <c r="AC370" s="42">
        <v>5951245</v>
      </c>
      <c r="AD370" s="42" t="s">
        <v>72</v>
      </c>
      <c r="AE370" s="42">
        <v>25</v>
      </c>
      <c r="AF370" s="42" t="s">
        <v>458</v>
      </c>
      <c r="AG370" s="42" t="s">
        <v>459</v>
      </c>
      <c r="AH370" s="42" t="s">
        <v>49</v>
      </c>
      <c r="AI370" s="42" t="s">
        <v>460</v>
      </c>
      <c r="AJ370" s="154">
        <v>44215</v>
      </c>
      <c r="AK370" s="42">
        <v>173</v>
      </c>
      <c r="AL370" s="154">
        <v>44124</v>
      </c>
      <c r="AM370" s="154"/>
      <c r="AN370" s="42"/>
      <c r="AO370" s="154"/>
      <c r="AP370" s="154"/>
      <c r="AQ370" s="42"/>
      <c r="AR370" s="42"/>
      <c r="AS370" s="42"/>
      <c r="AT370" s="42"/>
      <c r="AU370" s="42"/>
      <c r="AV370" s="42"/>
      <c r="AW370" s="42"/>
      <c r="AX370" s="42"/>
    </row>
    <row r="371" spans="1:50" ht="12.75" customHeight="1">
      <c r="A371" s="42">
        <v>7630834</v>
      </c>
      <c r="B371" s="42" t="s">
        <v>1098</v>
      </c>
      <c r="C371" s="42" t="s">
        <v>1965</v>
      </c>
      <c r="D371" s="42" t="s">
        <v>1966</v>
      </c>
      <c r="E371" s="42" t="s">
        <v>481</v>
      </c>
      <c r="F371" s="154">
        <v>29301</v>
      </c>
      <c r="G371" s="42" t="s">
        <v>1967</v>
      </c>
      <c r="H371" s="42">
        <v>4100294</v>
      </c>
      <c r="I371" s="42" t="s">
        <v>586</v>
      </c>
      <c r="J371" s="42">
        <v>800321023</v>
      </c>
      <c r="K371" s="42">
        <v>1</v>
      </c>
      <c r="L371" s="42"/>
      <c r="M371" s="42" t="s">
        <v>451</v>
      </c>
      <c r="N371" s="42" t="s">
        <v>452</v>
      </c>
      <c r="O371" s="42" t="s">
        <v>453</v>
      </c>
      <c r="P371" s="154">
        <v>42585</v>
      </c>
      <c r="Q371" s="154">
        <v>41106</v>
      </c>
      <c r="R371" s="154"/>
      <c r="S371" s="42">
        <v>5</v>
      </c>
      <c r="T371" s="42" t="s">
        <v>499</v>
      </c>
      <c r="U371" s="42">
        <v>19</v>
      </c>
      <c r="V371" s="42" t="s">
        <v>574</v>
      </c>
      <c r="W371" s="42">
        <v>3</v>
      </c>
      <c r="X371" s="42" t="s">
        <v>457</v>
      </c>
      <c r="Y371" s="42">
        <v>2310450</v>
      </c>
      <c r="Z371" s="42" t="s">
        <v>568</v>
      </c>
      <c r="AA371" s="42">
        <v>222</v>
      </c>
      <c r="AB371" s="42">
        <v>27</v>
      </c>
      <c r="AC371" s="42">
        <v>7358647</v>
      </c>
      <c r="AD371" s="42" t="s">
        <v>51</v>
      </c>
      <c r="AE371" s="42">
        <v>40</v>
      </c>
      <c r="AF371" s="42" t="s">
        <v>458</v>
      </c>
      <c r="AG371" s="42" t="s">
        <v>459</v>
      </c>
      <c r="AH371" s="42" t="s">
        <v>188</v>
      </c>
      <c r="AI371" s="42" t="s">
        <v>460</v>
      </c>
      <c r="AJ371" s="154">
        <v>42898</v>
      </c>
      <c r="AK371" s="42">
        <v>92</v>
      </c>
      <c r="AL371" s="154">
        <v>42893</v>
      </c>
      <c r="AM371" s="154"/>
      <c r="AN371" s="42"/>
      <c r="AO371" s="154"/>
      <c r="AP371" s="154">
        <v>44262</v>
      </c>
      <c r="AQ371" s="42"/>
      <c r="AR371" s="42"/>
      <c r="AS371" s="42"/>
      <c r="AT371" s="42"/>
      <c r="AU371" s="42"/>
      <c r="AV371" s="42"/>
      <c r="AW371" s="42"/>
      <c r="AX371" s="42"/>
    </row>
    <row r="372" spans="1:50" ht="12.75" customHeight="1">
      <c r="A372" s="42">
        <v>7690438</v>
      </c>
      <c r="B372" s="42" t="s">
        <v>1036</v>
      </c>
      <c r="C372" s="42" t="s">
        <v>759</v>
      </c>
      <c r="D372" s="42" t="s">
        <v>1037</v>
      </c>
      <c r="E372" s="42" t="s">
        <v>481</v>
      </c>
      <c r="F372" s="154">
        <v>26247</v>
      </c>
      <c r="G372" s="42" t="s">
        <v>1968</v>
      </c>
      <c r="H372" s="42">
        <v>3192955716</v>
      </c>
      <c r="I372" s="42" t="s">
        <v>586</v>
      </c>
      <c r="J372" s="42">
        <v>7690438</v>
      </c>
      <c r="K372" s="42">
        <v>2</v>
      </c>
      <c r="L372" s="42"/>
      <c r="M372" s="42" t="s">
        <v>451</v>
      </c>
      <c r="N372" s="42" t="s">
        <v>452</v>
      </c>
      <c r="O372" s="42" t="s">
        <v>453</v>
      </c>
      <c r="P372" s="154">
        <v>43866</v>
      </c>
      <c r="Q372" s="154">
        <v>43866</v>
      </c>
      <c r="R372" s="154"/>
      <c r="S372" s="42">
        <v>26</v>
      </c>
      <c r="T372" s="42" t="s">
        <v>528</v>
      </c>
      <c r="U372" s="42">
        <v>11</v>
      </c>
      <c r="V372" s="42" t="s">
        <v>456</v>
      </c>
      <c r="W372" s="42">
        <v>19</v>
      </c>
      <c r="X372" s="42" t="s">
        <v>575</v>
      </c>
      <c r="Y372" s="42">
        <v>2311000</v>
      </c>
      <c r="Z372" s="42" t="s">
        <v>467</v>
      </c>
      <c r="AA372" s="42">
        <v>480</v>
      </c>
      <c r="AB372" s="42">
        <v>13</v>
      </c>
      <c r="AC372" s="42">
        <v>3017226</v>
      </c>
      <c r="AD372" s="42" t="s">
        <v>223</v>
      </c>
      <c r="AE372" s="42">
        <v>156</v>
      </c>
      <c r="AF372" s="42" t="s">
        <v>458</v>
      </c>
      <c r="AG372" s="42" t="s">
        <v>459</v>
      </c>
      <c r="AH372" s="42" t="s">
        <v>188</v>
      </c>
      <c r="AI372" s="42" t="s">
        <v>460</v>
      </c>
      <c r="AJ372" s="154">
        <v>43866</v>
      </c>
      <c r="AK372" s="42">
        <v>25</v>
      </c>
      <c r="AL372" s="154">
        <v>43865</v>
      </c>
      <c r="AM372" s="154"/>
      <c r="AN372" s="42"/>
      <c r="AO372" s="154"/>
      <c r="AP372" s="154">
        <v>46086</v>
      </c>
      <c r="AQ372" s="42"/>
      <c r="AR372" s="42"/>
      <c r="AS372" s="42"/>
      <c r="AT372" s="42"/>
      <c r="AU372" s="42"/>
      <c r="AV372" s="42"/>
      <c r="AW372" s="42"/>
      <c r="AX372" s="42"/>
    </row>
    <row r="373" spans="1:50" ht="12.75" customHeight="1">
      <c r="A373" s="42">
        <v>77192196</v>
      </c>
      <c r="B373" s="42" t="s">
        <v>826</v>
      </c>
      <c r="C373" s="42" t="s">
        <v>478</v>
      </c>
      <c r="D373" s="42" t="s">
        <v>1973</v>
      </c>
      <c r="E373" s="42" t="s">
        <v>481</v>
      </c>
      <c r="F373" s="154">
        <v>28525</v>
      </c>
      <c r="G373" s="42" t="s">
        <v>1974</v>
      </c>
      <c r="H373" s="42">
        <v>3029473</v>
      </c>
      <c r="I373" s="42" t="s">
        <v>586</v>
      </c>
      <c r="J373" s="42">
        <v>7719296</v>
      </c>
      <c r="K373" s="42">
        <v>2</v>
      </c>
      <c r="L373" s="42"/>
      <c r="M373" s="42" t="s">
        <v>448</v>
      </c>
      <c r="N373" s="42" t="s">
        <v>452</v>
      </c>
      <c r="O373" s="42" t="s">
        <v>453</v>
      </c>
      <c r="P373" s="154">
        <v>43826</v>
      </c>
      <c r="Q373" s="154">
        <v>43826</v>
      </c>
      <c r="R373" s="154"/>
      <c r="S373" s="42">
        <v>2</v>
      </c>
      <c r="T373" s="42" t="s">
        <v>455</v>
      </c>
      <c r="U373" s="42">
        <v>19</v>
      </c>
      <c r="V373" s="42" t="s">
        <v>574</v>
      </c>
      <c r="W373" s="42">
        <v>19</v>
      </c>
      <c r="X373" s="42" t="s">
        <v>575</v>
      </c>
      <c r="Y373" s="42">
        <v>153</v>
      </c>
      <c r="Z373" s="42" t="s">
        <v>500</v>
      </c>
      <c r="AA373" s="42">
        <v>407</v>
      </c>
      <c r="AB373" s="42">
        <v>11</v>
      </c>
      <c r="AC373" s="42">
        <v>2804649</v>
      </c>
      <c r="AD373" s="42" t="s">
        <v>146</v>
      </c>
      <c r="AE373" s="42">
        <v>153</v>
      </c>
      <c r="AF373" s="42" t="s">
        <v>458</v>
      </c>
      <c r="AG373" s="42" t="s">
        <v>459</v>
      </c>
      <c r="AH373" s="42" t="s">
        <v>188</v>
      </c>
      <c r="AI373" s="42" t="s">
        <v>460</v>
      </c>
      <c r="AJ373" s="154">
        <v>43826</v>
      </c>
      <c r="AK373" s="42">
        <v>173</v>
      </c>
      <c r="AL373" s="154">
        <v>43826</v>
      </c>
      <c r="AM373" s="154"/>
      <c r="AN373" s="42"/>
      <c r="AO373" s="154"/>
      <c r="AP373" s="154">
        <v>44152</v>
      </c>
      <c r="AQ373" s="42"/>
      <c r="AR373" s="42"/>
      <c r="AS373" s="42"/>
      <c r="AT373" s="42"/>
      <c r="AU373" s="42"/>
      <c r="AV373" s="42"/>
      <c r="AW373" s="42"/>
      <c r="AX373" s="42"/>
    </row>
    <row r="374" spans="1:50" ht="12.75" customHeight="1">
      <c r="A374" s="42">
        <v>79048737</v>
      </c>
      <c r="B374" s="42" t="s">
        <v>797</v>
      </c>
      <c r="C374" s="42" t="s">
        <v>1039</v>
      </c>
      <c r="D374" s="42" t="s">
        <v>1040</v>
      </c>
      <c r="E374" s="42" t="s">
        <v>448</v>
      </c>
      <c r="F374" s="154">
        <v>23823</v>
      </c>
      <c r="G374" s="42" t="s">
        <v>1976</v>
      </c>
      <c r="H374" s="42">
        <v>4107451</v>
      </c>
      <c r="I374" s="42" t="s">
        <v>586</v>
      </c>
      <c r="J374" s="42">
        <v>79048737</v>
      </c>
      <c r="K374" s="42">
        <v>2</v>
      </c>
      <c r="L374" s="42">
        <v>1</v>
      </c>
      <c r="M374" s="42"/>
      <c r="N374" s="42"/>
      <c r="O374" s="42" t="s">
        <v>453</v>
      </c>
      <c r="P374" s="154">
        <v>42585</v>
      </c>
      <c r="Q374" s="154">
        <v>35926</v>
      </c>
      <c r="R374" s="42"/>
      <c r="S374" s="42">
        <v>18</v>
      </c>
      <c r="T374" s="42" t="s">
        <v>472</v>
      </c>
      <c r="U374" s="42">
        <v>11</v>
      </c>
      <c r="V374" s="42" t="s">
        <v>456</v>
      </c>
      <c r="W374" s="42">
        <v>3</v>
      </c>
      <c r="X374" s="42" t="s">
        <v>457</v>
      </c>
      <c r="Y374" s="42">
        <v>2311000</v>
      </c>
      <c r="Z374" s="42" t="s">
        <v>467</v>
      </c>
      <c r="AA374" s="42">
        <v>407</v>
      </c>
      <c r="AB374" s="42">
        <v>15</v>
      </c>
      <c r="AC374" s="42">
        <v>3212811</v>
      </c>
      <c r="AD374" s="42" t="s">
        <v>146</v>
      </c>
      <c r="AE374" s="42">
        <v>148</v>
      </c>
      <c r="AF374" s="42" t="s">
        <v>458</v>
      </c>
      <c r="AG374" s="42" t="s">
        <v>459</v>
      </c>
      <c r="AH374" s="42" t="s">
        <v>49</v>
      </c>
      <c r="AI374" s="42" t="s">
        <v>460</v>
      </c>
      <c r="AJ374" s="154">
        <v>44881</v>
      </c>
      <c r="AK374" s="42">
        <v>458</v>
      </c>
      <c r="AL374" s="154">
        <v>44875</v>
      </c>
      <c r="AM374" s="154">
        <v>44914</v>
      </c>
      <c r="AN374" s="42">
        <v>500</v>
      </c>
      <c r="AO374" s="154">
        <v>44911</v>
      </c>
      <c r="AP374" s="154"/>
      <c r="AQ374" s="42"/>
      <c r="AR374" s="42"/>
      <c r="AS374" s="42"/>
      <c r="AT374" s="42"/>
      <c r="AU374" s="42"/>
      <c r="AV374" s="42"/>
      <c r="AW374" s="42"/>
      <c r="AX374" s="42"/>
    </row>
    <row r="375" spans="1:50" ht="12.75" customHeight="1">
      <c r="A375" s="42">
        <v>79138328</v>
      </c>
      <c r="B375" s="42" t="s">
        <v>1042</v>
      </c>
      <c r="C375" s="42" t="s">
        <v>1044</v>
      </c>
      <c r="D375" s="42" t="s">
        <v>1046</v>
      </c>
      <c r="E375" s="42" t="s">
        <v>448</v>
      </c>
      <c r="F375" s="154">
        <v>26186</v>
      </c>
      <c r="G375" s="42" t="s">
        <v>1977</v>
      </c>
      <c r="H375" s="42">
        <v>6085057</v>
      </c>
      <c r="I375" s="42" t="s">
        <v>586</v>
      </c>
      <c r="J375" s="42">
        <v>79138328</v>
      </c>
      <c r="K375" s="42">
        <v>1</v>
      </c>
      <c r="L375" s="42">
        <v>55</v>
      </c>
      <c r="M375" s="42"/>
      <c r="N375" s="42"/>
      <c r="O375" s="42" t="s">
        <v>453</v>
      </c>
      <c r="P375" s="154">
        <v>42585</v>
      </c>
      <c r="Q375" s="154">
        <v>34711</v>
      </c>
      <c r="R375" s="154"/>
      <c r="S375" s="42">
        <v>8</v>
      </c>
      <c r="T375" s="42" t="s">
        <v>466</v>
      </c>
      <c r="U375" s="42">
        <v>11</v>
      </c>
      <c r="V375" s="42" t="s">
        <v>456</v>
      </c>
      <c r="W375" s="42">
        <v>19</v>
      </c>
      <c r="X375" s="42" t="s">
        <v>575</v>
      </c>
      <c r="Y375" s="42">
        <v>2310450</v>
      </c>
      <c r="Z375" s="42" t="s">
        <v>568</v>
      </c>
      <c r="AA375" s="42">
        <v>407</v>
      </c>
      <c r="AB375" s="42">
        <v>20</v>
      </c>
      <c r="AC375" s="42">
        <v>3799538</v>
      </c>
      <c r="AD375" s="42" t="s">
        <v>146</v>
      </c>
      <c r="AE375" s="42">
        <v>142</v>
      </c>
      <c r="AF375" s="42" t="s">
        <v>458</v>
      </c>
      <c r="AG375" s="42" t="s">
        <v>459</v>
      </c>
      <c r="AH375" s="42" t="s">
        <v>49</v>
      </c>
      <c r="AI375" s="42" t="s">
        <v>460</v>
      </c>
      <c r="AJ375" s="154">
        <v>42585</v>
      </c>
      <c r="AK375" s="42">
        <v>2</v>
      </c>
      <c r="AL375" s="154">
        <v>42585</v>
      </c>
      <c r="AM375" s="154">
        <v>43641</v>
      </c>
      <c r="AN375" s="42">
        <v>70</v>
      </c>
      <c r="AO375" s="154">
        <v>43637</v>
      </c>
      <c r="AP375" s="154"/>
      <c r="AQ375" s="42"/>
      <c r="AR375" s="42"/>
      <c r="AS375" s="42"/>
      <c r="AT375" s="42"/>
      <c r="AU375" s="42"/>
      <c r="AV375" s="42"/>
      <c r="AW375" s="42"/>
      <c r="AX375" s="42"/>
    </row>
    <row r="376" spans="1:50" ht="12.75" customHeight="1">
      <c r="A376" s="42">
        <v>79153811</v>
      </c>
      <c r="B376" s="42" t="s">
        <v>922</v>
      </c>
      <c r="C376" s="42" t="s">
        <v>538</v>
      </c>
      <c r="D376" s="42" t="s">
        <v>1978</v>
      </c>
      <c r="E376" s="42" t="s">
        <v>481</v>
      </c>
      <c r="F376" s="154">
        <v>22694</v>
      </c>
      <c r="G376" s="42" t="s">
        <v>1979</v>
      </c>
      <c r="H376" s="42">
        <v>2164453</v>
      </c>
      <c r="I376" s="42" t="s">
        <v>586</v>
      </c>
      <c r="J376" s="42">
        <v>79153811</v>
      </c>
      <c r="K376" s="42">
        <v>2</v>
      </c>
      <c r="L376" s="42">
        <v>3</v>
      </c>
      <c r="M376" s="42"/>
      <c r="N376" s="42"/>
      <c r="O376" s="42" t="s">
        <v>453</v>
      </c>
      <c r="P376" s="154">
        <v>42585</v>
      </c>
      <c r="Q376" s="154">
        <v>34256</v>
      </c>
      <c r="R376" s="154"/>
      <c r="S376" s="42">
        <v>8</v>
      </c>
      <c r="T376" s="42" t="s">
        <v>466</v>
      </c>
      <c r="U376" s="42">
        <v>11</v>
      </c>
      <c r="V376" s="42" t="s">
        <v>456</v>
      </c>
      <c r="W376" s="42">
        <v>1</v>
      </c>
      <c r="X376" s="42" t="s">
        <v>1370</v>
      </c>
      <c r="Y376" s="42">
        <v>33</v>
      </c>
      <c r="Z376" s="42" t="s">
        <v>500</v>
      </c>
      <c r="AA376" s="42">
        <v>222</v>
      </c>
      <c r="AB376" s="42">
        <v>27</v>
      </c>
      <c r="AC376" s="42">
        <v>7358647</v>
      </c>
      <c r="AD376" s="42" t="s">
        <v>51</v>
      </c>
      <c r="AE376" s="42">
        <v>33</v>
      </c>
      <c r="AF376" s="42" t="s">
        <v>458</v>
      </c>
      <c r="AG376" s="42" t="s">
        <v>459</v>
      </c>
      <c r="AH376" s="42" t="s">
        <v>49</v>
      </c>
      <c r="AI376" s="42" t="s">
        <v>460</v>
      </c>
      <c r="AJ376" s="154">
        <v>42585</v>
      </c>
      <c r="AK376" s="42">
        <v>2</v>
      </c>
      <c r="AL376" s="154">
        <v>42585</v>
      </c>
      <c r="AM376" s="154"/>
      <c r="AN376" s="42"/>
      <c r="AO376" s="154"/>
      <c r="AP376" s="154">
        <v>44380</v>
      </c>
      <c r="AQ376" s="42"/>
      <c r="AR376" s="42"/>
      <c r="AS376" s="42"/>
      <c r="AT376" s="42"/>
      <c r="AU376" s="42"/>
      <c r="AV376" s="42"/>
      <c r="AW376" s="42"/>
      <c r="AX376" s="42"/>
    </row>
    <row r="377" spans="1:50" ht="12.75" customHeight="1">
      <c r="A377" s="42">
        <v>79247172</v>
      </c>
      <c r="B377" s="42" t="s">
        <v>1981</v>
      </c>
      <c r="C377" s="42" t="s">
        <v>1982</v>
      </c>
      <c r="D377" s="42" t="s">
        <v>1983</v>
      </c>
      <c r="E377" s="42" t="s">
        <v>481</v>
      </c>
      <c r="F377" s="154">
        <v>25730</v>
      </c>
      <c r="G377" s="42" t="s">
        <v>1984</v>
      </c>
      <c r="H377" s="42">
        <v>3004101841</v>
      </c>
      <c r="I377" s="42" t="s">
        <v>586</v>
      </c>
      <c r="J377" s="42"/>
      <c r="K377" s="42"/>
      <c r="L377" s="42"/>
      <c r="M377" s="42" t="s">
        <v>448</v>
      </c>
      <c r="N377" s="42" t="s">
        <v>452</v>
      </c>
      <c r="O377" s="42" t="s">
        <v>453</v>
      </c>
      <c r="P377" s="154">
        <v>44837</v>
      </c>
      <c r="Q377" s="154">
        <v>43405</v>
      </c>
      <c r="R377" s="42"/>
      <c r="S377" s="42">
        <v>18</v>
      </c>
      <c r="T377" s="42" t="s">
        <v>472</v>
      </c>
      <c r="U377" s="42">
        <v>11</v>
      </c>
      <c r="V377" s="42" t="s">
        <v>456</v>
      </c>
      <c r="W377" s="42">
        <v>3</v>
      </c>
      <c r="X377" s="42" t="s">
        <v>457</v>
      </c>
      <c r="Y377" s="42">
        <v>2310450</v>
      </c>
      <c r="Z377" s="42" t="s">
        <v>568</v>
      </c>
      <c r="AA377" s="42">
        <v>222</v>
      </c>
      <c r="AB377" s="42">
        <v>27</v>
      </c>
      <c r="AC377" s="42">
        <v>7358647</v>
      </c>
      <c r="AD377" s="42" t="s">
        <v>51</v>
      </c>
      <c r="AE377" s="42">
        <v>33</v>
      </c>
      <c r="AF377" s="42" t="s">
        <v>458</v>
      </c>
      <c r="AG377" s="42" t="s">
        <v>459</v>
      </c>
      <c r="AH377" s="42" t="s">
        <v>644</v>
      </c>
      <c r="AI377" s="42" t="s">
        <v>460</v>
      </c>
      <c r="AJ377" s="154">
        <v>44837</v>
      </c>
      <c r="AK377" s="42">
        <v>293</v>
      </c>
      <c r="AL377" s="154">
        <v>44795</v>
      </c>
      <c r="AM377" s="154"/>
      <c r="AN377" s="42"/>
      <c r="AO377" s="154"/>
      <c r="AP377" s="154">
        <v>44851</v>
      </c>
      <c r="AQ377" s="42"/>
      <c r="AR377" s="42"/>
      <c r="AS377" s="42"/>
      <c r="AT377" s="42"/>
      <c r="AU377" s="42"/>
      <c r="AV377" s="42"/>
      <c r="AW377" s="42"/>
      <c r="AX377" s="42"/>
    </row>
    <row r="378" spans="1:50" ht="12.75" customHeight="1">
      <c r="A378" s="42">
        <v>79262614</v>
      </c>
      <c r="B378" s="42" t="s">
        <v>637</v>
      </c>
      <c r="C378" s="42" t="s">
        <v>898</v>
      </c>
      <c r="D378" s="42" t="s">
        <v>1048</v>
      </c>
      <c r="E378" s="42" t="s">
        <v>448</v>
      </c>
      <c r="F378" s="154">
        <v>23087</v>
      </c>
      <c r="G378" s="42" t="s">
        <v>1988</v>
      </c>
      <c r="H378" s="42" t="s">
        <v>1989</v>
      </c>
      <c r="I378" s="42" t="s">
        <v>586</v>
      </c>
      <c r="J378" s="42">
        <v>79262614</v>
      </c>
      <c r="K378" s="42">
        <v>1</v>
      </c>
      <c r="L378" s="42">
        <v>1</v>
      </c>
      <c r="M378" s="42" t="s">
        <v>448</v>
      </c>
      <c r="N378" s="42" t="s">
        <v>452</v>
      </c>
      <c r="O378" s="42" t="s">
        <v>453</v>
      </c>
      <c r="P378" s="154">
        <v>42585</v>
      </c>
      <c r="Q378" s="154">
        <v>35906</v>
      </c>
      <c r="R378" s="42"/>
      <c r="S378" s="42">
        <v>8</v>
      </c>
      <c r="T378" s="42" t="s">
        <v>466</v>
      </c>
      <c r="U378" s="42">
        <v>11</v>
      </c>
      <c r="V378" s="42" t="s">
        <v>456</v>
      </c>
      <c r="W378" s="42">
        <v>19</v>
      </c>
      <c r="X378" s="42" t="s">
        <v>575</v>
      </c>
      <c r="Y378" s="42">
        <v>2311000</v>
      </c>
      <c r="Z378" s="42" t="s">
        <v>467</v>
      </c>
      <c r="AA378" s="42">
        <v>407</v>
      </c>
      <c r="AB378" s="42">
        <v>14</v>
      </c>
      <c r="AC378" s="42">
        <v>3115016</v>
      </c>
      <c r="AD378" s="42" t="s">
        <v>146</v>
      </c>
      <c r="AE378" s="42">
        <v>151</v>
      </c>
      <c r="AF378" s="42" t="s">
        <v>458</v>
      </c>
      <c r="AG378" s="42" t="s">
        <v>459</v>
      </c>
      <c r="AH378" s="42" t="s">
        <v>49</v>
      </c>
      <c r="AI378" s="42" t="s">
        <v>460</v>
      </c>
      <c r="AJ378" s="154">
        <v>42585</v>
      </c>
      <c r="AK378" s="42">
        <v>2</v>
      </c>
      <c r="AL378" s="154">
        <v>42585</v>
      </c>
      <c r="AM378" s="154">
        <v>43969</v>
      </c>
      <c r="AN378" s="42">
        <v>57</v>
      </c>
      <c r="AO378" s="154">
        <v>43965</v>
      </c>
      <c r="AP378" s="154"/>
      <c r="AQ378" s="42"/>
      <c r="AR378" s="42"/>
      <c r="AS378" s="42"/>
      <c r="AT378" s="42"/>
      <c r="AU378" s="42"/>
      <c r="AV378" s="42"/>
      <c r="AW378" s="42"/>
      <c r="AX378" s="42"/>
    </row>
    <row r="379" spans="1:50" ht="12.75" customHeight="1">
      <c r="A379" s="42">
        <v>79271403</v>
      </c>
      <c r="B379" s="42" t="s">
        <v>1990</v>
      </c>
      <c r="C379" s="42" t="s">
        <v>1991</v>
      </c>
      <c r="D379" s="42" t="s">
        <v>1992</v>
      </c>
      <c r="E379" s="42" t="s">
        <v>481</v>
      </c>
      <c r="F379" s="154">
        <v>23004</v>
      </c>
      <c r="G379" s="42" t="s">
        <v>1993</v>
      </c>
      <c r="H379" s="42">
        <v>2048708</v>
      </c>
      <c r="I379" s="42" t="s">
        <v>586</v>
      </c>
      <c r="J379" s="42">
        <v>79271403</v>
      </c>
      <c r="K379" s="42">
        <v>2</v>
      </c>
      <c r="L379" s="42">
        <v>2</v>
      </c>
      <c r="M379" s="42" t="s">
        <v>451</v>
      </c>
      <c r="N379" s="42" t="s">
        <v>452</v>
      </c>
      <c r="O379" s="42" t="s">
        <v>453</v>
      </c>
      <c r="P379" s="154">
        <v>42608</v>
      </c>
      <c r="Q379" s="154">
        <v>42608</v>
      </c>
      <c r="R379" s="154"/>
      <c r="S379" s="42">
        <v>6</v>
      </c>
      <c r="T379" s="42" t="s">
        <v>511</v>
      </c>
      <c r="U379" s="42">
        <v>11</v>
      </c>
      <c r="V379" s="42" t="s">
        <v>456</v>
      </c>
      <c r="W379" s="42">
        <v>3</v>
      </c>
      <c r="X379" s="42" t="s">
        <v>457</v>
      </c>
      <c r="Y379" s="42">
        <v>158</v>
      </c>
      <c r="Z379" s="42" t="s">
        <v>500</v>
      </c>
      <c r="AA379" s="42">
        <v>480</v>
      </c>
      <c r="AB379" s="42">
        <v>13</v>
      </c>
      <c r="AC379" s="42">
        <v>3017226</v>
      </c>
      <c r="AD379" s="42" t="s">
        <v>223</v>
      </c>
      <c r="AE379" s="42">
        <v>158</v>
      </c>
      <c r="AF379" s="42" t="s">
        <v>458</v>
      </c>
      <c r="AG379" s="42" t="s">
        <v>459</v>
      </c>
      <c r="AH379" s="42" t="s">
        <v>188</v>
      </c>
      <c r="AI379" s="42" t="s">
        <v>460</v>
      </c>
      <c r="AJ379" s="154">
        <v>42608</v>
      </c>
      <c r="AK379" s="42">
        <v>34</v>
      </c>
      <c r="AL379" s="154">
        <v>42607</v>
      </c>
      <c r="AM379" s="154"/>
      <c r="AN379" s="42"/>
      <c r="AO379" s="154"/>
      <c r="AP379" s="154">
        <v>44165</v>
      </c>
      <c r="AQ379" s="42"/>
      <c r="AR379" s="42"/>
      <c r="AS379" s="42"/>
      <c r="AT379" s="42"/>
      <c r="AU379" s="42"/>
      <c r="AV379" s="42"/>
      <c r="AW379" s="42"/>
      <c r="AX379" s="42"/>
    </row>
    <row r="380" spans="1:50" ht="12.75" customHeight="1">
      <c r="A380" s="42">
        <v>79296576</v>
      </c>
      <c r="B380" s="42" t="s">
        <v>1085</v>
      </c>
      <c r="C380" s="42" t="s">
        <v>896</v>
      </c>
      <c r="D380" s="42" t="s">
        <v>1994</v>
      </c>
      <c r="E380" s="42" t="s">
        <v>448</v>
      </c>
      <c r="F380" s="154">
        <v>23419</v>
      </c>
      <c r="G380" s="42" t="s">
        <v>1995</v>
      </c>
      <c r="H380" s="42" t="s">
        <v>1996</v>
      </c>
      <c r="I380" s="42" t="s">
        <v>586</v>
      </c>
      <c r="J380" s="42">
        <v>79296576</v>
      </c>
      <c r="K380" s="42">
        <v>2</v>
      </c>
      <c r="L380" s="42"/>
      <c r="M380" s="42" t="s">
        <v>451</v>
      </c>
      <c r="N380" s="42" t="s">
        <v>5</v>
      </c>
      <c r="O380" s="42" t="s">
        <v>453</v>
      </c>
      <c r="P380" s="154">
        <v>45954</v>
      </c>
      <c r="Q380" s="154">
        <v>45954</v>
      </c>
      <c r="R380" s="154"/>
      <c r="S380" s="42">
        <v>5</v>
      </c>
      <c r="T380" s="42" t="s">
        <v>499</v>
      </c>
      <c r="U380" s="42">
        <v>11</v>
      </c>
      <c r="V380" s="42" t="s">
        <v>456</v>
      </c>
      <c r="W380" s="42">
        <v>3</v>
      </c>
      <c r="X380" s="42" t="s">
        <v>457</v>
      </c>
      <c r="Y380" s="42">
        <v>2310470</v>
      </c>
      <c r="Z380" s="42" t="s">
        <v>477</v>
      </c>
      <c r="AA380" s="42">
        <v>219</v>
      </c>
      <c r="AB380" s="42">
        <v>1</v>
      </c>
      <c r="AC380" s="42">
        <v>3989530</v>
      </c>
      <c r="AD380" s="42" t="s">
        <v>72</v>
      </c>
      <c r="AE380" s="42">
        <v>114</v>
      </c>
      <c r="AF380" s="42" t="s">
        <v>458</v>
      </c>
      <c r="AG380" s="42" t="s">
        <v>459</v>
      </c>
      <c r="AH380" s="42" t="s">
        <v>188</v>
      </c>
      <c r="AI380" s="42" t="s">
        <v>460</v>
      </c>
      <c r="AJ380" s="154">
        <v>45954</v>
      </c>
      <c r="AK380" s="42">
        <v>396</v>
      </c>
      <c r="AL380" s="154">
        <v>45952</v>
      </c>
      <c r="AM380" s="154"/>
      <c r="AN380" s="42"/>
      <c r="AO380" s="154"/>
      <c r="AP380" s="154"/>
      <c r="AQ380" s="42"/>
      <c r="AR380" s="42"/>
      <c r="AS380" s="42"/>
      <c r="AT380" s="42"/>
      <c r="AU380" s="42"/>
      <c r="AV380" s="42"/>
      <c r="AW380" s="42"/>
      <c r="AX380" s="42"/>
    </row>
    <row r="381" spans="1:50" ht="12.75" customHeight="1">
      <c r="A381" s="42">
        <v>79299847</v>
      </c>
      <c r="B381" s="42" t="s">
        <v>712</v>
      </c>
      <c r="C381" s="42" t="s">
        <v>1123</v>
      </c>
      <c r="D381" s="42" t="s">
        <v>1998</v>
      </c>
      <c r="E381" s="42" t="s">
        <v>481</v>
      </c>
      <c r="F381" s="154">
        <v>22515</v>
      </c>
      <c r="G381" s="42" t="s">
        <v>1999</v>
      </c>
      <c r="H381" s="42" t="s">
        <v>2000</v>
      </c>
      <c r="I381" s="42" t="s">
        <v>586</v>
      </c>
      <c r="J381" s="42">
        <v>7917553</v>
      </c>
      <c r="K381" s="42">
        <v>1</v>
      </c>
      <c r="L381" s="42" t="s">
        <v>2001</v>
      </c>
      <c r="M381" s="42" t="s">
        <v>451</v>
      </c>
      <c r="N381" s="42" t="s">
        <v>452</v>
      </c>
      <c r="O381" s="42" t="s">
        <v>453</v>
      </c>
      <c r="P381" s="154">
        <v>42585</v>
      </c>
      <c r="Q381" s="154">
        <v>33724</v>
      </c>
      <c r="R381" s="154"/>
      <c r="S381" s="42">
        <v>5</v>
      </c>
      <c r="T381" s="42" t="s">
        <v>499</v>
      </c>
      <c r="U381" s="42">
        <v>11</v>
      </c>
      <c r="V381" s="42" t="s">
        <v>456</v>
      </c>
      <c r="W381" s="42">
        <v>1</v>
      </c>
      <c r="X381" s="42" t="s">
        <v>1370</v>
      </c>
      <c r="Y381" s="42">
        <v>2311000</v>
      </c>
      <c r="Z381" s="42" t="s">
        <v>467</v>
      </c>
      <c r="AA381" s="42">
        <v>222</v>
      </c>
      <c r="AB381" s="42">
        <v>27</v>
      </c>
      <c r="AC381" s="42">
        <v>7358647</v>
      </c>
      <c r="AD381" s="42" t="s">
        <v>51</v>
      </c>
      <c r="AE381" s="42">
        <v>17</v>
      </c>
      <c r="AF381" s="42" t="s">
        <v>458</v>
      </c>
      <c r="AG381" s="42" t="s">
        <v>459</v>
      </c>
      <c r="AH381" s="42" t="s">
        <v>49</v>
      </c>
      <c r="AI381" s="42" t="s">
        <v>460</v>
      </c>
      <c r="AJ381" s="154">
        <v>42585</v>
      </c>
      <c r="AK381" s="42">
        <v>2</v>
      </c>
      <c r="AL381" s="154">
        <v>42585</v>
      </c>
      <c r="AM381" s="154"/>
      <c r="AN381" s="42"/>
      <c r="AO381" s="154"/>
      <c r="AP381" s="154">
        <v>45596</v>
      </c>
      <c r="AQ381" s="42"/>
      <c r="AR381" s="42"/>
      <c r="AS381" s="42"/>
      <c r="AT381" s="42"/>
      <c r="AU381" s="42"/>
      <c r="AV381" s="42"/>
      <c r="AW381" s="42"/>
      <c r="AX381" s="42"/>
    </row>
    <row r="382" spans="1:50" ht="12.75" customHeight="1">
      <c r="A382" s="42">
        <v>79311635</v>
      </c>
      <c r="B382" s="42" t="s">
        <v>462</v>
      </c>
      <c r="C382" s="42" t="s">
        <v>2002</v>
      </c>
      <c r="D382" s="42" t="s">
        <v>2003</v>
      </c>
      <c r="E382" s="42" t="s">
        <v>481</v>
      </c>
      <c r="F382" s="154">
        <v>23592</v>
      </c>
      <c r="G382" s="42" t="s">
        <v>2004</v>
      </c>
      <c r="H382" s="42">
        <v>8043103</v>
      </c>
      <c r="I382" s="42" t="s">
        <v>586</v>
      </c>
      <c r="J382" s="42">
        <v>79311635</v>
      </c>
      <c r="K382" s="42">
        <v>2</v>
      </c>
      <c r="L382" s="42"/>
      <c r="M382" s="42" t="s">
        <v>451</v>
      </c>
      <c r="N382" s="42" t="s">
        <v>452</v>
      </c>
      <c r="O382" s="42" t="s">
        <v>453</v>
      </c>
      <c r="P382" s="154">
        <v>42930</v>
      </c>
      <c r="Q382" s="154">
        <v>42930</v>
      </c>
      <c r="R382" s="154"/>
      <c r="S382" s="42">
        <v>8</v>
      </c>
      <c r="T382" s="42" t="s">
        <v>466</v>
      </c>
      <c r="U382" s="42">
        <v>11</v>
      </c>
      <c r="V382" s="42" t="s">
        <v>456</v>
      </c>
      <c r="W382" s="42">
        <v>19</v>
      </c>
      <c r="X382" s="42" t="s">
        <v>575</v>
      </c>
      <c r="Y382" s="42">
        <v>2310440</v>
      </c>
      <c r="Z382" s="42" t="s">
        <v>628</v>
      </c>
      <c r="AA382" s="42">
        <v>440</v>
      </c>
      <c r="AB382" s="42">
        <v>9</v>
      </c>
      <c r="AC382" s="42">
        <v>2675559</v>
      </c>
      <c r="AD382" s="42" t="s">
        <v>29</v>
      </c>
      <c r="AE382" s="42">
        <v>164</v>
      </c>
      <c r="AF382" s="42" t="s">
        <v>458</v>
      </c>
      <c r="AG382" s="42" t="s">
        <v>459</v>
      </c>
      <c r="AH382" s="42" t="s">
        <v>188</v>
      </c>
      <c r="AI382" s="42" t="s">
        <v>460</v>
      </c>
      <c r="AJ382" s="154">
        <v>42930</v>
      </c>
      <c r="AK382" s="42">
        <v>106</v>
      </c>
      <c r="AL382" s="154">
        <v>42922</v>
      </c>
      <c r="AM382" s="154"/>
      <c r="AN382" s="42"/>
      <c r="AO382" s="154"/>
      <c r="AP382" s="154">
        <v>42968</v>
      </c>
      <c r="AQ382" s="42"/>
      <c r="AR382" s="42"/>
      <c r="AS382" s="42"/>
      <c r="AT382" s="42"/>
      <c r="AU382" s="42"/>
      <c r="AV382" s="42"/>
      <c r="AW382" s="42"/>
      <c r="AX382" s="42"/>
    </row>
    <row r="383" spans="1:50" ht="12.75" customHeight="1">
      <c r="A383" s="42">
        <v>1030541933</v>
      </c>
      <c r="B383" s="42" t="s">
        <v>523</v>
      </c>
      <c r="C383" s="42" t="s">
        <v>1051</v>
      </c>
      <c r="D383" s="42" t="s">
        <v>1052</v>
      </c>
      <c r="E383" s="42" t="s">
        <v>481</v>
      </c>
      <c r="F383" s="154">
        <v>32101</v>
      </c>
      <c r="G383" s="42" t="s">
        <v>1057</v>
      </c>
      <c r="H383" s="42">
        <v>7819761</v>
      </c>
      <c r="I383" s="42" t="s">
        <v>450</v>
      </c>
      <c r="J383" s="42"/>
      <c r="K383" s="42"/>
      <c r="L383" s="42"/>
      <c r="M383" s="42" t="s">
        <v>547</v>
      </c>
      <c r="N383" s="42" t="s">
        <v>452</v>
      </c>
      <c r="O383" s="42" t="s">
        <v>453</v>
      </c>
      <c r="P383" s="154">
        <v>42828</v>
      </c>
      <c r="Q383" s="154">
        <v>42828</v>
      </c>
      <c r="R383" s="42"/>
      <c r="S383" s="42">
        <v>8</v>
      </c>
      <c r="T383" s="42" t="s">
        <v>466</v>
      </c>
      <c r="U383" s="42">
        <v>11</v>
      </c>
      <c r="V383" s="42" t="s">
        <v>456</v>
      </c>
      <c r="W383" s="42">
        <v>3</v>
      </c>
      <c r="X383" s="42" t="s">
        <v>457</v>
      </c>
      <c r="Y383" s="42">
        <v>79</v>
      </c>
      <c r="Z383" s="42" t="s">
        <v>500</v>
      </c>
      <c r="AA383" s="42">
        <v>219</v>
      </c>
      <c r="AB383" s="42">
        <v>18</v>
      </c>
      <c r="AC383" s="42">
        <v>5951245</v>
      </c>
      <c r="AD383" s="42" t="s">
        <v>72</v>
      </c>
      <c r="AE383" s="42">
        <v>79</v>
      </c>
      <c r="AF383" s="42" t="s">
        <v>458</v>
      </c>
      <c r="AG383" s="42" t="s">
        <v>459</v>
      </c>
      <c r="AH383" s="42" t="s">
        <v>188</v>
      </c>
      <c r="AI383" s="42" t="s">
        <v>460</v>
      </c>
      <c r="AJ383" s="154">
        <v>42828</v>
      </c>
      <c r="AK383" s="42">
        <v>33</v>
      </c>
      <c r="AL383" s="154">
        <v>42810</v>
      </c>
      <c r="AM383" s="154"/>
      <c r="AN383" s="42"/>
      <c r="AO383" s="154"/>
      <c r="AP383" s="154">
        <v>44174</v>
      </c>
      <c r="AQ383" s="42"/>
      <c r="AR383" s="42"/>
      <c r="AS383" s="42"/>
      <c r="AT383" s="42"/>
      <c r="AU383" s="42"/>
      <c r="AV383" s="42"/>
      <c r="AW383" s="42"/>
      <c r="AX383" s="42"/>
    </row>
    <row r="384" spans="1:50" ht="12.75" customHeight="1">
      <c r="A384" s="42">
        <v>1030548160</v>
      </c>
      <c r="B384" s="42" t="s">
        <v>955</v>
      </c>
      <c r="C384" s="42" t="s">
        <v>836</v>
      </c>
      <c r="D384" s="42" t="s">
        <v>1059</v>
      </c>
      <c r="E384" s="42" t="s">
        <v>448</v>
      </c>
      <c r="F384" s="154">
        <v>32368</v>
      </c>
      <c r="G384" s="42" t="s">
        <v>1061</v>
      </c>
      <c r="H384" s="42">
        <v>3126542864</v>
      </c>
      <c r="I384" s="42" t="s">
        <v>586</v>
      </c>
      <c r="J384" s="42"/>
      <c r="K384" s="42"/>
      <c r="L384" s="42"/>
      <c r="M384" s="42" t="s">
        <v>451</v>
      </c>
      <c r="N384" s="42" t="s">
        <v>452</v>
      </c>
      <c r="O384" s="42" t="s">
        <v>453</v>
      </c>
      <c r="P384" s="154">
        <v>45968</v>
      </c>
      <c r="Q384" s="154">
        <v>45968</v>
      </c>
      <c r="R384" s="154"/>
      <c r="S384" s="42">
        <v>2</v>
      </c>
      <c r="T384" s="42" t="s">
        <v>455</v>
      </c>
      <c r="U384" s="42">
        <v>19</v>
      </c>
      <c r="V384" s="42" t="s">
        <v>574</v>
      </c>
      <c r="W384" s="42">
        <v>3</v>
      </c>
      <c r="X384" s="42" t="s">
        <v>457</v>
      </c>
      <c r="Y384" s="42">
        <v>2310100</v>
      </c>
      <c r="Z384" s="42" t="s">
        <v>541</v>
      </c>
      <c r="AA384" s="42">
        <v>440</v>
      </c>
      <c r="AB384" s="42">
        <v>11</v>
      </c>
      <c r="AC384" s="42">
        <v>2804649</v>
      </c>
      <c r="AD384" s="42" t="s">
        <v>29</v>
      </c>
      <c r="AE384" s="42">
        <v>160</v>
      </c>
      <c r="AF384" s="42" t="s">
        <v>458</v>
      </c>
      <c r="AG384" s="42" t="s">
        <v>459</v>
      </c>
      <c r="AH384" s="42" t="s">
        <v>188</v>
      </c>
      <c r="AI384" s="42" t="s">
        <v>460</v>
      </c>
      <c r="AJ384" s="154">
        <v>45968</v>
      </c>
      <c r="AK384" s="42">
        <v>416</v>
      </c>
      <c r="AL384" s="154">
        <v>45967</v>
      </c>
      <c r="AM384" s="154"/>
      <c r="AN384" s="42"/>
      <c r="AO384" s="154"/>
      <c r="AP384" s="154"/>
      <c r="AQ384" s="42"/>
      <c r="AR384" s="42"/>
      <c r="AS384" s="42"/>
      <c r="AT384" s="42"/>
      <c r="AU384" s="42"/>
      <c r="AV384" s="42"/>
      <c r="AW384" s="42"/>
      <c r="AX384" s="42"/>
    </row>
    <row r="385" spans="1:50" ht="12.75" customHeight="1">
      <c r="A385" s="42">
        <v>1030559688</v>
      </c>
      <c r="B385" s="42" t="s">
        <v>1067</v>
      </c>
      <c r="C385" s="42" t="s">
        <v>896</v>
      </c>
      <c r="D385" s="42" t="s">
        <v>1068</v>
      </c>
      <c r="E385" s="42" t="s">
        <v>481</v>
      </c>
      <c r="F385" s="154">
        <v>32724</v>
      </c>
      <c r="G385" s="42" t="s">
        <v>1070</v>
      </c>
      <c r="H385" s="42">
        <v>3164505299</v>
      </c>
      <c r="I385" s="42" t="s">
        <v>586</v>
      </c>
      <c r="J385" s="42"/>
      <c r="K385" s="42"/>
      <c r="L385" s="42"/>
      <c r="M385" s="42" t="s">
        <v>448</v>
      </c>
      <c r="N385" s="42" t="s">
        <v>452</v>
      </c>
      <c r="O385" s="42" t="s">
        <v>453</v>
      </c>
      <c r="P385" s="154">
        <v>44820</v>
      </c>
      <c r="Q385" s="154">
        <v>44820</v>
      </c>
      <c r="R385" s="42"/>
      <c r="S385" s="42">
        <v>5</v>
      </c>
      <c r="T385" s="42" t="s">
        <v>499</v>
      </c>
      <c r="U385" s="42">
        <v>18</v>
      </c>
      <c r="V385" s="42" t="s">
        <v>565</v>
      </c>
      <c r="W385" s="42">
        <v>3</v>
      </c>
      <c r="X385" s="42" t="s">
        <v>457</v>
      </c>
      <c r="Y385" s="42">
        <v>2310450</v>
      </c>
      <c r="Z385" s="42" t="s">
        <v>568</v>
      </c>
      <c r="AA385" s="42">
        <v>314</v>
      </c>
      <c r="AB385" s="42">
        <v>15</v>
      </c>
      <c r="AC385" s="42">
        <v>4226650</v>
      </c>
      <c r="AD385" s="42" t="s">
        <v>517</v>
      </c>
      <c r="AE385" s="42">
        <v>131</v>
      </c>
      <c r="AF385" s="42" t="s">
        <v>458</v>
      </c>
      <c r="AG385" s="42" t="s">
        <v>459</v>
      </c>
      <c r="AH385" s="42" t="s">
        <v>188</v>
      </c>
      <c r="AI385" s="42" t="s">
        <v>460</v>
      </c>
      <c r="AJ385" s="154">
        <v>44820</v>
      </c>
      <c r="AK385" s="42">
        <v>327</v>
      </c>
      <c r="AL385" s="154">
        <v>44818</v>
      </c>
      <c r="AM385" s="154"/>
      <c r="AN385" s="42"/>
      <c r="AO385" s="154"/>
      <c r="AP385" s="154">
        <v>45362</v>
      </c>
      <c r="AQ385" s="42"/>
      <c r="AR385" s="42"/>
      <c r="AS385" s="42"/>
      <c r="AT385" s="42"/>
      <c r="AU385" s="42"/>
      <c r="AV385" s="42"/>
      <c r="AW385" s="42"/>
      <c r="AX385" s="42"/>
    </row>
    <row r="386" spans="1:50" ht="12.75" customHeight="1">
      <c r="A386" s="42">
        <v>1030572725</v>
      </c>
      <c r="B386" s="42" t="s">
        <v>1080</v>
      </c>
      <c r="C386" s="42" t="s">
        <v>1081</v>
      </c>
      <c r="D386" s="42" t="s">
        <v>1082</v>
      </c>
      <c r="E386" s="42" t="s">
        <v>448</v>
      </c>
      <c r="F386" s="154">
        <v>32939</v>
      </c>
      <c r="G386" s="42" t="s">
        <v>1083</v>
      </c>
      <c r="H386" s="42">
        <v>3124014252</v>
      </c>
      <c r="I386" s="42" t="s">
        <v>450</v>
      </c>
      <c r="J386" s="42"/>
      <c r="K386" s="42"/>
      <c r="L386" s="42"/>
      <c r="M386" s="42" t="s">
        <v>448</v>
      </c>
      <c r="N386" s="42" t="s">
        <v>452</v>
      </c>
      <c r="O386" s="42" t="s">
        <v>453</v>
      </c>
      <c r="P386" s="154">
        <v>46275</v>
      </c>
      <c r="Q386" s="154">
        <v>46275</v>
      </c>
      <c r="R386" s="154"/>
      <c r="S386" s="42">
        <v>5</v>
      </c>
      <c r="T386" s="42" t="s">
        <v>499</v>
      </c>
      <c r="U386" s="42">
        <v>19</v>
      </c>
      <c r="V386" s="42" t="s">
        <v>574</v>
      </c>
      <c r="W386" s="42">
        <v>19</v>
      </c>
      <c r="X386" s="42" t="s">
        <v>575</v>
      </c>
      <c r="Y386" s="42">
        <v>2310470</v>
      </c>
      <c r="Z386" s="42" t="s">
        <v>477</v>
      </c>
      <c r="AA386" s="42">
        <v>407</v>
      </c>
      <c r="AB386" s="42">
        <v>9</v>
      </c>
      <c r="AC386" s="42">
        <v>2675559</v>
      </c>
      <c r="AD386" s="42" t="s">
        <v>146</v>
      </c>
      <c r="AE386" s="42">
        <v>155</v>
      </c>
      <c r="AF386" s="42" t="s">
        <v>458</v>
      </c>
      <c r="AG386" s="42" t="s">
        <v>459</v>
      </c>
      <c r="AH386" s="42" t="s">
        <v>188</v>
      </c>
      <c r="AI386" s="42" t="s">
        <v>460</v>
      </c>
      <c r="AJ386" s="154">
        <v>46275</v>
      </c>
      <c r="AK386" s="42">
        <v>367</v>
      </c>
      <c r="AL386" s="154">
        <v>46255</v>
      </c>
      <c r="AM386" s="154"/>
      <c r="AN386" s="42"/>
      <c r="AO386" s="154"/>
      <c r="AP386" s="154"/>
      <c r="AQ386" s="42"/>
      <c r="AR386" s="42"/>
      <c r="AS386" s="42"/>
      <c r="AT386" s="42"/>
      <c r="AU386" s="42"/>
      <c r="AV386" s="42"/>
      <c r="AW386" s="42"/>
      <c r="AX386" s="42"/>
    </row>
    <row r="387" spans="1:50" ht="12.75" customHeight="1">
      <c r="A387" s="42">
        <v>1030577699</v>
      </c>
      <c r="B387" s="42" t="s">
        <v>653</v>
      </c>
      <c r="C387" s="42" t="s">
        <v>469</v>
      </c>
      <c r="D387" s="42" t="s">
        <v>767</v>
      </c>
      <c r="E387" s="42" t="s">
        <v>448</v>
      </c>
      <c r="F387" s="154">
        <v>33096</v>
      </c>
      <c r="G387" s="42" t="s">
        <v>1091</v>
      </c>
      <c r="H387" s="42">
        <v>9069069</v>
      </c>
      <c r="I387" s="42" t="s">
        <v>450</v>
      </c>
      <c r="J387" s="42"/>
      <c r="K387" s="42"/>
      <c r="L387" s="42"/>
      <c r="M387" s="42" t="s">
        <v>451</v>
      </c>
      <c r="N387" s="42" t="s">
        <v>452</v>
      </c>
      <c r="O387" s="42" t="s">
        <v>453</v>
      </c>
      <c r="P387" s="154">
        <v>44383</v>
      </c>
      <c r="Q387" s="154">
        <v>44383</v>
      </c>
      <c r="R387" s="154"/>
      <c r="S387" s="42">
        <v>5</v>
      </c>
      <c r="T387" s="42" t="s">
        <v>499</v>
      </c>
      <c r="U387" s="42">
        <v>11</v>
      </c>
      <c r="V387" s="42" t="s">
        <v>456</v>
      </c>
      <c r="W387" s="42">
        <v>23</v>
      </c>
      <c r="X387" s="42" t="s">
        <v>473</v>
      </c>
      <c r="Y387" s="42">
        <v>2310450</v>
      </c>
      <c r="Z387" s="42" t="s">
        <v>568</v>
      </c>
      <c r="AA387" s="42">
        <v>219</v>
      </c>
      <c r="AB387" s="42">
        <v>18</v>
      </c>
      <c r="AC387" s="42">
        <v>5951245</v>
      </c>
      <c r="AD387" s="42" t="s">
        <v>72</v>
      </c>
      <c r="AE387" s="42">
        <v>80</v>
      </c>
      <c r="AF387" s="42" t="s">
        <v>458</v>
      </c>
      <c r="AG387" s="42" t="s">
        <v>459</v>
      </c>
      <c r="AH387" s="42" t="s">
        <v>49</v>
      </c>
      <c r="AI387" s="42" t="s">
        <v>460</v>
      </c>
      <c r="AJ387" s="154">
        <v>44383</v>
      </c>
      <c r="AK387" s="42">
        <v>111</v>
      </c>
      <c r="AL387" s="154">
        <v>44365</v>
      </c>
      <c r="AM387" s="154">
        <v>45957</v>
      </c>
      <c r="AN387" s="42">
        <v>397</v>
      </c>
      <c r="AO387" s="154">
        <v>45952</v>
      </c>
      <c r="AP387" s="154"/>
      <c r="AQ387" s="42"/>
      <c r="AR387" s="42"/>
      <c r="AS387" s="42"/>
      <c r="AT387" s="42"/>
      <c r="AU387" s="42"/>
      <c r="AV387" s="42"/>
      <c r="AW387" s="42"/>
      <c r="AX387" s="42"/>
    </row>
    <row r="388" spans="1:50" ht="12.75" customHeight="1">
      <c r="A388" s="42">
        <v>1030581929</v>
      </c>
      <c r="B388" s="42" t="s">
        <v>1097</v>
      </c>
      <c r="C388" s="42" t="s">
        <v>1098</v>
      </c>
      <c r="D388" s="42" t="s">
        <v>1100</v>
      </c>
      <c r="E388" s="42" t="s">
        <v>481</v>
      </c>
      <c r="F388" s="154">
        <v>33171</v>
      </c>
      <c r="G388" s="42" t="s">
        <v>1102</v>
      </c>
      <c r="H388" s="42">
        <v>6015305854</v>
      </c>
      <c r="I388" s="42" t="s">
        <v>586</v>
      </c>
      <c r="J388" s="42"/>
      <c r="K388" s="42"/>
      <c r="L388" s="42"/>
      <c r="M388" s="42" t="s">
        <v>451</v>
      </c>
      <c r="N388" s="42" t="s">
        <v>452</v>
      </c>
      <c r="O388" s="42" t="s">
        <v>453</v>
      </c>
      <c r="P388" s="154">
        <v>45244</v>
      </c>
      <c r="Q388" s="154">
        <v>45244</v>
      </c>
      <c r="R388" s="154"/>
      <c r="S388" s="42">
        <v>6</v>
      </c>
      <c r="T388" s="42" t="s">
        <v>511</v>
      </c>
      <c r="U388" s="42">
        <v>11</v>
      </c>
      <c r="V388" s="42" t="s">
        <v>456</v>
      </c>
      <c r="W388" s="42">
        <v>19</v>
      </c>
      <c r="X388" s="42" t="s">
        <v>575</v>
      </c>
      <c r="Y388" s="42">
        <v>2310460</v>
      </c>
      <c r="Z388" s="42" t="s">
        <v>506</v>
      </c>
      <c r="AA388" s="42">
        <v>9</v>
      </c>
      <c r="AB388" s="42">
        <v>7</v>
      </c>
      <c r="AC388" s="42">
        <v>11186814</v>
      </c>
      <c r="AD388" s="42" t="s">
        <v>512</v>
      </c>
      <c r="AE388" s="42">
        <v>6</v>
      </c>
      <c r="AF388" s="42" t="s">
        <v>458</v>
      </c>
      <c r="AG388" s="42" t="s">
        <v>459</v>
      </c>
      <c r="AH388" s="42" t="s">
        <v>484</v>
      </c>
      <c r="AI388" s="42" t="s">
        <v>460</v>
      </c>
      <c r="AJ388" s="154">
        <v>45244</v>
      </c>
      <c r="AK388" s="42">
        <v>588</v>
      </c>
      <c r="AL388" s="154">
        <v>45239</v>
      </c>
      <c r="AM388" s="154"/>
      <c r="AN388" s="42"/>
      <c r="AO388" s="154"/>
      <c r="AP388" s="154">
        <v>45368</v>
      </c>
      <c r="AQ388" s="42"/>
      <c r="AR388" s="42"/>
      <c r="AS388" s="42"/>
      <c r="AT388" s="42"/>
      <c r="AU388" s="42"/>
      <c r="AV388" s="42"/>
      <c r="AW388" s="42"/>
      <c r="AX388" s="42"/>
    </row>
    <row r="389" spans="1:50" ht="12.75" customHeight="1">
      <c r="A389" s="42">
        <v>1030597508</v>
      </c>
      <c r="B389" s="42" t="s">
        <v>479</v>
      </c>
      <c r="C389" s="42" t="s">
        <v>673</v>
      </c>
      <c r="D389" s="42" t="s">
        <v>768</v>
      </c>
      <c r="E389" s="42" t="s">
        <v>481</v>
      </c>
      <c r="F389" s="154">
        <v>33401</v>
      </c>
      <c r="G389" s="42" t="s">
        <v>1107</v>
      </c>
      <c r="H389" s="42">
        <v>3234000560</v>
      </c>
      <c r="I389" s="42" t="s">
        <v>450</v>
      </c>
      <c r="J389" s="42"/>
      <c r="K389" s="42"/>
      <c r="L389" s="42"/>
      <c r="M389" s="42" t="s">
        <v>451</v>
      </c>
      <c r="N389" s="42" t="s">
        <v>452</v>
      </c>
      <c r="O389" s="42" t="s">
        <v>453</v>
      </c>
      <c r="P389" s="154">
        <v>45848</v>
      </c>
      <c r="Q389" s="154">
        <v>45848</v>
      </c>
      <c r="R389" s="154"/>
      <c r="S389" s="42">
        <v>8</v>
      </c>
      <c r="T389" s="42" t="s">
        <v>466</v>
      </c>
      <c r="U389" s="42">
        <v>18</v>
      </c>
      <c r="V389" s="42" t="s">
        <v>565</v>
      </c>
      <c r="W389" s="42">
        <v>3</v>
      </c>
      <c r="X389" s="42" t="s">
        <v>457</v>
      </c>
      <c r="Y389" s="42">
        <v>2311000</v>
      </c>
      <c r="Z389" s="42" t="s">
        <v>467</v>
      </c>
      <c r="AA389" s="42">
        <v>440</v>
      </c>
      <c r="AB389" s="42">
        <v>9</v>
      </c>
      <c r="AC389" s="42">
        <v>2675559</v>
      </c>
      <c r="AD389" s="42" t="s">
        <v>29</v>
      </c>
      <c r="AE389" s="42">
        <v>162</v>
      </c>
      <c r="AF389" s="42" t="s">
        <v>458</v>
      </c>
      <c r="AG389" s="42" t="s">
        <v>459</v>
      </c>
      <c r="AH389" s="42" t="s">
        <v>188</v>
      </c>
      <c r="AI389" s="42" t="s">
        <v>460</v>
      </c>
      <c r="AJ389" s="154">
        <v>45848</v>
      </c>
      <c r="AK389" s="42">
        <v>254</v>
      </c>
      <c r="AL389" s="154">
        <v>45845</v>
      </c>
      <c r="AM389" s="154"/>
      <c r="AN389" s="42"/>
      <c r="AO389" s="154"/>
      <c r="AP389" s="154">
        <v>46295</v>
      </c>
      <c r="AQ389" s="42"/>
      <c r="AR389" s="42"/>
      <c r="AS389" s="42"/>
      <c r="AT389" s="42"/>
      <c r="AU389" s="42"/>
      <c r="AV389" s="42"/>
      <c r="AW389" s="42"/>
      <c r="AX389" s="42"/>
    </row>
    <row r="390" spans="1:50" ht="12.75" customHeight="1">
      <c r="A390" s="42">
        <v>1030602070</v>
      </c>
      <c r="B390" s="42" t="s">
        <v>773</v>
      </c>
      <c r="C390" s="42" t="s">
        <v>774</v>
      </c>
      <c r="D390" s="42" t="s">
        <v>775</v>
      </c>
      <c r="E390" s="42" t="s">
        <v>481</v>
      </c>
      <c r="F390" s="154">
        <v>33556</v>
      </c>
      <c r="G390" s="42" t="s">
        <v>1111</v>
      </c>
      <c r="H390" s="42">
        <v>4787616</v>
      </c>
      <c r="I390" s="42" t="s">
        <v>586</v>
      </c>
      <c r="J390" s="42">
        <v>1030602070</v>
      </c>
      <c r="K390" s="42">
        <v>1</v>
      </c>
      <c r="L390" s="42">
        <v>3</v>
      </c>
      <c r="M390" s="42" t="s">
        <v>451</v>
      </c>
      <c r="N390" s="42" t="s">
        <v>452</v>
      </c>
      <c r="O390" s="42" t="s">
        <v>453</v>
      </c>
      <c r="P390" s="154">
        <v>44740</v>
      </c>
      <c r="Q390" s="154">
        <v>44740</v>
      </c>
      <c r="R390" s="154"/>
      <c r="S390" s="42">
        <v>5</v>
      </c>
      <c r="T390" s="42" t="s">
        <v>499</v>
      </c>
      <c r="U390" s="42">
        <v>18</v>
      </c>
      <c r="V390" s="42" t="s">
        <v>565</v>
      </c>
      <c r="W390" s="42">
        <v>3</v>
      </c>
      <c r="X390" s="42" t="s">
        <v>457</v>
      </c>
      <c r="Y390" s="42">
        <v>2310200</v>
      </c>
      <c r="Z390" s="42" t="s">
        <v>623</v>
      </c>
      <c r="AA390" s="42">
        <v>314</v>
      </c>
      <c r="AB390" s="42">
        <v>20</v>
      </c>
      <c r="AC390" s="42">
        <v>4789274</v>
      </c>
      <c r="AD390" s="42" t="s">
        <v>517</v>
      </c>
      <c r="AE390" s="42">
        <v>118</v>
      </c>
      <c r="AF390" s="42" t="s">
        <v>458</v>
      </c>
      <c r="AG390" s="42" t="s">
        <v>459</v>
      </c>
      <c r="AH390" s="42" t="s">
        <v>188</v>
      </c>
      <c r="AI390" s="42" t="s">
        <v>460</v>
      </c>
      <c r="AJ390" s="154">
        <v>44740</v>
      </c>
      <c r="AK390" s="42">
        <v>206</v>
      </c>
      <c r="AL390" s="154">
        <v>44735</v>
      </c>
      <c r="AM390" s="154"/>
      <c r="AN390" s="42"/>
      <c r="AO390" s="154"/>
      <c r="AP390" s="154">
        <v>46048</v>
      </c>
      <c r="AQ390" s="42"/>
      <c r="AR390" s="42"/>
      <c r="AS390" s="42"/>
      <c r="AT390" s="42"/>
      <c r="AU390" s="42"/>
      <c r="AV390" s="42"/>
      <c r="AW390" s="42"/>
      <c r="AX390" s="42"/>
    </row>
    <row r="391" spans="1:50" ht="12.75" customHeight="1">
      <c r="A391" s="42">
        <v>1030618681</v>
      </c>
      <c r="B391" s="42" t="s">
        <v>578</v>
      </c>
      <c r="C391" s="42" t="s">
        <v>777</v>
      </c>
      <c r="D391" s="42" t="s">
        <v>778</v>
      </c>
      <c r="E391" s="42" t="s">
        <v>448</v>
      </c>
      <c r="F391" s="154">
        <v>33944</v>
      </c>
      <c r="G391" s="42" t="s">
        <v>1118</v>
      </c>
      <c r="H391" s="42">
        <v>1234567</v>
      </c>
      <c r="I391" s="42" t="s">
        <v>450</v>
      </c>
      <c r="J391" s="42"/>
      <c r="K391" s="42"/>
      <c r="L391" s="42"/>
      <c r="M391" s="42" t="s">
        <v>451</v>
      </c>
      <c r="N391" s="42" t="s">
        <v>452</v>
      </c>
      <c r="O391" s="42" t="s">
        <v>453</v>
      </c>
      <c r="P391" s="154">
        <v>44489</v>
      </c>
      <c r="Q391" s="154">
        <v>44489</v>
      </c>
      <c r="R391" s="154"/>
      <c r="S391" s="42">
        <v>5</v>
      </c>
      <c r="T391" s="42" t="s">
        <v>499</v>
      </c>
      <c r="U391" s="42">
        <v>23</v>
      </c>
      <c r="V391" s="42" t="s">
        <v>669</v>
      </c>
      <c r="W391" s="42">
        <v>3</v>
      </c>
      <c r="X391" s="42" t="s">
        <v>457</v>
      </c>
      <c r="Y391" s="42">
        <v>2310470</v>
      </c>
      <c r="Z391" s="42" t="s">
        <v>477</v>
      </c>
      <c r="AA391" s="42">
        <v>314</v>
      </c>
      <c r="AB391" s="42">
        <v>20</v>
      </c>
      <c r="AC391" s="42">
        <v>4789274</v>
      </c>
      <c r="AD391" s="42" t="s">
        <v>517</v>
      </c>
      <c r="AE391" s="42">
        <v>123</v>
      </c>
      <c r="AF391" s="42" t="s">
        <v>458</v>
      </c>
      <c r="AG391" s="42" t="s">
        <v>459</v>
      </c>
      <c r="AH391" s="42" t="s">
        <v>49</v>
      </c>
      <c r="AI391" s="42" t="s">
        <v>460</v>
      </c>
      <c r="AJ391" s="154">
        <v>44489</v>
      </c>
      <c r="AK391" s="42">
        <v>92</v>
      </c>
      <c r="AL391" s="154">
        <v>44335</v>
      </c>
      <c r="AM391" s="154">
        <v>46261</v>
      </c>
      <c r="AN391" s="42">
        <v>350</v>
      </c>
      <c r="AO391" s="154">
        <v>46244</v>
      </c>
      <c r="AP391" s="154"/>
      <c r="AQ391" s="42"/>
      <c r="AR391" s="42"/>
      <c r="AS391" s="42"/>
      <c r="AT391" s="42"/>
      <c r="AU391" s="42"/>
      <c r="AV391" s="42"/>
      <c r="AW391" s="42"/>
      <c r="AX391" s="42"/>
    </row>
    <row r="392" spans="1:50" ht="12.75" customHeight="1">
      <c r="A392" s="42">
        <v>1031178594</v>
      </c>
      <c r="B392" s="42" t="s">
        <v>721</v>
      </c>
      <c r="C392" s="42" t="s">
        <v>1008</v>
      </c>
      <c r="D392" s="42" t="s">
        <v>1127</v>
      </c>
      <c r="E392" s="42" t="s">
        <v>481</v>
      </c>
      <c r="F392" s="154">
        <v>36056</v>
      </c>
      <c r="G392" s="42" t="s">
        <v>1128</v>
      </c>
      <c r="H392" s="42">
        <v>3143734885</v>
      </c>
      <c r="I392" s="42" t="s">
        <v>450</v>
      </c>
      <c r="J392" s="42"/>
      <c r="K392" s="42"/>
      <c r="L392" s="42"/>
      <c r="M392" s="42" t="s">
        <v>547</v>
      </c>
      <c r="N392" s="42" t="s">
        <v>452</v>
      </c>
      <c r="O392" s="42" t="s">
        <v>453</v>
      </c>
      <c r="P392" s="154">
        <v>45954</v>
      </c>
      <c r="Q392" s="154">
        <v>45954</v>
      </c>
      <c r="R392" s="154"/>
      <c r="S392" s="42">
        <v>346</v>
      </c>
      <c r="T392" s="42" t="s">
        <v>1131</v>
      </c>
      <c r="U392" s="42">
        <v>11</v>
      </c>
      <c r="V392" s="42" t="s">
        <v>456</v>
      </c>
      <c r="W392" s="42">
        <v>3</v>
      </c>
      <c r="X392" s="42" t="s">
        <v>457</v>
      </c>
      <c r="Y392" s="42">
        <v>2311000</v>
      </c>
      <c r="Z392" s="42" t="s">
        <v>467</v>
      </c>
      <c r="AA392" s="42">
        <v>407</v>
      </c>
      <c r="AB392" s="42">
        <v>15</v>
      </c>
      <c r="AC392" s="42">
        <v>3212811</v>
      </c>
      <c r="AD392" s="42" t="s">
        <v>146</v>
      </c>
      <c r="AE392" s="42">
        <v>149</v>
      </c>
      <c r="AF392" s="42" t="s">
        <v>458</v>
      </c>
      <c r="AG392" s="42" t="s">
        <v>459</v>
      </c>
      <c r="AH392" s="42" t="s">
        <v>188</v>
      </c>
      <c r="AI392" s="42" t="s">
        <v>460</v>
      </c>
      <c r="AJ392" s="154">
        <v>45954</v>
      </c>
      <c r="AK392" s="42">
        <v>394</v>
      </c>
      <c r="AL392" s="154">
        <v>45952</v>
      </c>
      <c r="AM392" s="154"/>
      <c r="AN392" s="42"/>
      <c r="AO392" s="154"/>
      <c r="AP392" s="154">
        <v>46089</v>
      </c>
      <c r="AQ392" s="42"/>
      <c r="AR392" s="42"/>
      <c r="AS392" s="42"/>
      <c r="AT392" s="42"/>
      <c r="AU392" s="42"/>
      <c r="AV392" s="42"/>
      <c r="AW392" s="42"/>
      <c r="AX392" s="42"/>
    </row>
    <row r="393" spans="1:50" ht="12.75" customHeight="1">
      <c r="A393" s="42">
        <v>1032360948</v>
      </c>
      <c r="B393" s="42" t="s">
        <v>561</v>
      </c>
      <c r="C393" s="42" t="s">
        <v>780</v>
      </c>
      <c r="D393" s="42" t="s">
        <v>781</v>
      </c>
      <c r="E393" s="42" t="s">
        <v>448</v>
      </c>
      <c r="F393" s="154">
        <v>31269</v>
      </c>
      <c r="G393" s="42" t="s">
        <v>1137</v>
      </c>
      <c r="H393" s="42">
        <v>3015438210</v>
      </c>
      <c r="I393" s="42" t="s">
        <v>450</v>
      </c>
      <c r="J393" s="42"/>
      <c r="K393" s="42"/>
      <c r="L393" s="42"/>
      <c r="M393" s="42" t="s">
        <v>451</v>
      </c>
      <c r="N393" s="42" t="s">
        <v>452</v>
      </c>
      <c r="O393" s="42" t="s">
        <v>453</v>
      </c>
      <c r="P393" s="154">
        <v>45714</v>
      </c>
      <c r="Q393" s="154">
        <v>45714</v>
      </c>
      <c r="R393" s="154"/>
      <c r="S393" s="42">
        <v>5</v>
      </c>
      <c r="T393" s="42" t="s">
        <v>499</v>
      </c>
      <c r="U393" s="42">
        <v>31</v>
      </c>
      <c r="V393" s="42" t="s">
        <v>1038</v>
      </c>
      <c r="W393" s="42">
        <v>3</v>
      </c>
      <c r="X393" s="42" t="s">
        <v>457</v>
      </c>
      <c r="Y393" s="42">
        <v>2310430</v>
      </c>
      <c r="Z393" s="42" t="s">
        <v>494</v>
      </c>
      <c r="AA393" s="42">
        <v>9</v>
      </c>
      <c r="AB393" s="42">
        <v>7</v>
      </c>
      <c r="AC393" s="42">
        <v>11186814</v>
      </c>
      <c r="AD393" s="42" t="s">
        <v>512</v>
      </c>
      <c r="AE393" s="42">
        <v>5</v>
      </c>
      <c r="AF393" s="42" t="s">
        <v>458</v>
      </c>
      <c r="AG393" s="42" t="s">
        <v>459</v>
      </c>
      <c r="AH393" s="42" t="s">
        <v>484</v>
      </c>
      <c r="AI393" s="42" t="s">
        <v>460</v>
      </c>
      <c r="AJ393" s="154">
        <v>45714</v>
      </c>
      <c r="AK393" s="42">
        <v>83</v>
      </c>
      <c r="AL393" s="154">
        <v>45713</v>
      </c>
      <c r="AM393" s="154"/>
      <c r="AN393" s="42"/>
      <c r="AO393" s="154"/>
      <c r="AP393" s="154"/>
      <c r="AQ393" s="42"/>
      <c r="AR393" s="42"/>
      <c r="AS393" s="42"/>
      <c r="AT393" s="42"/>
      <c r="AU393" s="42"/>
      <c r="AV393" s="42"/>
      <c r="AW393" s="42"/>
      <c r="AX393" s="42"/>
    </row>
    <row r="394" spans="1:50" ht="12.75" customHeight="1">
      <c r="A394" s="42">
        <v>1032366723</v>
      </c>
      <c r="B394" s="42" t="s">
        <v>783</v>
      </c>
      <c r="C394" s="42" t="s">
        <v>784</v>
      </c>
      <c r="D394" s="42" t="s">
        <v>785</v>
      </c>
      <c r="E394" s="42" t="s">
        <v>481</v>
      </c>
      <c r="F394" s="154">
        <v>31613</v>
      </c>
      <c r="G394" s="42" t="s">
        <v>1138</v>
      </c>
      <c r="H394" s="42">
        <v>3869794</v>
      </c>
      <c r="I394" s="42" t="s">
        <v>450</v>
      </c>
      <c r="J394" s="42"/>
      <c r="K394" s="42"/>
      <c r="L394" s="42"/>
      <c r="M394" s="42" t="s">
        <v>451</v>
      </c>
      <c r="N394" s="42" t="s">
        <v>452</v>
      </c>
      <c r="O394" s="42" t="s">
        <v>453</v>
      </c>
      <c r="P394" s="154">
        <v>44193</v>
      </c>
      <c r="Q394" s="154">
        <v>44193</v>
      </c>
      <c r="R394" s="154"/>
      <c r="S394" s="42">
        <v>5</v>
      </c>
      <c r="T394" s="42" t="s">
        <v>499</v>
      </c>
      <c r="U394" s="42">
        <v>18</v>
      </c>
      <c r="V394" s="42" t="s">
        <v>565</v>
      </c>
      <c r="W394" s="42">
        <v>3</v>
      </c>
      <c r="X394" s="42" t="s">
        <v>457</v>
      </c>
      <c r="Y394" s="42">
        <v>2310100</v>
      </c>
      <c r="Z394" s="42" t="s">
        <v>541</v>
      </c>
      <c r="AA394" s="42">
        <v>219</v>
      </c>
      <c r="AB394" s="42">
        <v>18</v>
      </c>
      <c r="AC394" s="42">
        <v>5951245</v>
      </c>
      <c r="AD394" s="42" t="s">
        <v>72</v>
      </c>
      <c r="AE394" s="42">
        <v>10</v>
      </c>
      <c r="AF394" s="42" t="s">
        <v>458</v>
      </c>
      <c r="AG394" s="42" t="s">
        <v>459</v>
      </c>
      <c r="AH394" s="42" t="s">
        <v>484</v>
      </c>
      <c r="AI394" s="42" t="s">
        <v>460</v>
      </c>
      <c r="AJ394" s="154">
        <v>44193</v>
      </c>
      <c r="AK394" s="42">
        <v>118</v>
      </c>
      <c r="AL394" s="154">
        <v>44118</v>
      </c>
      <c r="AM394" s="154">
        <v>44562</v>
      </c>
      <c r="AN394" s="42">
        <v>554</v>
      </c>
      <c r="AO394" s="154">
        <v>44559</v>
      </c>
      <c r="AP394" s="154">
        <v>46022</v>
      </c>
      <c r="AQ394" s="42"/>
      <c r="AR394" s="42"/>
      <c r="AS394" s="42"/>
      <c r="AT394" s="42"/>
      <c r="AU394" s="42"/>
      <c r="AV394" s="42"/>
      <c r="AW394" s="42"/>
      <c r="AX394" s="42"/>
    </row>
    <row r="395" spans="1:50" ht="12.75" customHeight="1">
      <c r="A395" s="42">
        <v>1032414375</v>
      </c>
      <c r="B395" s="42" t="s">
        <v>1139</v>
      </c>
      <c r="C395" s="42" t="s">
        <v>981</v>
      </c>
      <c r="D395" s="42" t="s">
        <v>504</v>
      </c>
      <c r="E395" s="42" t="s">
        <v>481</v>
      </c>
      <c r="F395" s="154">
        <v>32317</v>
      </c>
      <c r="G395" s="42" t="s">
        <v>1140</v>
      </c>
      <c r="H395" s="42">
        <v>4768919</v>
      </c>
      <c r="I395" s="42" t="s">
        <v>450</v>
      </c>
      <c r="J395" s="42"/>
      <c r="K395" s="42"/>
      <c r="L395" s="42"/>
      <c r="M395" s="42" t="s">
        <v>451</v>
      </c>
      <c r="N395" s="42" t="s">
        <v>452</v>
      </c>
      <c r="O395" s="42" t="s">
        <v>453</v>
      </c>
      <c r="P395" s="154">
        <v>42859</v>
      </c>
      <c r="Q395" s="154">
        <v>42859</v>
      </c>
      <c r="R395" s="154"/>
      <c r="S395" s="42">
        <v>8</v>
      </c>
      <c r="T395" s="42" t="s">
        <v>466</v>
      </c>
      <c r="U395" s="42">
        <v>18</v>
      </c>
      <c r="V395" s="42" t="s">
        <v>565</v>
      </c>
      <c r="W395" s="42">
        <v>3</v>
      </c>
      <c r="X395" s="42" t="s">
        <v>457</v>
      </c>
      <c r="Y395" s="42">
        <v>2310430</v>
      </c>
      <c r="Z395" s="42" t="s">
        <v>494</v>
      </c>
      <c r="AA395" s="42">
        <v>219</v>
      </c>
      <c r="AB395" s="42">
        <v>15</v>
      </c>
      <c r="AC395" s="42">
        <v>5771486</v>
      </c>
      <c r="AD395" s="42" t="s">
        <v>72</v>
      </c>
      <c r="AE395" s="42">
        <v>95</v>
      </c>
      <c r="AF395" s="42" t="s">
        <v>458</v>
      </c>
      <c r="AG395" s="42" t="s">
        <v>459</v>
      </c>
      <c r="AH395" s="42" t="s">
        <v>188</v>
      </c>
      <c r="AI395" s="42" t="s">
        <v>460</v>
      </c>
      <c r="AJ395" s="154">
        <v>42859</v>
      </c>
      <c r="AK395" s="42">
        <v>60</v>
      </c>
      <c r="AL395" s="154">
        <v>42846</v>
      </c>
      <c r="AM395" s="154"/>
      <c r="AN395" s="42"/>
      <c r="AO395" s="154"/>
      <c r="AP395" s="154">
        <v>44439</v>
      </c>
      <c r="AQ395" s="42"/>
      <c r="AR395" s="42"/>
      <c r="AS395" s="42"/>
      <c r="AT395" s="42"/>
      <c r="AU395" s="42"/>
      <c r="AV395" s="42"/>
      <c r="AW395" s="42"/>
      <c r="AX395" s="42"/>
    </row>
    <row r="396" spans="1:50" ht="12.75" customHeight="1">
      <c r="A396" s="42">
        <v>1032416357</v>
      </c>
      <c r="B396" s="42" t="s">
        <v>725</v>
      </c>
      <c r="C396" s="42" t="s">
        <v>1141</v>
      </c>
      <c r="D396" s="42" t="s">
        <v>1142</v>
      </c>
      <c r="E396" s="42" t="s">
        <v>481</v>
      </c>
      <c r="F396" s="154">
        <v>32245</v>
      </c>
      <c r="G396" s="42" t="s">
        <v>1143</v>
      </c>
      <c r="H396" s="42">
        <v>3926975</v>
      </c>
      <c r="I396" s="42" t="s">
        <v>586</v>
      </c>
      <c r="J396" s="42">
        <v>88041263045</v>
      </c>
      <c r="K396" s="42">
        <v>2</v>
      </c>
      <c r="L396" s="42"/>
      <c r="M396" s="42" t="s">
        <v>451</v>
      </c>
      <c r="N396" s="42" t="s">
        <v>452</v>
      </c>
      <c r="O396" s="42" t="s">
        <v>453</v>
      </c>
      <c r="P396" s="154">
        <v>42803</v>
      </c>
      <c r="Q396" s="154">
        <v>42803</v>
      </c>
      <c r="R396" s="154"/>
      <c r="S396" s="42">
        <v>8</v>
      </c>
      <c r="T396" s="42" t="s">
        <v>466</v>
      </c>
      <c r="U396" s="42">
        <v>11</v>
      </c>
      <c r="V396" s="42" t="s">
        <v>456</v>
      </c>
      <c r="W396" s="42">
        <v>3</v>
      </c>
      <c r="X396" s="42" t="s">
        <v>457</v>
      </c>
      <c r="Y396" s="42">
        <v>2310440</v>
      </c>
      <c r="Z396" s="42" t="s">
        <v>628</v>
      </c>
      <c r="AA396" s="42">
        <v>219</v>
      </c>
      <c r="AB396" s="42">
        <v>13</v>
      </c>
      <c r="AC396" s="42">
        <v>5471098</v>
      </c>
      <c r="AD396" s="42" t="s">
        <v>72</v>
      </c>
      <c r="AE396" s="42">
        <v>109</v>
      </c>
      <c r="AF396" s="42" t="s">
        <v>458</v>
      </c>
      <c r="AG396" s="42" t="s">
        <v>459</v>
      </c>
      <c r="AH396" s="42" t="s">
        <v>188</v>
      </c>
      <c r="AI396" s="42" t="s">
        <v>460</v>
      </c>
      <c r="AJ396" s="154">
        <v>43479</v>
      </c>
      <c r="AK396" s="42">
        <v>155</v>
      </c>
      <c r="AL396" s="154">
        <v>43462</v>
      </c>
      <c r="AM396" s="154"/>
      <c r="AN396" s="42"/>
      <c r="AO396" s="154"/>
      <c r="AP396" s="154">
        <v>43905</v>
      </c>
      <c r="AQ396" s="42"/>
      <c r="AR396" s="42"/>
      <c r="AS396" s="42"/>
      <c r="AT396" s="42"/>
      <c r="AU396" s="42"/>
      <c r="AV396" s="42"/>
      <c r="AW396" s="42"/>
      <c r="AX396" s="42"/>
    </row>
    <row r="397" spans="1:50" ht="12.75" customHeight="1">
      <c r="A397" s="42">
        <v>1032434263</v>
      </c>
      <c r="B397" s="42" t="s">
        <v>861</v>
      </c>
      <c r="C397" s="42" t="s">
        <v>1144</v>
      </c>
      <c r="D397" s="42" t="s">
        <v>1145</v>
      </c>
      <c r="E397" s="42" t="s">
        <v>481</v>
      </c>
      <c r="F397" s="154">
        <v>32685</v>
      </c>
      <c r="G397" s="42" t="s">
        <v>1146</v>
      </c>
      <c r="H397" s="42">
        <v>3653315</v>
      </c>
      <c r="I397" s="42" t="s">
        <v>450</v>
      </c>
      <c r="J397" s="42"/>
      <c r="K397" s="42"/>
      <c r="L397" s="42"/>
      <c r="M397" s="42" t="s">
        <v>451</v>
      </c>
      <c r="N397" s="42" t="s">
        <v>452</v>
      </c>
      <c r="O397" s="42" t="s">
        <v>453</v>
      </c>
      <c r="P397" s="154">
        <v>45295</v>
      </c>
      <c r="Q397" s="154">
        <v>45295</v>
      </c>
      <c r="R397" s="154"/>
      <c r="S397" s="42">
        <v>5</v>
      </c>
      <c r="T397" s="42" t="s">
        <v>499</v>
      </c>
      <c r="U397" s="42">
        <v>11</v>
      </c>
      <c r="V397" s="42" t="s">
        <v>456</v>
      </c>
      <c r="W397" s="42">
        <v>3</v>
      </c>
      <c r="X397" s="42" t="s">
        <v>457</v>
      </c>
      <c r="Y397" s="42">
        <v>2311000</v>
      </c>
      <c r="Z397" s="42" t="s">
        <v>467</v>
      </c>
      <c r="AA397" s="42">
        <v>440</v>
      </c>
      <c r="AB397" s="42">
        <v>9</v>
      </c>
      <c r="AC397" s="42">
        <v>2675559</v>
      </c>
      <c r="AD397" s="42" t="s">
        <v>29</v>
      </c>
      <c r="AE397" s="42">
        <v>162</v>
      </c>
      <c r="AF397" s="42" t="s">
        <v>458</v>
      </c>
      <c r="AG397" s="42" t="s">
        <v>459</v>
      </c>
      <c r="AH397" s="42" t="s">
        <v>188</v>
      </c>
      <c r="AI397" s="42" t="s">
        <v>460</v>
      </c>
      <c r="AJ397" s="154">
        <v>45295</v>
      </c>
      <c r="AK397" s="42">
        <v>683</v>
      </c>
      <c r="AL397" s="154">
        <v>45289</v>
      </c>
      <c r="AM397" s="154"/>
      <c r="AN397" s="42"/>
      <c r="AO397" s="154"/>
      <c r="AP397" s="154">
        <v>45517</v>
      </c>
      <c r="AQ397" s="42"/>
      <c r="AR397" s="42"/>
      <c r="AS397" s="42"/>
      <c r="AT397" s="42"/>
      <c r="AU397" s="42"/>
      <c r="AV397" s="42"/>
      <c r="AW397" s="42"/>
      <c r="AX397" s="42"/>
    </row>
    <row r="398" spans="1:50" ht="12.75" customHeight="1">
      <c r="A398" s="42">
        <v>1032442475</v>
      </c>
      <c r="B398" s="42" t="s">
        <v>797</v>
      </c>
      <c r="C398" s="42" t="s">
        <v>445</v>
      </c>
      <c r="D398" s="42" t="s">
        <v>1148</v>
      </c>
      <c r="E398" s="42" t="s">
        <v>481</v>
      </c>
      <c r="F398" s="154">
        <v>33285</v>
      </c>
      <c r="G398" s="42" t="s">
        <v>1149</v>
      </c>
      <c r="H398" s="42">
        <v>3212406850</v>
      </c>
      <c r="I398" s="42" t="s">
        <v>586</v>
      </c>
      <c r="J398" s="42">
        <v>1032442475</v>
      </c>
      <c r="K398" s="42">
        <v>2</v>
      </c>
      <c r="L398" s="42">
        <v>5</v>
      </c>
      <c r="M398" s="42" t="s">
        <v>451</v>
      </c>
      <c r="N398" s="42" t="s">
        <v>452</v>
      </c>
      <c r="O398" s="42" t="s">
        <v>453</v>
      </c>
      <c r="P398" s="154">
        <v>43049</v>
      </c>
      <c r="Q398" s="154">
        <v>43049</v>
      </c>
      <c r="R398" s="42"/>
      <c r="S398" s="42">
        <v>8</v>
      </c>
      <c r="T398" s="42" t="s">
        <v>466</v>
      </c>
      <c r="U398" s="42">
        <v>11</v>
      </c>
      <c r="V398" s="42" t="s">
        <v>456</v>
      </c>
      <c r="W398" s="42">
        <v>3</v>
      </c>
      <c r="X398" s="42" t="s">
        <v>457</v>
      </c>
      <c r="Y398" s="42">
        <v>2310470</v>
      </c>
      <c r="Z398" s="42" t="s">
        <v>477</v>
      </c>
      <c r="AA398" s="42">
        <v>407</v>
      </c>
      <c r="AB398" s="42">
        <v>9</v>
      </c>
      <c r="AC398" s="42">
        <v>2675559</v>
      </c>
      <c r="AD398" s="42" t="s">
        <v>146</v>
      </c>
      <c r="AE398" s="42">
        <v>155</v>
      </c>
      <c r="AF398" s="42" t="s">
        <v>458</v>
      </c>
      <c r="AG398" s="42" t="s">
        <v>459</v>
      </c>
      <c r="AH398" s="42" t="s">
        <v>188</v>
      </c>
      <c r="AI398" s="42" t="s">
        <v>460</v>
      </c>
      <c r="AJ398" s="154">
        <v>43049</v>
      </c>
      <c r="AK398" s="42">
        <v>180</v>
      </c>
      <c r="AL398" s="154">
        <v>43049</v>
      </c>
      <c r="AM398" s="154"/>
      <c r="AN398" s="42"/>
      <c r="AO398" s="154"/>
      <c r="AP398" s="154">
        <v>44565</v>
      </c>
      <c r="AQ398" s="42"/>
      <c r="AR398" s="42"/>
      <c r="AS398" s="42"/>
      <c r="AT398" s="42"/>
      <c r="AU398" s="42"/>
      <c r="AV398" s="42"/>
      <c r="AW398" s="42"/>
      <c r="AX398" s="42"/>
    </row>
    <row r="399" spans="1:50" ht="12.75" customHeight="1">
      <c r="A399" s="42">
        <v>1032448684</v>
      </c>
      <c r="B399" s="42" t="s">
        <v>445</v>
      </c>
      <c r="C399" s="42" t="s">
        <v>790</v>
      </c>
      <c r="D399" s="42" t="s">
        <v>791</v>
      </c>
      <c r="E399" s="42" t="s">
        <v>448</v>
      </c>
      <c r="F399" s="154">
        <v>33668</v>
      </c>
      <c r="G399" s="42" t="s">
        <v>1153</v>
      </c>
      <c r="H399" s="42">
        <v>7513015</v>
      </c>
      <c r="I399" s="42" t="s">
        <v>586</v>
      </c>
      <c r="J399" s="42">
        <v>1032448684</v>
      </c>
      <c r="K399" s="42">
        <v>2</v>
      </c>
      <c r="L399" s="42">
        <v>51</v>
      </c>
      <c r="M399" s="42" t="s">
        <v>448</v>
      </c>
      <c r="N399" s="42" t="s">
        <v>452</v>
      </c>
      <c r="O399" s="42" t="s">
        <v>453</v>
      </c>
      <c r="P399" s="154">
        <v>44147</v>
      </c>
      <c r="Q399" s="154">
        <v>44147</v>
      </c>
      <c r="R399" s="154">
        <v>43325</v>
      </c>
      <c r="S399" s="42">
        <v>5</v>
      </c>
      <c r="T399" s="42" t="s">
        <v>499</v>
      </c>
      <c r="U399" s="42">
        <v>11</v>
      </c>
      <c r="V399" s="42" t="s">
        <v>456</v>
      </c>
      <c r="W399" s="42">
        <v>3</v>
      </c>
      <c r="X399" s="42" t="s">
        <v>457</v>
      </c>
      <c r="Y399" s="42">
        <v>2311000</v>
      </c>
      <c r="Z399" s="42" t="s">
        <v>467</v>
      </c>
      <c r="AA399" s="42">
        <v>219</v>
      </c>
      <c r="AB399" s="42">
        <v>18</v>
      </c>
      <c r="AC399" s="42">
        <v>5951245</v>
      </c>
      <c r="AD399" s="42" t="s">
        <v>72</v>
      </c>
      <c r="AE399" s="42">
        <v>26</v>
      </c>
      <c r="AF399" s="42" t="s">
        <v>458</v>
      </c>
      <c r="AG399" s="42" t="s">
        <v>459</v>
      </c>
      <c r="AH399" s="42" t="s">
        <v>49</v>
      </c>
      <c r="AI399" s="42" t="s">
        <v>460</v>
      </c>
      <c r="AJ399" s="154">
        <v>44147</v>
      </c>
      <c r="AK399" s="42">
        <v>187</v>
      </c>
      <c r="AL399" s="154">
        <v>44124</v>
      </c>
      <c r="AM399" s="154">
        <v>46279</v>
      </c>
      <c r="AN399" s="42">
        <v>393</v>
      </c>
      <c r="AO399" s="154">
        <v>46274</v>
      </c>
      <c r="AP399" s="154"/>
      <c r="AQ399" s="42"/>
      <c r="AR399" s="42"/>
      <c r="AS399" s="42"/>
      <c r="AT399" s="42"/>
      <c r="AU399" s="42"/>
      <c r="AV399" s="42"/>
      <c r="AW399" s="42"/>
      <c r="AX399" s="42"/>
    </row>
    <row r="400" spans="1:50" ht="12.75" customHeight="1">
      <c r="A400" s="42">
        <v>79316169</v>
      </c>
      <c r="B400" s="42" t="s">
        <v>631</v>
      </c>
      <c r="C400" s="42" t="s">
        <v>538</v>
      </c>
      <c r="D400" s="42" t="s">
        <v>2005</v>
      </c>
      <c r="E400" s="42" t="s">
        <v>481</v>
      </c>
      <c r="F400" s="154">
        <v>22903</v>
      </c>
      <c r="G400" s="42" t="s">
        <v>2006</v>
      </c>
      <c r="H400" s="42">
        <v>8027540</v>
      </c>
      <c r="I400" s="42" t="s">
        <v>586</v>
      </c>
      <c r="J400" s="42">
        <v>79316169</v>
      </c>
      <c r="K400" s="42">
        <v>2</v>
      </c>
      <c r="L400" s="42"/>
      <c r="M400" s="42" t="s">
        <v>448</v>
      </c>
      <c r="N400" s="42" t="s">
        <v>452</v>
      </c>
      <c r="O400" s="42" t="s">
        <v>453</v>
      </c>
      <c r="P400" s="154">
        <v>43049</v>
      </c>
      <c r="Q400" s="154">
        <v>43049</v>
      </c>
      <c r="R400" s="154"/>
      <c r="S400" s="42">
        <v>5</v>
      </c>
      <c r="T400" s="42" t="s">
        <v>499</v>
      </c>
      <c r="U400" s="42">
        <v>11</v>
      </c>
      <c r="V400" s="42" t="s">
        <v>456</v>
      </c>
      <c r="W400" s="42">
        <v>3</v>
      </c>
      <c r="X400" s="42" t="s">
        <v>457</v>
      </c>
      <c r="Y400" s="42">
        <v>157</v>
      </c>
      <c r="Z400" s="42" t="s">
        <v>500</v>
      </c>
      <c r="AA400" s="42">
        <v>480</v>
      </c>
      <c r="AB400" s="42">
        <v>13</v>
      </c>
      <c r="AC400" s="42">
        <v>3017226</v>
      </c>
      <c r="AD400" s="42" t="s">
        <v>223</v>
      </c>
      <c r="AE400" s="42">
        <v>157</v>
      </c>
      <c r="AF400" s="42" t="s">
        <v>458</v>
      </c>
      <c r="AG400" s="42" t="s">
        <v>459</v>
      </c>
      <c r="AH400" s="42" t="s">
        <v>188</v>
      </c>
      <c r="AI400" s="42" t="s">
        <v>460</v>
      </c>
      <c r="AJ400" s="154">
        <v>43049</v>
      </c>
      <c r="AK400" s="42">
        <v>179</v>
      </c>
      <c r="AL400" s="154">
        <v>43049</v>
      </c>
      <c r="AM400" s="154"/>
      <c r="AN400" s="42"/>
      <c r="AO400" s="154"/>
      <c r="AP400" s="154">
        <v>44144</v>
      </c>
      <c r="AQ400" s="42"/>
      <c r="AR400" s="42"/>
      <c r="AS400" s="42"/>
      <c r="AT400" s="42"/>
      <c r="AU400" s="42"/>
      <c r="AV400" s="42"/>
      <c r="AW400" s="42"/>
      <c r="AX400" s="42"/>
    </row>
    <row r="401" spans="1:50" ht="12.75" customHeight="1">
      <c r="A401" s="42">
        <v>79316619</v>
      </c>
      <c r="B401" s="42" t="s">
        <v>537</v>
      </c>
      <c r="C401" s="42" t="s">
        <v>1049</v>
      </c>
      <c r="D401" s="42" t="s">
        <v>1050</v>
      </c>
      <c r="E401" s="42" t="s">
        <v>448</v>
      </c>
      <c r="F401" s="154">
        <v>23600</v>
      </c>
      <c r="G401" s="42" t="s">
        <v>2008</v>
      </c>
      <c r="H401" s="42">
        <v>4741392</v>
      </c>
      <c r="I401" s="42" t="s">
        <v>586</v>
      </c>
      <c r="J401" s="42">
        <v>79316619</v>
      </c>
      <c r="K401" s="42">
        <v>2</v>
      </c>
      <c r="L401" s="42">
        <v>52</v>
      </c>
      <c r="M401" s="42" t="s">
        <v>451</v>
      </c>
      <c r="N401" s="42" t="s">
        <v>452</v>
      </c>
      <c r="O401" s="42" t="s">
        <v>453</v>
      </c>
      <c r="P401" s="154">
        <v>44165</v>
      </c>
      <c r="Q401" s="154">
        <v>44165</v>
      </c>
      <c r="R401" s="154"/>
      <c r="S401" s="42">
        <v>5</v>
      </c>
      <c r="T401" s="42" t="s">
        <v>499</v>
      </c>
      <c r="U401" s="42">
        <v>19</v>
      </c>
      <c r="V401" s="42" t="s">
        <v>574</v>
      </c>
      <c r="W401" s="42">
        <v>3</v>
      </c>
      <c r="X401" s="42" t="s">
        <v>457</v>
      </c>
      <c r="Y401" s="42">
        <v>2310470</v>
      </c>
      <c r="Z401" s="42" t="s">
        <v>477</v>
      </c>
      <c r="AA401" s="42">
        <v>222</v>
      </c>
      <c r="AB401" s="42">
        <v>24</v>
      </c>
      <c r="AC401" s="42">
        <v>6809900</v>
      </c>
      <c r="AD401" s="42" t="s">
        <v>51</v>
      </c>
      <c r="AE401" s="42">
        <v>60</v>
      </c>
      <c r="AF401" s="42" t="s">
        <v>458</v>
      </c>
      <c r="AG401" s="42" t="s">
        <v>459</v>
      </c>
      <c r="AH401" s="42" t="s">
        <v>49</v>
      </c>
      <c r="AI401" s="42" t="s">
        <v>460</v>
      </c>
      <c r="AJ401" s="154">
        <v>44165</v>
      </c>
      <c r="AK401" s="42">
        <v>139</v>
      </c>
      <c r="AL401" s="154">
        <v>44118</v>
      </c>
      <c r="AM401" s="154">
        <v>45308</v>
      </c>
      <c r="AN401" s="42">
        <v>12</v>
      </c>
      <c r="AO401" s="154">
        <v>45306</v>
      </c>
      <c r="AP401" s="154"/>
      <c r="AQ401" s="42"/>
      <c r="AR401" s="42"/>
      <c r="AS401" s="42"/>
      <c r="AT401" s="42"/>
      <c r="AU401" s="42"/>
      <c r="AV401" s="42"/>
      <c r="AW401" s="42"/>
      <c r="AX401" s="42"/>
    </row>
    <row r="402" spans="1:50" ht="12.75" customHeight="1">
      <c r="A402" s="42">
        <v>79317479</v>
      </c>
      <c r="B402" s="42" t="s">
        <v>2010</v>
      </c>
      <c r="C402" s="42" t="s">
        <v>579</v>
      </c>
      <c r="D402" s="42" t="s">
        <v>2011</v>
      </c>
      <c r="E402" s="42" t="s">
        <v>481</v>
      </c>
      <c r="F402" s="154">
        <v>22718</v>
      </c>
      <c r="G402" s="42" t="s">
        <v>2013</v>
      </c>
      <c r="H402" s="42">
        <v>6141485</v>
      </c>
      <c r="I402" s="42" t="s">
        <v>586</v>
      </c>
      <c r="J402" s="42" t="s">
        <v>2014</v>
      </c>
      <c r="K402" s="42">
        <v>2</v>
      </c>
      <c r="L402" s="42">
        <v>23</v>
      </c>
      <c r="M402" s="42" t="s">
        <v>451</v>
      </c>
      <c r="N402" s="42" t="s">
        <v>452</v>
      </c>
      <c r="O402" s="42" t="s">
        <v>453</v>
      </c>
      <c r="P402" s="154">
        <v>42632</v>
      </c>
      <c r="Q402" s="154">
        <v>42632</v>
      </c>
      <c r="R402" s="154"/>
      <c r="S402" s="42">
        <v>5</v>
      </c>
      <c r="T402" s="42" t="s">
        <v>499</v>
      </c>
      <c r="U402" s="42">
        <v>11</v>
      </c>
      <c r="V402" s="42" t="s">
        <v>456</v>
      </c>
      <c r="W402" s="42">
        <v>3</v>
      </c>
      <c r="X402" s="42" t="s">
        <v>457</v>
      </c>
      <c r="Y402" s="42">
        <v>2300100</v>
      </c>
      <c r="Z402" s="42" t="s">
        <v>483</v>
      </c>
      <c r="AA402" s="42">
        <v>105</v>
      </c>
      <c r="AB402" s="42">
        <v>5</v>
      </c>
      <c r="AC402" s="42">
        <v>9154873</v>
      </c>
      <c r="AD402" s="42" t="s">
        <v>26</v>
      </c>
      <c r="AE402" s="42">
        <v>12</v>
      </c>
      <c r="AF402" s="42" t="s">
        <v>458</v>
      </c>
      <c r="AG402" s="42" t="s">
        <v>459</v>
      </c>
      <c r="AH402" s="42" t="s">
        <v>484</v>
      </c>
      <c r="AI402" s="42" t="s">
        <v>460</v>
      </c>
      <c r="AJ402" s="154">
        <v>42632</v>
      </c>
      <c r="AK402" s="42">
        <v>38</v>
      </c>
      <c r="AL402" s="154">
        <v>42614</v>
      </c>
      <c r="AM402" s="154"/>
      <c r="AN402" s="42"/>
      <c r="AO402" s="154"/>
      <c r="AP402" s="154">
        <v>44248</v>
      </c>
      <c r="AQ402" s="42"/>
      <c r="AR402" s="42"/>
      <c r="AS402" s="42"/>
      <c r="AT402" s="42"/>
      <c r="AU402" s="42"/>
      <c r="AV402" s="42"/>
      <c r="AW402" s="42"/>
      <c r="AX402" s="42"/>
    </row>
    <row r="403" spans="1:50" ht="12.75" customHeight="1">
      <c r="A403" s="42">
        <v>79349710</v>
      </c>
      <c r="B403" s="42" t="s">
        <v>1053</v>
      </c>
      <c r="C403" s="42" t="s">
        <v>1055</v>
      </c>
      <c r="D403" s="42" t="s">
        <v>1056</v>
      </c>
      <c r="E403" s="42" t="s">
        <v>448</v>
      </c>
      <c r="F403" s="154">
        <v>23629</v>
      </c>
      <c r="G403" s="42" t="s">
        <v>2016</v>
      </c>
      <c r="H403" s="42">
        <v>4310701</v>
      </c>
      <c r="I403" s="42" t="s">
        <v>586</v>
      </c>
      <c r="J403" s="42">
        <v>79349710</v>
      </c>
      <c r="K403" s="42">
        <v>2</v>
      </c>
      <c r="L403" s="42">
        <v>55</v>
      </c>
      <c r="M403" s="42"/>
      <c r="N403" s="42"/>
      <c r="O403" s="42" t="s">
        <v>453</v>
      </c>
      <c r="P403" s="154">
        <v>42585</v>
      </c>
      <c r="Q403" s="154">
        <v>35786</v>
      </c>
      <c r="R403" s="154"/>
      <c r="S403" s="42">
        <v>8</v>
      </c>
      <c r="T403" s="42" t="s">
        <v>466</v>
      </c>
      <c r="U403" s="42">
        <v>11</v>
      </c>
      <c r="V403" s="42" t="s">
        <v>456</v>
      </c>
      <c r="W403" s="42">
        <v>23</v>
      </c>
      <c r="X403" s="42" t="s">
        <v>473</v>
      </c>
      <c r="Y403" s="42">
        <v>2310200</v>
      </c>
      <c r="Z403" s="42" t="s">
        <v>623</v>
      </c>
      <c r="AA403" s="42">
        <v>222</v>
      </c>
      <c r="AB403" s="42">
        <v>24</v>
      </c>
      <c r="AC403" s="42">
        <v>6809900</v>
      </c>
      <c r="AD403" s="42" t="s">
        <v>51</v>
      </c>
      <c r="AE403" s="42">
        <v>53</v>
      </c>
      <c r="AF403" s="42" t="s">
        <v>458</v>
      </c>
      <c r="AG403" s="42" t="s">
        <v>459</v>
      </c>
      <c r="AH403" s="42" t="s">
        <v>49</v>
      </c>
      <c r="AI403" s="42" t="s">
        <v>460</v>
      </c>
      <c r="AJ403" s="154">
        <v>42585</v>
      </c>
      <c r="AK403" s="42">
        <v>2</v>
      </c>
      <c r="AL403" s="154">
        <v>42585</v>
      </c>
      <c r="AM403" s="154">
        <v>45960</v>
      </c>
      <c r="AN403" s="42">
        <v>406</v>
      </c>
      <c r="AO403" s="154">
        <v>45958</v>
      </c>
      <c r="AP403" s="154"/>
      <c r="AQ403" s="42"/>
      <c r="AR403" s="42"/>
      <c r="AS403" s="42"/>
      <c r="AT403" s="42"/>
      <c r="AU403" s="42"/>
      <c r="AV403" s="42"/>
      <c r="AW403" s="42"/>
      <c r="AX403" s="42"/>
    </row>
    <row r="404" spans="1:50" ht="12.75" customHeight="1">
      <c r="A404" s="149">
        <v>79354489</v>
      </c>
      <c r="B404" s="44" t="s">
        <v>818</v>
      </c>
      <c r="C404" s="44" t="s">
        <v>2018</v>
      </c>
      <c r="D404" s="44" t="s">
        <v>2019</v>
      </c>
      <c r="E404" s="44" t="s">
        <v>481</v>
      </c>
      <c r="F404" s="150">
        <v>23712</v>
      </c>
      <c r="G404" s="44" t="s">
        <v>2020</v>
      </c>
      <c r="H404" s="44">
        <v>7538011</v>
      </c>
      <c r="I404" s="44" t="s">
        <v>586</v>
      </c>
      <c r="J404" s="44">
        <v>79354489</v>
      </c>
      <c r="K404" s="44">
        <v>2</v>
      </c>
      <c r="L404" s="44"/>
      <c r="M404" s="44" t="s">
        <v>451</v>
      </c>
      <c r="N404" s="44" t="s">
        <v>452</v>
      </c>
      <c r="O404" s="44" t="s">
        <v>453</v>
      </c>
      <c r="P404" s="150">
        <v>42887</v>
      </c>
      <c r="Q404" s="150">
        <v>42887</v>
      </c>
      <c r="R404" s="151"/>
      <c r="S404" s="44">
        <v>18</v>
      </c>
      <c r="T404" s="44" t="s">
        <v>472</v>
      </c>
      <c r="U404" s="44">
        <v>18</v>
      </c>
      <c r="V404" s="44" t="s">
        <v>565</v>
      </c>
      <c r="W404" s="44">
        <v>3</v>
      </c>
      <c r="X404" s="44" t="s">
        <v>457</v>
      </c>
      <c r="Y404" s="44">
        <v>2310440</v>
      </c>
      <c r="Z404" s="44" t="s">
        <v>628</v>
      </c>
      <c r="AA404" s="44">
        <v>219</v>
      </c>
      <c r="AB404" s="44">
        <v>18</v>
      </c>
      <c r="AC404" s="44">
        <v>5951245</v>
      </c>
      <c r="AD404" s="44" t="s">
        <v>72</v>
      </c>
      <c r="AE404" s="44">
        <v>86</v>
      </c>
      <c r="AF404" s="44" t="s">
        <v>458</v>
      </c>
      <c r="AG404" s="44" t="s">
        <v>459</v>
      </c>
      <c r="AH404" s="44" t="s">
        <v>188</v>
      </c>
      <c r="AI404" s="44" t="s">
        <v>460</v>
      </c>
      <c r="AJ404" s="150">
        <v>42887</v>
      </c>
      <c r="AK404" s="44">
        <v>70</v>
      </c>
      <c r="AL404" s="150">
        <v>42865</v>
      </c>
      <c r="AM404" s="150"/>
      <c r="AN404" s="44"/>
      <c r="AO404" s="150"/>
      <c r="AP404" s="150">
        <v>44584</v>
      </c>
      <c r="AQ404" s="42"/>
      <c r="AR404" s="42"/>
      <c r="AS404" s="42"/>
      <c r="AT404" s="42"/>
      <c r="AU404" s="42"/>
      <c r="AV404" s="42"/>
      <c r="AW404" s="42"/>
      <c r="AX404" s="42"/>
    </row>
    <row r="405" spans="1:50" ht="12.75" customHeight="1">
      <c r="A405" s="202">
        <v>79361343</v>
      </c>
      <c r="B405" s="44" t="s">
        <v>645</v>
      </c>
      <c r="C405" s="44" t="s">
        <v>1036</v>
      </c>
      <c r="D405" s="44" t="s">
        <v>1058</v>
      </c>
      <c r="E405" s="44" t="s">
        <v>448</v>
      </c>
      <c r="F405" s="150">
        <v>24076</v>
      </c>
      <c r="G405" s="44" t="s">
        <v>2021</v>
      </c>
      <c r="H405" s="44">
        <v>4740019</v>
      </c>
      <c r="I405" s="44" t="s">
        <v>586</v>
      </c>
      <c r="J405" s="44">
        <v>8220627</v>
      </c>
      <c r="K405" s="44">
        <v>1</v>
      </c>
      <c r="L405" s="44"/>
      <c r="M405" s="44"/>
      <c r="N405" s="44"/>
      <c r="O405" s="44" t="s">
        <v>453</v>
      </c>
      <c r="P405" s="150">
        <v>42585</v>
      </c>
      <c r="Q405" s="150">
        <v>34785</v>
      </c>
      <c r="R405" s="151"/>
      <c r="S405" s="44">
        <v>8</v>
      </c>
      <c r="T405" s="44" t="s">
        <v>466</v>
      </c>
      <c r="U405" s="44">
        <v>11</v>
      </c>
      <c r="V405" s="44" t="s">
        <v>456</v>
      </c>
      <c r="W405" s="44">
        <v>23</v>
      </c>
      <c r="X405" s="44" t="s">
        <v>473</v>
      </c>
      <c r="Y405" s="44">
        <v>2310300</v>
      </c>
      <c r="Z405" s="44" t="s">
        <v>138</v>
      </c>
      <c r="AA405" s="44">
        <v>219</v>
      </c>
      <c r="AB405" s="44">
        <v>13</v>
      </c>
      <c r="AC405" s="44">
        <v>5471098</v>
      </c>
      <c r="AD405" s="44" t="s">
        <v>72</v>
      </c>
      <c r="AE405" s="44">
        <v>100</v>
      </c>
      <c r="AF405" s="44" t="s">
        <v>458</v>
      </c>
      <c r="AG405" s="44" t="s">
        <v>459</v>
      </c>
      <c r="AH405" s="44" t="s">
        <v>49</v>
      </c>
      <c r="AI405" s="44" t="s">
        <v>460</v>
      </c>
      <c r="AJ405" s="150">
        <v>42585</v>
      </c>
      <c r="AK405" s="44">
        <v>2</v>
      </c>
      <c r="AL405" s="150">
        <v>42585</v>
      </c>
      <c r="AM405" s="150">
        <v>45874</v>
      </c>
      <c r="AN405" s="44">
        <v>494</v>
      </c>
      <c r="AO405" s="150">
        <v>45590</v>
      </c>
      <c r="AP405" s="150"/>
      <c r="AQ405" s="42"/>
      <c r="AR405" s="42"/>
      <c r="AS405" s="42"/>
      <c r="AT405" s="42"/>
      <c r="AU405" s="42"/>
      <c r="AV405" s="42"/>
      <c r="AW405" s="42"/>
      <c r="AX405" s="42"/>
    </row>
    <row r="406" spans="1:50" ht="12.75" customHeight="1">
      <c r="A406" s="149">
        <v>79417068</v>
      </c>
      <c r="B406" s="44" t="s">
        <v>2022</v>
      </c>
      <c r="C406" s="44" t="s">
        <v>733</v>
      </c>
      <c r="D406" s="44" t="s">
        <v>2023</v>
      </c>
      <c r="E406" s="44" t="s">
        <v>481</v>
      </c>
      <c r="F406" s="150">
        <v>24636</v>
      </c>
      <c r="G406" s="44" t="s">
        <v>2024</v>
      </c>
      <c r="H406" s="44">
        <v>3132089067</v>
      </c>
      <c r="I406" s="44" t="s">
        <v>586</v>
      </c>
      <c r="J406" s="44"/>
      <c r="K406" s="44"/>
      <c r="L406" s="44"/>
      <c r="M406" s="44" t="s">
        <v>448</v>
      </c>
      <c r="N406" s="44" t="s">
        <v>452</v>
      </c>
      <c r="O406" s="44" t="s">
        <v>453</v>
      </c>
      <c r="P406" s="150">
        <v>46087</v>
      </c>
      <c r="Q406" s="150">
        <v>46087</v>
      </c>
      <c r="R406" s="44"/>
      <c r="S406" s="44">
        <v>5</v>
      </c>
      <c r="T406" s="44" t="s">
        <v>499</v>
      </c>
      <c r="U406" s="44">
        <v>11</v>
      </c>
      <c r="V406" s="44" t="s">
        <v>456</v>
      </c>
      <c r="W406" s="44">
        <v>3</v>
      </c>
      <c r="X406" s="44" t="s">
        <v>457</v>
      </c>
      <c r="Y406" s="44">
        <v>2311000</v>
      </c>
      <c r="Z406" s="44" t="s">
        <v>467</v>
      </c>
      <c r="AA406" s="44">
        <v>480</v>
      </c>
      <c r="AB406" s="44">
        <v>13</v>
      </c>
      <c r="AC406" s="44">
        <v>3017226</v>
      </c>
      <c r="AD406" s="44" t="s">
        <v>223</v>
      </c>
      <c r="AE406" s="44">
        <v>156</v>
      </c>
      <c r="AF406" s="44" t="s">
        <v>458</v>
      </c>
      <c r="AG406" s="44" t="s">
        <v>459</v>
      </c>
      <c r="AH406" s="44" t="s">
        <v>644</v>
      </c>
      <c r="AI406" s="44" t="s">
        <v>460</v>
      </c>
      <c r="AJ406" s="150">
        <v>46087</v>
      </c>
      <c r="AK406" s="44">
        <v>54</v>
      </c>
      <c r="AL406" s="150">
        <v>46059</v>
      </c>
      <c r="AM406" s="150"/>
      <c r="AN406" s="44"/>
      <c r="AO406" s="150"/>
      <c r="AP406" s="150">
        <v>46295</v>
      </c>
      <c r="AQ406" s="42"/>
      <c r="AR406" s="42"/>
      <c r="AS406" s="42"/>
      <c r="AT406" s="42"/>
      <c r="AU406" s="42"/>
      <c r="AV406" s="42"/>
      <c r="AW406" s="42"/>
      <c r="AX406" s="42"/>
    </row>
    <row r="407" spans="1:50" ht="12.75" customHeight="1">
      <c r="A407" s="149">
        <v>79426417</v>
      </c>
      <c r="B407" s="44" t="s">
        <v>2025</v>
      </c>
      <c r="C407" s="44" t="s">
        <v>2026</v>
      </c>
      <c r="D407" s="44" t="s">
        <v>2027</v>
      </c>
      <c r="E407" s="44" t="s">
        <v>481</v>
      </c>
      <c r="F407" s="150">
        <v>24720</v>
      </c>
      <c r="G407" s="44" t="s">
        <v>2028</v>
      </c>
      <c r="H407" s="44">
        <v>6906387</v>
      </c>
      <c r="I407" s="44" t="s">
        <v>586</v>
      </c>
      <c r="J407" s="44">
        <v>5006</v>
      </c>
      <c r="K407" s="44">
        <v>2</v>
      </c>
      <c r="L407" s="44"/>
      <c r="M407" s="44" t="s">
        <v>451</v>
      </c>
      <c r="N407" s="44" t="s">
        <v>452</v>
      </c>
      <c r="O407" s="44" t="s">
        <v>453</v>
      </c>
      <c r="P407" s="150">
        <v>43049</v>
      </c>
      <c r="Q407" s="150">
        <v>43049</v>
      </c>
      <c r="R407" s="44"/>
      <c r="S407" s="44">
        <v>8</v>
      </c>
      <c r="T407" s="44" t="s">
        <v>466</v>
      </c>
      <c r="U407" s="44">
        <v>11</v>
      </c>
      <c r="V407" s="44" t="s">
        <v>456</v>
      </c>
      <c r="W407" s="44">
        <v>18</v>
      </c>
      <c r="X407" s="44" t="s">
        <v>536</v>
      </c>
      <c r="Y407" s="44">
        <v>60</v>
      </c>
      <c r="Z407" s="44" t="s">
        <v>500</v>
      </c>
      <c r="AA407" s="44">
        <v>222</v>
      </c>
      <c r="AB407" s="44">
        <v>24</v>
      </c>
      <c r="AC407" s="44">
        <v>6809900</v>
      </c>
      <c r="AD407" s="44" t="s">
        <v>51</v>
      </c>
      <c r="AE407" s="44">
        <v>60</v>
      </c>
      <c r="AF407" s="44" t="s">
        <v>458</v>
      </c>
      <c r="AG407" s="44" t="s">
        <v>459</v>
      </c>
      <c r="AH407" s="44" t="s">
        <v>188</v>
      </c>
      <c r="AI407" s="44" t="s">
        <v>460</v>
      </c>
      <c r="AJ407" s="150">
        <v>43049</v>
      </c>
      <c r="AK407" s="44">
        <v>175</v>
      </c>
      <c r="AL407" s="150">
        <v>43049</v>
      </c>
      <c r="AM407" s="150"/>
      <c r="AN407" s="44"/>
      <c r="AO407" s="150"/>
      <c r="AP407" s="150">
        <v>44164</v>
      </c>
      <c r="AQ407" s="42"/>
      <c r="AR407" s="42"/>
      <c r="AS407" s="42"/>
      <c r="AT407" s="42"/>
      <c r="AU407" s="42"/>
      <c r="AV407" s="42"/>
      <c r="AW407" s="42"/>
      <c r="AX407" s="42"/>
    </row>
    <row r="408" spans="1:50" ht="12.75" customHeight="1">
      <c r="A408" s="149">
        <v>79431243</v>
      </c>
      <c r="B408" s="44" t="s">
        <v>818</v>
      </c>
      <c r="C408" s="44" t="s">
        <v>1060</v>
      </c>
      <c r="D408" s="44" t="s">
        <v>1062</v>
      </c>
      <c r="E408" s="44" t="s">
        <v>448</v>
      </c>
      <c r="F408" s="150">
        <v>24691</v>
      </c>
      <c r="G408" s="44" t="s">
        <v>2029</v>
      </c>
      <c r="H408" s="44">
        <v>3107944764</v>
      </c>
      <c r="I408" s="44" t="s">
        <v>586</v>
      </c>
      <c r="J408" s="44"/>
      <c r="K408" s="44"/>
      <c r="L408" s="44"/>
      <c r="M408" s="44"/>
      <c r="N408" s="44"/>
      <c r="O408" s="44" t="s">
        <v>453</v>
      </c>
      <c r="P408" s="150">
        <v>42585</v>
      </c>
      <c r="Q408" s="150">
        <v>38443</v>
      </c>
      <c r="R408" s="151"/>
      <c r="S408" s="44">
        <v>8</v>
      </c>
      <c r="T408" s="44" t="s">
        <v>466</v>
      </c>
      <c r="U408" s="44">
        <v>11</v>
      </c>
      <c r="V408" s="44" t="s">
        <v>456</v>
      </c>
      <c r="W408" s="44">
        <v>23</v>
      </c>
      <c r="X408" s="44" t="s">
        <v>473</v>
      </c>
      <c r="Y408" s="44">
        <v>2310470</v>
      </c>
      <c r="Z408" s="44" t="s">
        <v>477</v>
      </c>
      <c r="AA408" s="44">
        <v>314</v>
      </c>
      <c r="AB408" s="44">
        <v>20</v>
      </c>
      <c r="AC408" s="44">
        <v>4789274</v>
      </c>
      <c r="AD408" s="44" t="s">
        <v>517</v>
      </c>
      <c r="AE408" s="44">
        <v>122</v>
      </c>
      <c r="AF408" s="44" t="s">
        <v>458</v>
      </c>
      <c r="AG408" s="44" t="s">
        <v>459</v>
      </c>
      <c r="AH408" s="44" t="s">
        <v>49</v>
      </c>
      <c r="AI408" s="44" t="s">
        <v>460</v>
      </c>
      <c r="AJ408" s="150">
        <v>42585</v>
      </c>
      <c r="AK408" s="44">
        <v>2</v>
      </c>
      <c r="AL408" s="150">
        <v>42585</v>
      </c>
      <c r="AM408" s="150">
        <v>46237</v>
      </c>
      <c r="AN408" s="44">
        <v>339</v>
      </c>
      <c r="AO408" s="150">
        <v>46234</v>
      </c>
      <c r="AP408" s="150"/>
      <c r="AQ408" s="42"/>
      <c r="AR408" s="42"/>
      <c r="AS408" s="42"/>
      <c r="AT408" s="42"/>
      <c r="AU408" s="42"/>
      <c r="AV408" s="42"/>
      <c r="AW408" s="42"/>
      <c r="AX408" s="42"/>
    </row>
    <row r="409" spans="1:50" ht="12.75" customHeight="1">
      <c r="A409" s="149">
        <v>79450267</v>
      </c>
      <c r="B409" s="44" t="s">
        <v>636</v>
      </c>
      <c r="C409" s="44" t="s">
        <v>1063</v>
      </c>
      <c r="D409" s="44" t="s">
        <v>1064</v>
      </c>
      <c r="E409" s="44" t="s">
        <v>448</v>
      </c>
      <c r="F409" s="150">
        <v>24682</v>
      </c>
      <c r="G409" s="44" t="s">
        <v>2030</v>
      </c>
      <c r="H409" s="44" t="s">
        <v>2031</v>
      </c>
      <c r="I409" s="44" t="s">
        <v>586</v>
      </c>
      <c r="J409" s="44"/>
      <c r="K409" s="44"/>
      <c r="L409" s="44"/>
      <c r="M409" s="44" t="s">
        <v>451</v>
      </c>
      <c r="N409" s="44" t="s">
        <v>452</v>
      </c>
      <c r="O409" s="44" t="s">
        <v>453</v>
      </c>
      <c r="P409" s="150">
        <v>42585</v>
      </c>
      <c r="Q409" s="150">
        <v>35062</v>
      </c>
      <c r="R409" s="151"/>
      <c r="S409" s="44">
        <v>8</v>
      </c>
      <c r="T409" s="44" t="s">
        <v>466</v>
      </c>
      <c r="U409" s="44">
        <v>11</v>
      </c>
      <c r="V409" s="44" t="s">
        <v>456</v>
      </c>
      <c r="W409" s="44">
        <v>3</v>
      </c>
      <c r="X409" s="44" t="s">
        <v>457</v>
      </c>
      <c r="Y409" s="44">
        <v>2310450</v>
      </c>
      <c r="Z409" s="44" t="s">
        <v>568</v>
      </c>
      <c r="AA409" s="44">
        <v>222</v>
      </c>
      <c r="AB409" s="44">
        <v>21</v>
      </c>
      <c r="AC409" s="44">
        <v>6566429</v>
      </c>
      <c r="AD409" s="44" t="s">
        <v>51</v>
      </c>
      <c r="AE409" s="44">
        <v>63</v>
      </c>
      <c r="AF409" s="44" t="s">
        <v>458</v>
      </c>
      <c r="AG409" s="44" t="s">
        <v>459</v>
      </c>
      <c r="AH409" s="44" t="s">
        <v>49</v>
      </c>
      <c r="AI409" s="44" t="s">
        <v>460</v>
      </c>
      <c r="AJ409" s="150">
        <v>42585</v>
      </c>
      <c r="AK409" s="44">
        <v>2</v>
      </c>
      <c r="AL409" s="150">
        <v>42585</v>
      </c>
      <c r="AM409" s="150">
        <v>45454</v>
      </c>
      <c r="AN409" s="44">
        <v>279</v>
      </c>
      <c r="AO409" s="150">
        <v>45450</v>
      </c>
      <c r="AP409" s="150"/>
      <c r="AQ409" s="42"/>
      <c r="AR409" s="42"/>
      <c r="AS409" s="42"/>
      <c r="AT409" s="42"/>
      <c r="AU409" s="42"/>
      <c r="AV409" s="42"/>
      <c r="AW409" s="42"/>
      <c r="AX409" s="42"/>
    </row>
    <row r="410" spans="1:50" ht="12.75" customHeight="1">
      <c r="A410" s="149">
        <v>79468174</v>
      </c>
      <c r="B410" s="44" t="s">
        <v>797</v>
      </c>
      <c r="C410" s="44" t="s">
        <v>2033</v>
      </c>
      <c r="D410" s="44" t="s">
        <v>2034</v>
      </c>
      <c r="E410" s="44" t="s">
        <v>481</v>
      </c>
      <c r="F410" s="150">
        <v>24927</v>
      </c>
      <c r="G410" s="44" t="s">
        <v>2035</v>
      </c>
      <c r="H410" s="44">
        <v>7581113</v>
      </c>
      <c r="I410" s="44" t="s">
        <v>586</v>
      </c>
      <c r="J410" s="44">
        <v>79468174</v>
      </c>
      <c r="K410" s="44">
        <v>1</v>
      </c>
      <c r="L410" s="44"/>
      <c r="M410" s="44" t="s">
        <v>448</v>
      </c>
      <c r="N410" s="44" t="s">
        <v>452</v>
      </c>
      <c r="O410" s="44" t="s">
        <v>453</v>
      </c>
      <c r="P410" s="150">
        <v>43861</v>
      </c>
      <c r="Q410" s="150">
        <v>43861</v>
      </c>
      <c r="R410" s="151"/>
      <c r="S410" s="44">
        <v>5</v>
      </c>
      <c r="T410" s="44" t="s">
        <v>499</v>
      </c>
      <c r="U410" s="44">
        <v>11</v>
      </c>
      <c r="V410" s="44" t="s">
        <v>456</v>
      </c>
      <c r="W410" s="44">
        <v>3</v>
      </c>
      <c r="X410" s="44" t="s">
        <v>457</v>
      </c>
      <c r="Y410" s="44">
        <v>2310200</v>
      </c>
      <c r="Z410" s="44" t="s">
        <v>623</v>
      </c>
      <c r="AA410" s="44">
        <v>6</v>
      </c>
      <c r="AB410" s="44">
        <v>6</v>
      </c>
      <c r="AC410" s="44">
        <v>10208470</v>
      </c>
      <c r="AD410" s="44" t="s">
        <v>28</v>
      </c>
      <c r="AE410" s="44">
        <v>171</v>
      </c>
      <c r="AF410" s="44" t="s">
        <v>458</v>
      </c>
      <c r="AG410" s="44" t="s">
        <v>459</v>
      </c>
      <c r="AH410" s="44" t="s">
        <v>484</v>
      </c>
      <c r="AI410" s="44" t="s">
        <v>460</v>
      </c>
      <c r="AJ410" s="150">
        <v>43861</v>
      </c>
      <c r="AK410" s="44">
        <v>12</v>
      </c>
      <c r="AL410" s="150">
        <v>43851</v>
      </c>
      <c r="AM410" s="150"/>
      <c r="AN410" s="44"/>
      <c r="AO410" s="150"/>
      <c r="AP410" s="150">
        <v>44985</v>
      </c>
      <c r="AQ410" s="42"/>
      <c r="AR410" s="42"/>
      <c r="AS410" s="42"/>
      <c r="AT410" s="42"/>
      <c r="AU410" s="42"/>
      <c r="AV410" s="42"/>
      <c r="AW410" s="42"/>
      <c r="AX410" s="42"/>
    </row>
    <row r="411" spans="1:50" ht="12.75" customHeight="1">
      <c r="A411" s="149">
        <v>79468462</v>
      </c>
      <c r="B411" s="44" t="s">
        <v>533</v>
      </c>
      <c r="C411" s="44" t="s">
        <v>1065</v>
      </c>
      <c r="D411" s="44" t="s">
        <v>1066</v>
      </c>
      <c r="E411" s="44" t="s">
        <v>448</v>
      </c>
      <c r="F411" s="150">
        <v>25200</v>
      </c>
      <c r="G411" s="44" t="s">
        <v>2036</v>
      </c>
      <c r="H411" s="44" t="s">
        <v>2037</v>
      </c>
      <c r="I411" s="44" t="s">
        <v>586</v>
      </c>
      <c r="J411" s="44"/>
      <c r="K411" s="44"/>
      <c r="L411" s="44"/>
      <c r="M411" s="44"/>
      <c r="N411" s="44"/>
      <c r="O411" s="44" t="s">
        <v>453</v>
      </c>
      <c r="P411" s="150">
        <v>42585</v>
      </c>
      <c r="Q411" s="150">
        <v>35528</v>
      </c>
      <c r="R411" s="151"/>
      <c r="S411" s="44">
        <v>8</v>
      </c>
      <c r="T411" s="44" t="s">
        <v>466</v>
      </c>
      <c r="U411" s="44">
        <v>11</v>
      </c>
      <c r="V411" s="44" t="s">
        <v>456</v>
      </c>
      <c r="W411" s="44">
        <v>3</v>
      </c>
      <c r="X411" s="44" t="s">
        <v>457</v>
      </c>
      <c r="Y411" s="44">
        <v>2311000</v>
      </c>
      <c r="Z411" s="44" t="s">
        <v>467</v>
      </c>
      <c r="AA411" s="44">
        <v>407</v>
      </c>
      <c r="AB411" s="44">
        <v>11</v>
      </c>
      <c r="AC411" s="44">
        <v>2804649</v>
      </c>
      <c r="AD411" s="44" t="s">
        <v>146</v>
      </c>
      <c r="AE411" s="44">
        <v>153</v>
      </c>
      <c r="AF411" s="44" t="s">
        <v>458</v>
      </c>
      <c r="AG411" s="44" t="s">
        <v>459</v>
      </c>
      <c r="AH411" s="44" t="s">
        <v>49</v>
      </c>
      <c r="AI411" s="44" t="s">
        <v>460</v>
      </c>
      <c r="AJ411" s="150">
        <v>42585</v>
      </c>
      <c r="AK411" s="44">
        <v>2</v>
      </c>
      <c r="AL411" s="150">
        <v>42585</v>
      </c>
      <c r="AM411" s="150">
        <v>44445</v>
      </c>
      <c r="AN411" s="44">
        <v>166</v>
      </c>
      <c r="AO411" s="150">
        <v>44442</v>
      </c>
      <c r="AP411" s="150"/>
      <c r="AQ411" s="42"/>
      <c r="AR411" s="42"/>
      <c r="AS411" s="42"/>
      <c r="AT411" s="42"/>
      <c r="AU411" s="42"/>
      <c r="AV411" s="42"/>
      <c r="AW411" s="42"/>
      <c r="AX411" s="42"/>
    </row>
    <row r="412" spans="1:50" ht="12.75" customHeight="1">
      <c r="A412" s="149">
        <v>79538698</v>
      </c>
      <c r="B412" s="44" t="s">
        <v>998</v>
      </c>
      <c r="C412" s="44" t="s">
        <v>1072</v>
      </c>
      <c r="D412" s="44" t="s">
        <v>1073</v>
      </c>
      <c r="E412" s="44" t="s">
        <v>448</v>
      </c>
      <c r="F412" s="150">
        <v>25718</v>
      </c>
      <c r="G412" s="44" t="s">
        <v>2038</v>
      </c>
      <c r="H412" s="44">
        <v>6422729</v>
      </c>
      <c r="I412" s="44" t="s">
        <v>586</v>
      </c>
      <c r="J412" s="44">
        <v>79538698</v>
      </c>
      <c r="K412" s="44">
        <v>1</v>
      </c>
      <c r="L412" s="44">
        <v>4</v>
      </c>
      <c r="M412" s="44" t="s">
        <v>451</v>
      </c>
      <c r="N412" s="44" t="s">
        <v>452</v>
      </c>
      <c r="O412" s="44" t="s">
        <v>453</v>
      </c>
      <c r="P412" s="150">
        <v>44228</v>
      </c>
      <c r="Q412" s="150">
        <v>43049</v>
      </c>
      <c r="R412" s="151"/>
      <c r="S412" s="44">
        <v>8</v>
      </c>
      <c r="T412" s="44" t="s">
        <v>466</v>
      </c>
      <c r="U412" s="44">
        <v>11</v>
      </c>
      <c r="V412" s="44" t="s">
        <v>456</v>
      </c>
      <c r="W412" s="44">
        <v>3</v>
      </c>
      <c r="X412" s="44" t="s">
        <v>457</v>
      </c>
      <c r="Y412" s="44">
        <v>2310200</v>
      </c>
      <c r="Z412" s="44" t="s">
        <v>623</v>
      </c>
      <c r="AA412" s="44">
        <v>314</v>
      </c>
      <c r="AB412" s="44">
        <v>20</v>
      </c>
      <c r="AC412" s="44">
        <v>4789274</v>
      </c>
      <c r="AD412" s="44" t="s">
        <v>517</v>
      </c>
      <c r="AE412" s="44">
        <v>121</v>
      </c>
      <c r="AF412" s="44" t="s">
        <v>458</v>
      </c>
      <c r="AG412" s="44" t="s">
        <v>459</v>
      </c>
      <c r="AH412" s="44" t="s">
        <v>49</v>
      </c>
      <c r="AI412" s="44" t="s">
        <v>460</v>
      </c>
      <c r="AJ412" s="150">
        <v>44228</v>
      </c>
      <c r="AK412" s="44">
        <v>178</v>
      </c>
      <c r="AL412" s="150">
        <v>44124</v>
      </c>
      <c r="AM412" s="150"/>
      <c r="AN412" s="44"/>
      <c r="AO412" s="150"/>
      <c r="AP412" s="150"/>
      <c r="AQ412" s="42"/>
      <c r="AR412" s="42"/>
      <c r="AS412" s="42"/>
      <c r="AT412" s="42"/>
      <c r="AU412" s="42"/>
      <c r="AV412" s="42"/>
      <c r="AW412" s="42"/>
      <c r="AX412" s="42"/>
    </row>
    <row r="413" spans="1:50" ht="12.75" customHeight="1">
      <c r="A413" s="149">
        <v>79543049</v>
      </c>
      <c r="B413" s="44" t="s">
        <v>2039</v>
      </c>
      <c r="C413" s="44" t="s">
        <v>2040</v>
      </c>
      <c r="D413" s="44" t="s">
        <v>2041</v>
      </c>
      <c r="E413" s="44" t="s">
        <v>481</v>
      </c>
      <c r="F413" s="150">
        <v>25851</v>
      </c>
      <c r="G413" s="44" t="s">
        <v>2042</v>
      </c>
      <c r="H413" s="44">
        <v>3174298391</v>
      </c>
      <c r="I413" s="44" t="s">
        <v>586</v>
      </c>
      <c r="J413" s="44">
        <v>684096</v>
      </c>
      <c r="K413" s="44">
        <v>2</v>
      </c>
      <c r="L413" s="44">
        <v>51</v>
      </c>
      <c r="M413" s="44" t="s">
        <v>451</v>
      </c>
      <c r="N413" s="44" t="s">
        <v>452</v>
      </c>
      <c r="O413" s="44" t="s">
        <v>453</v>
      </c>
      <c r="P413" s="150">
        <v>42585</v>
      </c>
      <c r="Q413" s="150">
        <v>42403</v>
      </c>
      <c r="R413" s="151"/>
      <c r="S413" s="44">
        <v>8</v>
      </c>
      <c r="T413" s="44" t="s">
        <v>466</v>
      </c>
      <c r="U413" s="44">
        <v>18</v>
      </c>
      <c r="V413" s="44" t="s">
        <v>565</v>
      </c>
      <c r="W413" s="44">
        <v>3</v>
      </c>
      <c r="X413" s="44" t="s">
        <v>457</v>
      </c>
      <c r="Y413" s="44">
        <v>2310400</v>
      </c>
      <c r="Z413" s="44" t="s">
        <v>841</v>
      </c>
      <c r="AA413" s="44">
        <v>45</v>
      </c>
      <c r="AB413" s="44">
        <v>8</v>
      </c>
      <c r="AC413" s="44">
        <v>12531747</v>
      </c>
      <c r="AD413" s="44" t="s">
        <v>842</v>
      </c>
      <c r="AE413" s="44">
        <v>2</v>
      </c>
      <c r="AF413" s="44" t="s">
        <v>458</v>
      </c>
      <c r="AG413" s="44" t="s">
        <v>459</v>
      </c>
      <c r="AH413" s="44" t="s">
        <v>484</v>
      </c>
      <c r="AI413" s="44" t="s">
        <v>460</v>
      </c>
      <c r="AJ413" s="150">
        <v>42585</v>
      </c>
      <c r="AK413" s="44">
        <v>3</v>
      </c>
      <c r="AL413" s="150">
        <v>42585</v>
      </c>
      <c r="AM413" s="150"/>
      <c r="AN413" s="44"/>
      <c r="AO413" s="150"/>
      <c r="AP413" s="150">
        <v>43404</v>
      </c>
      <c r="AQ413" s="42"/>
      <c r="AR413" s="42"/>
      <c r="AS413" s="42"/>
      <c r="AT413" s="42"/>
      <c r="AU413" s="42"/>
      <c r="AV413" s="42"/>
      <c r="AW413" s="42"/>
      <c r="AX413" s="42"/>
    </row>
    <row r="414" spans="1:50" ht="12.75" customHeight="1">
      <c r="A414" s="149">
        <v>79567977</v>
      </c>
      <c r="B414" s="44" t="s">
        <v>1075</v>
      </c>
      <c r="C414" s="44" t="s">
        <v>658</v>
      </c>
      <c r="D414" s="44" t="s">
        <v>1076</v>
      </c>
      <c r="E414" s="44" t="s">
        <v>448</v>
      </c>
      <c r="F414" s="150">
        <v>26678</v>
      </c>
      <c r="G414" s="44" t="s">
        <v>2043</v>
      </c>
      <c r="H414" s="44">
        <v>7505856</v>
      </c>
      <c r="I414" s="44" t="s">
        <v>586</v>
      </c>
      <c r="J414" s="44">
        <v>79567977</v>
      </c>
      <c r="K414" s="44">
        <v>1</v>
      </c>
      <c r="L414" s="44">
        <v>55</v>
      </c>
      <c r="M414" s="44" t="s">
        <v>451</v>
      </c>
      <c r="N414" s="44" t="s">
        <v>452</v>
      </c>
      <c r="O414" s="44" t="s">
        <v>453</v>
      </c>
      <c r="P414" s="150">
        <v>42585</v>
      </c>
      <c r="Q414" s="150">
        <v>40267</v>
      </c>
      <c r="R414" s="44"/>
      <c r="S414" s="44">
        <v>5</v>
      </c>
      <c r="T414" s="44" t="s">
        <v>499</v>
      </c>
      <c r="U414" s="44">
        <v>11</v>
      </c>
      <c r="V414" s="44" t="s">
        <v>456</v>
      </c>
      <c r="W414" s="44">
        <v>3</v>
      </c>
      <c r="X414" s="44" t="s">
        <v>457</v>
      </c>
      <c r="Y414" s="44">
        <v>2310450</v>
      </c>
      <c r="Z414" s="44" t="s">
        <v>568</v>
      </c>
      <c r="AA414" s="44">
        <v>222</v>
      </c>
      <c r="AB414" s="44">
        <v>26</v>
      </c>
      <c r="AC414" s="44">
        <v>7296816</v>
      </c>
      <c r="AD414" s="44" t="s">
        <v>51</v>
      </c>
      <c r="AE414" s="44">
        <v>50</v>
      </c>
      <c r="AF414" s="44" t="s">
        <v>458</v>
      </c>
      <c r="AG414" s="44" t="s">
        <v>459</v>
      </c>
      <c r="AH414" s="44" t="s">
        <v>49</v>
      </c>
      <c r="AI414" s="44" t="s">
        <v>460</v>
      </c>
      <c r="AJ414" s="150">
        <v>44284</v>
      </c>
      <c r="AK414" s="44">
        <v>196</v>
      </c>
      <c r="AL414" s="150">
        <v>44124</v>
      </c>
      <c r="AM414" s="150">
        <v>46058</v>
      </c>
      <c r="AN414" s="44">
        <v>18</v>
      </c>
      <c r="AO414" s="150">
        <v>46035</v>
      </c>
      <c r="AP414" s="150"/>
      <c r="AQ414" s="42"/>
      <c r="AR414" s="42"/>
      <c r="AS414" s="42"/>
      <c r="AT414" s="42"/>
      <c r="AU414" s="42"/>
      <c r="AV414" s="42"/>
      <c r="AW414" s="42"/>
      <c r="AX414" s="42"/>
    </row>
    <row r="415" spans="1:50" ht="12.75" customHeight="1">
      <c r="A415" s="149">
        <v>79569027</v>
      </c>
      <c r="B415" s="44" t="s">
        <v>761</v>
      </c>
      <c r="C415" s="44" t="s">
        <v>537</v>
      </c>
      <c r="D415" s="44" t="s">
        <v>791</v>
      </c>
      <c r="E415" s="44" t="s">
        <v>481</v>
      </c>
      <c r="F415" s="150">
        <v>26279</v>
      </c>
      <c r="G415" s="44" t="s">
        <v>2044</v>
      </c>
      <c r="H415" s="44">
        <v>6785814</v>
      </c>
      <c r="I415" s="44" t="s">
        <v>586</v>
      </c>
      <c r="J415" s="44">
        <v>79569027</v>
      </c>
      <c r="K415" s="44">
        <v>2</v>
      </c>
      <c r="L415" s="44"/>
      <c r="M415" s="44" t="s">
        <v>448</v>
      </c>
      <c r="N415" s="44" t="s">
        <v>452</v>
      </c>
      <c r="O415" s="44" t="s">
        <v>453</v>
      </c>
      <c r="P415" s="150">
        <v>42667</v>
      </c>
      <c r="Q415" s="150">
        <v>42667</v>
      </c>
      <c r="R415" s="44">
        <v>40261</v>
      </c>
      <c r="S415" s="44">
        <v>5</v>
      </c>
      <c r="T415" s="44" t="s">
        <v>499</v>
      </c>
      <c r="U415" s="44">
        <v>11</v>
      </c>
      <c r="V415" s="44" t="s">
        <v>456</v>
      </c>
      <c r="W415" s="44">
        <v>3</v>
      </c>
      <c r="X415" s="44" t="s">
        <v>457</v>
      </c>
      <c r="Y415" s="44">
        <v>2310430</v>
      </c>
      <c r="Z415" s="44" t="s">
        <v>494</v>
      </c>
      <c r="AA415" s="44">
        <v>9</v>
      </c>
      <c r="AB415" s="44">
        <v>7</v>
      </c>
      <c r="AC415" s="44">
        <v>11186814</v>
      </c>
      <c r="AD415" s="44" t="s">
        <v>512</v>
      </c>
      <c r="AE415" s="44">
        <v>5</v>
      </c>
      <c r="AF415" s="44" t="s">
        <v>458</v>
      </c>
      <c r="AG415" s="44" t="s">
        <v>459</v>
      </c>
      <c r="AH415" s="44" t="s">
        <v>484</v>
      </c>
      <c r="AI415" s="44" t="s">
        <v>460</v>
      </c>
      <c r="AJ415" s="150">
        <v>42667</v>
      </c>
      <c r="AK415" s="44">
        <v>54</v>
      </c>
      <c r="AL415" s="150">
        <v>42654</v>
      </c>
      <c r="AM415" s="150"/>
      <c r="AN415" s="44"/>
      <c r="AO415" s="150"/>
      <c r="AP415" s="150">
        <v>43830</v>
      </c>
      <c r="AQ415" s="42"/>
      <c r="AR415" s="42"/>
      <c r="AS415" s="42"/>
      <c r="AT415" s="42"/>
      <c r="AU415" s="42"/>
      <c r="AV415" s="42"/>
      <c r="AW415" s="42"/>
      <c r="AX415" s="42"/>
    </row>
    <row r="416" spans="1:50" ht="12.75" customHeight="1">
      <c r="A416" s="149">
        <v>1032450217</v>
      </c>
      <c r="B416" s="44" t="s">
        <v>486</v>
      </c>
      <c r="C416" s="44" t="s">
        <v>1156</v>
      </c>
      <c r="D416" s="44" t="s">
        <v>947</v>
      </c>
      <c r="E416" s="44" t="s">
        <v>481</v>
      </c>
      <c r="F416" s="150">
        <v>33765</v>
      </c>
      <c r="G416" s="44" t="s">
        <v>1157</v>
      </c>
      <c r="H416" s="44">
        <v>5512108</v>
      </c>
      <c r="I416" s="44" t="s">
        <v>450</v>
      </c>
      <c r="J416" s="44"/>
      <c r="K416" s="44"/>
      <c r="L416" s="44"/>
      <c r="M416" s="44" t="s">
        <v>448</v>
      </c>
      <c r="N416" s="44" t="s">
        <v>452</v>
      </c>
      <c r="O416" s="44" t="s">
        <v>453</v>
      </c>
      <c r="P416" s="150">
        <v>42887</v>
      </c>
      <c r="Q416" s="150">
        <v>40644</v>
      </c>
      <c r="R416" s="151"/>
      <c r="S416" s="44">
        <v>8</v>
      </c>
      <c r="T416" s="44" t="s">
        <v>466</v>
      </c>
      <c r="U416" s="44">
        <v>11</v>
      </c>
      <c r="V416" s="44" t="s">
        <v>456</v>
      </c>
      <c r="W416" s="44">
        <v>3</v>
      </c>
      <c r="X416" s="44" t="s">
        <v>457</v>
      </c>
      <c r="Y416" s="44">
        <v>2310450</v>
      </c>
      <c r="Z416" s="44" t="s">
        <v>568</v>
      </c>
      <c r="AA416" s="44">
        <v>314</v>
      </c>
      <c r="AB416" s="44">
        <v>9</v>
      </c>
      <c r="AC416" s="44">
        <v>3687785</v>
      </c>
      <c r="AD416" s="44" t="s">
        <v>517</v>
      </c>
      <c r="AE416" s="44">
        <v>135</v>
      </c>
      <c r="AF416" s="44" t="s">
        <v>458</v>
      </c>
      <c r="AG416" s="44" t="s">
        <v>459</v>
      </c>
      <c r="AH416" s="44" t="s">
        <v>188</v>
      </c>
      <c r="AI416" s="44" t="s">
        <v>460</v>
      </c>
      <c r="AJ416" s="150">
        <v>42887</v>
      </c>
      <c r="AK416" s="44">
        <v>73</v>
      </c>
      <c r="AL416" s="150">
        <v>42867</v>
      </c>
      <c r="AM416" s="150"/>
      <c r="AN416" s="44"/>
      <c r="AO416" s="150"/>
      <c r="AP416" s="150">
        <v>44210</v>
      </c>
      <c r="AQ416" s="42"/>
      <c r="AR416" s="42"/>
      <c r="AS416" s="42"/>
      <c r="AT416" s="42"/>
      <c r="AU416" s="42"/>
      <c r="AV416" s="42"/>
      <c r="AW416" s="42"/>
      <c r="AX416" s="42"/>
    </row>
    <row r="417" spans="1:50" ht="12.75" customHeight="1">
      <c r="A417" s="149">
        <v>1032479676</v>
      </c>
      <c r="B417" s="44" t="s">
        <v>711</v>
      </c>
      <c r="C417" s="44" t="s">
        <v>792</v>
      </c>
      <c r="D417" s="44" t="s">
        <v>793</v>
      </c>
      <c r="E417" s="44" t="s">
        <v>448</v>
      </c>
      <c r="F417" s="150">
        <v>35142</v>
      </c>
      <c r="G417" s="44" t="s">
        <v>1158</v>
      </c>
      <c r="H417" s="44">
        <v>4792166</v>
      </c>
      <c r="I417" s="44" t="s">
        <v>586</v>
      </c>
      <c r="J417" s="44">
        <v>1032479676</v>
      </c>
      <c r="K417" s="44">
        <v>2</v>
      </c>
      <c r="L417" s="44">
        <v>2</v>
      </c>
      <c r="M417" s="44" t="s">
        <v>451</v>
      </c>
      <c r="N417" s="44" t="s">
        <v>5</v>
      </c>
      <c r="O417" s="44" t="s">
        <v>453</v>
      </c>
      <c r="P417" s="150">
        <v>44153</v>
      </c>
      <c r="Q417" s="150">
        <v>44153</v>
      </c>
      <c r="R417" s="44"/>
      <c r="S417" s="44">
        <v>8</v>
      </c>
      <c r="T417" s="44" t="s">
        <v>466</v>
      </c>
      <c r="U417" s="44">
        <v>18</v>
      </c>
      <c r="V417" s="44" t="s">
        <v>565</v>
      </c>
      <c r="W417" s="44">
        <v>18</v>
      </c>
      <c r="X417" s="44" t="s">
        <v>536</v>
      </c>
      <c r="Y417" s="44">
        <v>2310470</v>
      </c>
      <c r="Z417" s="44" t="s">
        <v>477</v>
      </c>
      <c r="AA417" s="44">
        <v>219</v>
      </c>
      <c r="AB417" s="44">
        <v>1</v>
      </c>
      <c r="AC417" s="44">
        <v>3989530</v>
      </c>
      <c r="AD417" s="44" t="s">
        <v>72</v>
      </c>
      <c r="AE417" s="44">
        <v>113</v>
      </c>
      <c r="AF417" s="44" t="s">
        <v>458</v>
      </c>
      <c r="AG417" s="44" t="s">
        <v>459</v>
      </c>
      <c r="AH417" s="44" t="s">
        <v>49</v>
      </c>
      <c r="AI417" s="44" t="s">
        <v>460</v>
      </c>
      <c r="AJ417" s="150">
        <v>44153</v>
      </c>
      <c r="AK417" s="44">
        <v>202</v>
      </c>
      <c r="AL417" s="150">
        <v>44124</v>
      </c>
      <c r="AM417" s="150">
        <v>45947</v>
      </c>
      <c r="AN417" s="44">
        <v>368</v>
      </c>
      <c r="AO417" s="150">
        <v>45932</v>
      </c>
      <c r="AP417" s="150"/>
      <c r="AQ417" s="42"/>
      <c r="AR417" s="42"/>
      <c r="AS417" s="42"/>
      <c r="AT417" s="42"/>
      <c r="AU417" s="42"/>
      <c r="AV417" s="42"/>
      <c r="AW417" s="42"/>
      <c r="AX417" s="42"/>
    </row>
    <row r="418" spans="1:50" ht="12.75" customHeight="1">
      <c r="A418" s="149">
        <v>1032489040</v>
      </c>
      <c r="B418" s="44" t="s">
        <v>625</v>
      </c>
      <c r="C418" s="44" t="s">
        <v>774</v>
      </c>
      <c r="D418" s="44" t="s">
        <v>794</v>
      </c>
      <c r="E418" s="44" t="s">
        <v>448</v>
      </c>
      <c r="F418" s="150">
        <v>35475</v>
      </c>
      <c r="G418" s="44" t="s">
        <v>1159</v>
      </c>
      <c r="H418" s="44">
        <v>6360955</v>
      </c>
      <c r="I418" s="44" t="s">
        <v>450</v>
      </c>
      <c r="J418" s="44"/>
      <c r="K418" s="44"/>
      <c r="L418" s="44"/>
      <c r="M418" s="44" t="s">
        <v>448</v>
      </c>
      <c r="N418" s="44" t="s">
        <v>452</v>
      </c>
      <c r="O418" s="44" t="s">
        <v>453</v>
      </c>
      <c r="P418" s="150">
        <v>44144</v>
      </c>
      <c r="Q418" s="150">
        <v>44144</v>
      </c>
      <c r="R418" s="44"/>
      <c r="S418" s="44">
        <v>18</v>
      </c>
      <c r="T418" s="44" t="s">
        <v>472</v>
      </c>
      <c r="U418" s="44">
        <v>11</v>
      </c>
      <c r="V418" s="44" t="s">
        <v>456</v>
      </c>
      <c r="W418" s="44">
        <v>19</v>
      </c>
      <c r="X418" s="44" t="s">
        <v>575</v>
      </c>
      <c r="Y418" s="44">
        <v>2310450</v>
      </c>
      <c r="Z418" s="44" t="s">
        <v>568</v>
      </c>
      <c r="AA418" s="44">
        <v>219</v>
      </c>
      <c r="AB418" s="44">
        <v>18</v>
      </c>
      <c r="AC418" s="44">
        <v>5951245</v>
      </c>
      <c r="AD418" s="44" t="s">
        <v>72</v>
      </c>
      <c r="AE418" s="44">
        <v>82</v>
      </c>
      <c r="AF418" s="44" t="s">
        <v>458</v>
      </c>
      <c r="AG418" s="44" t="s">
        <v>459</v>
      </c>
      <c r="AH418" s="44" t="s">
        <v>49</v>
      </c>
      <c r="AI418" s="44" t="s">
        <v>460</v>
      </c>
      <c r="AJ418" s="150">
        <v>44144</v>
      </c>
      <c r="AK418" s="44">
        <v>114</v>
      </c>
      <c r="AL418" s="150">
        <v>44118</v>
      </c>
      <c r="AM418" s="150">
        <v>46265</v>
      </c>
      <c r="AN418" s="44">
        <v>348</v>
      </c>
      <c r="AO418" s="150">
        <v>46244</v>
      </c>
      <c r="AP418" s="150"/>
      <c r="AQ418" s="42"/>
      <c r="AR418" s="42"/>
      <c r="AS418" s="42"/>
      <c r="AT418" s="42"/>
      <c r="AU418" s="42"/>
      <c r="AV418" s="42"/>
      <c r="AW418" s="42"/>
      <c r="AX418" s="42"/>
    </row>
    <row r="419" spans="1:50" ht="12.75" customHeight="1">
      <c r="A419" s="202">
        <v>1033706367</v>
      </c>
      <c r="B419" s="44" t="s">
        <v>1160</v>
      </c>
      <c r="C419" s="44"/>
      <c r="D419" s="44" t="s">
        <v>1161</v>
      </c>
      <c r="E419" s="44" t="s">
        <v>481</v>
      </c>
      <c r="F419" s="150">
        <v>32467</v>
      </c>
      <c r="G419" s="44" t="s">
        <v>1162</v>
      </c>
      <c r="H419" s="44">
        <v>3123131380</v>
      </c>
      <c r="I419" s="44" t="s">
        <v>586</v>
      </c>
      <c r="J419" s="44">
        <v>88120061945</v>
      </c>
      <c r="K419" s="44">
        <v>2</v>
      </c>
      <c r="L419" s="44">
        <v>1</v>
      </c>
      <c r="M419" s="44" t="s">
        <v>451</v>
      </c>
      <c r="N419" s="44" t="s">
        <v>452</v>
      </c>
      <c r="O419" s="44" t="s">
        <v>453</v>
      </c>
      <c r="P419" s="150">
        <v>44147</v>
      </c>
      <c r="Q419" s="150">
        <v>44147</v>
      </c>
      <c r="R419" s="151"/>
      <c r="S419" s="44">
        <v>26</v>
      </c>
      <c r="T419" s="44" t="s">
        <v>528</v>
      </c>
      <c r="U419" s="44">
        <v>11</v>
      </c>
      <c r="V419" s="44" t="s">
        <v>456</v>
      </c>
      <c r="W419" s="44">
        <v>23</v>
      </c>
      <c r="X419" s="44" t="s">
        <v>473</v>
      </c>
      <c r="Y419" s="44">
        <v>131</v>
      </c>
      <c r="Z419" s="44" t="s">
        <v>500</v>
      </c>
      <c r="AA419" s="44">
        <v>314</v>
      </c>
      <c r="AB419" s="44">
        <v>15</v>
      </c>
      <c r="AC419" s="44">
        <v>4226650</v>
      </c>
      <c r="AD419" s="44" t="s">
        <v>517</v>
      </c>
      <c r="AE419" s="44">
        <v>131</v>
      </c>
      <c r="AF419" s="44" t="s">
        <v>458</v>
      </c>
      <c r="AG419" s="44" t="s">
        <v>459</v>
      </c>
      <c r="AH419" s="44" t="s">
        <v>49</v>
      </c>
      <c r="AI419" s="44" t="s">
        <v>460</v>
      </c>
      <c r="AJ419" s="150">
        <v>44147</v>
      </c>
      <c r="AK419" s="44">
        <v>198</v>
      </c>
      <c r="AL419" s="150">
        <v>44124</v>
      </c>
      <c r="AM419" s="150"/>
      <c r="AN419" s="44"/>
      <c r="AO419" s="150"/>
      <c r="AP419" s="150">
        <v>44791</v>
      </c>
      <c r="AQ419" s="42"/>
      <c r="AR419" s="42"/>
      <c r="AS419" s="42"/>
      <c r="AT419" s="42"/>
      <c r="AU419" s="42"/>
      <c r="AV419" s="42"/>
      <c r="AW419" s="42"/>
      <c r="AX419" s="42"/>
    </row>
    <row r="420" spans="1:50" ht="12.75" customHeight="1">
      <c r="A420" s="149">
        <v>1033718483</v>
      </c>
      <c r="B420" s="44" t="s">
        <v>797</v>
      </c>
      <c r="C420" s="44" t="s">
        <v>774</v>
      </c>
      <c r="D420" s="44" t="s">
        <v>798</v>
      </c>
      <c r="E420" s="44" t="s">
        <v>448</v>
      </c>
      <c r="F420" s="150">
        <v>32835</v>
      </c>
      <c r="G420" s="44" t="s">
        <v>1163</v>
      </c>
      <c r="H420" s="44">
        <v>6017156329</v>
      </c>
      <c r="I420" s="44" t="s">
        <v>450</v>
      </c>
      <c r="J420" s="44"/>
      <c r="K420" s="44"/>
      <c r="L420" s="44"/>
      <c r="M420" s="44" t="s">
        <v>448</v>
      </c>
      <c r="N420" s="44" t="s">
        <v>452</v>
      </c>
      <c r="O420" s="44" t="s">
        <v>453</v>
      </c>
      <c r="P420" s="150">
        <v>45287</v>
      </c>
      <c r="Q420" s="150">
        <v>45287</v>
      </c>
      <c r="R420" s="44"/>
      <c r="S420" s="44">
        <v>2</v>
      </c>
      <c r="T420" s="44" t="s">
        <v>455</v>
      </c>
      <c r="U420" s="44">
        <v>19</v>
      </c>
      <c r="V420" s="44" t="s">
        <v>574</v>
      </c>
      <c r="W420" s="44">
        <v>3</v>
      </c>
      <c r="X420" s="44" t="s">
        <v>457</v>
      </c>
      <c r="Y420" s="44">
        <v>2310300</v>
      </c>
      <c r="Z420" s="44" t="s">
        <v>138</v>
      </c>
      <c r="AA420" s="44">
        <v>440</v>
      </c>
      <c r="AB420" s="44">
        <v>9</v>
      </c>
      <c r="AC420" s="44">
        <v>2675559</v>
      </c>
      <c r="AD420" s="44" t="s">
        <v>29</v>
      </c>
      <c r="AE420" s="44">
        <v>161</v>
      </c>
      <c r="AF420" s="44" t="s">
        <v>458</v>
      </c>
      <c r="AG420" s="44" t="s">
        <v>459</v>
      </c>
      <c r="AH420" s="44" t="s">
        <v>188</v>
      </c>
      <c r="AI420" s="44" t="s">
        <v>460</v>
      </c>
      <c r="AJ420" s="150">
        <v>45287</v>
      </c>
      <c r="AK420" s="44">
        <v>669</v>
      </c>
      <c r="AL420" s="150">
        <v>45286</v>
      </c>
      <c r="AM420" s="150"/>
      <c r="AN420" s="44"/>
      <c r="AO420" s="150"/>
      <c r="AP420" s="150"/>
      <c r="AQ420" s="42"/>
      <c r="AR420" s="42"/>
      <c r="AS420" s="42"/>
      <c r="AT420" s="42"/>
      <c r="AU420" s="42"/>
      <c r="AV420" s="42"/>
      <c r="AW420" s="42"/>
      <c r="AX420" s="42"/>
    </row>
    <row r="421" spans="1:50" ht="12.75" customHeight="1">
      <c r="A421" s="149">
        <v>1049619617</v>
      </c>
      <c r="B421" s="44" t="s">
        <v>799</v>
      </c>
      <c r="C421" s="44" t="s">
        <v>800</v>
      </c>
      <c r="D421" s="44" t="s">
        <v>801</v>
      </c>
      <c r="E421" s="44" t="s">
        <v>448</v>
      </c>
      <c r="F421" s="150">
        <v>32906</v>
      </c>
      <c r="G421" s="44" t="s">
        <v>1164</v>
      </c>
      <c r="H421" s="44">
        <v>3143706938</v>
      </c>
      <c r="I421" s="44" t="s">
        <v>450</v>
      </c>
      <c r="J421" s="44"/>
      <c r="K421" s="44"/>
      <c r="L421" s="44"/>
      <c r="M421" s="44" t="s">
        <v>451</v>
      </c>
      <c r="N421" s="44" t="s">
        <v>452</v>
      </c>
      <c r="O421" s="44" t="s">
        <v>453</v>
      </c>
      <c r="P421" s="150">
        <v>44193</v>
      </c>
      <c r="Q421" s="150">
        <v>43739</v>
      </c>
      <c r="R421" s="151"/>
      <c r="S421" s="44">
        <v>42</v>
      </c>
      <c r="T421" s="44" t="s">
        <v>1166</v>
      </c>
      <c r="U421" s="44">
        <v>11</v>
      </c>
      <c r="V421" s="44" t="s">
        <v>456</v>
      </c>
      <c r="W421" s="44">
        <v>3</v>
      </c>
      <c r="X421" s="44" t="s">
        <v>457</v>
      </c>
      <c r="Y421" s="44">
        <v>2310450</v>
      </c>
      <c r="Z421" s="44" t="s">
        <v>568</v>
      </c>
      <c r="AA421" s="44">
        <v>219</v>
      </c>
      <c r="AB421" s="44">
        <v>18</v>
      </c>
      <c r="AC421" s="44">
        <v>5951245</v>
      </c>
      <c r="AD421" s="44" t="s">
        <v>72</v>
      </c>
      <c r="AE421" s="44">
        <v>79</v>
      </c>
      <c r="AF421" s="44" t="s">
        <v>458</v>
      </c>
      <c r="AG421" s="44" t="s">
        <v>459</v>
      </c>
      <c r="AH421" s="44" t="s">
        <v>49</v>
      </c>
      <c r="AI421" s="44" t="s">
        <v>460</v>
      </c>
      <c r="AJ421" s="150">
        <v>44193</v>
      </c>
      <c r="AK421" s="44">
        <v>120</v>
      </c>
      <c r="AL421" s="150">
        <v>44118</v>
      </c>
      <c r="AM421" s="150"/>
      <c r="AN421" s="44"/>
      <c r="AO421" s="150"/>
      <c r="AP421" s="150"/>
      <c r="AQ421" s="42"/>
      <c r="AR421" s="42"/>
      <c r="AS421" s="42"/>
      <c r="AT421" s="42"/>
      <c r="AU421" s="42"/>
      <c r="AV421" s="42"/>
      <c r="AW421" s="42"/>
      <c r="AX421" s="42"/>
    </row>
    <row r="422" spans="1:50" ht="12.75" customHeight="1">
      <c r="A422" s="171">
        <v>1054548115</v>
      </c>
      <c r="B422" s="171" t="s">
        <v>1168</v>
      </c>
      <c r="C422" s="44" t="s">
        <v>1169</v>
      </c>
      <c r="D422" s="44" t="s">
        <v>1170</v>
      </c>
      <c r="E422" s="44" t="s">
        <v>481</v>
      </c>
      <c r="F422" s="150">
        <v>32365</v>
      </c>
      <c r="G422" s="44" t="s">
        <v>1171</v>
      </c>
      <c r="H422" s="44">
        <v>2732627</v>
      </c>
      <c r="I422" s="44" t="s">
        <v>450</v>
      </c>
      <c r="J422" s="44"/>
      <c r="K422" s="44"/>
      <c r="L422" s="44"/>
      <c r="M422" s="44" t="s">
        <v>448</v>
      </c>
      <c r="N422" s="44" t="s">
        <v>452</v>
      </c>
      <c r="O422" s="44" t="s">
        <v>453</v>
      </c>
      <c r="P422" s="150">
        <v>43994</v>
      </c>
      <c r="Q422" s="150">
        <v>43994</v>
      </c>
      <c r="R422" s="44"/>
      <c r="S422" s="44">
        <v>6</v>
      </c>
      <c r="T422" s="44" t="s">
        <v>511</v>
      </c>
      <c r="U422" s="44">
        <v>31</v>
      </c>
      <c r="V422" s="44" t="s">
        <v>1038</v>
      </c>
      <c r="W422" s="44">
        <v>3</v>
      </c>
      <c r="X422" s="44" t="s">
        <v>457</v>
      </c>
      <c r="Y422" s="44">
        <v>2310460</v>
      </c>
      <c r="Z422" s="44" t="s">
        <v>506</v>
      </c>
      <c r="AA422" s="44">
        <v>222</v>
      </c>
      <c r="AB422" s="44">
        <v>24</v>
      </c>
      <c r="AC422" s="44">
        <v>6809900</v>
      </c>
      <c r="AD422" s="44" t="s">
        <v>51</v>
      </c>
      <c r="AE422" s="44">
        <v>57</v>
      </c>
      <c r="AF422" s="44" t="s">
        <v>458</v>
      </c>
      <c r="AG422" s="44" t="s">
        <v>459</v>
      </c>
      <c r="AH422" s="44" t="s">
        <v>188</v>
      </c>
      <c r="AI422" s="44" t="s">
        <v>460</v>
      </c>
      <c r="AJ422" s="150">
        <v>43994</v>
      </c>
      <c r="AK422" s="44">
        <v>68</v>
      </c>
      <c r="AL422" s="150">
        <v>43992</v>
      </c>
      <c r="AM422" s="150"/>
      <c r="AN422" s="44"/>
      <c r="AO422" s="150"/>
      <c r="AP422" s="150">
        <v>44139</v>
      </c>
      <c r="AQ422" s="42"/>
      <c r="AR422" s="42"/>
      <c r="AS422" s="42"/>
      <c r="AT422" s="42"/>
      <c r="AU422" s="42"/>
      <c r="AV422" s="42"/>
      <c r="AW422" s="42"/>
      <c r="AX422" s="42"/>
    </row>
    <row r="423" spans="1:50" ht="12.75" customHeight="1">
      <c r="A423" s="171">
        <v>1057463050</v>
      </c>
      <c r="B423" s="42" t="s">
        <v>654</v>
      </c>
      <c r="C423" s="44" t="s">
        <v>463</v>
      </c>
      <c r="D423" s="44" t="s">
        <v>1172</v>
      </c>
      <c r="E423" s="44" t="s">
        <v>481</v>
      </c>
      <c r="F423" s="150">
        <v>32264</v>
      </c>
      <c r="G423" s="44" t="s">
        <v>1173</v>
      </c>
      <c r="H423" s="44">
        <v>3204004044</v>
      </c>
      <c r="I423" s="44" t="s">
        <v>450</v>
      </c>
      <c r="J423" s="44"/>
      <c r="K423" s="44"/>
      <c r="L423" s="44"/>
      <c r="M423" s="44" t="s">
        <v>547</v>
      </c>
      <c r="N423" s="44" t="s">
        <v>452</v>
      </c>
      <c r="O423" s="44" t="s">
        <v>453</v>
      </c>
      <c r="P423" s="150">
        <v>44522</v>
      </c>
      <c r="Q423" s="150">
        <v>44522</v>
      </c>
      <c r="R423" s="44"/>
      <c r="S423" s="44">
        <v>5</v>
      </c>
      <c r="T423" s="44" t="s">
        <v>499</v>
      </c>
      <c r="U423" s="44">
        <v>19</v>
      </c>
      <c r="V423" s="44" t="s">
        <v>574</v>
      </c>
      <c r="W423" s="44">
        <v>19</v>
      </c>
      <c r="X423" s="44" t="s">
        <v>575</v>
      </c>
      <c r="Y423" s="44">
        <v>0</v>
      </c>
      <c r="Z423" s="44" t="s">
        <v>500</v>
      </c>
      <c r="AA423" s="44">
        <v>314</v>
      </c>
      <c r="AB423" s="44">
        <v>20</v>
      </c>
      <c r="AC423" s="44">
        <v>4789274</v>
      </c>
      <c r="AD423" s="44" t="s">
        <v>517</v>
      </c>
      <c r="AE423" s="44">
        <v>120</v>
      </c>
      <c r="AF423" s="44" t="s">
        <v>458</v>
      </c>
      <c r="AG423" s="44" t="s">
        <v>459</v>
      </c>
      <c r="AH423" s="44" t="s">
        <v>49</v>
      </c>
      <c r="AI423" s="44" t="s">
        <v>460</v>
      </c>
      <c r="AJ423" s="150">
        <v>44522</v>
      </c>
      <c r="AK423" s="44">
        <v>203</v>
      </c>
      <c r="AL423" s="150">
        <v>44489</v>
      </c>
      <c r="AM423" s="150"/>
      <c r="AN423" s="44"/>
      <c r="AO423" s="150"/>
      <c r="AP423" s="150">
        <v>44958</v>
      </c>
      <c r="AQ423" s="42"/>
      <c r="AR423" s="42"/>
      <c r="AS423" s="42"/>
      <c r="AT423" s="42"/>
      <c r="AU423" s="42"/>
      <c r="AV423" s="42"/>
      <c r="AW423" s="42"/>
      <c r="AX423" s="42"/>
    </row>
    <row r="424" spans="1:50" ht="12.75" customHeight="1">
      <c r="A424" s="171">
        <v>1057586009</v>
      </c>
      <c r="B424" s="171" t="s">
        <v>832</v>
      </c>
      <c r="C424" s="44" t="s">
        <v>1176</v>
      </c>
      <c r="D424" s="44" t="s">
        <v>1177</v>
      </c>
      <c r="E424" s="44" t="s">
        <v>481</v>
      </c>
      <c r="F424" s="150">
        <v>33222</v>
      </c>
      <c r="G424" s="44" t="s">
        <v>1178</v>
      </c>
      <c r="H424" s="44">
        <v>3123872899</v>
      </c>
      <c r="I424" s="44" t="s">
        <v>450</v>
      </c>
      <c r="J424" s="44"/>
      <c r="K424" s="44"/>
      <c r="L424" s="44"/>
      <c r="M424" s="44" t="s">
        <v>451</v>
      </c>
      <c r="N424" s="44" t="s">
        <v>5</v>
      </c>
      <c r="O424" s="44" t="s">
        <v>453</v>
      </c>
      <c r="P424" s="150">
        <v>44335</v>
      </c>
      <c r="Q424" s="150">
        <v>44335</v>
      </c>
      <c r="R424" s="44">
        <v>43501</v>
      </c>
      <c r="S424" s="44">
        <v>5</v>
      </c>
      <c r="T424" s="44" t="s">
        <v>499</v>
      </c>
      <c r="U424" s="44">
        <v>11</v>
      </c>
      <c r="V424" s="44" t="s">
        <v>456</v>
      </c>
      <c r="W424" s="44">
        <v>3</v>
      </c>
      <c r="X424" s="44" t="s">
        <v>457</v>
      </c>
      <c r="Y424" s="44">
        <v>2310450</v>
      </c>
      <c r="Z424" s="44" t="s">
        <v>568</v>
      </c>
      <c r="AA424" s="44">
        <v>219</v>
      </c>
      <c r="AB424" s="44">
        <v>18</v>
      </c>
      <c r="AC424" s="44">
        <v>5951245</v>
      </c>
      <c r="AD424" s="44" t="s">
        <v>72</v>
      </c>
      <c r="AE424" s="44">
        <v>87</v>
      </c>
      <c r="AF424" s="44" t="s">
        <v>458</v>
      </c>
      <c r="AG424" s="44" t="s">
        <v>459</v>
      </c>
      <c r="AH424" s="44" t="s">
        <v>49</v>
      </c>
      <c r="AI424" s="44" t="s">
        <v>460</v>
      </c>
      <c r="AJ424" s="150">
        <v>44335</v>
      </c>
      <c r="AK424" s="44">
        <v>37</v>
      </c>
      <c r="AL424" s="150">
        <v>44274</v>
      </c>
      <c r="AM424" s="150">
        <v>45251</v>
      </c>
      <c r="AN424" s="44">
        <v>577</v>
      </c>
      <c r="AO424" s="150">
        <v>45233</v>
      </c>
      <c r="AP424" s="150">
        <v>45516</v>
      </c>
      <c r="AQ424" s="42"/>
      <c r="AR424" s="42"/>
      <c r="AS424" s="42"/>
      <c r="AT424" s="42"/>
      <c r="AU424" s="42"/>
      <c r="AV424" s="42"/>
      <c r="AW424" s="42"/>
      <c r="AX424" s="42"/>
    </row>
    <row r="425" spans="1:50" ht="12.75" customHeight="1">
      <c r="A425" s="149">
        <v>1064976255</v>
      </c>
      <c r="B425" s="44" t="s">
        <v>802</v>
      </c>
      <c r="C425" s="44" t="s">
        <v>803</v>
      </c>
      <c r="D425" s="44" t="s">
        <v>804</v>
      </c>
      <c r="E425" s="44" t="s">
        <v>481</v>
      </c>
      <c r="F425" s="150">
        <v>31268</v>
      </c>
      <c r="G425" s="44" t="s">
        <v>1179</v>
      </c>
      <c r="H425" s="44">
        <v>3234670556</v>
      </c>
      <c r="I425" s="44" t="s">
        <v>586</v>
      </c>
      <c r="J425" s="44">
        <v>1064976255</v>
      </c>
      <c r="K425" s="44">
        <v>2</v>
      </c>
      <c r="L425" s="44"/>
      <c r="M425" s="44" t="s">
        <v>451</v>
      </c>
      <c r="N425" s="44" t="s">
        <v>452</v>
      </c>
      <c r="O425" s="44" t="s">
        <v>453</v>
      </c>
      <c r="P425" s="150">
        <v>44370</v>
      </c>
      <c r="Q425" s="150">
        <v>44370</v>
      </c>
      <c r="R425" s="151">
        <v>43617</v>
      </c>
      <c r="S425" s="44">
        <v>2</v>
      </c>
      <c r="T425" s="44" t="s">
        <v>455</v>
      </c>
      <c r="U425" s="44">
        <v>11</v>
      </c>
      <c r="V425" s="44" t="s">
        <v>456</v>
      </c>
      <c r="W425" s="44">
        <v>19</v>
      </c>
      <c r="X425" s="44" t="s">
        <v>575</v>
      </c>
      <c r="Y425" s="44">
        <v>2310450</v>
      </c>
      <c r="Z425" s="44" t="s">
        <v>568</v>
      </c>
      <c r="AA425" s="44">
        <v>222</v>
      </c>
      <c r="AB425" s="44">
        <v>27</v>
      </c>
      <c r="AC425" s="44">
        <v>7358647</v>
      </c>
      <c r="AD425" s="44" t="s">
        <v>51</v>
      </c>
      <c r="AE425" s="44">
        <v>40</v>
      </c>
      <c r="AF425" s="44" t="s">
        <v>458</v>
      </c>
      <c r="AG425" s="44" t="s">
        <v>459</v>
      </c>
      <c r="AH425" s="44" t="s">
        <v>49</v>
      </c>
      <c r="AI425" s="44" t="s">
        <v>460</v>
      </c>
      <c r="AJ425" s="150">
        <v>44370</v>
      </c>
      <c r="AK425" s="44">
        <v>93</v>
      </c>
      <c r="AL425" s="150">
        <v>44335</v>
      </c>
      <c r="AM425" s="150"/>
      <c r="AN425" s="44"/>
      <c r="AO425" s="150"/>
      <c r="AP425" s="150">
        <v>46229</v>
      </c>
      <c r="AQ425" s="42"/>
      <c r="AR425" s="42"/>
      <c r="AS425" s="42"/>
      <c r="AT425" s="42"/>
      <c r="AU425" s="42"/>
      <c r="AV425" s="42"/>
      <c r="AW425" s="42"/>
      <c r="AX425" s="42"/>
    </row>
    <row r="426" spans="1:50" ht="12.75" customHeight="1">
      <c r="A426" s="202">
        <v>1065578321</v>
      </c>
      <c r="B426" s="44" t="s">
        <v>815</v>
      </c>
      <c r="C426" s="44" t="s">
        <v>780</v>
      </c>
      <c r="D426" s="44" t="s">
        <v>1182</v>
      </c>
      <c r="E426" s="44" t="s">
        <v>481</v>
      </c>
      <c r="F426" s="150">
        <v>31722</v>
      </c>
      <c r="G426" s="44" t="s">
        <v>1183</v>
      </c>
      <c r="H426" s="44">
        <v>6016151893</v>
      </c>
      <c r="I426" s="44" t="s">
        <v>450</v>
      </c>
      <c r="J426" s="44"/>
      <c r="K426" s="44"/>
      <c r="L426" s="44"/>
      <c r="M426" s="44" t="s">
        <v>451</v>
      </c>
      <c r="N426" s="44" t="s">
        <v>452</v>
      </c>
      <c r="O426" s="44" t="s">
        <v>453</v>
      </c>
      <c r="P426" s="150">
        <v>45383</v>
      </c>
      <c r="Q426" s="150">
        <v>45383</v>
      </c>
      <c r="R426" s="151"/>
      <c r="S426" s="44">
        <v>5</v>
      </c>
      <c r="T426" s="44" t="s">
        <v>499</v>
      </c>
      <c r="U426" s="44">
        <v>23</v>
      </c>
      <c r="V426" s="44" t="s">
        <v>669</v>
      </c>
      <c r="W426" s="44">
        <v>23</v>
      </c>
      <c r="X426" s="44" t="s">
        <v>473</v>
      </c>
      <c r="Y426" s="44">
        <v>2310430</v>
      </c>
      <c r="Z426" s="44" t="s">
        <v>494</v>
      </c>
      <c r="AA426" s="44">
        <v>9</v>
      </c>
      <c r="AB426" s="44">
        <v>7</v>
      </c>
      <c r="AC426" s="44">
        <v>11186814</v>
      </c>
      <c r="AD426" s="44" t="s">
        <v>512</v>
      </c>
      <c r="AE426" s="44">
        <v>5</v>
      </c>
      <c r="AF426" s="44" t="s">
        <v>458</v>
      </c>
      <c r="AG426" s="44" t="s">
        <v>459</v>
      </c>
      <c r="AH426" s="44" t="s">
        <v>484</v>
      </c>
      <c r="AI426" s="44" t="s">
        <v>460</v>
      </c>
      <c r="AJ426" s="150">
        <v>45383</v>
      </c>
      <c r="AK426" s="44">
        <v>181</v>
      </c>
      <c r="AL426" s="150">
        <v>45383</v>
      </c>
      <c r="AM426" s="150"/>
      <c r="AN426" s="44"/>
      <c r="AO426" s="150"/>
      <c r="AP426" s="150">
        <v>45692</v>
      </c>
      <c r="AQ426" s="42"/>
      <c r="AR426" s="42"/>
      <c r="AS426" s="42"/>
      <c r="AT426" s="42"/>
      <c r="AU426" s="42"/>
      <c r="AV426" s="42"/>
      <c r="AW426" s="42"/>
      <c r="AX426" s="42"/>
    </row>
    <row r="427" spans="1:50" ht="12.75" customHeight="1">
      <c r="A427" s="149">
        <v>1065589962</v>
      </c>
      <c r="B427" s="44" t="s">
        <v>829</v>
      </c>
      <c r="C427" s="44" t="s">
        <v>741</v>
      </c>
      <c r="D427" s="44" t="s">
        <v>1184</v>
      </c>
      <c r="E427" s="44" t="s">
        <v>481</v>
      </c>
      <c r="F427" s="150">
        <v>32093</v>
      </c>
      <c r="G427" s="44" t="s">
        <v>1185</v>
      </c>
      <c r="H427" s="44">
        <v>9408230</v>
      </c>
      <c r="I427" s="44" t="s">
        <v>450</v>
      </c>
      <c r="J427" s="44">
        <v>1065589962</v>
      </c>
      <c r="K427" s="44">
        <v>2</v>
      </c>
      <c r="L427" s="44">
        <v>12</v>
      </c>
      <c r="M427" s="44" t="s">
        <v>451</v>
      </c>
      <c r="N427" s="44" t="s">
        <v>452</v>
      </c>
      <c r="O427" s="44" t="s">
        <v>453</v>
      </c>
      <c r="P427" s="150">
        <v>44180</v>
      </c>
      <c r="Q427" s="150">
        <v>44180</v>
      </c>
      <c r="R427" s="44"/>
      <c r="S427" s="44">
        <v>16</v>
      </c>
      <c r="T427" s="44" t="s">
        <v>1186</v>
      </c>
      <c r="U427" s="44">
        <v>19</v>
      </c>
      <c r="V427" s="44" t="s">
        <v>574</v>
      </c>
      <c r="W427" s="44">
        <v>3</v>
      </c>
      <c r="X427" s="44" t="s">
        <v>457</v>
      </c>
      <c r="Y427" s="44">
        <v>2310430</v>
      </c>
      <c r="Z427" s="44" t="s">
        <v>494</v>
      </c>
      <c r="AA427" s="44">
        <v>222</v>
      </c>
      <c r="AB427" s="44">
        <v>19</v>
      </c>
      <c r="AC427" s="44">
        <v>6258912</v>
      </c>
      <c r="AD427" s="44" t="s">
        <v>51</v>
      </c>
      <c r="AE427" s="44">
        <v>70</v>
      </c>
      <c r="AF427" s="44" t="s">
        <v>458</v>
      </c>
      <c r="AG427" s="44" t="s">
        <v>459</v>
      </c>
      <c r="AH427" s="44" t="s">
        <v>644</v>
      </c>
      <c r="AI427" s="44" t="s">
        <v>460</v>
      </c>
      <c r="AJ427" s="150">
        <v>44180</v>
      </c>
      <c r="AK427" s="44">
        <v>141</v>
      </c>
      <c r="AL427" s="150">
        <v>44118</v>
      </c>
      <c r="AM427" s="150"/>
      <c r="AN427" s="44"/>
      <c r="AO427" s="150"/>
      <c r="AP427" s="150">
        <v>44316</v>
      </c>
      <c r="AQ427" s="42"/>
      <c r="AR427" s="42"/>
      <c r="AS427" s="42"/>
      <c r="AT427" s="42"/>
      <c r="AU427" s="42"/>
      <c r="AV427" s="42"/>
      <c r="AW427" s="42"/>
      <c r="AX427" s="42"/>
    </row>
    <row r="428" spans="1:50" ht="12.75" customHeight="1">
      <c r="A428" s="149">
        <v>1065636115</v>
      </c>
      <c r="B428" s="44" t="s">
        <v>1187</v>
      </c>
      <c r="C428" s="44" t="s">
        <v>1188</v>
      </c>
      <c r="D428" s="44" t="s">
        <v>1189</v>
      </c>
      <c r="E428" s="44" t="s">
        <v>481</v>
      </c>
      <c r="F428" s="150">
        <v>33435</v>
      </c>
      <c r="G428" s="44" t="s">
        <v>1190</v>
      </c>
      <c r="H428" s="44">
        <v>5203908</v>
      </c>
      <c r="I428" s="44" t="s">
        <v>586</v>
      </c>
      <c r="J428" s="44">
        <v>1065636115</v>
      </c>
      <c r="K428" s="44">
        <v>2</v>
      </c>
      <c r="L428" s="44"/>
      <c r="M428" s="44" t="s">
        <v>451</v>
      </c>
      <c r="N428" s="44" t="s">
        <v>452</v>
      </c>
      <c r="O428" s="44" t="s">
        <v>453</v>
      </c>
      <c r="P428" s="150">
        <v>42965</v>
      </c>
      <c r="Q428" s="150">
        <v>42965</v>
      </c>
      <c r="R428" s="44"/>
      <c r="S428" s="44">
        <v>8</v>
      </c>
      <c r="T428" s="44" t="s">
        <v>466</v>
      </c>
      <c r="U428" s="44">
        <v>19</v>
      </c>
      <c r="V428" s="44" t="s">
        <v>574</v>
      </c>
      <c r="W428" s="44">
        <v>3</v>
      </c>
      <c r="X428" s="44" t="s">
        <v>457</v>
      </c>
      <c r="Y428" s="44">
        <v>2310430</v>
      </c>
      <c r="Z428" s="44" t="s">
        <v>494</v>
      </c>
      <c r="AA428" s="44">
        <v>222</v>
      </c>
      <c r="AB428" s="44">
        <v>19</v>
      </c>
      <c r="AC428" s="44">
        <v>6258912</v>
      </c>
      <c r="AD428" s="44" t="s">
        <v>51</v>
      </c>
      <c r="AE428" s="44">
        <v>71</v>
      </c>
      <c r="AF428" s="44" t="s">
        <v>458</v>
      </c>
      <c r="AG428" s="44" t="s">
        <v>459</v>
      </c>
      <c r="AH428" s="44" t="s">
        <v>188</v>
      </c>
      <c r="AI428" s="44" t="s">
        <v>460</v>
      </c>
      <c r="AJ428" s="150">
        <v>42965</v>
      </c>
      <c r="AK428" s="44">
        <v>127</v>
      </c>
      <c r="AL428" s="150">
        <v>42963</v>
      </c>
      <c r="AM428" s="150"/>
      <c r="AN428" s="44"/>
      <c r="AO428" s="150"/>
      <c r="AP428" s="150">
        <v>43503</v>
      </c>
      <c r="AQ428" s="42"/>
      <c r="AR428" s="42"/>
      <c r="AS428" s="42"/>
      <c r="AT428" s="42"/>
      <c r="AU428" s="42"/>
      <c r="AV428" s="42"/>
      <c r="AW428" s="42"/>
      <c r="AX428" s="42"/>
    </row>
    <row r="429" spans="1:50" ht="12.75" customHeight="1">
      <c r="A429" s="149">
        <v>1069746875</v>
      </c>
      <c r="B429" s="44" t="s">
        <v>514</v>
      </c>
      <c r="C429" s="44" t="s">
        <v>958</v>
      </c>
      <c r="D429" s="44" t="s">
        <v>1192</v>
      </c>
      <c r="E429" s="44" t="s">
        <v>481</v>
      </c>
      <c r="F429" s="150">
        <v>34375</v>
      </c>
      <c r="G429" s="44" t="s">
        <v>1193</v>
      </c>
      <c r="H429" s="44">
        <v>4126422</v>
      </c>
      <c r="I429" s="44" t="s">
        <v>586</v>
      </c>
      <c r="J429" s="44">
        <v>1069746875</v>
      </c>
      <c r="K429" s="44">
        <v>2</v>
      </c>
      <c r="L429" s="44"/>
      <c r="M429" s="44" t="s">
        <v>448</v>
      </c>
      <c r="N429" s="44" t="s">
        <v>452</v>
      </c>
      <c r="O429" s="44" t="s">
        <v>453</v>
      </c>
      <c r="P429" s="150">
        <v>43642</v>
      </c>
      <c r="Q429" s="150">
        <v>43642</v>
      </c>
      <c r="R429" s="44"/>
      <c r="S429" s="44">
        <v>8</v>
      </c>
      <c r="T429" s="44" t="s">
        <v>466</v>
      </c>
      <c r="U429" s="44">
        <v>11</v>
      </c>
      <c r="V429" s="44" t="s">
        <v>456</v>
      </c>
      <c r="W429" s="44">
        <v>3</v>
      </c>
      <c r="X429" s="44" t="s">
        <v>457</v>
      </c>
      <c r="Y429" s="44">
        <v>102</v>
      </c>
      <c r="Z429" s="44" t="s">
        <v>500</v>
      </c>
      <c r="AA429" s="44">
        <v>219</v>
      </c>
      <c r="AB429" s="44">
        <v>13</v>
      </c>
      <c r="AC429" s="44">
        <v>5471098</v>
      </c>
      <c r="AD429" s="44" t="s">
        <v>72</v>
      </c>
      <c r="AE429" s="44">
        <v>102</v>
      </c>
      <c r="AF429" s="44" t="s">
        <v>458</v>
      </c>
      <c r="AG429" s="44" t="s">
        <v>459</v>
      </c>
      <c r="AH429" s="44" t="s">
        <v>188</v>
      </c>
      <c r="AI429" s="44" t="s">
        <v>460</v>
      </c>
      <c r="AJ429" s="150">
        <v>43958</v>
      </c>
      <c r="AK429" s="44">
        <v>52</v>
      </c>
      <c r="AL429" s="150">
        <v>43955</v>
      </c>
      <c r="AM429" s="150"/>
      <c r="AN429" s="44"/>
      <c r="AO429" s="150"/>
      <c r="AP429" s="150">
        <v>44138</v>
      </c>
      <c r="AQ429" s="42"/>
      <c r="AR429" s="42"/>
      <c r="AS429" s="42"/>
      <c r="AT429" s="42"/>
      <c r="AU429" s="42"/>
      <c r="AV429" s="42"/>
      <c r="AW429" s="42"/>
      <c r="AX429" s="42"/>
    </row>
    <row r="430" spans="1:50" ht="12.75" customHeight="1">
      <c r="A430" s="149">
        <v>1070950393</v>
      </c>
      <c r="B430" s="44" t="s">
        <v>1199</v>
      </c>
      <c r="C430" s="44" t="s">
        <v>1200</v>
      </c>
      <c r="D430" s="44" t="s">
        <v>1201</v>
      </c>
      <c r="E430" s="44" t="s">
        <v>481</v>
      </c>
      <c r="F430" s="150">
        <v>32183</v>
      </c>
      <c r="G430" s="44" t="s">
        <v>1202</v>
      </c>
      <c r="H430" s="44">
        <v>2573507</v>
      </c>
      <c r="I430" s="44" t="s">
        <v>586</v>
      </c>
      <c r="J430" s="44">
        <v>1070950393</v>
      </c>
      <c r="K430" s="44">
        <v>1</v>
      </c>
      <c r="L430" s="44"/>
      <c r="M430" s="44" t="s">
        <v>451</v>
      </c>
      <c r="N430" s="44" t="s">
        <v>452</v>
      </c>
      <c r="O430" s="44" t="s">
        <v>453</v>
      </c>
      <c r="P430" s="150">
        <v>44182</v>
      </c>
      <c r="Q430" s="150">
        <v>44182</v>
      </c>
      <c r="R430" s="44"/>
      <c r="S430" s="44">
        <v>8</v>
      </c>
      <c r="T430" s="44" t="s">
        <v>466</v>
      </c>
      <c r="U430" s="44">
        <v>19</v>
      </c>
      <c r="V430" s="44" t="s">
        <v>574</v>
      </c>
      <c r="W430" s="44">
        <v>3</v>
      </c>
      <c r="X430" s="44" t="s">
        <v>457</v>
      </c>
      <c r="Y430" s="44">
        <v>2310460</v>
      </c>
      <c r="Z430" s="44" t="s">
        <v>506</v>
      </c>
      <c r="AA430" s="44">
        <v>407</v>
      </c>
      <c r="AB430" s="44">
        <v>15</v>
      </c>
      <c r="AC430" s="44">
        <v>3212811</v>
      </c>
      <c r="AD430" s="44" t="s">
        <v>146</v>
      </c>
      <c r="AE430" s="44">
        <v>147</v>
      </c>
      <c r="AF430" s="44" t="s">
        <v>458</v>
      </c>
      <c r="AG430" s="44" t="s">
        <v>459</v>
      </c>
      <c r="AH430" s="44" t="s">
        <v>49</v>
      </c>
      <c r="AI430" s="44" t="s">
        <v>460</v>
      </c>
      <c r="AJ430" s="150">
        <v>44182</v>
      </c>
      <c r="AK430" s="44">
        <v>155</v>
      </c>
      <c r="AL430" s="150">
        <v>44118</v>
      </c>
      <c r="AM430" s="150"/>
      <c r="AN430" s="44"/>
      <c r="AO430" s="150"/>
      <c r="AP430" s="150">
        <v>44705</v>
      </c>
      <c r="AQ430" s="42"/>
      <c r="AR430" s="42"/>
      <c r="AS430" s="42"/>
      <c r="AT430" s="42"/>
      <c r="AU430" s="42"/>
      <c r="AV430" s="42"/>
      <c r="AW430" s="42"/>
      <c r="AX430" s="42"/>
    </row>
    <row r="431" spans="1:50" ht="12.75" customHeight="1">
      <c r="A431" s="149">
        <v>1072493406</v>
      </c>
      <c r="B431" s="44" t="s">
        <v>589</v>
      </c>
      <c r="C431" s="44" t="s">
        <v>502</v>
      </c>
      <c r="D431" s="44" t="s">
        <v>805</v>
      </c>
      <c r="E431" s="44" t="s">
        <v>448</v>
      </c>
      <c r="F431" s="150">
        <v>32432</v>
      </c>
      <c r="G431" s="44" t="s">
        <v>1204</v>
      </c>
      <c r="H431" s="44">
        <v>3105899920</v>
      </c>
      <c r="I431" s="44" t="s">
        <v>586</v>
      </c>
      <c r="J431" s="44">
        <v>1072493496</v>
      </c>
      <c r="K431" s="44">
        <v>2</v>
      </c>
      <c r="L431" s="44">
        <v>55</v>
      </c>
      <c r="M431" s="44" t="s">
        <v>448</v>
      </c>
      <c r="N431" s="44" t="s">
        <v>452</v>
      </c>
      <c r="O431" s="44" t="s">
        <v>453</v>
      </c>
      <c r="P431" s="150">
        <v>44146</v>
      </c>
      <c r="Q431" s="150">
        <v>44146</v>
      </c>
      <c r="R431" s="44"/>
      <c r="S431" s="44">
        <v>18</v>
      </c>
      <c r="T431" s="44" t="s">
        <v>472</v>
      </c>
      <c r="U431" s="44">
        <v>11</v>
      </c>
      <c r="V431" s="44" t="s">
        <v>456</v>
      </c>
      <c r="W431" s="44">
        <v>3</v>
      </c>
      <c r="X431" s="44" t="s">
        <v>457</v>
      </c>
      <c r="Y431" s="44">
        <v>2300100</v>
      </c>
      <c r="Z431" s="44" t="s">
        <v>483</v>
      </c>
      <c r="AA431" s="44">
        <v>314</v>
      </c>
      <c r="AB431" s="44">
        <v>21</v>
      </c>
      <c r="AC431" s="44">
        <v>4789389</v>
      </c>
      <c r="AD431" s="44" t="s">
        <v>517</v>
      </c>
      <c r="AE431" s="44">
        <v>117</v>
      </c>
      <c r="AF431" s="44" t="s">
        <v>458</v>
      </c>
      <c r="AG431" s="44" t="s">
        <v>459</v>
      </c>
      <c r="AH431" s="44" t="s">
        <v>49</v>
      </c>
      <c r="AI431" s="44" t="s">
        <v>460</v>
      </c>
      <c r="AJ431" s="150">
        <v>44146</v>
      </c>
      <c r="AK431" s="44">
        <v>156</v>
      </c>
      <c r="AL431" s="150">
        <v>44118</v>
      </c>
      <c r="AM431" s="150">
        <v>45873</v>
      </c>
      <c r="AN431" s="44">
        <v>278</v>
      </c>
      <c r="AO431" s="150">
        <v>45868</v>
      </c>
      <c r="AP431" s="150"/>
      <c r="AQ431" s="42"/>
      <c r="AR431" s="42"/>
      <c r="AS431" s="42"/>
      <c r="AT431" s="42"/>
      <c r="AU431" s="42"/>
      <c r="AV431" s="42"/>
      <c r="AW431" s="42"/>
      <c r="AX431" s="42"/>
    </row>
    <row r="432" spans="1:50" ht="12.75" customHeight="1">
      <c r="A432" s="202">
        <v>1073159399</v>
      </c>
      <c r="B432" s="44" t="s">
        <v>761</v>
      </c>
      <c r="C432" s="44" t="s">
        <v>808</v>
      </c>
      <c r="D432" s="44" t="s">
        <v>809</v>
      </c>
      <c r="E432" s="44" t="s">
        <v>448</v>
      </c>
      <c r="F432" s="150">
        <v>33128</v>
      </c>
      <c r="G432" s="44" t="s">
        <v>1207</v>
      </c>
      <c r="H432" s="44">
        <v>3202183692</v>
      </c>
      <c r="I432" s="44" t="s">
        <v>450</v>
      </c>
      <c r="J432" s="44"/>
      <c r="K432" s="44"/>
      <c r="L432" s="44"/>
      <c r="M432" s="44" t="s">
        <v>448</v>
      </c>
      <c r="N432" s="44" t="s">
        <v>452</v>
      </c>
      <c r="O432" s="44" t="s">
        <v>453</v>
      </c>
      <c r="P432" s="150">
        <v>44145</v>
      </c>
      <c r="Q432" s="150">
        <v>44145</v>
      </c>
      <c r="R432" s="44"/>
      <c r="S432" s="44">
        <v>6</v>
      </c>
      <c r="T432" s="44" t="s">
        <v>511</v>
      </c>
      <c r="U432" s="44">
        <v>11</v>
      </c>
      <c r="V432" s="44" t="s">
        <v>456</v>
      </c>
      <c r="W432" s="44">
        <v>3</v>
      </c>
      <c r="X432" s="44" t="s">
        <v>457</v>
      </c>
      <c r="Y432" s="44">
        <v>2310470</v>
      </c>
      <c r="Z432" s="44" t="s">
        <v>477</v>
      </c>
      <c r="AA432" s="44">
        <v>314</v>
      </c>
      <c r="AB432" s="44">
        <v>20</v>
      </c>
      <c r="AC432" s="44">
        <v>4789274</v>
      </c>
      <c r="AD432" s="44" t="s">
        <v>517</v>
      </c>
      <c r="AE432" s="44">
        <v>125</v>
      </c>
      <c r="AF432" s="44" t="s">
        <v>458</v>
      </c>
      <c r="AG432" s="44" t="s">
        <v>459</v>
      </c>
      <c r="AH432" s="44" t="s">
        <v>49</v>
      </c>
      <c r="AI432" s="44" t="s">
        <v>460</v>
      </c>
      <c r="AJ432" s="150">
        <v>44145</v>
      </c>
      <c r="AK432" s="44">
        <v>213</v>
      </c>
      <c r="AL432" s="150">
        <v>44124</v>
      </c>
      <c r="AM432" s="150">
        <v>46028</v>
      </c>
      <c r="AN432" s="44">
        <v>495</v>
      </c>
      <c r="AO432" s="150">
        <v>46021</v>
      </c>
      <c r="AP432" s="150"/>
      <c r="AQ432" s="42"/>
      <c r="AR432" s="42"/>
      <c r="AS432" s="42"/>
      <c r="AT432" s="42"/>
      <c r="AU432" s="42"/>
      <c r="AV432" s="42"/>
      <c r="AW432" s="42"/>
      <c r="AX432" s="42"/>
    </row>
    <row r="433" spans="1:50" ht="12.75" customHeight="1">
      <c r="A433" s="202">
        <v>1019071696</v>
      </c>
      <c r="B433" s="44" t="s">
        <v>2483</v>
      </c>
      <c r="C433" s="44" t="s">
        <v>936</v>
      </c>
      <c r="D433" s="44" t="s">
        <v>2484</v>
      </c>
      <c r="E433" s="44"/>
      <c r="F433" s="150"/>
      <c r="G433" s="44"/>
      <c r="H433" s="44"/>
      <c r="I433" s="44"/>
      <c r="J433" s="44"/>
      <c r="K433" s="44"/>
      <c r="L433" s="44"/>
      <c r="M433" s="44"/>
      <c r="N433" s="44"/>
      <c r="O433" s="44"/>
      <c r="P433" s="150">
        <v>46300</v>
      </c>
      <c r="Q433" s="150"/>
      <c r="R433" s="44"/>
      <c r="S433" s="44"/>
      <c r="T433" s="44"/>
      <c r="U433" s="44"/>
      <c r="V433" s="44"/>
      <c r="W433" s="44"/>
      <c r="X433" s="44"/>
      <c r="Y433" s="44"/>
      <c r="Z433" s="44"/>
      <c r="AA433" s="44"/>
      <c r="AB433" s="44"/>
      <c r="AC433" s="44"/>
      <c r="AD433" s="44"/>
      <c r="AE433" s="44"/>
      <c r="AF433" s="44"/>
      <c r="AG433" s="44"/>
      <c r="AH433" s="44"/>
      <c r="AI433" s="44"/>
      <c r="AJ433" s="150"/>
      <c r="AK433" s="44"/>
      <c r="AL433" s="150"/>
      <c r="AM433" s="150"/>
      <c r="AN433" s="44"/>
      <c r="AO433" s="150"/>
      <c r="AP433" s="150"/>
      <c r="AQ433" s="42"/>
      <c r="AR433" s="42"/>
      <c r="AS433" s="42"/>
      <c r="AT433" s="42"/>
      <c r="AU433" s="42"/>
      <c r="AV433" s="42"/>
      <c r="AW433" s="42"/>
      <c r="AX433" s="42"/>
    </row>
    <row r="434" spans="1:50" ht="12.75" customHeight="1">
      <c r="A434" s="202">
        <v>1140857415</v>
      </c>
      <c r="B434" s="44" t="s">
        <v>2486</v>
      </c>
      <c r="C434" s="44" t="s">
        <v>625</v>
      </c>
      <c r="D434" s="44" t="s">
        <v>2485</v>
      </c>
      <c r="E434" s="44"/>
      <c r="F434" s="150"/>
      <c r="G434" s="44"/>
      <c r="H434" s="44"/>
      <c r="I434" s="44"/>
      <c r="J434" s="44"/>
      <c r="K434" s="44"/>
      <c r="L434" s="44"/>
      <c r="M434" s="44"/>
      <c r="N434" s="44"/>
      <c r="O434" s="44"/>
      <c r="P434" s="150">
        <v>46300</v>
      </c>
      <c r="Q434" s="150"/>
      <c r="R434" s="44"/>
      <c r="S434" s="44"/>
      <c r="T434" s="44"/>
      <c r="U434" s="44"/>
      <c r="V434" s="44"/>
      <c r="W434" s="44"/>
      <c r="X434" s="44"/>
      <c r="Y434" s="44"/>
      <c r="Z434" s="44"/>
      <c r="AA434" s="44"/>
      <c r="AB434" s="44"/>
      <c r="AC434" s="44"/>
      <c r="AD434" s="44"/>
      <c r="AE434" s="44"/>
      <c r="AF434" s="44"/>
      <c r="AG434" s="44"/>
      <c r="AH434" s="44"/>
      <c r="AI434" s="44"/>
      <c r="AJ434" s="150"/>
      <c r="AK434" s="44"/>
      <c r="AL434" s="150"/>
      <c r="AM434" s="150"/>
      <c r="AN434" s="44"/>
      <c r="AO434" s="150"/>
      <c r="AP434" s="150"/>
      <c r="AQ434" s="42"/>
      <c r="AR434" s="42"/>
      <c r="AS434" s="42"/>
      <c r="AT434" s="42"/>
      <c r="AU434" s="42"/>
      <c r="AV434" s="42"/>
      <c r="AW434" s="42"/>
      <c r="AX434" s="42"/>
    </row>
    <row r="435" spans="1:50" ht="12.75" customHeight="1">
      <c r="A435" s="149"/>
      <c r="B435" s="44"/>
      <c r="C435" s="44"/>
      <c r="D435" s="44"/>
      <c r="E435" s="44"/>
      <c r="F435" s="150"/>
      <c r="G435" s="44"/>
      <c r="H435" s="44"/>
      <c r="I435" s="44"/>
      <c r="J435" s="44"/>
      <c r="K435" s="44"/>
      <c r="L435" s="44"/>
      <c r="M435" s="44"/>
      <c r="N435" s="44"/>
      <c r="O435" s="44"/>
      <c r="P435" s="150"/>
      <c r="Q435" s="150"/>
      <c r="R435" s="44"/>
      <c r="S435" s="44"/>
      <c r="T435" s="44"/>
      <c r="U435" s="44"/>
      <c r="V435" s="44"/>
      <c r="W435" s="44"/>
      <c r="X435" s="44"/>
      <c r="Y435" s="44"/>
      <c r="Z435" s="44"/>
      <c r="AA435" s="44"/>
      <c r="AB435" s="44"/>
      <c r="AC435" s="44"/>
      <c r="AD435" s="44"/>
      <c r="AE435" s="44"/>
      <c r="AF435" s="44"/>
      <c r="AG435" s="44"/>
      <c r="AH435" s="44"/>
      <c r="AI435" s="44"/>
      <c r="AJ435" s="150"/>
      <c r="AK435" s="44"/>
      <c r="AL435" s="150"/>
      <c r="AM435" s="150"/>
      <c r="AN435" s="44"/>
      <c r="AO435" s="150"/>
      <c r="AP435" s="150"/>
      <c r="AQ435" s="42"/>
      <c r="AR435" s="42"/>
      <c r="AS435" s="42"/>
      <c r="AT435" s="42"/>
      <c r="AU435" s="42"/>
      <c r="AV435" s="42"/>
      <c r="AW435" s="42"/>
      <c r="AX435" s="42"/>
    </row>
    <row r="436" spans="1:50" ht="12.75" customHeight="1">
      <c r="A436" s="149"/>
      <c r="B436" s="44"/>
      <c r="C436" s="44"/>
      <c r="D436" s="44"/>
      <c r="E436" s="44"/>
      <c r="F436" s="150"/>
      <c r="G436" s="44"/>
      <c r="H436" s="44"/>
      <c r="I436" s="44"/>
      <c r="J436" s="44"/>
      <c r="K436" s="44"/>
      <c r="L436" s="44"/>
      <c r="M436" s="44"/>
      <c r="N436" s="44"/>
      <c r="O436" s="44"/>
      <c r="P436" s="150"/>
      <c r="Q436" s="150"/>
      <c r="R436" s="44"/>
      <c r="S436" s="44"/>
      <c r="T436" s="44"/>
      <c r="U436" s="44"/>
      <c r="V436" s="44"/>
      <c r="W436" s="44"/>
      <c r="X436" s="44"/>
      <c r="Y436" s="44"/>
      <c r="Z436" s="44"/>
      <c r="AA436" s="44"/>
      <c r="AB436" s="44"/>
      <c r="AC436" s="44"/>
      <c r="AD436" s="44"/>
      <c r="AE436" s="44"/>
      <c r="AF436" s="44"/>
      <c r="AG436" s="44"/>
      <c r="AH436" s="44"/>
      <c r="AI436" s="44"/>
      <c r="AJ436" s="150"/>
      <c r="AK436" s="44"/>
      <c r="AL436" s="150"/>
      <c r="AM436" s="150"/>
      <c r="AN436" s="44"/>
      <c r="AO436" s="150"/>
      <c r="AP436" s="150"/>
      <c r="AQ436" s="42"/>
      <c r="AR436" s="42"/>
      <c r="AS436" s="42"/>
      <c r="AT436" s="42"/>
      <c r="AU436" s="42"/>
      <c r="AV436" s="42"/>
      <c r="AW436" s="42"/>
      <c r="AX436" s="42"/>
    </row>
    <row r="437" spans="1:50" ht="12.75" customHeight="1">
      <c r="A437" s="149"/>
      <c r="B437" s="44"/>
      <c r="C437" s="44"/>
      <c r="D437" s="44"/>
      <c r="E437" s="44"/>
      <c r="F437" s="150"/>
      <c r="G437" s="44"/>
      <c r="H437" s="44"/>
      <c r="I437" s="44"/>
      <c r="J437" s="44"/>
      <c r="K437" s="44"/>
      <c r="L437" s="44"/>
      <c r="M437" s="44"/>
      <c r="N437" s="44"/>
      <c r="O437" s="44"/>
      <c r="P437" s="150"/>
      <c r="Q437" s="150"/>
      <c r="R437" s="44"/>
      <c r="S437" s="44"/>
      <c r="T437" s="44"/>
      <c r="U437" s="44"/>
      <c r="V437" s="44"/>
      <c r="W437" s="44"/>
      <c r="X437" s="44"/>
      <c r="Y437" s="44"/>
      <c r="Z437" s="44"/>
      <c r="AA437" s="44"/>
      <c r="AB437" s="44"/>
      <c r="AC437" s="44"/>
      <c r="AD437" s="44"/>
      <c r="AE437" s="44"/>
      <c r="AF437" s="44"/>
      <c r="AG437" s="44"/>
      <c r="AH437" s="44"/>
      <c r="AI437" s="44"/>
      <c r="AJ437" s="150"/>
      <c r="AK437" s="44"/>
      <c r="AL437" s="150"/>
      <c r="AM437" s="150"/>
      <c r="AN437" s="44"/>
      <c r="AO437" s="150"/>
      <c r="AP437" s="150"/>
      <c r="AQ437" s="42"/>
      <c r="AR437" s="42"/>
      <c r="AS437" s="42"/>
      <c r="AT437" s="42"/>
      <c r="AU437" s="42"/>
      <c r="AV437" s="42"/>
      <c r="AW437" s="42"/>
      <c r="AX437" s="42"/>
    </row>
    <row r="438" spans="1:50" ht="12.75" customHeight="1">
      <c r="A438" s="149"/>
      <c r="B438" s="44"/>
      <c r="C438" s="44"/>
      <c r="D438" s="44"/>
      <c r="E438" s="44"/>
      <c r="F438" s="150"/>
      <c r="G438" s="44"/>
      <c r="H438" s="44"/>
      <c r="I438" s="44"/>
      <c r="J438" s="44"/>
      <c r="K438" s="44"/>
      <c r="L438" s="44"/>
      <c r="M438" s="44"/>
      <c r="N438" s="44"/>
      <c r="O438" s="44"/>
      <c r="P438" s="150"/>
      <c r="Q438" s="150"/>
      <c r="R438" s="44"/>
      <c r="S438" s="44"/>
      <c r="T438" s="44"/>
      <c r="U438" s="44"/>
      <c r="V438" s="44"/>
      <c r="W438" s="44"/>
      <c r="X438" s="44"/>
      <c r="Y438" s="44"/>
      <c r="Z438" s="44"/>
      <c r="AA438" s="44"/>
      <c r="AB438" s="44"/>
      <c r="AC438" s="44"/>
      <c r="AD438" s="44"/>
      <c r="AE438" s="44"/>
      <c r="AF438" s="44"/>
      <c r="AG438" s="44"/>
      <c r="AH438" s="44"/>
      <c r="AI438" s="44"/>
      <c r="AJ438" s="150"/>
      <c r="AK438" s="44"/>
      <c r="AL438" s="150"/>
      <c r="AM438" s="150"/>
      <c r="AN438" s="44"/>
      <c r="AO438" s="150"/>
      <c r="AP438" s="150"/>
      <c r="AQ438" s="42"/>
      <c r="AR438" s="42"/>
      <c r="AS438" s="42"/>
      <c r="AT438" s="42"/>
      <c r="AU438" s="42"/>
      <c r="AV438" s="42"/>
      <c r="AW438" s="42"/>
      <c r="AX438" s="42"/>
    </row>
    <row r="439" spans="1:50" ht="12.75" customHeight="1">
      <c r="A439" s="149"/>
      <c r="B439" s="44"/>
      <c r="C439" s="44"/>
      <c r="D439" s="44"/>
      <c r="E439" s="44"/>
      <c r="F439" s="150"/>
      <c r="G439" s="44"/>
      <c r="H439" s="44"/>
      <c r="I439" s="44"/>
      <c r="J439" s="44"/>
      <c r="K439" s="44"/>
      <c r="L439" s="44"/>
      <c r="M439" s="44"/>
      <c r="N439" s="44"/>
      <c r="O439" s="44"/>
      <c r="P439" s="150"/>
      <c r="Q439" s="150"/>
      <c r="R439" s="44"/>
      <c r="S439" s="44"/>
      <c r="T439" s="44"/>
      <c r="U439" s="44"/>
      <c r="V439" s="44"/>
      <c r="W439" s="44"/>
      <c r="X439" s="44"/>
      <c r="Y439" s="44"/>
      <c r="Z439" s="44"/>
      <c r="AA439" s="44"/>
      <c r="AB439" s="44"/>
      <c r="AC439" s="44"/>
      <c r="AD439" s="44"/>
      <c r="AE439" s="44"/>
      <c r="AF439" s="44"/>
      <c r="AG439" s="44"/>
      <c r="AH439" s="44"/>
      <c r="AI439" s="44"/>
      <c r="AJ439" s="150"/>
      <c r="AK439" s="44"/>
      <c r="AL439" s="150"/>
      <c r="AM439" s="150"/>
      <c r="AN439" s="44"/>
      <c r="AO439" s="150"/>
      <c r="AP439" s="150"/>
      <c r="AQ439" s="42"/>
      <c r="AR439" s="42"/>
      <c r="AS439" s="42"/>
      <c r="AT439" s="42"/>
      <c r="AU439" s="42"/>
      <c r="AV439" s="42"/>
      <c r="AW439" s="42"/>
      <c r="AX439" s="42"/>
    </row>
    <row r="440" spans="1:50" ht="12.75" customHeight="1">
      <c r="A440" s="149"/>
      <c r="B440" s="44"/>
      <c r="C440" s="44"/>
      <c r="D440" s="44"/>
      <c r="E440" s="44"/>
      <c r="F440" s="150"/>
      <c r="G440" s="44"/>
      <c r="H440" s="44"/>
      <c r="I440" s="44"/>
      <c r="J440" s="44"/>
      <c r="K440" s="44"/>
      <c r="L440" s="44"/>
      <c r="M440" s="44"/>
      <c r="N440" s="44"/>
      <c r="O440" s="44"/>
      <c r="P440" s="150"/>
      <c r="Q440" s="150"/>
      <c r="R440" s="44"/>
      <c r="S440" s="44"/>
      <c r="T440" s="44"/>
      <c r="U440" s="44"/>
      <c r="V440" s="44"/>
      <c r="W440" s="44"/>
      <c r="X440" s="44"/>
      <c r="Y440" s="44"/>
      <c r="Z440" s="44"/>
      <c r="AA440" s="44"/>
      <c r="AB440" s="44"/>
      <c r="AC440" s="44"/>
      <c r="AD440" s="44"/>
      <c r="AE440" s="44"/>
      <c r="AF440" s="44"/>
      <c r="AG440" s="44"/>
      <c r="AH440" s="44"/>
      <c r="AI440" s="44"/>
      <c r="AJ440" s="150"/>
      <c r="AK440" s="44"/>
      <c r="AL440" s="150"/>
      <c r="AM440" s="150"/>
      <c r="AN440" s="44"/>
      <c r="AO440" s="150"/>
      <c r="AP440" s="150"/>
      <c r="AQ440" s="42"/>
      <c r="AR440" s="42"/>
      <c r="AS440" s="42"/>
      <c r="AT440" s="42"/>
      <c r="AU440" s="42"/>
      <c r="AV440" s="42"/>
      <c r="AW440" s="42"/>
      <c r="AX440" s="42"/>
    </row>
    <row r="441" spans="1:50" ht="12.75" customHeight="1">
      <c r="A441" s="149"/>
      <c r="B441" s="44"/>
      <c r="C441" s="44"/>
      <c r="D441" s="44"/>
      <c r="E441" s="44"/>
      <c r="F441" s="150"/>
      <c r="G441" s="44"/>
      <c r="H441" s="44"/>
      <c r="I441" s="44"/>
      <c r="J441" s="44"/>
      <c r="K441" s="44"/>
      <c r="L441" s="44"/>
      <c r="M441" s="44"/>
      <c r="N441" s="44"/>
      <c r="O441" s="44"/>
      <c r="P441" s="150"/>
      <c r="Q441" s="150"/>
      <c r="R441" s="44"/>
      <c r="S441" s="44"/>
      <c r="T441" s="44"/>
      <c r="U441" s="44"/>
      <c r="V441" s="44"/>
      <c r="W441" s="44"/>
      <c r="X441" s="44"/>
      <c r="Y441" s="44"/>
      <c r="Z441" s="44"/>
      <c r="AA441" s="44"/>
      <c r="AB441" s="44"/>
      <c r="AC441" s="44"/>
      <c r="AD441" s="44"/>
      <c r="AE441" s="44"/>
      <c r="AF441" s="44"/>
      <c r="AG441" s="44"/>
      <c r="AH441" s="44"/>
      <c r="AI441" s="44"/>
      <c r="AJ441" s="150"/>
      <c r="AK441" s="44"/>
      <c r="AL441" s="150"/>
      <c r="AM441" s="150"/>
      <c r="AN441" s="44"/>
      <c r="AO441" s="150"/>
      <c r="AP441" s="150"/>
      <c r="AQ441" s="42"/>
      <c r="AR441" s="42"/>
      <c r="AS441" s="42"/>
      <c r="AT441" s="42"/>
      <c r="AU441" s="42"/>
      <c r="AV441" s="42"/>
      <c r="AW441" s="42"/>
      <c r="AX441" s="42"/>
    </row>
    <row r="442" spans="1:50" ht="12.75" customHeight="1">
      <c r="A442" s="149"/>
      <c r="B442" s="44"/>
      <c r="C442" s="44"/>
      <c r="D442" s="44"/>
      <c r="E442" s="44"/>
      <c r="F442" s="150"/>
      <c r="G442" s="44"/>
      <c r="H442" s="44"/>
      <c r="I442" s="44"/>
      <c r="J442" s="44"/>
      <c r="K442" s="44"/>
      <c r="L442" s="44"/>
      <c r="M442" s="44"/>
      <c r="N442" s="44"/>
      <c r="O442" s="44"/>
      <c r="P442" s="150"/>
      <c r="Q442" s="150"/>
      <c r="R442" s="44"/>
      <c r="S442" s="44"/>
      <c r="T442" s="44"/>
      <c r="U442" s="44"/>
      <c r="V442" s="44"/>
      <c r="W442" s="44"/>
      <c r="X442" s="44"/>
      <c r="Y442" s="44"/>
      <c r="Z442" s="44"/>
      <c r="AA442" s="44"/>
      <c r="AB442" s="44"/>
      <c r="AC442" s="44"/>
      <c r="AD442" s="44"/>
      <c r="AE442" s="44"/>
      <c r="AF442" s="44"/>
      <c r="AG442" s="44"/>
      <c r="AH442" s="44"/>
      <c r="AI442" s="44"/>
      <c r="AJ442" s="150"/>
      <c r="AK442" s="44"/>
      <c r="AL442" s="150"/>
      <c r="AM442" s="150"/>
      <c r="AN442" s="44"/>
      <c r="AO442" s="150"/>
      <c r="AP442" s="150"/>
      <c r="AQ442" s="42"/>
      <c r="AR442" s="42"/>
      <c r="AS442" s="42"/>
      <c r="AT442" s="42"/>
      <c r="AU442" s="42"/>
      <c r="AV442" s="42"/>
      <c r="AW442" s="42"/>
      <c r="AX442" s="42"/>
    </row>
    <row r="443" spans="1:50" ht="12.75" customHeight="1">
      <c r="A443" s="149"/>
      <c r="B443" s="44"/>
      <c r="C443" s="44"/>
      <c r="D443" s="44"/>
      <c r="E443" s="44"/>
      <c r="F443" s="150"/>
      <c r="G443" s="44"/>
      <c r="H443" s="44"/>
      <c r="I443" s="44"/>
      <c r="J443" s="44"/>
      <c r="K443" s="44"/>
      <c r="L443" s="44"/>
      <c r="M443" s="44"/>
      <c r="N443" s="44"/>
      <c r="O443" s="44"/>
      <c r="P443" s="150"/>
      <c r="Q443" s="150"/>
      <c r="R443" s="44"/>
      <c r="S443" s="44"/>
      <c r="T443" s="44"/>
      <c r="U443" s="44"/>
      <c r="V443" s="44"/>
      <c r="W443" s="44"/>
      <c r="X443" s="44"/>
      <c r="Y443" s="44"/>
      <c r="Z443" s="44"/>
      <c r="AA443" s="44"/>
      <c r="AB443" s="44"/>
      <c r="AC443" s="44"/>
      <c r="AD443" s="44"/>
      <c r="AE443" s="44"/>
      <c r="AF443" s="44"/>
      <c r="AG443" s="44"/>
      <c r="AH443" s="44"/>
      <c r="AI443" s="44"/>
      <c r="AJ443" s="150"/>
      <c r="AK443" s="44"/>
      <c r="AL443" s="150"/>
      <c r="AM443" s="150"/>
      <c r="AN443" s="44"/>
      <c r="AO443" s="150"/>
      <c r="AP443" s="150"/>
      <c r="AQ443" s="42"/>
      <c r="AR443" s="42"/>
      <c r="AS443" s="42"/>
      <c r="AT443" s="42"/>
      <c r="AU443" s="42"/>
      <c r="AV443" s="42"/>
      <c r="AW443" s="42"/>
      <c r="AX443" s="42"/>
    </row>
    <row r="444" spans="1:50" ht="12.75" customHeight="1">
      <c r="A444" s="149"/>
      <c r="B444" s="44"/>
      <c r="C444" s="44"/>
      <c r="D444" s="44"/>
      <c r="E444" s="44"/>
      <c r="F444" s="150"/>
      <c r="G444" s="44"/>
      <c r="H444" s="44"/>
      <c r="I444" s="44"/>
      <c r="J444" s="44"/>
      <c r="K444" s="44"/>
      <c r="L444" s="44"/>
      <c r="M444" s="44"/>
      <c r="N444" s="44"/>
      <c r="O444" s="44"/>
      <c r="P444" s="150"/>
      <c r="Q444" s="150"/>
      <c r="R444" s="44"/>
      <c r="S444" s="44"/>
      <c r="T444" s="44"/>
      <c r="U444" s="44"/>
      <c r="V444" s="44"/>
      <c r="W444" s="44"/>
      <c r="X444" s="44"/>
      <c r="Y444" s="44"/>
      <c r="Z444" s="44"/>
      <c r="AA444" s="44"/>
      <c r="AB444" s="44"/>
      <c r="AC444" s="44"/>
      <c r="AD444" s="44"/>
      <c r="AE444" s="44"/>
      <c r="AF444" s="44"/>
      <c r="AG444" s="44"/>
      <c r="AH444" s="44"/>
      <c r="AI444" s="44"/>
      <c r="AJ444" s="150"/>
      <c r="AK444" s="44"/>
      <c r="AL444" s="150"/>
      <c r="AM444" s="150"/>
      <c r="AN444" s="44"/>
      <c r="AO444" s="150"/>
      <c r="AP444" s="150"/>
      <c r="AQ444" s="42"/>
      <c r="AR444" s="42"/>
      <c r="AS444" s="42"/>
      <c r="AT444" s="42"/>
      <c r="AU444" s="42"/>
      <c r="AV444" s="42"/>
      <c r="AW444" s="42"/>
      <c r="AX444" s="42"/>
    </row>
    <row r="445" spans="1:50" ht="12.75" customHeight="1">
      <c r="A445" s="149"/>
      <c r="B445" s="44"/>
      <c r="C445" s="44"/>
      <c r="D445" s="44"/>
      <c r="E445" s="44"/>
      <c r="F445" s="150"/>
      <c r="G445" s="44"/>
      <c r="H445" s="44"/>
      <c r="I445" s="44"/>
      <c r="J445" s="44"/>
      <c r="K445" s="44"/>
      <c r="L445" s="44"/>
      <c r="M445" s="44"/>
      <c r="N445" s="44"/>
      <c r="O445" s="44"/>
      <c r="P445" s="150"/>
      <c r="Q445" s="150"/>
      <c r="R445" s="44"/>
      <c r="S445" s="44"/>
      <c r="T445" s="44"/>
      <c r="U445" s="44"/>
      <c r="V445" s="44"/>
      <c r="W445" s="44"/>
      <c r="X445" s="44"/>
      <c r="Y445" s="44"/>
      <c r="Z445" s="44"/>
      <c r="AA445" s="44"/>
      <c r="AB445" s="44"/>
      <c r="AC445" s="44"/>
      <c r="AD445" s="44"/>
      <c r="AE445" s="44"/>
      <c r="AF445" s="44"/>
      <c r="AG445" s="44"/>
      <c r="AH445" s="44"/>
      <c r="AI445" s="44"/>
      <c r="AJ445" s="150"/>
      <c r="AK445" s="44"/>
      <c r="AL445" s="150"/>
      <c r="AM445" s="150"/>
      <c r="AN445" s="44"/>
      <c r="AO445" s="150"/>
      <c r="AP445" s="150"/>
      <c r="AQ445" s="42"/>
      <c r="AR445" s="42"/>
      <c r="AS445" s="42"/>
      <c r="AT445" s="42"/>
      <c r="AU445" s="42"/>
      <c r="AV445" s="42"/>
      <c r="AW445" s="42"/>
      <c r="AX445" s="42"/>
    </row>
    <row r="446" spans="1:50" ht="12.75" customHeight="1">
      <c r="A446" s="149"/>
      <c r="B446" s="44"/>
      <c r="C446" s="44"/>
      <c r="D446" s="44"/>
      <c r="E446" s="44"/>
      <c r="F446" s="150"/>
      <c r="G446" s="44"/>
      <c r="H446" s="44"/>
      <c r="I446" s="44"/>
      <c r="J446" s="44"/>
      <c r="K446" s="44"/>
      <c r="L446" s="44"/>
      <c r="M446" s="44"/>
      <c r="N446" s="44"/>
      <c r="O446" s="44"/>
      <c r="P446" s="150"/>
      <c r="Q446" s="150"/>
      <c r="R446" s="44"/>
      <c r="S446" s="44"/>
      <c r="T446" s="44"/>
      <c r="U446" s="44"/>
      <c r="V446" s="44"/>
      <c r="W446" s="44"/>
      <c r="X446" s="44"/>
      <c r="Y446" s="44"/>
      <c r="Z446" s="44"/>
      <c r="AA446" s="44"/>
      <c r="AB446" s="44"/>
      <c r="AC446" s="44"/>
      <c r="AD446" s="44"/>
      <c r="AE446" s="44"/>
      <c r="AF446" s="44"/>
      <c r="AG446" s="44"/>
      <c r="AH446" s="44"/>
      <c r="AI446" s="44"/>
      <c r="AJ446" s="150"/>
      <c r="AK446" s="44"/>
      <c r="AL446" s="150"/>
      <c r="AM446" s="150"/>
      <c r="AN446" s="44"/>
      <c r="AO446" s="150"/>
      <c r="AP446" s="150"/>
      <c r="AQ446" s="42"/>
      <c r="AR446" s="42"/>
      <c r="AS446" s="42"/>
      <c r="AT446" s="42"/>
      <c r="AU446" s="42"/>
      <c r="AV446" s="42"/>
      <c r="AW446" s="42"/>
      <c r="AX446" s="42"/>
    </row>
    <row r="447" spans="1:50" ht="12.75" customHeight="1">
      <c r="A447" s="149"/>
      <c r="B447" s="44"/>
      <c r="C447" s="44"/>
      <c r="D447" s="44"/>
      <c r="E447" s="44"/>
      <c r="F447" s="150"/>
      <c r="G447" s="44"/>
      <c r="H447" s="44"/>
      <c r="I447" s="44"/>
      <c r="J447" s="44"/>
      <c r="K447" s="44"/>
      <c r="L447" s="44"/>
      <c r="M447" s="44"/>
      <c r="N447" s="44"/>
      <c r="O447" s="44"/>
      <c r="P447" s="150"/>
      <c r="Q447" s="150"/>
      <c r="R447" s="44"/>
      <c r="S447" s="44"/>
      <c r="T447" s="44"/>
      <c r="U447" s="44"/>
      <c r="V447" s="44"/>
      <c r="W447" s="44"/>
      <c r="X447" s="44"/>
      <c r="Y447" s="44"/>
      <c r="Z447" s="44"/>
      <c r="AA447" s="44"/>
      <c r="AB447" s="44"/>
      <c r="AC447" s="44"/>
      <c r="AD447" s="44"/>
      <c r="AE447" s="44"/>
      <c r="AF447" s="44"/>
      <c r="AG447" s="44"/>
      <c r="AH447" s="44"/>
      <c r="AI447" s="44"/>
      <c r="AJ447" s="150"/>
      <c r="AK447" s="44"/>
      <c r="AL447" s="150"/>
      <c r="AM447" s="150"/>
      <c r="AN447" s="44"/>
      <c r="AO447" s="150"/>
      <c r="AP447" s="150"/>
      <c r="AQ447" s="42"/>
      <c r="AR447" s="42"/>
      <c r="AS447" s="42"/>
      <c r="AT447" s="42"/>
      <c r="AU447" s="42"/>
      <c r="AV447" s="42"/>
      <c r="AW447" s="42"/>
      <c r="AX447" s="42"/>
    </row>
    <row r="448" spans="1:50" ht="12.75" customHeight="1">
      <c r="A448" s="149"/>
      <c r="B448" s="44"/>
      <c r="C448" s="44"/>
      <c r="D448" s="44"/>
      <c r="E448" s="44"/>
      <c r="F448" s="150"/>
      <c r="G448" s="44"/>
      <c r="H448" s="44"/>
      <c r="I448" s="44"/>
      <c r="J448" s="44"/>
      <c r="K448" s="44"/>
      <c r="L448" s="44"/>
      <c r="M448" s="44"/>
      <c r="N448" s="44"/>
      <c r="O448" s="44"/>
      <c r="P448" s="150"/>
      <c r="Q448" s="150"/>
      <c r="R448" s="44"/>
      <c r="S448" s="44"/>
      <c r="T448" s="44"/>
      <c r="U448" s="44"/>
      <c r="V448" s="44"/>
      <c r="W448" s="44"/>
      <c r="X448" s="44"/>
      <c r="Y448" s="44"/>
      <c r="Z448" s="44"/>
      <c r="AA448" s="44"/>
      <c r="AB448" s="44"/>
      <c r="AC448" s="44"/>
      <c r="AD448" s="44"/>
      <c r="AE448" s="44"/>
      <c r="AF448" s="44"/>
      <c r="AG448" s="44"/>
      <c r="AH448" s="44"/>
      <c r="AI448" s="44"/>
      <c r="AJ448" s="150"/>
      <c r="AK448" s="44"/>
      <c r="AL448" s="150"/>
      <c r="AM448" s="150"/>
      <c r="AN448" s="44"/>
      <c r="AO448" s="150"/>
      <c r="AP448" s="150"/>
      <c r="AQ448" s="42"/>
      <c r="AR448" s="42"/>
      <c r="AS448" s="42"/>
      <c r="AT448" s="42"/>
      <c r="AU448" s="42"/>
      <c r="AV448" s="42"/>
      <c r="AW448" s="42"/>
      <c r="AX448" s="42"/>
    </row>
    <row r="449" spans="1:50" ht="12.75" customHeight="1">
      <c r="A449" s="149"/>
      <c r="B449" s="44"/>
      <c r="C449" s="44"/>
      <c r="D449" s="44"/>
      <c r="E449" s="44"/>
      <c r="F449" s="150"/>
      <c r="G449" s="44"/>
      <c r="H449" s="44"/>
      <c r="I449" s="44"/>
      <c r="J449" s="44"/>
      <c r="K449" s="44"/>
      <c r="L449" s="44"/>
      <c r="M449" s="44"/>
      <c r="N449" s="44"/>
      <c r="O449" s="44"/>
      <c r="P449" s="150"/>
      <c r="Q449" s="150"/>
      <c r="R449" s="44"/>
      <c r="S449" s="44"/>
      <c r="T449" s="44"/>
      <c r="U449" s="44"/>
      <c r="V449" s="44"/>
      <c r="W449" s="44"/>
      <c r="X449" s="44"/>
      <c r="Y449" s="44"/>
      <c r="Z449" s="44"/>
      <c r="AA449" s="44"/>
      <c r="AB449" s="44"/>
      <c r="AC449" s="44"/>
      <c r="AD449" s="44"/>
      <c r="AE449" s="44"/>
      <c r="AF449" s="44"/>
      <c r="AG449" s="44"/>
      <c r="AH449" s="44"/>
      <c r="AI449" s="44"/>
      <c r="AJ449" s="150"/>
      <c r="AK449" s="44"/>
      <c r="AL449" s="150"/>
      <c r="AM449" s="150"/>
      <c r="AN449" s="44"/>
      <c r="AO449" s="150"/>
      <c r="AP449" s="150"/>
      <c r="AQ449" s="42"/>
      <c r="AR449" s="42"/>
      <c r="AS449" s="42"/>
      <c r="AT449" s="42"/>
      <c r="AU449" s="42"/>
      <c r="AV449" s="42"/>
      <c r="AW449" s="42"/>
      <c r="AX449" s="42"/>
    </row>
    <row r="450" spans="1:50" ht="12.75" customHeight="1">
      <c r="A450" s="149"/>
      <c r="B450" s="44"/>
      <c r="C450" s="44"/>
      <c r="D450" s="44"/>
      <c r="E450" s="44"/>
      <c r="F450" s="150"/>
      <c r="G450" s="44"/>
      <c r="H450" s="44"/>
      <c r="I450" s="44"/>
      <c r="J450" s="44"/>
      <c r="K450" s="44"/>
      <c r="L450" s="44"/>
      <c r="M450" s="44"/>
      <c r="N450" s="44"/>
      <c r="O450" s="44"/>
      <c r="P450" s="150"/>
      <c r="Q450" s="150"/>
      <c r="R450" s="44"/>
      <c r="S450" s="44"/>
      <c r="T450" s="44"/>
      <c r="U450" s="44"/>
      <c r="V450" s="44"/>
      <c r="W450" s="44"/>
      <c r="X450" s="44"/>
      <c r="Y450" s="44"/>
      <c r="Z450" s="44"/>
      <c r="AA450" s="44"/>
      <c r="AB450" s="44"/>
      <c r="AC450" s="44"/>
      <c r="AD450" s="44"/>
      <c r="AE450" s="44"/>
      <c r="AF450" s="44"/>
      <c r="AG450" s="44"/>
      <c r="AH450" s="44"/>
      <c r="AI450" s="44"/>
      <c r="AJ450" s="150"/>
      <c r="AK450" s="44"/>
      <c r="AL450" s="150"/>
      <c r="AM450" s="150"/>
      <c r="AN450" s="44"/>
      <c r="AO450" s="150"/>
      <c r="AP450" s="150"/>
      <c r="AQ450" s="42"/>
      <c r="AR450" s="42"/>
      <c r="AS450" s="42"/>
      <c r="AT450" s="42"/>
      <c r="AU450" s="42"/>
      <c r="AV450" s="42"/>
      <c r="AW450" s="42"/>
      <c r="AX450" s="42"/>
    </row>
    <row r="451" spans="1:50" ht="12.75" customHeight="1">
      <c r="A451" s="149"/>
      <c r="B451" s="44"/>
      <c r="C451" s="44"/>
      <c r="D451" s="44"/>
      <c r="E451" s="44"/>
      <c r="F451" s="150"/>
      <c r="G451" s="44"/>
      <c r="H451" s="44"/>
      <c r="I451" s="44"/>
      <c r="J451" s="44"/>
      <c r="K451" s="44"/>
      <c r="L451" s="44"/>
      <c r="M451" s="44"/>
      <c r="N451" s="44"/>
      <c r="O451" s="44"/>
      <c r="P451" s="150"/>
      <c r="Q451" s="150"/>
      <c r="R451" s="44"/>
      <c r="S451" s="44"/>
      <c r="T451" s="44"/>
      <c r="U451" s="44"/>
      <c r="V451" s="44"/>
      <c r="W451" s="44"/>
      <c r="X451" s="44"/>
      <c r="Y451" s="44"/>
      <c r="Z451" s="44"/>
      <c r="AA451" s="44"/>
      <c r="AB451" s="44"/>
      <c r="AC451" s="44"/>
      <c r="AD451" s="44"/>
      <c r="AE451" s="44"/>
      <c r="AF451" s="44"/>
      <c r="AG451" s="44"/>
      <c r="AH451" s="44"/>
      <c r="AI451" s="44"/>
      <c r="AJ451" s="150"/>
      <c r="AK451" s="44"/>
      <c r="AL451" s="150"/>
      <c r="AM451" s="150"/>
      <c r="AN451" s="44"/>
      <c r="AO451" s="150"/>
      <c r="AP451" s="150"/>
      <c r="AQ451" s="42"/>
      <c r="AR451" s="42"/>
      <c r="AS451" s="42"/>
      <c r="AT451" s="42"/>
      <c r="AU451" s="42"/>
      <c r="AV451" s="42"/>
      <c r="AW451" s="42"/>
      <c r="AX451" s="42"/>
    </row>
    <row r="452" spans="1:50" ht="12.75" customHeight="1">
      <c r="A452" s="149"/>
      <c r="B452" s="44"/>
      <c r="C452" s="44"/>
      <c r="D452" s="44"/>
      <c r="E452" s="44"/>
      <c r="F452" s="150"/>
      <c r="G452" s="44"/>
      <c r="H452" s="44"/>
      <c r="I452" s="44"/>
      <c r="J452" s="44"/>
      <c r="K452" s="44"/>
      <c r="L452" s="44"/>
      <c r="M452" s="44"/>
      <c r="N452" s="44"/>
      <c r="O452" s="44"/>
      <c r="P452" s="150"/>
      <c r="Q452" s="150"/>
      <c r="R452" s="44"/>
      <c r="S452" s="44"/>
      <c r="T452" s="44"/>
      <c r="U452" s="44"/>
      <c r="V452" s="44"/>
      <c r="W452" s="44"/>
      <c r="X452" s="44"/>
      <c r="Y452" s="44"/>
      <c r="Z452" s="44"/>
      <c r="AA452" s="44"/>
      <c r="AB452" s="44"/>
      <c r="AC452" s="44"/>
      <c r="AD452" s="44"/>
      <c r="AE452" s="44"/>
      <c r="AF452" s="44"/>
      <c r="AG452" s="44"/>
      <c r="AH452" s="44"/>
      <c r="AI452" s="44"/>
      <c r="AJ452" s="150"/>
      <c r="AK452" s="44"/>
      <c r="AL452" s="150"/>
      <c r="AM452" s="150"/>
      <c r="AN452" s="44"/>
      <c r="AO452" s="150"/>
      <c r="AP452" s="150"/>
      <c r="AQ452" s="42"/>
      <c r="AR452" s="42"/>
      <c r="AS452" s="42"/>
      <c r="AT452" s="42"/>
      <c r="AU452" s="42"/>
      <c r="AV452" s="42"/>
      <c r="AW452" s="42"/>
      <c r="AX452" s="42"/>
    </row>
    <row r="453" spans="1:50" ht="12.75" customHeight="1">
      <c r="A453" s="149"/>
      <c r="B453" s="44"/>
      <c r="C453" s="44"/>
      <c r="D453" s="44"/>
      <c r="E453" s="44"/>
      <c r="F453" s="150"/>
      <c r="G453" s="44"/>
      <c r="H453" s="44"/>
      <c r="I453" s="44"/>
      <c r="J453" s="44"/>
      <c r="K453" s="44"/>
      <c r="L453" s="44"/>
      <c r="M453" s="44"/>
      <c r="N453" s="44"/>
      <c r="O453" s="44"/>
      <c r="P453" s="150"/>
      <c r="Q453" s="150"/>
      <c r="R453" s="44"/>
      <c r="S453" s="44"/>
      <c r="T453" s="44"/>
      <c r="U453" s="44"/>
      <c r="V453" s="44"/>
      <c r="W453" s="44"/>
      <c r="X453" s="44"/>
      <c r="Y453" s="44"/>
      <c r="Z453" s="44"/>
      <c r="AA453" s="44"/>
      <c r="AB453" s="44"/>
      <c r="AC453" s="44"/>
      <c r="AD453" s="44"/>
      <c r="AE453" s="44"/>
      <c r="AF453" s="44"/>
      <c r="AG453" s="44"/>
      <c r="AH453" s="44"/>
      <c r="AI453" s="44"/>
      <c r="AJ453" s="150"/>
      <c r="AK453" s="44"/>
      <c r="AL453" s="150"/>
      <c r="AM453" s="150"/>
      <c r="AN453" s="44"/>
      <c r="AO453" s="150"/>
      <c r="AP453" s="150"/>
      <c r="AQ453" s="42"/>
      <c r="AR453" s="42"/>
      <c r="AS453" s="42"/>
      <c r="AT453" s="42"/>
      <c r="AU453" s="42"/>
      <c r="AV453" s="42"/>
      <c r="AW453" s="42"/>
      <c r="AX453" s="42"/>
    </row>
    <row r="454" spans="1:50" ht="12.75" customHeight="1">
      <c r="A454" s="149"/>
      <c r="B454" s="44"/>
      <c r="C454" s="44"/>
      <c r="D454" s="44"/>
      <c r="E454" s="44"/>
      <c r="F454" s="150"/>
      <c r="G454" s="44"/>
      <c r="H454" s="44"/>
      <c r="I454" s="44"/>
      <c r="J454" s="44"/>
      <c r="K454" s="44"/>
      <c r="L454" s="44"/>
      <c r="M454" s="44"/>
      <c r="N454" s="44"/>
      <c r="O454" s="44"/>
      <c r="P454" s="150"/>
      <c r="Q454" s="150"/>
      <c r="R454" s="44"/>
      <c r="S454" s="44"/>
      <c r="T454" s="44"/>
      <c r="U454" s="44"/>
      <c r="V454" s="44"/>
      <c r="W454" s="44"/>
      <c r="X454" s="44"/>
      <c r="Y454" s="44"/>
      <c r="Z454" s="44"/>
      <c r="AA454" s="44"/>
      <c r="AB454" s="44"/>
      <c r="AC454" s="44"/>
      <c r="AD454" s="44"/>
      <c r="AE454" s="44"/>
      <c r="AF454" s="44"/>
      <c r="AG454" s="44"/>
      <c r="AH454" s="44"/>
      <c r="AI454" s="44"/>
      <c r="AJ454" s="150"/>
      <c r="AK454" s="44"/>
      <c r="AL454" s="150"/>
      <c r="AM454" s="150"/>
      <c r="AN454" s="44"/>
      <c r="AO454" s="150"/>
      <c r="AP454" s="150"/>
      <c r="AQ454" s="42"/>
      <c r="AR454" s="42"/>
      <c r="AS454" s="42"/>
      <c r="AT454" s="42"/>
      <c r="AU454" s="42"/>
      <c r="AV454" s="42"/>
      <c r="AW454" s="42"/>
      <c r="AX454" s="42"/>
    </row>
    <row r="455" spans="1:50" ht="12.75" customHeight="1">
      <c r="A455" s="149"/>
      <c r="B455" s="44"/>
      <c r="C455" s="44"/>
      <c r="D455" s="44"/>
      <c r="E455" s="44"/>
      <c r="F455" s="150"/>
      <c r="G455" s="44"/>
      <c r="H455" s="44"/>
      <c r="I455" s="44"/>
      <c r="J455" s="44"/>
      <c r="K455" s="44"/>
      <c r="L455" s="44"/>
      <c r="M455" s="44"/>
      <c r="N455" s="44"/>
      <c r="O455" s="44"/>
      <c r="P455" s="150"/>
      <c r="Q455" s="150"/>
      <c r="R455" s="44"/>
      <c r="S455" s="44"/>
      <c r="T455" s="44"/>
      <c r="U455" s="44"/>
      <c r="V455" s="44"/>
      <c r="W455" s="44"/>
      <c r="X455" s="44"/>
      <c r="Y455" s="44"/>
      <c r="Z455" s="44"/>
      <c r="AA455" s="44"/>
      <c r="AB455" s="44"/>
      <c r="AC455" s="44"/>
      <c r="AD455" s="44"/>
      <c r="AE455" s="44"/>
      <c r="AF455" s="44"/>
      <c r="AG455" s="44"/>
      <c r="AH455" s="44"/>
      <c r="AI455" s="44"/>
      <c r="AJ455" s="150"/>
      <c r="AK455" s="44"/>
      <c r="AL455" s="150"/>
      <c r="AM455" s="150"/>
      <c r="AN455" s="44"/>
      <c r="AO455" s="150"/>
      <c r="AP455" s="150"/>
      <c r="AQ455" s="42"/>
      <c r="AR455" s="42"/>
      <c r="AS455" s="42"/>
      <c r="AT455" s="42"/>
      <c r="AU455" s="42"/>
      <c r="AV455" s="42"/>
      <c r="AW455" s="42"/>
      <c r="AX455" s="42"/>
    </row>
    <row r="456" spans="1:50" ht="12.75" customHeight="1">
      <c r="A456" s="149"/>
      <c r="B456" s="44"/>
      <c r="C456" s="44"/>
      <c r="D456" s="44"/>
      <c r="E456" s="44"/>
      <c r="F456" s="150"/>
      <c r="G456" s="44"/>
      <c r="H456" s="44"/>
      <c r="I456" s="44"/>
      <c r="J456" s="44"/>
      <c r="K456" s="44"/>
      <c r="L456" s="44"/>
      <c r="M456" s="44"/>
      <c r="N456" s="44"/>
      <c r="O456" s="44"/>
      <c r="P456" s="150"/>
      <c r="Q456" s="150"/>
      <c r="R456" s="44"/>
      <c r="S456" s="44"/>
      <c r="T456" s="44"/>
      <c r="U456" s="44"/>
      <c r="V456" s="44"/>
      <c r="W456" s="44"/>
      <c r="X456" s="44"/>
      <c r="Y456" s="44"/>
      <c r="Z456" s="44"/>
      <c r="AA456" s="44"/>
      <c r="AB456" s="44"/>
      <c r="AC456" s="44"/>
      <c r="AD456" s="44"/>
      <c r="AE456" s="44"/>
      <c r="AF456" s="44"/>
      <c r="AG456" s="44"/>
      <c r="AH456" s="44"/>
      <c r="AI456" s="44"/>
      <c r="AJ456" s="150"/>
      <c r="AK456" s="44"/>
      <c r="AL456" s="150"/>
      <c r="AM456" s="150"/>
      <c r="AN456" s="44"/>
      <c r="AO456" s="150"/>
      <c r="AP456" s="150"/>
      <c r="AQ456" s="42"/>
      <c r="AR456" s="42"/>
      <c r="AS456" s="42"/>
      <c r="AT456" s="42"/>
      <c r="AU456" s="42"/>
      <c r="AV456" s="42"/>
      <c r="AW456" s="42"/>
      <c r="AX456" s="42"/>
    </row>
    <row r="457" spans="1:50" ht="12.75" customHeight="1">
      <c r="A457" s="149"/>
      <c r="B457" s="44"/>
      <c r="C457" s="44"/>
      <c r="D457" s="44"/>
      <c r="E457" s="44"/>
      <c r="F457" s="150"/>
      <c r="G457" s="44"/>
      <c r="H457" s="44"/>
      <c r="I457" s="44"/>
      <c r="J457" s="44"/>
      <c r="K457" s="44"/>
      <c r="L457" s="44"/>
      <c r="M457" s="44"/>
      <c r="N457" s="44"/>
      <c r="O457" s="44"/>
      <c r="P457" s="150"/>
      <c r="Q457" s="150"/>
      <c r="R457" s="44"/>
      <c r="S457" s="44"/>
      <c r="T457" s="44"/>
      <c r="U457" s="44"/>
      <c r="V457" s="44"/>
      <c r="W457" s="44"/>
      <c r="X457" s="44"/>
      <c r="Y457" s="44"/>
      <c r="Z457" s="44"/>
      <c r="AA457" s="44"/>
      <c r="AB457" s="44"/>
      <c r="AC457" s="44"/>
      <c r="AD457" s="44"/>
      <c r="AE457" s="44"/>
      <c r="AF457" s="44"/>
      <c r="AG457" s="44"/>
      <c r="AH457" s="44"/>
      <c r="AI457" s="44"/>
      <c r="AJ457" s="150"/>
      <c r="AK457" s="44"/>
      <c r="AL457" s="150"/>
      <c r="AM457" s="150"/>
      <c r="AN457" s="44"/>
      <c r="AO457" s="150"/>
      <c r="AP457" s="150"/>
      <c r="AQ457" s="42"/>
      <c r="AR457" s="42"/>
      <c r="AS457" s="42"/>
      <c r="AT457" s="42"/>
      <c r="AU457" s="42"/>
      <c r="AV457" s="42"/>
      <c r="AW457" s="42"/>
      <c r="AX457" s="42"/>
    </row>
    <row r="458" spans="1:50" ht="12.75" customHeight="1">
      <c r="A458" s="149"/>
      <c r="B458" s="44"/>
      <c r="C458" s="44"/>
      <c r="D458" s="44"/>
      <c r="E458" s="44"/>
      <c r="F458" s="150"/>
      <c r="G458" s="44"/>
      <c r="H458" s="44"/>
      <c r="I458" s="44"/>
      <c r="J458" s="44"/>
      <c r="K458" s="44"/>
      <c r="L458" s="44"/>
      <c r="M458" s="44"/>
      <c r="N458" s="44"/>
      <c r="O458" s="44"/>
      <c r="P458" s="150"/>
      <c r="Q458" s="150"/>
      <c r="R458" s="44"/>
      <c r="S458" s="44"/>
      <c r="T458" s="44"/>
      <c r="U458" s="44"/>
      <c r="V458" s="44"/>
      <c r="W458" s="44"/>
      <c r="X458" s="44"/>
      <c r="Y458" s="44"/>
      <c r="Z458" s="44"/>
      <c r="AA458" s="44"/>
      <c r="AB458" s="44"/>
      <c r="AC458" s="44"/>
      <c r="AD458" s="44"/>
      <c r="AE458" s="44"/>
      <c r="AF458" s="44"/>
      <c r="AG458" s="44"/>
      <c r="AH458" s="44"/>
      <c r="AI458" s="44"/>
      <c r="AJ458" s="150"/>
      <c r="AK458" s="44"/>
      <c r="AL458" s="150"/>
      <c r="AM458" s="150"/>
      <c r="AN458" s="44"/>
      <c r="AO458" s="150"/>
      <c r="AP458" s="150"/>
      <c r="AQ458" s="42"/>
      <c r="AR458" s="42"/>
      <c r="AS458" s="42"/>
      <c r="AT458" s="42"/>
      <c r="AU458" s="42"/>
      <c r="AV458" s="42"/>
      <c r="AW458" s="42"/>
      <c r="AX458" s="42"/>
    </row>
    <row r="459" spans="1:50" ht="12.75" customHeight="1">
      <c r="A459" s="149"/>
      <c r="B459" s="44"/>
      <c r="C459" s="44"/>
      <c r="D459" s="44"/>
      <c r="E459" s="44"/>
      <c r="F459" s="150"/>
      <c r="G459" s="44"/>
      <c r="H459" s="44"/>
      <c r="I459" s="44"/>
      <c r="J459" s="44"/>
      <c r="K459" s="44"/>
      <c r="L459" s="44"/>
      <c r="M459" s="44"/>
      <c r="N459" s="44"/>
      <c r="O459" s="44"/>
      <c r="P459" s="150"/>
      <c r="Q459" s="150"/>
      <c r="R459" s="44"/>
      <c r="S459" s="44"/>
      <c r="T459" s="44"/>
      <c r="U459" s="44"/>
      <c r="V459" s="44"/>
      <c r="W459" s="44"/>
      <c r="X459" s="44"/>
      <c r="Y459" s="44"/>
      <c r="Z459" s="44"/>
      <c r="AA459" s="44"/>
      <c r="AB459" s="44"/>
      <c r="AC459" s="44"/>
      <c r="AD459" s="44"/>
      <c r="AE459" s="44"/>
      <c r="AF459" s="44"/>
      <c r="AG459" s="44"/>
      <c r="AH459" s="44"/>
      <c r="AI459" s="44"/>
      <c r="AJ459" s="150"/>
      <c r="AK459" s="44"/>
      <c r="AL459" s="150"/>
      <c r="AM459" s="150"/>
      <c r="AN459" s="44"/>
      <c r="AO459" s="150"/>
      <c r="AP459" s="150"/>
      <c r="AQ459" s="42"/>
      <c r="AR459" s="42"/>
      <c r="AS459" s="42"/>
      <c r="AT459" s="42"/>
      <c r="AU459" s="42"/>
      <c r="AV459" s="42"/>
      <c r="AW459" s="42"/>
      <c r="AX459" s="42"/>
    </row>
    <row r="460" spans="1:50" ht="12.75" customHeight="1">
      <c r="A460" s="149"/>
      <c r="B460" s="44"/>
      <c r="C460" s="44"/>
      <c r="D460" s="44"/>
      <c r="E460" s="44"/>
      <c r="F460" s="150"/>
      <c r="G460" s="44"/>
      <c r="H460" s="44"/>
      <c r="I460" s="44"/>
      <c r="J460" s="44"/>
      <c r="K460" s="44"/>
      <c r="L460" s="44"/>
      <c r="M460" s="44"/>
      <c r="N460" s="44"/>
      <c r="O460" s="44"/>
      <c r="P460" s="150"/>
      <c r="Q460" s="150"/>
      <c r="R460" s="44"/>
      <c r="S460" s="44"/>
      <c r="T460" s="44"/>
      <c r="U460" s="44"/>
      <c r="V460" s="44"/>
      <c r="W460" s="44"/>
      <c r="X460" s="44"/>
      <c r="Y460" s="44"/>
      <c r="Z460" s="44"/>
      <c r="AA460" s="44"/>
      <c r="AB460" s="44"/>
      <c r="AC460" s="44"/>
      <c r="AD460" s="44"/>
      <c r="AE460" s="44"/>
      <c r="AF460" s="44"/>
      <c r="AG460" s="44"/>
      <c r="AH460" s="44"/>
      <c r="AI460" s="44"/>
      <c r="AJ460" s="150"/>
      <c r="AK460" s="44"/>
      <c r="AL460" s="150"/>
      <c r="AM460" s="150"/>
      <c r="AN460" s="44"/>
      <c r="AO460" s="150"/>
      <c r="AP460" s="150"/>
      <c r="AQ460" s="42"/>
      <c r="AR460" s="42"/>
      <c r="AS460" s="42"/>
      <c r="AT460" s="42"/>
      <c r="AU460" s="42"/>
      <c r="AV460" s="42"/>
      <c r="AW460" s="42"/>
      <c r="AX460" s="42"/>
    </row>
    <row r="461" spans="1:50" ht="12.75" customHeight="1">
      <c r="A461" s="149"/>
      <c r="B461" s="44"/>
      <c r="C461" s="44"/>
      <c r="D461" s="44"/>
      <c r="E461" s="44"/>
      <c r="F461" s="150"/>
      <c r="G461" s="44"/>
      <c r="H461" s="44"/>
      <c r="I461" s="44"/>
      <c r="J461" s="44"/>
      <c r="K461" s="44"/>
      <c r="L461" s="44"/>
      <c r="M461" s="44"/>
      <c r="N461" s="44"/>
      <c r="O461" s="44"/>
      <c r="P461" s="150"/>
      <c r="Q461" s="150"/>
      <c r="R461" s="44"/>
      <c r="S461" s="44"/>
      <c r="T461" s="44"/>
      <c r="U461" s="44"/>
      <c r="V461" s="44"/>
      <c r="W461" s="44"/>
      <c r="X461" s="44"/>
      <c r="Y461" s="44"/>
      <c r="Z461" s="44"/>
      <c r="AA461" s="44"/>
      <c r="AB461" s="44"/>
      <c r="AC461" s="44"/>
      <c r="AD461" s="44"/>
      <c r="AE461" s="44"/>
      <c r="AF461" s="44"/>
      <c r="AG461" s="44"/>
      <c r="AH461" s="44"/>
      <c r="AI461" s="44"/>
      <c r="AJ461" s="150"/>
      <c r="AK461" s="44"/>
      <c r="AL461" s="150"/>
      <c r="AM461" s="150"/>
      <c r="AN461" s="44"/>
      <c r="AO461" s="150"/>
      <c r="AP461" s="150"/>
      <c r="AQ461" s="42"/>
      <c r="AR461" s="42"/>
      <c r="AS461" s="42"/>
      <c r="AT461" s="42"/>
      <c r="AU461" s="42"/>
      <c r="AV461" s="42"/>
      <c r="AW461" s="42"/>
      <c r="AX461" s="42"/>
    </row>
    <row r="462" spans="1:50" ht="12.75" customHeight="1">
      <c r="A462" s="149"/>
      <c r="B462" s="44"/>
      <c r="C462" s="44"/>
      <c r="D462" s="44"/>
      <c r="E462" s="44"/>
      <c r="F462" s="150"/>
      <c r="G462" s="44"/>
      <c r="H462" s="44"/>
      <c r="I462" s="44"/>
      <c r="J462" s="44"/>
      <c r="K462" s="44"/>
      <c r="L462" s="44"/>
      <c r="M462" s="44"/>
      <c r="N462" s="44"/>
      <c r="O462" s="44"/>
      <c r="P462" s="150"/>
      <c r="Q462" s="150"/>
      <c r="R462" s="44"/>
      <c r="S462" s="44"/>
      <c r="T462" s="44"/>
      <c r="U462" s="44"/>
      <c r="V462" s="44"/>
      <c r="W462" s="44"/>
      <c r="X462" s="44"/>
      <c r="Y462" s="44"/>
      <c r="Z462" s="44"/>
      <c r="AA462" s="44"/>
      <c r="AB462" s="44"/>
      <c r="AC462" s="44"/>
      <c r="AD462" s="44"/>
      <c r="AE462" s="44"/>
      <c r="AF462" s="44"/>
      <c r="AG462" s="44"/>
      <c r="AH462" s="44"/>
      <c r="AI462" s="44"/>
      <c r="AJ462" s="150"/>
      <c r="AK462" s="44"/>
      <c r="AL462" s="150"/>
      <c r="AM462" s="150"/>
      <c r="AN462" s="44"/>
      <c r="AO462" s="150"/>
      <c r="AP462" s="150"/>
      <c r="AQ462" s="42"/>
      <c r="AR462" s="42"/>
      <c r="AS462" s="42"/>
      <c r="AT462" s="42"/>
      <c r="AU462" s="42"/>
      <c r="AV462" s="42"/>
      <c r="AW462" s="42"/>
      <c r="AX462" s="42"/>
    </row>
    <row r="463" spans="1:50" ht="12.75" customHeight="1">
      <c r="A463" s="149"/>
      <c r="B463" s="44"/>
      <c r="C463" s="44"/>
      <c r="D463" s="44"/>
      <c r="E463" s="44"/>
      <c r="F463" s="150"/>
      <c r="G463" s="44"/>
      <c r="H463" s="44"/>
      <c r="I463" s="44"/>
      <c r="J463" s="44"/>
      <c r="K463" s="44"/>
      <c r="L463" s="44"/>
      <c r="M463" s="44"/>
      <c r="N463" s="44"/>
      <c r="O463" s="44"/>
      <c r="P463" s="150"/>
      <c r="Q463" s="150"/>
      <c r="R463" s="44"/>
      <c r="S463" s="44"/>
      <c r="T463" s="44"/>
      <c r="U463" s="44"/>
      <c r="V463" s="44"/>
      <c r="W463" s="44"/>
      <c r="X463" s="44"/>
      <c r="Y463" s="44"/>
      <c r="Z463" s="44"/>
      <c r="AA463" s="44"/>
      <c r="AB463" s="44"/>
      <c r="AC463" s="44"/>
      <c r="AD463" s="44"/>
      <c r="AE463" s="44"/>
      <c r="AF463" s="44"/>
      <c r="AG463" s="44"/>
      <c r="AH463" s="44"/>
      <c r="AI463" s="44"/>
      <c r="AJ463" s="150"/>
      <c r="AK463" s="44"/>
      <c r="AL463" s="150"/>
      <c r="AM463" s="150"/>
      <c r="AN463" s="44"/>
      <c r="AO463" s="150"/>
      <c r="AP463" s="150"/>
      <c r="AQ463" s="42"/>
      <c r="AR463" s="42"/>
      <c r="AS463" s="42"/>
      <c r="AT463" s="42"/>
      <c r="AU463" s="42"/>
      <c r="AV463" s="42"/>
      <c r="AW463" s="42"/>
      <c r="AX463" s="42"/>
    </row>
    <row r="464" spans="1:50" ht="12.75" customHeight="1">
      <c r="A464" s="149"/>
      <c r="B464" s="44"/>
      <c r="C464" s="44"/>
      <c r="D464" s="44"/>
      <c r="E464" s="44"/>
      <c r="F464" s="150"/>
      <c r="G464" s="44"/>
      <c r="H464" s="44"/>
      <c r="I464" s="44"/>
      <c r="J464" s="44"/>
      <c r="K464" s="44"/>
      <c r="L464" s="44"/>
      <c r="M464" s="44"/>
      <c r="N464" s="44"/>
      <c r="O464" s="44"/>
      <c r="P464" s="150"/>
      <c r="Q464" s="150"/>
      <c r="R464" s="44"/>
      <c r="S464" s="44"/>
      <c r="T464" s="44"/>
      <c r="U464" s="44"/>
      <c r="V464" s="44"/>
      <c r="W464" s="44"/>
      <c r="X464" s="44"/>
      <c r="Y464" s="44"/>
      <c r="Z464" s="44"/>
      <c r="AA464" s="44"/>
      <c r="AB464" s="44"/>
      <c r="AC464" s="44"/>
      <c r="AD464" s="44"/>
      <c r="AE464" s="44"/>
      <c r="AF464" s="44"/>
      <c r="AG464" s="44"/>
      <c r="AH464" s="44"/>
      <c r="AI464" s="44"/>
      <c r="AJ464" s="150"/>
      <c r="AK464" s="44"/>
      <c r="AL464" s="150"/>
      <c r="AM464" s="150"/>
      <c r="AN464" s="44"/>
      <c r="AO464" s="150"/>
      <c r="AP464" s="150"/>
      <c r="AQ464" s="42"/>
      <c r="AR464" s="42"/>
      <c r="AS464" s="42"/>
      <c r="AT464" s="42"/>
      <c r="AU464" s="42"/>
      <c r="AV464" s="42"/>
      <c r="AW464" s="42"/>
      <c r="AX464" s="42"/>
    </row>
    <row r="465" spans="1:50" ht="12.75" customHeight="1">
      <c r="A465" s="149"/>
      <c r="B465" s="44"/>
      <c r="C465" s="44"/>
      <c r="D465" s="44"/>
      <c r="E465" s="44"/>
      <c r="F465" s="150"/>
      <c r="G465" s="44"/>
      <c r="H465" s="44"/>
      <c r="I465" s="44"/>
      <c r="J465" s="44"/>
      <c r="K465" s="44"/>
      <c r="L465" s="44"/>
      <c r="M465" s="44"/>
      <c r="N465" s="44"/>
      <c r="O465" s="44"/>
      <c r="P465" s="150"/>
      <c r="Q465" s="150"/>
      <c r="R465" s="44"/>
      <c r="S465" s="44"/>
      <c r="T465" s="44"/>
      <c r="U465" s="44"/>
      <c r="V465" s="44"/>
      <c r="W465" s="44"/>
      <c r="X465" s="44"/>
      <c r="Y465" s="44"/>
      <c r="Z465" s="44"/>
      <c r="AA465" s="44"/>
      <c r="AB465" s="44"/>
      <c r="AC465" s="44"/>
      <c r="AD465" s="44"/>
      <c r="AE465" s="44"/>
      <c r="AF465" s="44"/>
      <c r="AG465" s="44"/>
      <c r="AH465" s="44"/>
      <c r="AI465" s="44"/>
      <c r="AJ465" s="150"/>
      <c r="AK465" s="44"/>
      <c r="AL465" s="150"/>
      <c r="AM465" s="150"/>
      <c r="AN465" s="44"/>
      <c r="AO465" s="150"/>
      <c r="AP465" s="150"/>
      <c r="AQ465" s="42"/>
      <c r="AR465" s="42"/>
      <c r="AS465" s="42"/>
      <c r="AT465" s="42"/>
      <c r="AU465" s="42"/>
      <c r="AV465" s="42"/>
      <c r="AW465" s="42"/>
      <c r="AX465" s="42"/>
    </row>
    <row r="466" spans="1:50" ht="12.75" customHeight="1">
      <c r="A466" s="149"/>
      <c r="B466" s="44"/>
      <c r="C466" s="44"/>
      <c r="D466" s="44"/>
      <c r="E466" s="44"/>
      <c r="F466" s="150"/>
      <c r="G466" s="44"/>
      <c r="H466" s="44"/>
      <c r="I466" s="44"/>
      <c r="J466" s="44"/>
      <c r="K466" s="44"/>
      <c r="L466" s="44"/>
      <c r="M466" s="44"/>
      <c r="N466" s="44"/>
      <c r="O466" s="44"/>
      <c r="P466" s="150"/>
      <c r="Q466" s="150"/>
      <c r="R466" s="44"/>
      <c r="S466" s="44"/>
      <c r="T466" s="44"/>
      <c r="U466" s="44"/>
      <c r="V466" s="44"/>
      <c r="W466" s="44"/>
      <c r="X466" s="44"/>
      <c r="Y466" s="44"/>
      <c r="Z466" s="44"/>
      <c r="AA466" s="44"/>
      <c r="AB466" s="44"/>
      <c r="AC466" s="44"/>
      <c r="AD466" s="44"/>
      <c r="AE466" s="44"/>
      <c r="AF466" s="44"/>
      <c r="AG466" s="44"/>
      <c r="AH466" s="44"/>
      <c r="AI466" s="44"/>
      <c r="AJ466" s="150"/>
      <c r="AK466" s="44"/>
      <c r="AL466" s="150"/>
      <c r="AM466" s="150"/>
      <c r="AN466" s="44"/>
      <c r="AO466" s="150"/>
      <c r="AP466" s="150"/>
      <c r="AQ466" s="42"/>
      <c r="AR466" s="42"/>
      <c r="AS466" s="42"/>
      <c r="AT466" s="42"/>
      <c r="AU466" s="42"/>
      <c r="AV466" s="42"/>
      <c r="AW466" s="42"/>
      <c r="AX466" s="42"/>
    </row>
    <row r="467" spans="1:50" ht="12.75" customHeight="1">
      <c r="A467" s="149"/>
      <c r="B467" s="44"/>
      <c r="C467" s="44"/>
      <c r="D467" s="44"/>
      <c r="E467" s="44"/>
      <c r="F467" s="150"/>
      <c r="G467" s="44"/>
      <c r="H467" s="44"/>
      <c r="I467" s="44"/>
      <c r="J467" s="44"/>
      <c r="K467" s="44"/>
      <c r="L467" s="44"/>
      <c r="M467" s="44"/>
      <c r="N467" s="44"/>
      <c r="O467" s="44"/>
      <c r="P467" s="150"/>
      <c r="Q467" s="150"/>
      <c r="R467" s="44"/>
      <c r="S467" s="44"/>
      <c r="T467" s="44"/>
      <c r="U467" s="44"/>
      <c r="V467" s="44"/>
      <c r="W467" s="44"/>
      <c r="X467" s="44"/>
      <c r="Y467" s="44"/>
      <c r="Z467" s="44"/>
      <c r="AA467" s="44"/>
      <c r="AB467" s="44"/>
      <c r="AC467" s="44"/>
      <c r="AD467" s="44"/>
      <c r="AE467" s="44"/>
      <c r="AF467" s="44"/>
      <c r="AG467" s="44"/>
      <c r="AH467" s="44"/>
      <c r="AI467" s="44"/>
      <c r="AJ467" s="150"/>
      <c r="AK467" s="44"/>
      <c r="AL467" s="150"/>
      <c r="AM467" s="150"/>
      <c r="AN467" s="44"/>
      <c r="AO467" s="150"/>
      <c r="AP467" s="150"/>
      <c r="AQ467" s="42"/>
      <c r="AR467" s="42"/>
      <c r="AS467" s="42"/>
      <c r="AT467" s="42"/>
      <c r="AU467" s="42"/>
      <c r="AV467" s="42"/>
      <c r="AW467" s="42"/>
      <c r="AX467" s="42"/>
    </row>
    <row r="468" spans="1:50" ht="12.75" customHeight="1">
      <c r="A468" s="149"/>
      <c r="B468" s="44"/>
      <c r="C468" s="44"/>
      <c r="D468" s="44"/>
      <c r="E468" s="44"/>
      <c r="F468" s="150"/>
      <c r="G468" s="44"/>
      <c r="H468" s="44"/>
      <c r="I468" s="44"/>
      <c r="J468" s="44"/>
      <c r="K468" s="44"/>
      <c r="L468" s="44"/>
      <c r="M468" s="44"/>
      <c r="N468" s="44"/>
      <c r="O468" s="44"/>
      <c r="P468" s="150"/>
      <c r="Q468" s="150"/>
      <c r="R468" s="44"/>
      <c r="S468" s="44"/>
      <c r="T468" s="44"/>
      <c r="U468" s="44"/>
      <c r="V468" s="44"/>
      <c r="W468" s="44"/>
      <c r="X468" s="44"/>
      <c r="Y468" s="44"/>
      <c r="Z468" s="44"/>
      <c r="AA468" s="44"/>
      <c r="AB468" s="44"/>
      <c r="AC468" s="44"/>
      <c r="AD468" s="44"/>
      <c r="AE468" s="44"/>
      <c r="AF468" s="44"/>
      <c r="AG468" s="44"/>
      <c r="AH468" s="44"/>
      <c r="AI468" s="44"/>
      <c r="AJ468" s="150"/>
      <c r="AK468" s="44"/>
      <c r="AL468" s="150"/>
      <c r="AM468" s="150"/>
      <c r="AN468" s="44"/>
      <c r="AO468" s="150"/>
      <c r="AP468" s="150"/>
      <c r="AQ468" s="42"/>
      <c r="AR468" s="42"/>
      <c r="AS468" s="42"/>
      <c r="AT468" s="42"/>
      <c r="AU468" s="42"/>
      <c r="AV468" s="42"/>
      <c r="AW468" s="42"/>
      <c r="AX468" s="42"/>
    </row>
    <row r="469" spans="1:50" ht="12.75" customHeight="1">
      <c r="A469" s="149"/>
      <c r="B469" s="44"/>
      <c r="C469" s="44"/>
      <c r="D469" s="44"/>
      <c r="E469" s="44"/>
      <c r="F469" s="150"/>
      <c r="G469" s="44"/>
      <c r="H469" s="44"/>
      <c r="I469" s="44"/>
      <c r="J469" s="44"/>
      <c r="K469" s="44"/>
      <c r="L469" s="44"/>
      <c r="M469" s="44"/>
      <c r="N469" s="44"/>
      <c r="O469" s="44"/>
      <c r="P469" s="150"/>
      <c r="Q469" s="150"/>
      <c r="R469" s="44"/>
      <c r="S469" s="44"/>
      <c r="T469" s="44"/>
      <c r="U469" s="44"/>
      <c r="V469" s="44"/>
      <c r="W469" s="44"/>
      <c r="X469" s="44"/>
      <c r="Y469" s="44"/>
      <c r="Z469" s="44"/>
      <c r="AA469" s="44"/>
      <c r="AB469" s="44"/>
      <c r="AC469" s="44"/>
      <c r="AD469" s="44"/>
      <c r="AE469" s="44"/>
      <c r="AF469" s="44"/>
      <c r="AG469" s="44"/>
      <c r="AH469" s="44"/>
      <c r="AI469" s="44"/>
      <c r="AJ469" s="150"/>
      <c r="AK469" s="44"/>
      <c r="AL469" s="150"/>
      <c r="AM469" s="150"/>
      <c r="AN469" s="44"/>
      <c r="AO469" s="150"/>
      <c r="AP469" s="150"/>
      <c r="AQ469" s="42"/>
      <c r="AR469" s="42"/>
      <c r="AS469" s="42"/>
      <c r="AT469" s="42"/>
      <c r="AU469" s="42"/>
      <c r="AV469" s="42"/>
      <c r="AW469" s="42"/>
      <c r="AX469" s="42"/>
    </row>
    <row r="470" spans="1:50" ht="12.75" customHeight="1">
      <c r="A470" s="149"/>
      <c r="B470" s="44"/>
      <c r="C470" s="44"/>
      <c r="D470" s="44"/>
      <c r="E470" s="44"/>
      <c r="F470" s="150"/>
      <c r="G470" s="44"/>
      <c r="H470" s="44"/>
      <c r="I470" s="44"/>
      <c r="J470" s="44"/>
      <c r="K470" s="44"/>
      <c r="L470" s="44"/>
      <c r="M470" s="44"/>
      <c r="N470" s="44"/>
      <c r="O470" s="44"/>
      <c r="P470" s="150"/>
      <c r="Q470" s="150"/>
      <c r="R470" s="44"/>
      <c r="S470" s="44"/>
      <c r="T470" s="44"/>
      <c r="U470" s="44"/>
      <c r="V470" s="44"/>
      <c r="W470" s="44"/>
      <c r="X470" s="44"/>
      <c r="Y470" s="44"/>
      <c r="Z470" s="44"/>
      <c r="AA470" s="44"/>
      <c r="AB470" s="44"/>
      <c r="AC470" s="44"/>
      <c r="AD470" s="44"/>
      <c r="AE470" s="44"/>
      <c r="AF470" s="44"/>
      <c r="AG470" s="44"/>
      <c r="AH470" s="44"/>
      <c r="AI470" s="44"/>
      <c r="AJ470" s="150"/>
      <c r="AK470" s="44"/>
      <c r="AL470" s="150"/>
      <c r="AM470" s="150"/>
      <c r="AN470" s="44"/>
      <c r="AO470" s="150"/>
      <c r="AP470" s="150"/>
      <c r="AQ470" s="42"/>
      <c r="AR470" s="42"/>
      <c r="AS470" s="42"/>
      <c r="AT470" s="42"/>
      <c r="AU470" s="42"/>
      <c r="AV470" s="42"/>
      <c r="AW470" s="42"/>
      <c r="AX470" s="42"/>
    </row>
    <row r="471" spans="1:50" ht="12.75" customHeight="1">
      <c r="A471" s="149"/>
      <c r="B471" s="44"/>
      <c r="C471" s="44"/>
      <c r="D471" s="44"/>
      <c r="E471" s="44"/>
      <c r="F471" s="150"/>
      <c r="G471" s="44"/>
      <c r="H471" s="44"/>
      <c r="I471" s="44"/>
      <c r="J471" s="44"/>
      <c r="K471" s="44"/>
      <c r="L471" s="44"/>
      <c r="M471" s="44"/>
      <c r="N471" s="44"/>
      <c r="O471" s="44"/>
      <c r="P471" s="150"/>
      <c r="Q471" s="150"/>
      <c r="R471" s="44"/>
      <c r="S471" s="44"/>
      <c r="T471" s="44"/>
      <c r="U471" s="44"/>
      <c r="V471" s="44"/>
      <c r="W471" s="44"/>
      <c r="X471" s="44"/>
      <c r="Y471" s="44"/>
      <c r="Z471" s="44"/>
      <c r="AA471" s="44"/>
      <c r="AB471" s="44"/>
      <c r="AC471" s="44"/>
      <c r="AD471" s="44"/>
      <c r="AE471" s="44"/>
      <c r="AF471" s="44"/>
      <c r="AG471" s="44"/>
      <c r="AH471" s="44"/>
      <c r="AI471" s="44"/>
      <c r="AJ471" s="150"/>
      <c r="AK471" s="44"/>
      <c r="AL471" s="150"/>
      <c r="AM471" s="150"/>
      <c r="AN471" s="44"/>
      <c r="AO471" s="150"/>
      <c r="AP471" s="150"/>
      <c r="AQ471" s="42"/>
      <c r="AR471" s="42"/>
      <c r="AS471" s="42"/>
      <c r="AT471" s="42"/>
      <c r="AU471" s="42"/>
      <c r="AV471" s="42"/>
      <c r="AW471" s="42"/>
      <c r="AX471" s="42"/>
    </row>
    <row r="472" spans="1:50" ht="12.75" customHeight="1">
      <c r="A472" s="149"/>
      <c r="B472" s="44"/>
      <c r="C472" s="44"/>
      <c r="D472" s="44"/>
      <c r="E472" s="44"/>
      <c r="F472" s="150"/>
      <c r="G472" s="44"/>
      <c r="H472" s="44"/>
      <c r="I472" s="44"/>
      <c r="J472" s="44"/>
      <c r="K472" s="44"/>
      <c r="L472" s="44"/>
      <c r="M472" s="44"/>
      <c r="N472" s="44"/>
      <c r="O472" s="44"/>
      <c r="P472" s="150"/>
      <c r="Q472" s="150"/>
      <c r="R472" s="44"/>
      <c r="S472" s="44"/>
      <c r="T472" s="44"/>
      <c r="U472" s="44"/>
      <c r="V472" s="44"/>
      <c r="W472" s="44"/>
      <c r="X472" s="44"/>
      <c r="Y472" s="44"/>
      <c r="Z472" s="44"/>
      <c r="AA472" s="44"/>
      <c r="AB472" s="44"/>
      <c r="AC472" s="44"/>
      <c r="AD472" s="44"/>
      <c r="AE472" s="44"/>
      <c r="AF472" s="44"/>
      <c r="AG472" s="44"/>
      <c r="AH472" s="44"/>
      <c r="AI472" s="44"/>
      <c r="AJ472" s="150"/>
      <c r="AK472" s="44"/>
      <c r="AL472" s="150"/>
      <c r="AM472" s="150"/>
      <c r="AN472" s="44"/>
      <c r="AO472" s="150"/>
      <c r="AP472" s="150"/>
      <c r="AQ472" s="42"/>
      <c r="AR472" s="42"/>
      <c r="AS472" s="42"/>
      <c r="AT472" s="42"/>
      <c r="AU472" s="42"/>
      <c r="AV472" s="42"/>
      <c r="AW472" s="42"/>
      <c r="AX472" s="42"/>
    </row>
    <row r="473" spans="1:50" ht="12.75" customHeight="1">
      <c r="A473" s="149"/>
      <c r="B473" s="44"/>
      <c r="C473" s="44"/>
      <c r="D473" s="44"/>
      <c r="E473" s="44"/>
      <c r="F473" s="150"/>
      <c r="G473" s="44"/>
      <c r="H473" s="44"/>
      <c r="I473" s="44"/>
      <c r="J473" s="44"/>
      <c r="K473" s="44"/>
      <c r="L473" s="44"/>
      <c r="M473" s="44"/>
      <c r="N473" s="44"/>
      <c r="O473" s="44"/>
      <c r="P473" s="150"/>
      <c r="Q473" s="150"/>
      <c r="R473" s="44"/>
      <c r="S473" s="44"/>
      <c r="T473" s="44"/>
      <c r="U473" s="44"/>
      <c r="V473" s="44"/>
      <c r="W473" s="44"/>
      <c r="X473" s="44"/>
      <c r="Y473" s="44"/>
      <c r="Z473" s="44"/>
      <c r="AA473" s="44"/>
      <c r="AB473" s="44"/>
      <c r="AC473" s="44"/>
      <c r="AD473" s="44"/>
      <c r="AE473" s="44"/>
      <c r="AF473" s="44"/>
      <c r="AG473" s="44"/>
      <c r="AH473" s="44"/>
      <c r="AI473" s="44"/>
      <c r="AJ473" s="150"/>
      <c r="AK473" s="44"/>
      <c r="AL473" s="150"/>
      <c r="AM473" s="150"/>
      <c r="AN473" s="44"/>
      <c r="AO473" s="150"/>
      <c r="AP473" s="150"/>
      <c r="AQ473" s="42"/>
      <c r="AR473" s="42"/>
      <c r="AS473" s="42"/>
      <c r="AT473" s="42"/>
      <c r="AU473" s="42"/>
      <c r="AV473" s="42"/>
      <c r="AW473" s="42"/>
      <c r="AX473" s="42"/>
    </row>
    <row r="474" spans="1:50" ht="12.75" customHeight="1">
      <c r="A474" s="149"/>
      <c r="B474" s="44"/>
      <c r="C474" s="44"/>
      <c r="D474" s="44"/>
      <c r="E474" s="44"/>
      <c r="F474" s="150"/>
      <c r="G474" s="44"/>
      <c r="H474" s="44"/>
      <c r="I474" s="44"/>
      <c r="J474" s="44"/>
      <c r="K474" s="44"/>
      <c r="L474" s="44"/>
      <c r="M474" s="44"/>
      <c r="N474" s="44"/>
      <c r="O474" s="44"/>
      <c r="P474" s="150"/>
      <c r="Q474" s="150"/>
      <c r="R474" s="44"/>
      <c r="S474" s="44"/>
      <c r="T474" s="44"/>
      <c r="U474" s="44"/>
      <c r="V474" s="44"/>
      <c r="W474" s="44"/>
      <c r="X474" s="44"/>
      <c r="Y474" s="44"/>
      <c r="Z474" s="44"/>
      <c r="AA474" s="44"/>
      <c r="AB474" s="44"/>
      <c r="AC474" s="44"/>
      <c r="AD474" s="44"/>
      <c r="AE474" s="44"/>
      <c r="AF474" s="44"/>
      <c r="AG474" s="44"/>
      <c r="AH474" s="44"/>
      <c r="AI474" s="44"/>
      <c r="AJ474" s="150"/>
      <c r="AK474" s="44"/>
      <c r="AL474" s="150"/>
      <c r="AM474" s="150"/>
      <c r="AN474" s="44"/>
      <c r="AO474" s="150"/>
      <c r="AP474" s="150"/>
      <c r="AQ474" s="42"/>
      <c r="AR474" s="42"/>
      <c r="AS474" s="42"/>
      <c r="AT474" s="42"/>
      <c r="AU474" s="42"/>
      <c r="AV474" s="42"/>
      <c r="AW474" s="42"/>
      <c r="AX474" s="42"/>
    </row>
    <row r="475" spans="1:50" ht="12.75" customHeight="1">
      <c r="A475" s="149"/>
      <c r="B475" s="44"/>
      <c r="C475" s="44"/>
      <c r="D475" s="44"/>
      <c r="E475" s="44"/>
      <c r="F475" s="150"/>
      <c r="G475" s="44"/>
      <c r="H475" s="44"/>
      <c r="I475" s="44"/>
      <c r="J475" s="44"/>
      <c r="K475" s="44"/>
      <c r="L475" s="44"/>
      <c r="M475" s="44"/>
      <c r="N475" s="44"/>
      <c r="O475" s="44"/>
      <c r="P475" s="150"/>
      <c r="Q475" s="150"/>
      <c r="R475" s="44"/>
      <c r="S475" s="44"/>
      <c r="T475" s="44"/>
      <c r="U475" s="44"/>
      <c r="V475" s="44"/>
      <c r="W475" s="44"/>
      <c r="X475" s="44"/>
      <c r="Y475" s="44"/>
      <c r="Z475" s="44"/>
      <c r="AA475" s="44"/>
      <c r="AB475" s="44"/>
      <c r="AC475" s="44"/>
      <c r="AD475" s="44"/>
      <c r="AE475" s="44"/>
      <c r="AF475" s="44"/>
      <c r="AG475" s="44"/>
      <c r="AH475" s="44"/>
      <c r="AI475" s="44"/>
      <c r="AJ475" s="150"/>
      <c r="AK475" s="44"/>
      <c r="AL475" s="150"/>
      <c r="AM475" s="150"/>
      <c r="AN475" s="44"/>
      <c r="AO475" s="150"/>
      <c r="AP475" s="150"/>
      <c r="AQ475" s="42"/>
      <c r="AR475" s="42"/>
      <c r="AS475" s="42"/>
      <c r="AT475" s="42"/>
      <c r="AU475" s="42"/>
      <c r="AV475" s="42"/>
      <c r="AW475" s="42"/>
      <c r="AX475" s="42"/>
    </row>
    <row r="476" spans="1:50" ht="12.75" customHeight="1">
      <c r="A476" s="149"/>
      <c r="B476" s="44"/>
      <c r="C476" s="44"/>
      <c r="D476" s="44"/>
      <c r="E476" s="44"/>
      <c r="F476" s="150"/>
      <c r="G476" s="44"/>
      <c r="H476" s="44"/>
      <c r="I476" s="44"/>
      <c r="J476" s="44"/>
      <c r="K476" s="44"/>
      <c r="L476" s="44"/>
      <c r="M476" s="44"/>
      <c r="N476" s="44"/>
      <c r="O476" s="44"/>
      <c r="P476" s="150"/>
      <c r="Q476" s="150"/>
      <c r="R476" s="44"/>
      <c r="S476" s="44"/>
      <c r="T476" s="44"/>
      <c r="U476" s="44"/>
      <c r="V476" s="44"/>
      <c r="W476" s="44"/>
      <c r="X476" s="44"/>
      <c r="Y476" s="44"/>
      <c r="Z476" s="44"/>
      <c r="AA476" s="44"/>
      <c r="AB476" s="44"/>
      <c r="AC476" s="44"/>
      <c r="AD476" s="44"/>
      <c r="AE476" s="44"/>
      <c r="AF476" s="44"/>
      <c r="AG476" s="44"/>
      <c r="AH476" s="44"/>
      <c r="AI476" s="44"/>
      <c r="AJ476" s="150"/>
      <c r="AK476" s="44"/>
      <c r="AL476" s="150"/>
      <c r="AM476" s="150"/>
      <c r="AN476" s="44"/>
      <c r="AO476" s="150"/>
      <c r="AP476" s="150"/>
      <c r="AQ476" s="42"/>
      <c r="AR476" s="42"/>
      <c r="AS476" s="42"/>
      <c r="AT476" s="42"/>
      <c r="AU476" s="42"/>
      <c r="AV476" s="42"/>
      <c r="AW476" s="42"/>
      <c r="AX476" s="42"/>
    </row>
    <row r="477" spans="1:50" ht="12.75" customHeight="1">
      <c r="A477" s="149"/>
      <c r="B477" s="44"/>
      <c r="C477" s="44"/>
      <c r="D477" s="44"/>
      <c r="E477" s="44"/>
      <c r="F477" s="150"/>
      <c r="G477" s="44"/>
      <c r="H477" s="44"/>
      <c r="I477" s="44"/>
      <c r="J477" s="44"/>
      <c r="K477" s="44"/>
      <c r="L477" s="44"/>
      <c r="M477" s="44"/>
      <c r="N477" s="44"/>
      <c r="O477" s="44"/>
      <c r="P477" s="150"/>
      <c r="Q477" s="150"/>
      <c r="R477" s="44"/>
      <c r="S477" s="44"/>
      <c r="T477" s="44"/>
      <c r="U477" s="44"/>
      <c r="V477" s="44"/>
      <c r="W477" s="44"/>
      <c r="X477" s="44"/>
      <c r="Y477" s="44"/>
      <c r="Z477" s="44"/>
      <c r="AA477" s="44"/>
      <c r="AB477" s="44"/>
      <c r="AC477" s="44"/>
      <c r="AD477" s="44"/>
      <c r="AE477" s="44"/>
      <c r="AF477" s="44"/>
      <c r="AG477" s="44"/>
      <c r="AH477" s="44"/>
      <c r="AI477" s="44"/>
      <c r="AJ477" s="150"/>
      <c r="AK477" s="44"/>
      <c r="AL477" s="150"/>
      <c r="AM477" s="150"/>
      <c r="AN477" s="44"/>
      <c r="AO477" s="150"/>
      <c r="AP477" s="150"/>
      <c r="AQ477" s="42"/>
      <c r="AR477" s="42"/>
      <c r="AS477" s="42"/>
      <c r="AT477" s="42"/>
      <c r="AU477" s="42"/>
      <c r="AV477" s="42"/>
      <c r="AW477" s="42"/>
      <c r="AX477" s="42"/>
    </row>
    <row r="478" spans="1:50" ht="12.75" customHeight="1">
      <c r="A478" s="149"/>
      <c r="B478" s="44"/>
      <c r="C478" s="44"/>
      <c r="D478" s="44"/>
      <c r="E478" s="44"/>
      <c r="F478" s="150"/>
      <c r="G478" s="44"/>
      <c r="H478" s="44"/>
      <c r="I478" s="44"/>
      <c r="J478" s="44"/>
      <c r="K478" s="44"/>
      <c r="L478" s="44"/>
      <c r="M478" s="44"/>
      <c r="N478" s="44"/>
      <c r="O478" s="44"/>
      <c r="P478" s="150"/>
      <c r="Q478" s="150"/>
      <c r="R478" s="44"/>
      <c r="S478" s="44"/>
      <c r="T478" s="44"/>
      <c r="U478" s="44"/>
      <c r="V478" s="44"/>
      <c r="W478" s="44"/>
      <c r="X478" s="44"/>
      <c r="Y478" s="44"/>
      <c r="Z478" s="44"/>
      <c r="AA478" s="44"/>
      <c r="AB478" s="44"/>
      <c r="AC478" s="44"/>
      <c r="AD478" s="44"/>
      <c r="AE478" s="44"/>
      <c r="AF478" s="44"/>
      <c r="AG478" s="44"/>
      <c r="AH478" s="44"/>
      <c r="AI478" s="44"/>
      <c r="AJ478" s="150"/>
      <c r="AK478" s="44"/>
      <c r="AL478" s="150"/>
      <c r="AM478" s="150"/>
      <c r="AN478" s="44"/>
      <c r="AO478" s="150"/>
      <c r="AP478" s="150"/>
      <c r="AQ478" s="42"/>
      <c r="AR478" s="42"/>
      <c r="AS478" s="42"/>
      <c r="AT478" s="42"/>
      <c r="AU478" s="42"/>
      <c r="AV478" s="42"/>
      <c r="AW478" s="42"/>
      <c r="AX478" s="42"/>
    </row>
    <row r="479" spans="1:50" ht="12.75" customHeight="1">
      <c r="A479" s="149"/>
      <c r="B479" s="44"/>
      <c r="C479" s="44"/>
      <c r="D479" s="44"/>
      <c r="E479" s="44"/>
      <c r="F479" s="150"/>
      <c r="G479" s="44"/>
      <c r="H479" s="44"/>
      <c r="I479" s="44"/>
      <c r="J479" s="44"/>
      <c r="K479" s="44"/>
      <c r="L479" s="44"/>
      <c r="M479" s="44"/>
      <c r="N479" s="44"/>
      <c r="O479" s="44"/>
      <c r="P479" s="150"/>
      <c r="Q479" s="150"/>
      <c r="R479" s="44"/>
      <c r="S479" s="44"/>
      <c r="T479" s="44"/>
      <c r="U479" s="44"/>
      <c r="V479" s="44"/>
      <c r="W479" s="44"/>
      <c r="X479" s="44"/>
      <c r="Y479" s="44"/>
      <c r="Z479" s="44"/>
      <c r="AA479" s="44"/>
      <c r="AB479" s="44"/>
      <c r="AC479" s="44"/>
      <c r="AD479" s="44"/>
      <c r="AE479" s="44"/>
      <c r="AF479" s="44"/>
      <c r="AG479" s="44"/>
      <c r="AH479" s="44"/>
      <c r="AI479" s="44"/>
      <c r="AJ479" s="150"/>
      <c r="AK479" s="44"/>
      <c r="AL479" s="150"/>
      <c r="AM479" s="150"/>
      <c r="AN479" s="44"/>
      <c r="AO479" s="150"/>
      <c r="AP479" s="150"/>
      <c r="AQ479" s="42"/>
      <c r="AR479" s="42"/>
      <c r="AS479" s="42"/>
      <c r="AT479" s="42"/>
      <c r="AU479" s="42"/>
      <c r="AV479" s="42"/>
      <c r="AW479" s="42"/>
      <c r="AX479" s="42"/>
    </row>
    <row r="480" spans="1:50" ht="12.75" customHeight="1">
      <c r="A480" s="149"/>
      <c r="B480" s="44"/>
      <c r="C480" s="44"/>
      <c r="D480" s="44"/>
      <c r="E480" s="44"/>
      <c r="F480" s="150"/>
      <c r="G480" s="44"/>
      <c r="H480" s="44"/>
      <c r="I480" s="44"/>
      <c r="J480" s="44"/>
      <c r="K480" s="44"/>
      <c r="L480" s="44"/>
      <c r="M480" s="44"/>
      <c r="N480" s="44"/>
      <c r="O480" s="44"/>
      <c r="P480" s="150"/>
      <c r="Q480" s="150"/>
      <c r="R480" s="44"/>
      <c r="S480" s="44"/>
      <c r="T480" s="44"/>
      <c r="U480" s="44"/>
      <c r="V480" s="44"/>
      <c r="W480" s="44"/>
      <c r="X480" s="44"/>
      <c r="Y480" s="44"/>
      <c r="Z480" s="44"/>
      <c r="AA480" s="44"/>
      <c r="AB480" s="44"/>
      <c r="AC480" s="44"/>
      <c r="AD480" s="44"/>
      <c r="AE480" s="44"/>
      <c r="AF480" s="44"/>
      <c r="AG480" s="44"/>
      <c r="AH480" s="44"/>
      <c r="AI480" s="44"/>
      <c r="AJ480" s="150"/>
      <c r="AK480" s="44"/>
      <c r="AL480" s="150"/>
      <c r="AM480" s="150"/>
      <c r="AN480" s="44"/>
      <c r="AO480" s="150"/>
      <c r="AP480" s="150"/>
      <c r="AQ480" s="42"/>
      <c r="AR480" s="42"/>
      <c r="AS480" s="42"/>
      <c r="AT480" s="42"/>
      <c r="AU480" s="42"/>
      <c r="AV480" s="42"/>
      <c r="AW480" s="42"/>
      <c r="AX480" s="42"/>
    </row>
    <row r="481" spans="1:50" ht="12.75" customHeight="1">
      <c r="A481" s="149"/>
      <c r="B481" s="44"/>
      <c r="C481" s="44"/>
      <c r="D481" s="44"/>
      <c r="E481" s="44"/>
      <c r="F481" s="150"/>
      <c r="G481" s="44"/>
      <c r="H481" s="44"/>
      <c r="I481" s="44"/>
      <c r="J481" s="44"/>
      <c r="K481" s="44"/>
      <c r="L481" s="44"/>
      <c r="M481" s="44"/>
      <c r="N481" s="44"/>
      <c r="O481" s="44"/>
      <c r="P481" s="150"/>
      <c r="Q481" s="150"/>
      <c r="R481" s="44"/>
      <c r="S481" s="44"/>
      <c r="T481" s="44"/>
      <c r="U481" s="44"/>
      <c r="V481" s="44"/>
      <c r="W481" s="44"/>
      <c r="X481" s="44"/>
      <c r="Y481" s="44"/>
      <c r="Z481" s="44"/>
      <c r="AA481" s="44"/>
      <c r="AB481" s="44"/>
      <c r="AC481" s="44"/>
      <c r="AD481" s="44"/>
      <c r="AE481" s="44"/>
      <c r="AF481" s="44"/>
      <c r="AG481" s="44"/>
      <c r="AH481" s="44"/>
      <c r="AI481" s="44"/>
      <c r="AJ481" s="150"/>
      <c r="AK481" s="44"/>
      <c r="AL481" s="150"/>
      <c r="AM481" s="150"/>
      <c r="AN481" s="44"/>
      <c r="AO481" s="150"/>
      <c r="AP481" s="150"/>
      <c r="AQ481" s="42"/>
      <c r="AR481" s="42"/>
      <c r="AS481" s="42"/>
      <c r="AT481" s="42"/>
      <c r="AU481" s="42"/>
      <c r="AV481" s="42"/>
      <c r="AW481" s="42"/>
      <c r="AX481" s="42"/>
    </row>
    <row r="482" spans="1:50" ht="12.75" customHeight="1">
      <c r="A482" s="149"/>
      <c r="B482" s="44"/>
      <c r="C482" s="44"/>
      <c r="D482" s="44"/>
      <c r="E482" s="44"/>
      <c r="F482" s="150"/>
      <c r="G482" s="44"/>
      <c r="H482" s="44"/>
      <c r="I482" s="44"/>
      <c r="J482" s="44"/>
      <c r="K482" s="44"/>
      <c r="L482" s="44"/>
      <c r="M482" s="44"/>
      <c r="N482" s="44"/>
      <c r="O482" s="44"/>
      <c r="P482" s="150"/>
      <c r="Q482" s="150"/>
      <c r="R482" s="44"/>
      <c r="S482" s="44"/>
      <c r="T482" s="44"/>
      <c r="U482" s="44"/>
      <c r="V482" s="44"/>
      <c r="W482" s="44"/>
      <c r="X482" s="44"/>
      <c r="Y482" s="44"/>
      <c r="Z482" s="44"/>
      <c r="AA482" s="44"/>
      <c r="AB482" s="44"/>
      <c r="AC482" s="44"/>
      <c r="AD482" s="44"/>
      <c r="AE482" s="44"/>
      <c r="AF482" s="44"/>
      <c r="AG482" s="44"/>
      <c r="AH482" s="44"/>
      <c r="AI482" s="44"/>
      <c r="AJ482" s="150"/>
      <c r="AK482" s="44"/>
      <c r="AL482" s="150"/>
      <c r="AM482" s="150"/>
      <c r="AN482" s="44"/>
      <c r="AO482" s="150"/>
      <c r="AP482" s="150"/>
      <c r="AQ482" s="42"/>
      <c r="AR482" s="42"/>
      <c r="AS482" s="42"/>
      <c r="AT482" s="42"/>
      <c r="AU482" s="42"/>
      <c r="AV482" s="42"/>
      <c r="AW482" s="42"/>
      <c r="AX482" s="42"/>
    </row>
    <row r="483" spans="1:50" ht="12.75" customHeight="1">
      <c r="A483" s="149"/>
      <c r="B483" s="44"/>
      <c r="C483" s="44"/>
      <c r="D483" s="44"/>
      <c r="E483" s="44"/>
      <c r="F483" s="150"/>
      <c r="G483" s="44"/>
      <c r="H483" s="44"/>
      <c r="I483" s="44"/>
      <c r="J483" s="44"/>
      <c r="K483" s="44"/>
      <c r="L483" s="44"/>
      <c r="M483" s="44"/>
      <c r="N483" s="44"/>
      <c r="O483" s="44"/>
      <c r="P483" s="150"/>
      <c r="Q483" s="150"/>
      <c r="R483" s="44"/>
      <c r="S483" s="44"/>
      <c r="T483" s="44"/>
      <c r="U483" s="44"/>
      <c r="V483" s="44"/>
      <c r="W483" s="44"/>
      <c r="X483" s="44"/>
      <c r="Y483" s="44"/>
      <c r="Z483" s="44"/>
      <c r="AA483" s="44"/>
      <c r="AB483" s="44"/>
      <c r="AC483" s="44"/>
      <c r="AD483" s="44"/>
      <c r="AE483" s="44"/>
      <c r="AF483" s="44"/>
      <c r="AG483" s="44"/>
      <c r="AH483" s="44"/>
      <c r="AI483" s="44"/>
      <c r="AJ483" s="150"/>
      <c r="AK483" s="44"/>
      <c r="AL483" s="150"/>
      <c r="AM483" s="150"/>
      <c r="AN483" s="44"/>
      <c r="AO483" s="150"/>
      <c r="AP483" s="150"/>
      <c r="AQ483" s="42"/>
      <c r="AR483" s="42"/>
      <c r="AS483" s="42"/>
      <c r="AT483" s="42"/>
      <c r="AU483" s="42"/>
      <c r="AV483" s="42"/>
      <c r="AW483" s="42"/>
      <c r="AX483" s="42"/>
    </row>
    <row r="484" spans="1:50" ht="12.75" customHeight="1">
      <c r="A484" s="149"/>
      <c r="B484" s="44"/>
      <c r="C484" s="44"/>
      <c r="D484" s="44"/>
      <c r="E484" s="44"/>
      <c r="F484" s="150"/>
      <c r="G484" s="44"/>
      <c r="H484" s="44"/>
      <c r="I484" s="44"/>
      <c r="J484" s="44"/>
      <c r="K484" s="44"/>
      <c r="L484" s="44"/>
      <c r="M484" s="44"/>
      <c r="N484" s="44"/>
      <c r="O484" s="44"/>
      <c r="P484" s="150"/>
      <c r="Q484" s="150"/>
      <c r="R484" s="44"/>
      <c r="S484" s="44"/>
      <c r="T484" s="44"/>
      <c r="U484" s="44"/>
      <c r="V484" s="44"/>
      <c r="W484" s="44"/>
      <c r="X484" s="44"/>
      <c r="Y484" s="44"/>
      <c r="Z484" s="44"/>
      <c r="AA484" s="44"/>
      <c r="AB484" s="44"/>
      <c r="AC484" s="44"/>
      <c r="AD484" s="44"/>
      <c r="AE484" s="44"/>
      <c r="AF484" s="44"/>
      <c r="AG484" s="44"/>
      <c r="AH484" s="44"/>
      <c r="AI484" s="44"/>
      <c r="AJ484" s="150"/>
      <c r="AK484" s="44"/>
      <c r="AL484" s="150"/>
      <c r="AM484" s="150"/>
      <c r="AN484" s="44"/>
      <c r="AO484" s="150"/>
      <c r="AP484" s="150"/>
      <c r="AQ484" s="42"/>
      <c r="AR484" s="42"/>
      <c r="AS484" s="42"/>
      <c r="AT484" s="42"/>
      <c r="AU484" s="42"/>
      <c r="AV484" s="42"/>
      <c r="AW484" s="42"/>
      <c r="AX484" s="42"/>
    </row>
    <row r="485" spans="1:50" ht="12.75" customHeight="1">
      <c r="A485" s="149"/>
      <c r="B485" s="44"/>
      <c r="C485" s="44"/>
      <c r="D485" s="44"/>
      <c r="E485" s="44"/>
      <c r="F485" s="150"/>
      <c r="G485" s="44"/>
      <c r="H485" s="44"/>
      <c r="I485" s="44"/>
      <c r="J485" s="44"/>
      <c r="K485" s="44"/>
      <c r="L485" s="44"/>
      <c r="M485" s="44"/>
      <c r="N485" s="44"/>
      <c r="O485" s="44"/>
      <c r="P485" s="150"/>
      <c r="Q485" s="150"/>
      <c r="R485" s="44"/>
      <c r="S485" s="44"/>
      <c r="T485" s="44"/>
      <c r="U485" s="44"/>
      <c r="V485" s="44"/>
      <c r="W485" s="44"/>
      <c r="X485" s="44"/>
      <c r="Y485" s="44"/>
      <c r="Z485" s="44"/>
      <c r="AA485" s="44"/>
      <c r="AB485" s="44"/>
      <c r="AC485" s="44"/>
      <c r="AD485" s="44"/>
      <c r="AE485" s="44"/>
      <c r="AF485" s="44"/>
      <c r="AG485" s="44"/>
      <c r="AH485" s="44"/>
      <c r="AI485" s="44"/>
      <c r="AJ485" s="150"/>
      <c r="AK485" s="44"/>
      <c r="AL485" s="150"/>
      <c r="AM485" s="150"/>
      <c r="AN485" s="44"/>
      <c r="AO485" s="150"/>
      <c r="AP485" s="150"/>
      <c r="AQ485" s="42"/>
      <c r="AR485" s="42"/>
      <c r="AS485" s="42"/>
      <c r="AT485" s="42"/>
      <c r="AU485" s="42"/>
      <c r="AV485" s="42"/>
      <c r="AW485" s="42"/>
      <c r="AX485" s="42"/>
    </row>
    <row r="486" spans="1:50" ht="12.75" customHeight="1">
      <c r="A486" s="149"/>
      <c r="B486" s="44"/>
      <c r="C486" s="44"/>
      <c r="D486" s="44"/>
      <c r="E486" s="44"/>
      <c r="F486" s="150"/>
      <c r="G486" s="44"/>
      <c r="H486" s="44"/>
      <c r="I486" s="44"/>
      <c r="J486" s="44"/>
      <c r="K486" s="44"/>
      <c r="L486" s="44"/>
      <c r="M486" s="44"/>
      <c r="N486" s="44"/>
      <c r="O486" s="44"/>
      <c r="P486" s="150"/>
      <c r="Q486" s="150"/>
      <c r="R486" s="44"/>
      <c r="S486" s="44"/>
      <c r="T486" s="44"/>
      <c r="U486" s="44"/>
      <c r="V486" s="44"/>
      <c r="W486" s="44"/>
      <c r="X486" s="44"/>
      <c r="Y486" s="44"/>
      <c r="Z486" s="44"/>
      <c r="AA486" s="44"/>
      <c r="AB486" s="44"/>
      <c r="AC486" s="44"/>
      <c r="AD486" s="44"/>
      <c r="AE486" s="44"/>
      <c r="AF486" s="44"/>
      <c r="AG486" s="44"/>
      <c r="AH486" s="44"/>
      <c r="AI486" s="44"/>
      <c r="AJ486" s="150"/>
      <c r="AK486" s="44"/>
      <c r="AL486" s="150"/>
      <c r="AM486" s="150"/>
      <c r="AN486" s="44"/>
      <c r="AO486" s="150"/>
      <c r="AP486" s="150"/>
      <c r="AQ486" s="42"/>
      <c r="AR486" s="42"/>
      <c r="AS486" s="42"/>
      <c r="AT486" s="42"/>
      <c r="AU486" s="42"/>
      <c r="AV486" s="42"/>
      <c r="AW486" s="42"/>
      <c r="AX486" s="42"/>
    </row>
    <row r="487" spans="1:50" ht="12.75" customHeight="1">
      <c r="A487" s="149"/>
      <c r="B487" s="44"/>
      <c r="C487" s="44"/>
      <c r="D487" s="44"/>
      <c r="E487" s="44"/>
      <c r="F487" s="150"/>
      <c r="G487" s="44"/>
      <c r="H487" s="44"/>
      <c r="I487" s="44"/>
      <c r="J487" s="44"/>
      <c r="K487" s="44"/>
      <c r="L487" s="44"/>
      <c r="M487" s="44"/>
      <c r="N487" s="44"/>
      <c r="O487" s="44"/>
      <c r="P487" s="150"/>
      <c r="Q487" s="150"/>
      <c r="R487" s="44"/>
      <c r="S487" s="44"/>
      <c r="T487" s="44"/>
      <c r="U487" s="44"/>
      <c r="V487" s="44"/>
      <c r="W487" s="44"/>
      <c r="X487" s="44"/>
      <c r="Y487" s="44"/>
      <c r="Z487" s="44"/>
      <c r="AA487" s="44"/>
      <c r="AB487" s="44"/>
      <c r="AC487" s="44"/>
      <c r="AD487" s="44"/>
      <c r="AE487" s="44"/>
      <c r="AF487" s="44"/>
      <c r="AG487" s="44"/>
      <c r="AH487" s="44"/>
      <c r="AI487" s="44"/>
      <c r="AJ487" s="150"/>
      <c r="AK487" s="44"/>
      <c r="AL487" s="150"/>
      <c r="AM487" s="150"/>
      <c r="AN487" s="44"/>
      <c r="AO487" s="150"/>
      <c r="AP487" s="150"/>
      <c r="AQ487" s="42"/>
      <c r="AR487" s="42"/>
      <c r="AS487" s="42"/>
      <c r="AT487" s="42"/>
      <c r="AU487" s="42"/>
      <c r="AV487" s="42"/>
      <c r="AW487" s="42"/>
      <c r="AX487" s="42"/>
    </row>
    <row r="488" spans="1:50" ht="12.75" customHeight="1">
      <c r="A488" s="149"/>
      <c r="B488" s="44"/>
      <c r="C488" s="44"/>
      <c r="D488" s="44"/>
      <c r="E488" s="44"/>
      <c r="F488" s="150"/>
      <c r="G488" s="44"/>
      <c r="H488" s="44"/>
      <c r="I488" s="44"/>
      <c r="J488" s="44"/>
      <c r="K488" s="44"/>
      <c r="L488" s="44"/>
      <c r="M488" s="44"/>
      <c r="N488" s="44"/>
      <c r="O488" s="44"/>
      <c r="P488" s="150"/>
      <c r="Q488" s="150"/>
      <c r="R488" s="44"/>
      <c r="S488" s="44"/>
      <c r="T488" s="44"/>
      <c r="U488" s="44"/>
      <c r="V488" s="44"/>
      <c r="W488" s="44"/>
      <c r="X488" s="44"/>
      <c r="Y488" s="44"/>
      <c r="Z488" s="44"/>
      <c r="AA488" s="44"/>
      <c r="AB488" s="44"/>
      <c r="AC488" s="44"/>
      <c r="AD488" s="44"/>
      <c r="AE488" s="44"/>
      <c r="AF488" s="44"/>
      <c r="AG488" s="44"/>
      <c r="AH488" s="44"/>
      <c r="AI488" s="44"/>
      <c r="AJ488" s="150"/>
      <c r="AK488" s="44"/>
      <c r="AL488" s="150"/>
      <c r="AM488" s="150"/>
      <c r="AN488" s="44"/>
      <c r="AO488" s="150"/>
      <c r="AP488" s="150"/>
      <c r="AQ488" s="42"/>
      <c r="AR488" s="42"/>
      <c r="AS488" s="42"/>
      <c r="AT488" s="42"/>
      <c r="AU488" s="42"/>
      <c r="AV488" s="42"/>
      <c r="AW488" s="42"/>
      <c r="AX488" s="42"/>
    </row>
    <row r="489" spans="1:50" ht="12.75" customHeight="1">
      <c r="A489" s="149"/>
      <c r="B489" s="44"/>
      <c r="C489" s="44"/>
      <c r="D489" s="44"/>
      <c r="E489" s="44"/>
      <c r="F489" s="150"/>
      <c r="G489" s="44"/>
      <c r="H489" s="44"/>
      <c r="I489" s="44"/>
      <c r="J489" s="44"/>
      <c r="K489" s="44"/>
      <c r="L489" s="44"/>
      <c r="M489" s="44"/>
      <c r="N489" s="44"/>
      <c r="O489" s="44"/>
      <c r="P489" s="150"/>
      <c r="Q489" s="150"/>
      <c r="R489" s="44"/>
      <c r="S489" s="44"/>
      <c r="T489" s="44"/>
      <c r="U489" s="44"/>
      <c r="V489" s="44"/>
      <c r="W489" s="44"/>
      <c r="X489" s="44"/>
      <c r="Y489" s="44"/>
      <c r="Z489" s="44"/>
      <c r="AA489" s="44"/>
      <c r="AB489" s="44"/>
      <c r="AC489" s="44"/>
      <c r="AD489" s="44"/>
      <c r="AE489" s="44"/>
      <c r="AF489" s="44"/>
      <c r="AG489" s="44"/>
      <c r="AH489" s="44"/>
      <c r="AI489" s="44"/>
      <c r="AJ489" s="150"/>
      <c r="AK489" s="44"/>
      <c r="AL489" s="150"/>
      <c r="AM489" s="150"/>
      <c r="AN489" s="44"/>
      <c r="AO489" s="150"/>
      <c r="AP489" s="150"/>
      <c r="AQ489" s="42"/>
      <c r="AR489" s="42"/>
      <c r="AS489" s="42"/>
      <c r="AT489" s="42"/>
      <c r="AU489" s="42"/>
      <c r="AV489" s="42"/>
      <c r="AW489" s="42"/>
      <c r="AX489" s="42"/>
    </row>
    <row r="490" spans="1:50" ht="12.75" customHeight="1">
      <c r="A490" s="149"/>
      <c r="B490" s="44"/>
      <c r="C490" s="44"/>
      <c r="D490" s="44"/>
      <c r="E490" s="44"/>
      <c r="F490" s="150"/>
      <c r="G490" s="44"/>
      <c r="H490" s="44"/>
      <c r="I490" s="44"/>
      <c r="J490" s="44"/>
      <c r="K490" s="44"/>
      <c r="L490" s="44"/>
      <c r="M490" s="44"/>
      <c r="N490" s="44"/>
      <c r="O490" s="44"/>
      <c r="P490" s="150"/>
      <c r="Q490" s="150"/>
      <c r="R490" s="44"/>
      <c r="S490" s="44"/>
      <c r="T490" s="44"/>
      <c r="U490" s="44"/>
      <c r="V490" s="44"/>
      <c r="W490" s="44"/>
      <c r="X490" s="44"/>
      <c r="Y490" s="44"/>
      <c r="Z490" s="44"/>
      <c r="AA490" s="44"/>
      <c r="AB490" s="44"/>
      <c r="AC490" s="44"/>
      <c r="AD490" s="44"/>
      <c r="AE490" s="44"/>
      <c r="AF490" s="44"/>
      <c r="AG490" s="44"/>
      <c r="AH490" s="44"/>
      <c r="AI490" s="44"/>
      <c r="AJ490" s="150"/>
      <c r="AK490" s="44"/>
      <c r="AL490" s="150"/>
      <c r="AM490" s="150"/>
      <c r="AN490" s="44"/>
      <c r="AO490" s="150"/>
      <c r="AP490" s="150"/>
      <c r="AQ490" s="42"/>
      <c r="AR490" s="42"/>
      <c r="AS490" s="42"/>
      <c r="AT490" s="42"/>
      <c r="AU490" s="42"/>
      <c r="AV490" s="42"/>
      <c r="AW490" s="42"/>
      <c r="AX490" s="42"/>
    </row>
    <row r="491" spans="1:50" ht="12.75" customHeight="1">
      <c r="A491" s="149"/>
      <c r="B491" s="44"/>
      <c r="C491" s="44"/>
      <c r="D491" s="44"/>
      <c r="E491" s="44"/>
      <c r="F491" s="150"/>
      <c r="G491" s="44"/>
      <c r="H491" s="44"/>
      <c r="I491" s="44"/>
      <c r="J491" s="44"/>
      <c r="K491" s="44"/>
      <c r="L491" s="44"/>
      <c r="M491" s="44"/>
      <c r="N491" s="44"/>
      <c r="O491" s="44"/>
      <c r="P491" s="150"/>
      <c r="Q491" s="150"/>
      <c r="R491" s="44"/>
      <c r="S491" s="44"/>
      <c r="T491" s="44"/>
      <c r="U491" s="44"/>
      <c r="V491" s="44"/>
      <c r="W491" s="44"/>
      <c r="X491" s="44"/>
      <c r="Y491" s="44"/>
      <c r="Z491" s="44"/>
      <c r="AA491" s="44"/>
      <c r="AB491" s="44"/>
      <c r="AC491" s="44"/>
      <c r="AD491" s="44"/>
      <c r="AE491" s="44"/>
      <c r="AF491" s="44"/>
      <c r="AG491" s="44"/>
      <c r="AH491" s="44"/>
      <c r="AI491" s="44"/>
      <c r="AJ491" s="150"/>
      <c r="AK491" s="44"/>
      <c r="AL491" s="150"/>
      <c r="AM491" s="150"/>
      <c r="AN491" s="44"/>
      <c r="AO491" s="150"/>
      <c r="AP491" s="150"/>
      <c r="AQ491" s="42"/>
      <c r="AR491" s="42"/>
      <c r="AS491" s="42"/>
      <c r="AT491" s="42"/>
      <c r="AU491" s="42"/>
      <c r="AV491" s="42"/>
      <c r="AW491" s="42"/>
      <c r="AX491" s="42"/>
    </row>
    <row r="492" spans="1:50" ht="12.75" customHeight="1">
      <c r="A492" s="149"/>
      <c r="B492" s="44"/>
      <c r="C492" s="44"/>
      <c r="D492" s="44"/>
      <c r="E492" s="44"/>
      <c r="F492" s="150"/>
      <c r="G492" s="44"/>
      <c r="H492" s="44"/>
      <c r="I492" s="44"/>
      <c r="J492" s="44"/>
      <c r="K492" s="44"/>
      <c r="L492" s="44"/>
      <c r="M492" s="44"/>
      <c r="N492" s="44"/>
      <c r="O492" s="44"/>
      <c r="P492" s="150"/>
      <c r="Q492" s="150"/>
      <c r="R492" s="44"/>
      <c r="S492" s="44"/>
      <c r="T492" s="44"/>
      <c r="U492" s="44"/>
      <c r="V492" s="44"/>
      <c r="W492" s="44"/>
      <c r="X492" s="44"/>
      <c r="Y492" s="44"/>
      <c r="Z492" s="44"/>
      <c r="AA492" s="44"/>
      <c r="AB492" s="44"/>
      <c r="AC492" s="44"/>
      <c r="AD492" s="44"/>
      <c r="AE492" s="44"/>
      <c r="AF492" s="44"/>
      <c r="AG492" s="44"/>
      <c r="AH492" s="44"/>
      <c r="AI492" s="44"/>
      <c r="AJ492" s="150"/>
      <c r="AK492" s="44"/>
      <c r="AL492" s="150"/>
      <c r="AM492" s="150"/>
      <c r="AN492" s="44"/>
      <c r="AO492" s="150"/>
      <c r="AP492" s="150"/>
      <c r="AQ492" s="42"/>
      <c r="AR492" s="42"/>
      <c r="AS492" s="42"/>
      <c r="AT492" s="42"/>
      <c r="AU492" s="42"/>
      <c r="AV492" s="42"/>
      <c r="AW492" s="42"/>
      <c r="AX492" s="42"/>
    </row>
    <row r="493" spans="1:50" ht="12.75" customHeight="1">
      <c r="A493" s="149"/>
      <c r="B493" s="44"/>
      <c r="C493" s="44"/>
      <c r="D493" s="44"/>
      <c r="E493" s="44"/>
      <c r="F493" s="150"/>
      <c r="G493" s="44"/>
      <c r="H493" s="44"/>
      <c r="I493" s="44"/>
      <c r="J493" s="44"/>
      <c r="K493" s="44"/>
      <c r="L493" s="44"/>
      <c r="M493" s="44"/>
      <c r="N493" s="44"/>
      <c r="O493" s="44"/>
      <c r="P493" s="150"/>
      <c r="Q493" s="150"/>
      <c r="R493" s="44"/>
      <c r="S493" s="44"/>
      <c r="T493" s="44"/>
      <c r="U493" s="44"/>
      <c r="V493" s="44"/>
      <c r="W493" s="44"/>
      <c r="X493" s="44"/>
      <c r="Y493" s="44"/>
      <c r="Z493" s="44"/>
      <c r="AA493" s="44"/>
      <c r="AB493" s="44"/>
      <c r="AC493" s="44"/>
      <c r="AD493" s="44"/>
      <c r="AE493" s="44"/>
      <c r="AF493" s="44"/>
      <c r="AG493" s="44"/>
      <c r="AH493" s="44"/>
      <c r="AI493" s="44"/>
      <c r="AJ493" s="150"/>
      <c r="AK493" s="44"/>
      <c r="AL493" s="150"/>
      <c r="AM493" s="150"/>
      <c r="AN493" s="44"/>
      <c r="AO493" s="150"/>
      <c r="AP493" s="150"/>
      <c r="AQ493" s="42"/>
      <c r="AR493" s="42"/>
      <c r="AS493" s="42"/>
      <c r="AT493" s="42"/>
      <c r="AU493" s="42"/>
      <c r="AV493" s="42"/>
      <c r="AW493" s="42"/>
      <c r="AX493" s="42"/>
    </row>
    <row r="494" spans="1:50" ht="12.75" customHeight="1">
      <c r="A494" s="149"/>
      <c r="B494" s="44"/>
      <c r="C494" s="44"/>
      <c r="D494" s="44"/>
      <c r="E494" s="44"/>
      <c r="F494" s="150"/>
      <c r="G494" s="44"/>
      <c r="H494" s="44"/>
      <c r="I494" s="44"/>
      <c r="J494" s="44"/>
      <c r="K494" s="44"/>
      <c r="L494" s="44"/>
      <c r="M494" s="44"/>
      <c r="N494" s="44"/>
      <c r="O494" s="44"/>
      <c r="P494" s="150"/>
      <c r="Q494" s="150"/>
      <c r="R494" s="44"/>
      <c r="S494" s="44"/>
      <c r="T494" s="44"/>
      <c r="U494" s="44"/>
      <c r="V494" s="44"/>
      <c r="W494" s="44"/>
      <c r="X494" s="44"/>
      <c r="Y494" s="44"/>
      <c r="Z494" s="44"/>
      <c r="AA494" s="44"/>
      <c r="AB494" s="44"/>
      <c r="AC494" s="44"/>
      <c r="AD494" s="44"/>
      <c r="AE494" s="44"/>
      <c r="AF494" s="44"/>
      <c r="AG494" s="44"/>
      <c r="AH494" s="44"/>
      <c r="AI494" s="44"/>
      <c r="AJ494" s="150"/>
      <c r="AK494" s="44"/>
      <c r="AL494" s="150"/>
      <c r="AM494" s="150"/>
      <c r="AN494" s="44"/>
      <c r="AO494" s="150"/>
      <c r="AP494" s="150"/>
      <c r="AQ494" s="42"/>
      <c r="AR494" s="42"/>
      <c r="AS494" s="42"/>
      <c r="AT494" s="42"/>
      <c r="AU494" s="42"/>
      <c r="AV494" s="42"/>
      <c r="AW494" s="42"/>
      <c r="AX494" s="42"/>
    </row>
    <row r="495" spans="1:50" ht="12.75" customHeight="1">
      <c r="A495" s="149"/>
      <c r="B495" s="44"/>
      <c r="C495" s="44"/>
      <c r="D495" s="44"/>
      <c r="E495" s="44"/>
      <c r="F495" s="150"/>
      <c r="G495" s="44"/>
      <c r="H495" s="44"/>
      <c r="I495" s="44"/>
      <c r="J495" s="44"/>
      <c r="K495" s="44"/>
      <c r="L495" s="44"/>
      <c r="M495" s="44"/>
      <c r="N495" s="44"/>
      <c r="O495" s="44"/>
      <c r="P495" s="150"/>
      <c r="Q495" s="150"/>
      <c r="R495" s="44"/>
      <c r="S495" s="44"/>
      <c r="T495" s="44"/>
      <c r="U495" s="44"/>
      <c r="V495" s="44"/>
      <c r="W495" s="44"/>
      <c r="X495" s="44"/>
      <c r="Y495" s="44"/>
      <c r="Z495" s="44"/>
      <c r="AA495" s="44"/>
      <c r="AB495" s="44"/>
      <c r="AC495" s="44"/>
      <c r="AD495" s="44"/>
      <c r="AE495" s="44"/>
      <c r="AF495" s="44"/>
      <c r="AG495" s="44"/>
      <c r="AH495" s="44"/>
      <c r="AI495" s="44"/>
      <c r="AJ495" s="150"/>
      <c r="AK495" s="44"/>
      <c r="AL495" s="150"/>
      <c r="AM495" s="150"/>
      <c r="AN495" s="44"/>
      <c r="AO495" s="150"/>
      <c r="AP495" s="150"/>
      <c r="AQ495" s="42"/>
      <c r="AR495" s="42"/>
      <c r="AS495" s="42"/>
      <c r="AT495" s="42"/>
      <c r="AU495" s="42"/>
      <c r="AV495" s="42"/>
      <c r="AW495" s="42"/>
      <c r="AX495" s="42"/>
    </row>
    <row r="496" spans="1:50" ht="12.75" customHeight="1">
      <c r="A496" s="149"/>
      <c r="B496" s="44"/>
      <c r="C496" s="44"/>
      <c r="D496" s="44"/>
      <c r="E496" s="44"/>
      <c r="F496" s="150"/>
      <c r="G496" s="44"/>
      <c r="H496" s="44"/>
      <c r="I496" s="44"/>
      <c r="J496" s="44"/>
      <c r="K496" s="44"/>
      <c r="L496" s="44"/>
      <c r="M496" s="44"/>
      <c r="N496" s="44"/>
      <c r="O496" s="44"/>
      <c r="P496" s="150"/>
      <c r="Q496" s="150"/>
      <c r="R496" s="44"/>
      <c r="S496" s="44"/>
      <c r="T496" s="44"/>
      <c r="U496" s="44"/>
      <c r="V496" s="44"/>
      <c r="W496" s="44"/>
      <c r="X496" s="44"/>
      <c r="Y496" s="44"/>
      <c r="Z496" s="44"/>
      <c r="AA496" s="44"/>
      <c r="AB496" s="44"/>
      <c r="AC496" s="44"/>
      <c r="AD496" s="44"/>
      <c r="AE496" s="44"/>
      <c r="AF496" s="44"/>
      <c r="AG496" s="44"/>
      <c r="AH496" s="44"/>
      <c r="AI496" s="44"/>
      <c r="AJ496" s="150"/>
      <c r="AK496" s="44"/>
      <c r="AL496" s="150"/>
      <c r="AM496" s="150"/>
      <c r="AN496" s="44"/>
      <c r="AO496" s="150"/>
      <c r="AP496" s="150"/>
      <c r="AQ496" s="42"/>
      <c r="AR496" s="42"/>
      <c r="AS496" s="42"/>
      <c r="AT496" s="42"/>
      <c r="AU496" s="42"/>
      <c r="AV496" s="42"/>
      <c r="AW496" s="42"/>
      <c r="AX496" s="42"/>
    </row>
    <row r="497" spans="1:50" ht="12.75" customHeight="1">
      <c r="A497" s="149"/>
      <c r="B497" s="44"/>
      <c r="C497" s="44"/>
      <c r="D497" s="44"/>
      <c r="E497" s="44"/>
      <c r="F497" s="150"/>
      <c r="G497" s="44"/>
      <c r="H497" s="44"/>
      <c r="I497" s="44"/>
      <c r="J497" s="44"/>
      <c r="K497" s="44"/>
      <c r="L497" s="44"/>
      <c r="M497" s="44"/>
      <c r="N497" s="44"/>
      <c r="O497" s="44"/>
      <c r="P497" s="150"/>
      <c r="Q497" s="150"/>
      <c r="R497" s="44"/>
      <c r="S497" s="44"/>
      <c r="T497" s="44"/>
      <c r="U497" s="44"/>
      <c r="V497" s="44"/>
      <c r="W497" s="44"/>
      <c r="X497" s="44"/>
      <c r="Y497" s="44"/>
      <c r="Z497" s="44"/>
      <c r="AA497" s="44"/>
      <c r="AB497" s="44"/>
      <c r="AC497" s="44"/>
      <c r="AD497" s="44"/>
      <c r="AE497" s="44"/>
      <c r="AF497" s="44"/>
      <c r="AG497" s="44"/>
      <c r="AH497" s="44"/>
      <c r="AI497" s="44"/>
      <c r="AJ497" s="150"/>
      <c r="AK497" s="44"/>
      <c r="AL497" s="150"/>
      <c r="AM497" s="150"/>
      <c r="AN497" s="44"/>
      <c r="AO497" s="150"/>
      <c r="AP497" s="150"/>
      <c r="AQ497" s="42"/>
      <c r="AR497" s="42"/>
      <c r="AS497" s="42"/>
      <c r="AT497" s="42"/>
      <c r="AU497" s="42"/>
      <c r="AV497" s="42"/>
      <c r="AW497" s="42"/>
      <c r="AX497" s="42"/>
    </row>
    <row r="498" spans="1:50" ht="12.75" customHeight="1">
      <c r="A498" s="149"/>
      <c r="B498" s="44"/>
      <c r="C498" s="44"/>
      <c r="D498" s="44"/>
      <c r="E498" s="44"/>
      <c r="F498" s="150"/>
      <c r="G498" s="44"/>
      <c r="H498" s="44"/>
      <c r="I498" s="44"/>
      <c r="J498" s="44"/>
      <c r="K498" s="44"/>
      <c r="L498" s="44"/>
      <c r="M498" s="44"/>
      <c r="N498" s="44"/>
      <c r="O498" s="44"/>
      <c r="P498" s="150"/>
      <c r="Q498" s="150"/>
      <c r="R498" s="44"/>
      <c r="S498" s="44"/>
      <c r="T498" s="44"/>
      <c r="U498" s="44"/>
      <c r="V498" s="44"/>
      <c r="W498" s="44"/>
      <c r="X498" s="44"/>
      <c r="Y498" s="44"/>
      <c r="Z498" s="44"/>
      <c r="AA498" s="44"/>
      <c r="AB498" s="44"/>
      <c r="AC498" s="44"/>
      <c r="AD498" s="44"/>
      <c r="AE498" s="44"/>
      <c r="AF498" s="44"/>
      <c r="AG498" s="44"/>
      <c r="AH498" s="44"/>
      <c r="AI498" s="44"/>
      <c r="AJ498" s="150"/>
      <c r="AK498" s="44"/>
      <c r="AL498" s="150"/>
      <c r="AM498" s="150"/>
      <c r="AN498" s="44"/>
      <c r="AO498" s="150"/>
      <c r="AP498" s="150"/>
      <c r="AQ498" s="42"/>
      <c r="AR498" s="42"/>
      <c r="AS498" s="42"/>
      <c r="AT498" s="42"/>
      <c r="AU498" s="42"/>
      <c r="AV498" s="42"/>
      <c r="AW498" s="42"/>
      <c r="AX498" s="42"/>
    </row>
    <row r="499" spans="1:50" ht="12.75" customHeight="1">
      <c r="A499" s="149"/>
      <c r="B499" s="44"/>
      <c r="C499" s="44"/>
      <c r="D499" s="44"/>
      <c r="E499" s="44"/>
      <c r="F499" s="150"/>
      <c r="G499" s="44"/>
      <c r="H499" s="44"/>
      <c r="I499" s="44"/>
      <c r="J499" s="44"/>
      <c r="K499" s="44"/>
      <c r="L499" s="44"/>
      <c r="M499" s="44"/>
      <c r="N499" s="44"/>
      <c r="O499" s="44"/>
      <c r="P499" s="150"/>
      <c r="Q499" s="150"/>
      <c r="R499" s="44"/>
      <c r="S499" s="44"/>
      <c r="T499" s="44"/>
      <c r="U499" s="44"/>
      <c r="V499" s="44"/>
      <c r="W499" s="44"/>
      <c r="X499" s="44"/>
      <c r="Y499" s="44"/>
      <c r="Z499" s="44"/>
      <c r="AA499" s="44"/>
      <c r="AB499" s="44"/>
      <c r="AC499" s="44"/>
      <c r="AD499" s="44"/>
      <c r="AE499" s="44"/>
      <c r="AF499" s="44"/>
      <c r="AG499" s="44"/>
      <c r="AH499" s="44"/>
      <c r="AI499" s="44"/>
      <c r="AJ499" s="150"/>
      <c r="AK499" s="44"/>
      <c r="AL499" s="150"/>
      <c r="AM499" s="150"/>
      <c r="AN499" s="44"/>
      <c r="AO499" s="150"/>
      <c r="AP499" s="150"/>
      <c r="AQ499" s="42"/>
      <c r="AR499" s="42"/>
      <c r="AS499" s="42"/>
      <c r="AT499" s="42"/>
      <c r="AU499" s="42"/>
      <c r="AV499" s="42"/>
      <c r="AW499" s="42"/>
      <c r="AX499" s="42"/>
    </row>
    <row r="500" spans="1:50" ht="12.75" customHeight="1">
      <c r="A500" s="149"/>
      <c r="B500" s="44"/>
      <c r="C500" s="44"/>
      <c r="D500" s="44"/>
      <c r="E500" s="44"/>
      <c r="F500" s="150"/>
      <c r="G500" s="44"/>
      <c r="H500" s="44"/>
      <c r="I500" s="44"/>
      <c r="J500" s="44"/>
      <c r="K500" s="44"/>
      <c r="L500" s="44"/>
      <c r="M500" s="44"/>
      <c r="N500" s="44"/>
      <c r="O500" s="44"/>
      <c r="P500" s="150"/>
      <c r="Q500" s="150"/>
      <c r="R500" s="44"/>
      <c r="S500" s="44"/>
      <c r="T500" s="44"/>
      <c r="U500" s="44"/>
      <c r="V500" s="44"/>
      <c r="W500" s="44"/>
      <c r="X500" s="44"/>
      <c r="Y500" s="44"/>
      <c r="Z500" s="44"/>
      <c r="AA500" s="44"/>
      <c r="AB500" s="44"/>
      <c r="AC500" s="44"/>
      <c r="AD500" s="44"/>
      <c r="AE500" s="44"/>
      <c r="AF500" s="44"/>
      <c r="AG500" s="44"/>
      <c r="AH500" s="44"/>
      <c r="AI500" s="44"/>
      <c r="AJ500" s="150"/>
      <c r="AK500" s="44"/>
      <c r="AL500" s="150"/>
      <c r="AM500" s="150"/>
      <c r="AN500" s="44"/>
      <c r="AO500" s="150"/>
      <c r="AP500" s="150"/>
      <c r="AQ500" s="42"/>
      <c r="AR500" s="42"/>
      <c r="AS500" s="42"/>
      <c r="AT500" s="42"/>
      <c r="AU500" s="42"/>
      <c r="AV500" s="42"/>
      <c r="AW500" s="42"/>
      <c r="AX500" s="42"/>
    </row>
    <row r="501" spans="1:50" ht="12.75" customHeight="1">
      <c r="A501" s="149"/>
      <c r="B501" s="44"/>
      <c r="C501" s="44"/>
      <c r="D501" s="44"/>
      <c r="E501" s="44"/>
      <c r="F501" s="150"/>
      <c r="G501" s="44"/>
      <c r="H501" s="44"/>
      <c r="I501" s="44"/>
      <c r="J501" s="44"/>
      <c r="K501" s="44"/>
      <c r="L501" s="44"/>
      <c r="M501" s="44"/>
      <c r="N501" s="44"/>
      <c r="O501" s="44"/>
      <c r="P501" s="150"/>
      <c r="Q501" s="150"/>
      <c r="R501" s="44"/>
      <c r="S501" s="44"/>
      <c r="T501" s="44"/>
      <c r="U501" s="44"/>
      <c r="V501" s="44"/>
      <c r="W501" s="44"/>
      <c r="X501" s="44"/>
      <c r="Y501" s="44"/>
      <c r="Z501" s="44"/>
      <c r="AA501" s="44"/>
      <c r="AB501" s="44"/>
      <c r="AC501" s="44"/>
      <c r="AD501" s="44"/>
      <c r="AE501" s="44"/>
      <c r="AF501" s="44"/>
      <c r="AG501" s="44"/>
      <c r="AH501" s="44"/>
      <c r="AI501" s="44"/>
      <c r="AJ501" s="150"/>
      <c r="AK501" s="44"/>
      <c r="AL501" s="150"/>
      <c r="AM501" s="150"/>
      <c r="AN501" s="44"/>
      <c r="AO501" s="150"/>
      <c r="AP501" s="150"/>
      <c r="AQ501" s="42"/>
      <c r="AR501" s="42"/>
      <c r="AS501" s="42"/>
      <c r="AT501" s="42"/>
      <c r="AU501" s="42"/>
      <c r="AV501" s="42"/>
      <c r="AW501" s="42"/>
      <c r="AX501" s="42"/>
    </row>
    <row r="502" spans="1:50" ht="12.75" customHeight="1">
      <c r="A502" s="149"/>
      <c r="B502" s="44"/>
      <c r="C502" s="44"/>
      <c r="D502" s="44"/>
      <c r="E502" s="44"/>
      <c r="F502" s="150"/>
      <c r="G502" s="44"/>
      <c r="H502" s="44"/>
      <c r="I502" s="44"/>
      <c r="J502" s="44"/>
      <c r="K502" s="44"/>
      <c r="L502" s="44"/>
      <c r="M502" s="44"/>
      <c r="N502" s="44"/>
      <c r="O502" s="44"/>
      <c r="P502" s="150"/>
      <c r="Q502" s="150"/>
      <c r="R502" s="44"/>
      <c r="S502" s="44"/>
      <c r="T502" s="44"/>
      <c r="U502" s="44"/>
      <c r="V502" s="44"/>
      <c r="W502" s="44"/>
      <c r="X502" s="44"/>
      <c r="Y502" s="44"/>
      <c r="Z502" s="44"/>
      <c r="AA502" s="44"/>
      <c r="AB502" s="44"/>
      <c r="AC502" s="44"/>
      <c r="AD502" s="44"/>
      <c r="AE502" s="44"/>
      <c r="AF502" s="44"/>
      <c r="AG502" s="44"/>
      <c r="AH502" s="44"/>
      <c r="AI502" s="44"/>
      <c r="AJ502" s="150"/>
      <c r="AK502" s="44"/>
      <c r="AL502" s="150"/>
      <c r="AM502" s="150"/>
      <c r="AN502" s="44"/>
      <c r="AO502" s="150"/>
      <c r="AP502" s="150"/>
      <c r="AQ502" s="42"/>
      <c r="AR502" s="42"/>
      <c r="AS502" s="42"/>
      <c r="AT502" s="42"/>
      <c r="AU502" s="42"/>
      <c r="AV502" s="42"/>
      <c r="AW502" s="42"/>
      <c r="AX502" s="42"/>
    </row>
    <row r="503" spans="1:50" ht="12.75" customHeight="1">
      <c r="A503" s="149"/>
      <c r="B503" s="44"/>
      <c r="C503" s="44"/>
      <c r="D503" s="44"/>
      <c r="E503" s="44"/>
      <c r="F503" s="150"/>
      <c r="G503" s="44"/>
      <c r="H503" s="44"/>
      <c r="I503" s="44"/>
      <c r="J503" s="44"/>
      <c r="K503" s="44"/>
      <c r="L503" s="44"/>
      <c r="M503" s="44"/>
      <c r="N503" s="44"/>
      <c r="O503" s="44"/>
      <c r="P503" s="150"/>
      <c r="Q503" s="150"/>
      <c r="R503" s="44"/>
      <c r="S503" s="44"/>
      <c r="T503" s="44"/>
      <c r="U503" s="44"/>
      <c r="V503" s="44"/>
      <c r="W503" s="44"/>
      <c r="X503" s="44"/>
      <c r="Y503" s="44"/>
      <c r="Z503" s="44"/>
      <c r="AA503" s="44"/>
      <c r="AB503" s="44"/>
      <c r="AC503" s="44"/>
      <c r="AD503" s="44"/>
      <c r="AE503" s="44"/>
      <c r="AF503" s="44"/>
      <c r="AG503" s="44"/>
      <c r="AH503" s="44"/>
      <c r="AI503" s="44"/>
      <c r="AJ503" s="150"/>
      <c r="AK503" s="44"/>
      <c r="AL503" s="150"/>
      <c r="AM503" s="150"/>
      <c r="AN503" s="44"/>
      <c r="AO503" s="150"/>
      <c r="AP503" s="150"/>
      <c r="AQ503" s="42"/>
      <c r="AR503" s="42"/>
      <c r="AS503" s="42"/>
      <c r="AT503" s="42"/>
      <c r="AU503" s="42"/>
      <c r="AV503" s="42"/>
      <c r="AW503" s="42"/>
      <c r="AX503" s="42"/>
    </row>
    <row r="504" spans="1:50" ht="12.75" customHeight="1">
      <c r="A504" s="149"/>
      <c r="B504" s="44"/>
      <c r="C504" s="44"/>
      <c r="D504" s="44"/>
      <c r="E504" s="44"/>
      <c r="F504" s="150"/>
      <c r="G504" s="44"/>
      <c r="H504" s="44"/>
      <c r="I504" s="44"/>
      <c r="J504" s="44"/>
      <c r="K504" s="44"/>
      <c r="L504" s="44"/>
      <c r="M504" s="44"/>
      <c r="N504" s="44"/>
      <c r="O504" s="44"/>
      <c r="P504" s="150"/>
      <c r="Q504" s="150"/>
      <c r="R504" s="44"/>
      <c r="S504" s="44"/>
      <c r="T504" s="44"/>
      <c r="U504" s="44"/>
      <c r="V504" s="44"/>
      <c r="W504" s="44"/>
      <c r="X504" s="44"/>
      <c r="Y504" s="44"/>
      <c r="Z504" s="44"/>
      <c r="AA504" s="44"/>
      <c r="AB504" s="44"/>
      <c r="AC504" s="44"/>
      <c r="AD504" s="44"/>
      <c r="AE504" s="44"/>
      <c r="AF504" s="44"/>
      <c r="AG504" s="44"/>
      <c r="AH504" s="44"/>
      <c r="AI504" s="44"/>
      <c r="AJ504" s="150"/>
      <c r="AK504" s="44"/>
      <c r="AL504" s="150"/>
      <c r="AM504" s="150"/>
      <c r="AN504" s="44"/>
      <c r="AO504" s="150"/>
      <c r="AP504" s="150"/>
      <c r="AQ504" s="42"/>
      <c r="AR504" s="42"/>
      <c r="AS504" s="42"/>
      <c r="AT504" s="42"/>
      <c r="AU504" s="42"/>
      <c r="AV504" s="42"/>
      <c r="AW504" s="42"/>
      <c r="AX504" s="42"/>
    </row>
    <row r="505" spans="1:50" ht="12.75" customHeight="1">
      <c r="A505" s="149"/>
      <c r="B505" s="44"/>
      <c r="C505" s="44"/>
      <c r="D505" s="44"/>
      <c r="E505" s="44"/>
      <c r="F505" s="150"/>
      <c r="G505" s="44"/>
      <c r="H505" s="44"/>
      <c r="I505" s="44"/>
      <c r="J505" s="44"/>
      <c r="K505" s="44"/>
      <c r="L505" s="44"/>
      <c r="M505" s="44"/>
      <c r="N505" s="44"/>
      <c r="O505" s="44"/>
      <c r="P505" s="150"/>
      <c r="Q505" s="150"/>
      <c r="R505" s="44"/>
      <c r="S505" s="44"/>
      <c r="T505" s="44"/>
      <c r="U505" s="44"/>
      <c r="V505" s="44"/>
      <c r="W505" s="44"/>
      <c r="X505" s="44"/>
      <c r="Y505" s="44"/>
      <c r="Z505" s="44"/>
      <c r="AA505" s="44"/>
      <c r="AB505" s="44"/>
      <c r="AC505" s="44"/>
      <c r="AD505" s="44"/>
      <c r="AE505" s="44"/>
      <c r="AF505" s="44"/>
      <c r="AG505" s="44"/>
      <c r="AH505" s="44"/>
      <c r="AI505" s="44"/>
      <c r="AJ505" s="150"/>
      <c r="AK505" s="44"/>
      <c r="AL505" s="150"/>
      <c r="AM505" s="150"/>
      <c r="AN505" s="44"/>
      <c r="AO505" s="150"/>
      <c r="AP505" s="150"/>
      <c r="AQ505" s="42"/>
      <c r="AR505" s="42"/>
      <c r="AS505" s="42"/>
      <c r="AT505" s="42"/>
      <c r="AU505" s="42"/>
      <c r="AV505" s="42"/>
      <c r="AW505" s="42"/>
      <c r="AX505" s="42"/>
    </row>
    <row r="506" spans="1:50" ht="12.75" customHeight="1">
      <c r="A506" s="149"/>
      <c r="B506" s="44"/>
      <c r="C506" s="44"/>
      <c r="D506" s="44"/>
      <c r="E506" s="44"/>
      <c r="F506" s="150"/>
      <c r="G506" s="44"/>
      <c r="H506" s="44"/>
      <c r="I506" s="44"/>
      <c r="J506" s="44"/>
      <c r="K506" s="44"/>
      <c r="L506" s="44"/>
      <c r="M506" s="44"/>
      <c r="N506" s="44"/>
      <c r="O506" s="44"/>
      <c r="P506" s="150"/>
      <c r="Q506" s="150"/>
      <c r="R506" s="44"/>
      <c r="S506" s="44"/>
      <c r="T506" s="44"/>
      <c r="U506" s="44"/>
      <c r="V506" s="44"/>
      <c r="W506" s="44"/>
      <c r="X506" s="44"/>
      <c r="Y506" s="44"/>
      <c r="Z506" s="44"/>
      <c r="AA506" s="44"/>
      <c r="AB506" s="44"/>
      <c r="AC506" s="44"/>
      <c r="AD506" s="44"/>
      <c r="AE506" s="44"/>
      <c r="AF506" s="44"/>
      <c r="AG506" s="44"/>
      <c r="AH506" s="44"/>
      <c r="AI506" s="44"/>
      <c r="AJ506" s="150"/>
      <c r="AK506" s="44"/>
      <c r="AL506" s="150"/>
      <c r="AM506" s="150"/>
      <c r="AN506" s="44"/>
      <c r="AO506" s="150"/>
      <c r="AP506" s="150"/>
      <c r="AQ506" s="42"/>
      <c r="AR506" s="42"/>
      <c r="AS506" s="42"/>
      <c r="AT506" s="42"/>
      <c r="AU506" s="42"/>
      <c r="AV506" s="42"/>
      <c r="AW506" s="42"/>
      <c r="AX506" s="42"/>
    </row>
    <row r="507" spans="1:50" ht="12.75" customHeight="1">
      <c r="A507" s="149"/>
      <c r="B507" s="44"/>
      <c r="C507" s="44"/>
      <c r="D507" s="44"/>
      <c r="E507" s="44"/>
      <c r="F507" s="150"/>
      <c r="G507" s="44"/>
      <c r="H507" s="44"/>
      <c r="I507" s="44"/>
      <c r="J507" s="44"/>
      <c r="K507" s="44"/>
      <c r="L507" s="44"/>
      <c r="M507" s="44"/>
      <c r="N507" s="44"/>
      <c r="O507" s="44"/>
      <c r="P507" s="150"/>
      <c r="Q507" s="150"/>
      <c r="R507" s="44"/>
      <c r="S507" s="44"/>
      <c r="T507" s="44"/>
      <c r="U507" s="44"/>
      <c r="V507" s="44"/>
      <c r="W507" s="44"/>
      <c r="X507" s="44"/>
      <c r="Y507" s="44"/>
      <c r="Z507" s="44"/>
      <c r="AA507" s="44"/>
      <c r="AB507" s="44"/>
      <c r="AC507" s="44"/>
      <c r="AD507" s="44"/>
      <c r="AE507" s="44"/>
      <c r="AF507" s="44"/>
      <c r="AG507" s="44"/>
      <c r="AH507" s="44"/>
      <c r="AI507" s="44"/>
      <c r="AJ507" s="150"/>
      <c r="AK507" s="44"/>
      <c r="AL507" s="150"/>
      <c r="AM507" s="150"/>
      <c r="AN507" s="44"/>
      <c r="AO507" s="150"/>
      <c r="AP507" s="150"/>
      <c r="AQ507" s="42"/>
      <c r="AR507" s="42"/>
      <c r="AS507" s="42"/>
      <c r="AT507" s="42"/>
      <c r="AU507" s="42"/>
      <c r="AV507" s="42"/>
      <c r="AW507" s="42"/>
      <c r="AX507" s="42"/>
    </row>
    <row r="508" spans="1:50" ht="12.75" customHeight="1">
      <c r="A508" s="149"/>
      <c r="B508" s="44"/>
      <c r="C508" s="44"/>
      <c r="D508" s="44"/>
      <c r="E508" s="44"/>
      <c r="F508" s="150"/>
      <c r="G508" s="44"/>
      <c r="H508" s="44"/>
      <c r="I508" s="44"/>
      <c r="J508" s="44"/>
      <c r="K508" s="44"/>
      <c r="L508" s="44"/>
      <c r="M508" s="44"/>
      <c r="N508" s="44"/>
      <c r="O508" s="44"/>
      <c r="P508" s="150"/>
      <c r="Q508" s="150"/>
      <c r="R508" s="44"/>
      <c r="S508" s="44"/>
      <c r="T508" s="44"/>
      <c r="U508" s="44"/>
      <c r="V508" s="44"/>
      <c r="W508" s="44"/>
      <c r="X508" s="44"/>
      <c r="Y508" s="44"/>
      <c r="Z508" s="44"/>
      <c r="AA508" s="44"/>
      <c r="AB508" s="44"/>
      <c r="AC508" s="44"/>
      <c r="AD508" s="44"/>
      <c r="AE508" s="44"/>
      <c r="AF508" s="44"/>
      <c r="AG508" s="44"/>
      <c r="AH508" s="44"/>
      <c r="AI508" s="44"/>
      <c r="AJ508" s="150"/>
      <c r="AK508" s="44"/>
      <c r="AL508" s="150"/>
      <c r="AM508" s="150"/>
      <c r="AN508" s="44"/>
      <c r="AO508" s="150"/>
      <c r="AP508" s="150"/>
      <c r="AQ508" s="42"/>
      <c r="AR508" s="42"/>
      <c r="AS508" s="42"/>
      <c r="AT508" s="42"/>
      <c r="AU508" s="42"/>
      <c r="AV508" s="42"/>
      <c r="AW508" s="42"/>
      <c r="AX508" s="42"/>
    </row>
    <row r="509" spans="1:50" ht="12.75" customHeight="1">
      <c r="A509" s="149"/>
      <c r="B509" s="44"/>
      <c r="C509" s="44"/>
      <c r="D509" s="44"/>
      <c r="E509" s="44"/>
      <c r="F509" s="150"/>
      <c r="G509" s="44"/>
      <c r="H509" s="44"/>
      <c r="I509" s="44"/>
      <c r="J509" s="44"/>
      <c r="K509" s="44"/>
      <c r="L509" s="44"/>
      <c r="M509" s="44"/>
      <c r="N509" s="44"/>
      <c r="O509" s="44"/>
      <c r="P509" s="150"/>
      <c r="Q509" s="150"/>
      <c r="R509" s="44"/>
      <c r="S509" s="44"/>
      <c r="T509" s="44"/>
      <c r="U509" s="44"/>
      <c r="V509" s="44"/>
      <c r="W509" s="44"/>
      <c r="X509" s="44"/>
      <c r="Y509" s="44"/>
      <c r="Z509" s="44"/>
      <c r="AA509" s="44"/>
      <c r="AB509" s="44"/>
      <c r="AC509" s="44"/>
      <c r="AD509" s="44"/>
      <c r="AE509" s="44"/>
      <c r="AF509" s="44"/>
      <c r="AG509" s="44"/>
      <c r="AH509" s="44"/>
      <c r="AI509" s="44"/>
      <c r="AJ509" s="150"/>
      <c r="AK509" s="44"/>
      <c r="AL509" s="150"/>
      <c r="AM509" s="150"/>
      <c r="AN509" s="44"/>
      <c r="AO509" s="150"/>
      <c r="AP509" s="150"/>
      <c r="AQ509" s="42"/>
      <c r="AR509" s="42"/>
      <c r="AS509" s="42"/>
      <c r="AT509" s="42"/>
      <c r="AU509" s="42"/>
      <c r="AV509" s="42"/>
      <c r="AW509" s="42"/>
      <c r="AX509" s="42"/>
    </row>
    <row r="510" spans="1:50" ht="12.75" customHeight="1">
      <c r="A510" s="149"/>
      <c r="B510" s="44"/>
      <c r="C510" s="44"/>
      <c r="D510" s="44"/>
      <c r="E510" s="44"/>
      <c r="F510" s="150"/>
      <c r="G510" s="44"/>
      <c r="H510" s="44"/>
      <c r="I510" s="44"/>
      <c r="J510" s="44"/>
      <c r="K510" s="44"/>
      <c r="L510" s="44"/>
      <c r="M510" s="44"/>
      <c r="N510" s="44"/>
      <c r="O510" s="44"/>
      <c r="P510" s="150"/>
      <c r="Q510" s="150"/>
      <c r="R510" s="44"/>
      <c r="S510" s="44"/>
      <c r="T510" s="44"/>
      <c r="U510" s="44"/>
      <c r="V510" s="44"/>
      <c r="W510" s="44"/>
      <c r="X510" s="44"/>
      <c r="Y510" s="44"/>
      <c r="Z510" s="44"/>
      <c r="AA510" s="44"/>
      <c r="AB510" s="44"/>
      <c r="AC510" s="44"/>
      <c r="AD510" s="44"/>
      <c r="AE510" s="44"/>
      <c r="AF510" s="44"/>
      <c r="AG510" s="44"/>
      <c r="AH510" s="44"/>
      <c r="AI510" s="44"/>
      <c r="AJ510" s="150"/>
      <c r="AK510" s="44"/>
      <c r="AL510" s="150"/>
      <c r="AM510" s="150"/>
      <c r="AN510" s="44"/>
      <c r="AO510" s="150"/>
      <c r="AP510" s="150"/>
      <c r="AQ510" s="42"/>
      <c r="AR510" s="42"/>
      <c r="AS510" s="42"/>
      <c r="AT510" s="42"/>
      <c r="AU510" s="42"/>
      <c r="AV510" s="42"/>
      <c r="AW510" s="42"/>
      <c r="AX510" s="42"/>
    </row>
    <row r="511" spans="1:50" ht="12.75" customHeight="1">
      <c r="A511" s="149"/>
      <c r="B511" s="44"/>
      <c r="C511" s="44"/>
      <c r="D511" s="44"/>
      <c r="E511" s="44"/>
      <c r="F511" s="150"/>
      <c r="G511" s="44"/>
      <c r="H511" s="44"/>
      <c r="I511" s="44"/>
      <c r="J511" s="44"/>
      <c r="K511" s="44"/>
      <c r="L511" s="44"/>
      <c r="M511" s="44"/>
      <c r="N511" s="44"/>
      <c r="O511" s="44"/>
      <c r="P511" s="150"/>
      <c r="Q511" s="150"/>
      <c r="R511" s="44"/>
      <c r="S511" s="44"/>
      <c r="T511" s="44"/>
      <c r="U511" s="44"/>
      <c r="V511" s="44"/>
      <c r="W511" s="44"/>
      <c r="X511" s="44"/>
      <c r="Y511" s="44"/>
      <c r="Z511" s="44"/>
      <c r="AA511" s="44"/>
      <c r="AB511" s="44"/>
      <c r="AC511" s="44"/>
      <c r="AD511" s="44"/>
      <c r="AE511" s="44"/>
      <c r="AF511" s="44"/>
      <c r="AG511" s="44"/>
      <c r="AH511" s="44"/>
      <c r="AI511" s="44"/>
      <c r="AJ511" s="150"/>
      <c r="AK511" s="44"/>
      <c r="AL511" s="150"/>
      <c r="AM511" s="150"/>
      <c r="AN511" s="44"/>
      <c r="AO511" s="150"/>
      <c r="AP511" s="150"/>
      <c r="AQ511" s="42"/>
      <c r="AR511" s="42"/>
      <c r="AS511" s="42"/>
      <c r="AT511" s="42"/>
      <c r="AU511" s="42"/>
      <c r="AV511" s="42"/>
      <c r="AW511" s="42"/>
      <c r="AX511" s="42"/>
    </row>
    <row r="512" spans="1:50" ht="12.75" customHeight="1">
      <c r="A512" s="149"/>
      <c r="B512" s="44"/>
      <c r="C512" s="44"/>
      <c r="D512" s="44"/>
      <c r="E512" s="44"/>
      <c r="F512" s="150"/>
      <c r="G512" s="44"/>
      <c r="H512" s="44"/>
      <c r="I512" s="44"/>
      <c r="J512" s="44"/>
      <c r="K512" s="44"/>
      <c r="L512" s="44"/>
      <c r="M512" s="44"/>
      <c r="N512" s="44"/>
      <c r="O512" s="44"/>
      <c r="P512" s="150"/>
      <c r="Q512" s="150"/>
      <c r="R512" s="44"/>
      <c r="S512" s="44"/>
      <c r="T512" s="44"/>
      <c r="U512" s="44"/>
      <c r="V512" s="44"/>
      <c r="W512" s="44"/>
      <c r="X512" s="44"/>
      <c r="Y512" s="44"/>
      <c r="Z512" s="44"/>
      <c r="AA512" s="44"/>
      <c r="AB512" s="44"/>
      <c r="AC512" s="44"/>
      <c r="AD512" s="44"/>
      <c r="AE512" s="44"/>
      <c r="AF512" s="44"/>
      <c r="AG512" s="44"/>
      <c r="AH512" s="44"/>
      <c r="AI512" s="44"/>
      <c r="AJ512" s="150"/>
      <c r="AK512" s="44"/>
      <c r="AL512" s="150"/>
      <c r="AM512" s="150"/>
      <c r="AN512" s="44"/>
      <c r="AO512" s="150"/>
      <c r="AP512" s="150"/>
      <c r="AQ512" s="42"/>
      <c r="AR512" s="42"/>
      <c r="AS512" s="42"/>
      <c r="AT512" s="42"/>
      <c r="AU512" s="42"/>
      <c r="AV512" s="42"/>
      <c r="AW512" s="42"/>
      <c r="AX512" s="42"/>
    </row>
    <row r="513" spans="1:50" ht="12.75" customHeight="1">
      <c r="A513" s="149"/>
      <c r="B513" s="44"/>
      <c r="C513" s="44"/>
      <c r="D513" s="44"/>
      <c r="E513" s="44"/>
      <c r="F513" s="150"/>
      <c r="G513" s="44"/>
      <c r="H513" s="44"/>
      <c r="I513" s="44"/>
      <c r="J513" s="44"/>
      <c r="K513" s="44"/>
      <c r="L513" s="44"/>
      <c r="M513" s="44"/>
      <c r="N513" s="44"/>
      <c r="O513" s="44"/>
      <c r="P513" s="150"/>
      <c r="Q513" s="150"/>
      <c r="R513" s="44"/>
      <c r="S513" s="44"/>
      <c r="T513" s="44"/>
      <c r="U513" s="44"/>
      <c r="V513" s="44"/>
      <c r="W513" s="44"/>
      <c r="X513" s="44"/>
      <c r="Y513" s="44"/>
      <c r="Z513" s="44"/>
      <c r="AA513" s="44"/>
      <c r="AB513" s="44"/>
      <c r="AC513" s="44"/>
      <c r="AD513" s="44"/>
      <c r="AE513" s="44"/>
      <c r="AF513" s="44"/>
      <c r="AG513" s="44"/>
      <c r="AH513" s="44"/>
      <c r="AI513" s="44"/>
      <c r="AJ513" s="150"/>
      <c r="AK513" s="44"/>
      <c r="AL513" s="150"/>
      <c r="AM513" s="150"/>
      <c r="AN513" s="44"/>
      <c r="AO513" s="150"/>
      <c r="AP513" s="150"/>
      <c r="AQ513" s="42"/>
      <c r="AR513" s="42"/>
      <c r="AS513" s="42"/>
      <c r="AT513" s="42"/>
      <c r="AU513" s="42"/>
      <c r="AV513" s="42"/>
      <c r="AW513" s="42"/>
      <c r="AX513" s="42"/>
    </row>
    <row r="514" spans="1:50" ht="12.75" customHeight="1">
      <c r="A514" s="149"/>
      <c r="B514" s="44"/>
      <c r="C514" s="44"/>
      <c r="D514" s="44"/>
      <c r="E514" s="44"/>
      <c r="F514" s="150"/>
      <c r="G514" s="44"/>
      <c r="H514" s="44"/>
      <c r="I514" s="44"/>
      <c r="J514" s="44"/>
      <c r="K514" s="44"/>
      <c r="L514" s="44"/>
      <c r="M514" s="44"/>
      <c r="N514" s="44"/>
      <c r="O514" s="44"/>
      <c r="P514" s="150"/>
      <c r="Q514" s="150"/>
      <c r="R514" s="44"/>
      <c r="S514" s="44"/>
      <c r="T514" s="44"/>
      <c r="U514" s="44"/>
      <c r="V514" s="44"/>
      <c r="W514" s="44"/>
      <c r="X514" s="44"/>
      <c r="Y514" s="44"/>
      <c r="Z514" s="44"/>
      <c r="AA514" s="44"/>
      <c r="AB514" s="44"/>
      <c r="AC514" s="44"/>
      <c r="AD514" s="44"/>
      <c r="AE514" s="44"/>
      <c r="AF514" s="44"/>
      <c r="AG514" s="44"/>
      <c r="AH514" s="44"/>
      <c r="AI514" s="44"/>
      <c r="AJ514" s="150"/>
      <c r="AK514" s="44"/>
      <c r="AL514" s="150"/>
      <c r="AM514" s="150"/>
      <c r="AN514" s="44"/>
      <c r="AO514" s="150"/>
      <c r="AP514" s="150"/>
      <c r="AQ514" s="42"/>
      <c r="AR514" s="42"/>
      <c r="AS514" s="42"/>
      <c r="AT514" s="42"/>
      <c r="AU514" s="42"/>
      <c r="AV514" s="42"/>
      <c r="AW514" s="42"/>
      <c r="AX514" s="42"/>
    </row>
    <row r="515" spans="1:50" ht="12.75" customHeight="1">
      <c r="A515" s="149"/>
      <c r="B515" s="44"/>
      <c r="C515" s="44"/>
      <c r="D515" s="44"/>
      <c r="E515" s="44"/>
      <c r="F515" s="150"/>
      <c r="G515" s="44"/>
      <c r="H515" s="44"/>
      <c r="I515" s="44"/>
      <c r="J515" s="44"/>
      <c r="K515" s="44"/>
      <c r="L515" s="44"/>
      <c r="M515" s="44"/>
      <c r="N515" s="44"/>
      <c r="O515" s="44"/>
      <c r="P515" s="150"/>
      <c r="Q515" s="150"/>
      <c r="R515" s="44"/>
      <c r="S515" s="44"/>
      <c r="T515" s="44"/>
      <c r="U515" s="44"/>
      <c r="V515" s="44"/>
      <c r="W515" s="44"/>
      <c r="X515" s="44"/>
      <c r="Y515" s="44"/>
      <c r="Z515" s="44"/>
      <c r="AA515" s="44"/>
      <c r="AB515" s="44"/>
      <c r="AC515" s="44"/>
      <c r="AD515" s="44"/>
      <c r="AE515" s="44"/>
      <c r="AF515" s="44"/>
      <c r="AG515" s="44"/>
      <c r="AH515" s="44"/>
      <c r="AI515" s="44"/>
      <c r="AJ515" s="150"/>
      <c r="AK515" s="44"/>
      <c r="AL515" s="150"/>
      <c r="AM515" s="150"/>
      <c r="AN515" s="44"/>
      <c r="AO515" s="150"/>
      <c r="AP515" s="150"/>
      <c r="AQ515" s="42"/>
      <c r="AR515" s="42"/>
      <c r="AS515" s="42"/>
      <c r="AT515" s="42"/>
      <c r="AU515" s="42"/>
      <c r="AV515" s="42"/>
      <c r="AW515" s="42"/>
      <c r="AX515" s="42"/>
    </row>
    <row r="516" spans="1:50" ht="12.75" customHeight="1">
      <c r="A516" s="149"/>
      <c r="B516" s="44"/>
      <c r="C516" s="44"/>
      <c r="D516" s="44"/>
      <c r="E516" s="44"/>
      <c r="F516" s="150"/>
      <c r="G516" s="44"/>
      <c r="H516" s="44"/>
      <c r="I516" s="44"/>
      <c r="J516" s="44"/>
      <c r="K516" s="44"/>
      <c r="L516" s="44"/>
      <c r="M516" s="44"/>
      <c r="N516" s="44"/>
      <c r="O516" s="44"/>
      <c r="P516" s="150"/>
      <c r="Q516" s="150"/>
      <c r="R516" s="44"/>
      <c r="S516" s="44"/>
      <c r="T516" s="44"/>
      <c r="U516" s="44"/>
      <c r="V516" s="44"/>
      <c r="W516" s="44"/>
      <c r="X516" s="44"/>
      <c r="Y516" s="44"/>
      <c r="Z516" s="44"/>
      <c r="AA516" s="44"/>
      <c r="AB516" s="44"/>
      <c r="AC516" s="44"/>
      <c r="AD516" s="44"/>
      <c r="AE516" s="44"/>
      <c r="AF516" s="44"/>
      <c r="AG516" s="44"/>
      <c r="AH516" s="44"/>
      <c r="AI516" s="44"/>
      <c r="AJ516" s="150"/>
      <c r="AK516" s="44"/>
      <c r="AL516" s="150"/>
      <c r="AM516" s="150"/>
      <c r="AN516" s="44"/>
      <c r="AO516" s="150"/>
      <c r="AP516" s="150"/>
      <c r="AQ516" s="42"/>
      <c r="AR516" s="42"/>
      <c r="AS516" s="42"/>
      <c r="AT516" s="42"/>
      <c r="AU516" s="42"/>
      <c r="AV516" s="42"/>
      <c r="AW516" s="42"/>
      <c r="AX516" s="42"/>
    </row>
    <row r="517" spans="1:50" ht="12.75" customHeight="1">
      <c r="A517" s="149"/>
      <c r="B517" s="44"/>
      <c r="C517" s="44"/>
      <c r="D517" s="44"/>
      <c r="E517" s="44"/>
      <c r="F517" s="150"/>
      <c r="G517" s="44"/>
      <c r="H517" s="44"/>
      <c r="I517" s="44"/>
      <c r="J517" s="44"/>
      <c r="K517" s="44"/>
      <c r="L517" s="44"/>
      <c r="M517" s="44"/>
      <c r="N517" s="44"/>
      <c r="O517" s="44"/>
      <c r="P517" s="150"/>
      <c r="Q517" s="150"/>
      <c r="R517" s="44"/>
      <c r="S517" s="44"/>
      <c r="T517" s="44"/>
      <c r="U517" s="44"/>
      <c r="V517" s="44"/>
      <c r="W517" s="44"/>
      <c r="X517" s="44"/>
      <c r="Y517" s="44"/>
      <c r="Z517" s="44"/>
      <c r="AA517" s="44"/>
      <c r="AB517" s="44"/>
      <c r="AC517" s="44"/>
      <c r="AD517" s="44"/>
      <c r="AE517" s="44"/>
      <c r="AF517" s="44"/>
      <c r="AG517" s="44"/>
      <c r="AH517" s="44"/>
      <c r="AI517" s="44"/>
      <c r="AJ517" s="150"/>
      <c r="AK517" s="44"/>
      <c r="AL517" s="150"/>
      <c r="AM517" s="150"/>
      <c r="AN517" s="44"/>
      <c r="AO517" s="150"/>
      <c r="AP517" s="150"/>
      <c r="AQ517" s="42"/>
      <c r="AR517" s="42"/>
      <c r="AS517" s="42"/>
      <c r="AT517" s="42"/>
      <c r="AU517" s="42"/>
      <c r="AV517" s="42"/>
      <c r="AW517" s="42"/>
      <c r="AX517" s="42"/>
    </row>
    <row r="518" spans="1:50" ht="12.75" customHeight="1">
      <c r="A518" s="149"/>
      <c r="B518" s="44"/>
      <c r="C518" s="44"/>
      <c r="D518" s="44"/>
      <c r="E518" s="44"/>
      <c r="F518" s="150"/>
      <c r="G518" s="44"/>
      <c r="H518" s="44"/>
      <c r="I518" s="44"/>
      <c r="J518" s="44"/>
      <c r="K518" s="44"/>
      <c r="L518" s="44"/>
      <c r="M518" s="44"/>
      <c r="N518" s="44"/>
      <c r="O518" s="44"/>
      <c r="P518" s="150"/>
      <c r="Q518" s="150"/>
      <c r="R518" s="44"/>
      <c r="S518" s="44"/>
      <c r="T518" s="44"/>
      <c r="U518" s="44"/>
      <c r="V518" s="44"/>
      <c r="W518" s="44"/>
      <c r="X518" s="44"/>
      <c r="Y518" s="44"/>
      <c r="Z518" s="44"/>
      <c r="AA518" s="44"/>
      <c r="AB518" s="44"/>
      <c r="AC518" s="44"/>
      <c r="AD518" s="44"/>
      <c r="AE518" s="44"/>
      <c r="AF518" s="44"/>
      <c r="AG518" s="44"/>
      <c r="AH518" s="44"/>
      <c r="AI518" s="44"/>
      <c r="AJ518" s="150"/>
      <c r="AK518" s="44"/>
      <c r="AL518" s="150"/>
      <c r="AM518" s="150"/>
      <c r="AN518" s="44"/>
      <c r="AO518" s="150"/>
      <c r="AP518" s="150"/>
      <c r="AQ518" s="42"/>
      <c r="AR518" s="42"/>
      <c r="AS518" s="42"/>
      <c r="AT518" s="42"/>
      <c r="AU518" s="42"/>
      <c r="AV518" s="42"/>
      <c r="AW518" s="42"/>
      <c r="AX518" s="42"/>
    </row>
    <row r="519" spans="1:50" ht="12.75" customHeight="1">
      <c r="A519" s="149"/>
      <c r="B519" s="44"/>
      <c r="C519" s="44"/>
      <c r="D519" s="44"/>
      <c r="E519" s="44"/>
      <c r="F519" s="150"/>
      <c r="G519" s="44"/>
      <c r="H519" s="44"/>
      <c r="I519" s="44"/>
      <c r="J519" s="44"/>
      <c r="K519" s="44"/>
      <c r="L519" s="44"/>
      <c r="M519" s="44"/>
      <c r="N519" s="44"/>
      <c r="O519" s="44"/>
      <c r="P519" s="150"/>
      <c r="Q519" s="150"/>
      <c r="R519" s="44"/>
      <c r="S519" s="44"/>
      <c r="T519" s="44"/>
      <c r="U519" s="44"/>
      <c r="V519" s="44"/>
      <c r="W519" s="44"/>
      <c r="X519" s="44"/>
      <c r="Y519" s="44"/>
      <c r="Z519" s="44"/>
      <c r="AA519" s="44"/>
      <c r="AB519" s="44"/>
      <c r="AC519" s="44"/>
      <c r="AD519" s="44"/>
      <c r="AE519" s="44"/>
      <c r="AF519" s="44"/>
      <c r="AG519" s="44"/>
      <c r="AH519" s="44"/>
      <c r="AI519" s="44"/>
      <c r="AJ519" s="150"/>
      <c r="AK519" s="44"/>
      <c r="AL519" s="150"/>
      <c r="AM519" s="150"/>
      <c r="AN519" s="44"/>
      <c r="AO519" s="150"/>
      <c r="AP519" s="150"/>
      <c r="AQ519" s="42"/>
      <c r="AR519" s="42"/>
      <c r="AS519" s="42"/>
      <c r="AT519" s="42"/>
      <c r="AU519" s="42"/>
      <c r="AV519" s="42"/>
      <c r="AW519" s="42"/>
      <c r="AX519" s="42"/>
    </row>
    <row r="520" spans="1:50" ht="12.75" customHeight="1">
      <c r="A520" s="149"/>
      <c r="B520" s="44"/>
      <c r="C520" s="44"/>
      <c r="D520" s="44"/>
      <c r="E520" s="44"/>
      <c r="F520" s="150"/>
      <c r="G520" s="44"/>
      <c r="H520" s="44"/>
      <c r="I520" s="44"/>
      <c r="J520" s="44"/>
      <c r="K520" s="44"/>
      <c r="L520" s="44"/>
      <c r="M520" s="44"/>
      <c r="N520" s="44"/>
      <c r="O520" s="44"/>
      <c r="P520" s="150"/>
      <c r="Q520" s="150"/>
      <c r="R520" s="44"/>
      <c r="S520" s="44"/>
      <c r="T520" s="44"/>
      <c r="U520" s="44"/>
      <c r="V520" s="44"/>
      <c r="W520" s="44"/>
      <c r="X520" s="44"/>
      <c r="Y520" s="44"/>
      <c r="Z520" s="44"/>
      <c r="AA520" s="44"/>
      <c r="AB520" s="44"/>
      <c r="AC520" s="44"/>
      <c r="AD520" s="44"/>
      <c r="AE520" s="44"/>
      <c r="AF520" s="44"/>
      <c r="AG520" s="44"/>
      <c r="AH520" s="44"/>
      <c r="AI520" s="44"/>
      <c r="AJ520" s="150"/>
      <c r="AK520" s="44"/>
      <c r="AL520" s="150"/>
      <c r="AM520" s="150"/>
      <c r="AN520" s="44"/>
      <c r="AO520" s="150"/>
      <c r="AP520" s="150"/>
      <c r="AQ520" s="42"/>
      <c r="AR520" s="42"/>
      <c r="AS520" s="42"/>
      <c r="AT520" s="42"/>
      <c r="AU520" s="42"/>
      <c r="AV520" s="42"/>
      <c r="AW520" s="42"/>
      <c r="AX520" s="42"/>
    </row>
    <row r="521" spans="1:50" ht="12.75" customHeight="1">
      <c r="A521" s="149"/>
      <c r="B521" s="44"/>
      <c r="C521" s="44"/>
      <c r="D521" s="44"/>
      <c r="E521" s="44"/>
      <c r="F521" s="150"/>
      <c r="G521" s="44"/>
      <c r="H521" s="44"/>
      <c r="I521" s="44"/>
      <c r="J521" s="44"/>
      <c r="K521" s="44"/>
      <c r="L521" s="44"/>
      <c r="M521" s="44"/>
      <c r="N521" s="44"/>
      <c r="O521" s="44"/>
      <c r="P521" s="150"/>
      <c r="Q521" s="150"/>
      <c r="R521" s="44"/>
      <c r="S521" s="44"/>
      <c r="T521" s="44"/>
      <c r="U521" s="44"/>
      <c r="V521" s="44"/>
      <c r="W521" s="44"/>
      <c r="X521" s="44"/>
      <c r="Y521" s="44"/>
      <c r="Z521" s="44"/>
      <c r="AA521" s="44"/>
      <c r="AB521" s="44"/>
      <c r="AC521" s="44"/>
      <c r="AD521" s="44"/>
      <c r="AE521" s="44"/>
      <c r="AF521" s="44"/>
      <c r="AG521" s="44"/>
      <c r="AH521" s="44"/>
      <c r="AI521" s="44"/>
      <c r="AJ521" s="150"/>
      <c r="AK521" s="44"/>
      <c r="AL521" s="150"/>
      <c r="AM521" s="150"/>
      <c r="AN521" s="44"/>
      <c r="AO521" s="150"/>
      <c r="AP521" s="150"/>
      <c r="AQ521" s="42"/>
      <c r="AR521" s="42"/>
      <c r="AS521" s="42"/>
      <c r="AT521" s="42"/>
      <c r="AU521" s="42"/>
      <c r="AV521" s="42"/>
      <c r="AW521" s="42"/>
      <c r="AX521" s="42"/>
    </row>
    <row r="522" spans="1:50" ht="12.75" customHeight="1">
      <c r="A522" s="149"/>
      <c r="B522" s="44"/>
      <c r="C522" s="44"/>
      <c r="D522" s="44"/>
      <c r="E522" s="44"/>
      <c r="F522" s="150"/>
      <c r="G522" s="44"/>
      <c r="H522" s="44"/>
      <c r="I522" s="44"/>
      <c r="J522" s="44"/>
      <c r="K522" s="44"/>
      <c r="L522" s="44"/>
      <c r="M522" s="44"/>
      <c r="N522" s="44"/>
      <c r="O522" s="44"/>
      <c r="P522" s="150"/>
      <c r="Q522" s="150"/>
      <c r="R522" s="44"/>
      <c r="S522" s="44"/>
      <c r="T522" s="44"/>
      <c r="U522" s="44"/>
      <c r="V522" s="44"/>
      <c r="W522" s="44"/>
      <c r="X522" s="44"/>
      <c r="Y522" s="44"/>
      <c r="Z522" s="44"/>
      <c r="AA522" s="44"/>
      <c r="AB522" s="44"/>
      <c r="AC522" s="44"/>
      <c r="AD522" s="44"/>
      <c r="AE522" s="44"/>
      <c r="AF522" s="44"/>
      <c r="AG522" s="44"/>
      <c r="AH522" s="44"/>
      <c r="AI522" s="44"/>
      <c r="AJ522" s="150"/>
      <c r="AK522" s="44"/>
      <c r="AL522" s="150"/>
      <c r="AM522" s="150"/>
      <c r="AN522" s="44"/>
      <c r="AO522" s="150"/>
      <c r="AP522" s="150"/>
      <c r="AQ522" s="42"/>
      <c r="AR522" s="42"/>
      <c r="AS522" s="42"/>
      <c r="AT522" s="42"/>
      <c r="AU522" s="42"/>
      <c r="AV522" s="42"/>
      <c r="AW522" s="42"/>
      <c r="AX522" s="42"/>
    </row>
    <row r="523" spans="1:50" ht="12.75" customHeight="1">
      <c r="A523" s="149"/>
      <c r="B523" s="44"/>
      <c r="C523" s="44"/>
      <c r="D523" s="44"/>
      <c r="E523" s="44"/>
      <c r="F523" s="150"/>
      <c r="G523" s="44"/>
      <c r="H523" s="44"/>
      <c r="I523" s="44"/>
      <c r="J523" s="44"/>
      <c r="K523" s="44"/>
      <c r="L523" s="44"/>
      <c r="M523" s="44"/>
      <c r="N523" s="44"/>
      <c r="O523" s="44"/>
      <c r="P523" s="150"/>
      <c r="Q523" s="150"/>
      <c r="R523" s="44"/>
      <c r="S523" s="44"/>
      <c r="T523" s="44"/>
      <c r="U523" s="44"/>
      <c r="V523" s="44"/>
      <c r="W523" s="44"/>
      <c r="X523" s="44"/>
      <c r="Y523" s="44"/>
      <c r="Z523" s="44"/>
      <c r="AA523" s="44"/>
      <c r="AB523" s="44"/>
      <c r="AC523" s="44"/>
      <c r="AD523" s="44"/>
      <c r="AE523" s="44"/>
      <c r="AF523" s="44"/>
      <c r="AG523" s="44"/>
      <c r="AH523" s="44"/>
      <c r="AI523" s="44"/>
      <c r="AJ523" s="150"/>
      <c r="AK523" s="44"/>
      <c r="AL523" s="150"/>
      <c r="AM523" s="150"/>
      <c r="AN523" s="44"/>
      <c r="AO523" s="150"/>
      <c r="AP523" s="150"/>
      <c r="AQ523" s="42"/>
      <c r="AR523" s="42"/>
      <c r="AS523" s="42"/>
      <c r="AT523" s="42"/>
      <c r="AU523" s="42"/>
      <c r="AV523" s="42"/>
      <c r="AW523" s="42"/>
      <c r="AX523" s="42"/>
    </row>
    <row r="524" spans="1:50" ht="12.75" customHeight="1">
      <c r="A524" s="149"/>
      <c r="B524" s="44"/>
      <c r="C524" s="44"/>
      <c r="D524" s="44"/>
      <c r="E524" s="44"/>
      <c r="F524" s="150"/>
      <c r="G524" s="44"/>
      <c r="H524" s="44"/>
      <c r="I524" s="44"/>
      <c r="J524" s="44"/>
      <c r="K524" s="44"/>
      <c r="L524" s="44"/>
      <c r="M524" s="44"/>
      <c r="N524" s="44"/>
      <c r="O524" s="44"/>
      <c r="P524" s="150"/>
      <c r="Q524" s="150"/>
      <c r="R524" s="44"/>
      <c r="S524" s="44"/>
      <c r="T524" s="44"/>
      <c r="U524" s="44"/>
      <c r="V524" s="44"/>
      <c r="W524" s="44"/>
      <c r="X524" s="44"/>
      <c r="Y524" s="44"/>
      <c r="Z524" s="44"/>
      <c r="AA524" s="44"/>
      <c r="AB524" s="44"/>
      <c r="AC524" s="44"/>
      <c r="AD524" s="44"/>
      <c r="AE524" s="44"/>
      <c r="AF524" s="44"/>
      <c r="AG524" s="44"/>
      <c r="AH524" s="44"/>
      <c r="AI524" s="44"/>
      <c r="AJ524" s="150"/>
      <c r="AK524" s="44"/>
      <c r="AL524" s="150"/>
      <c r="AM524" s="150"/>
      <c r="AN524" s="44"/>
      <c r="AO524" s="150"/>
      <c r="AP524" s="150"/>
      <c r="AQ524" s="42"/>
      <c r="AR524" s="42"/>
      <c r="AS524" s="42"/>
      <c r="AT524" s="42"/>
      <c r="AU524" s="42"/>
      <c r="AV524" s="42"/>
      <c r="AW524" s="42"/>
      <c r="AX524" s="42"/>
    </row>
    <row r="525" spans="1:50" ht="12.75" customHeight="1">
      <c r="A525" s="149"/>
      <c r="B525" s="44"/>
      <c r="C525" s="44"/>
      <c r="D525" s="44"/>
      <c r="E525" s="44"/>
      <c r="F525" s="150"/>
      <c r="G525" s="44"/>
      <c r="H525" s="44"/>
      <c r="I525" s="44"/>
      <c r="J525" s="44"/>
      <c r="K525" s="44"/>
      <c r="L525" s="44"/>
      <c r="M525" s="44"/>
      <c r="N525" s="44"/>
      <c r="O525" s="44"/>
      <c r="P525" s="150"/>
      <c r="Q525" s="150"/>
      <c r="R525" s="44"/>
      <c r="S525" s="44"/>
      <c r="T525" s="44"/>
      <c r="U525" s="44"/>
      <c r="V525" s="44"/>
      <c r="W525" s="44"/>
      <c r="X525" s="44"/>
      <c r="Y525" s="44"/>
      <c r="Z525" s="44"/>
      <c r="AA525" s="44"/>
      <c r="AB525" s="44"/>
      <c r="AC525" s="44"/>
      <c r="AD525" s="44"/>
      <c r="AE525" s="44"/>
      <c r="AF525" s="44"/>
      <c r="AG525" s="44"/>
      <c r="AH525" s="44"/>
      <c r="AI525" s="44"/>
      <c r="AJ525" s="150"/>
      <c r="AK525" s="44"/>
      <c r="AL525" s="150"/>
      <c r="AM525" s="150"/>
      <c r="AN525" s="44"/>
      <c r="AO525" s="150"/>
      <c r="AP525" s="150"/>
      <c r="AQ525" s="42"/>
      <c r="AR525" s="42"/>
      <c r="AS525" s="42"/>
      <c r="AT525" s="42"/>
      <c r="AU525" s="42"/>
      <c r="AV525" s="42"/>
      <c r="AW525" s="42"/>
      <c r="AX525" s="42"/>
    </row>
    <row r="526" spans="1:50" ht="12.75" customHeight="1">
      <c r="A526" s="149"/>
      <c r="B526" s="44"/>
      <c r="C526" s="44"/>
      <c r="D526" s="44"/>
      <c r="E526" s="44"/>
      <c r="F526" s="150"/>
      <c r="G526" s="44"/>
      <c r="H526" s="44"/>
      <c r="I526" s="44"/>
      <c r="J526" s="44"/>
      <c r="K526" s="44"/>
      <c r="L526" s="44"/>
      <c r="M526" s="44"/>
      <c r="N526" s="44"/>
      <c r="O526" s="44"/>
      <c r="P526" s="150"/>
      <c r="Q526" s="150"/>
      <c r="R526" s="44"/>
      <c r="S526" s="44"/>
      <c r="T526" s="44"/>
      <c r="U526" s="44"/>
      <c r="V526" s="44"/>
      <c r="W526" s="44"/>
      <c r="X526" s="44"/>
      <c r="Y526" s="44"/>
      <c r="Z526" s="44"/>
      <c r="AA526" s="44"/>
      <c r="AB526" s="44"/>
      <c r="AC526" s="44"/>
      <c r="AD526" s="44"/>
      <c r="AE526" s="44"/>
      <c r="AF526" s="44"/>
      <c r="AG526" s="44"/>
      <c r="AH526" s="44"/>
      <c r="AI526" s="44"/>
      <c r="AJ526" s="150"/>
      <c r="AK526" s="44"/>
      <c r="AL526" s="150"/>
      <c r="AM526" s="150"/>
      <c r="AN526" s="44"/>
      <c r="AO526" s="150"/>
      <c r="AP526" s="150"/>
      <c r="AQ526" s="42"/>
      <c r="AR526" s="42"/>
      <c r="AS526" s="42"/>
      <c r="AT526" s="42"/>
      <c r="AU526" s="42"/>
      <c r="AV526" s="42"/>
      <c r="AW526" s="42"/>
      <c r="AX526" s="42"/>
    </row>
    <row r="527" spans="1:50" ht="12.75" customHeight="1">
      <c r="A527" s="149"/>
      <c r="B527" s="44"/>
      <c r="C527" s="44"/>
      <c r="D527" s="44"/>
      <c r="E527" s="44"/>
      <c r="F527" s="150"/>
      <c r="G527" s="44"/>
      <c r="H527" s="44"/>
      <c r="I527" s="44"/>
      <c r="J527" s="44"/>
      <c r="K527" s="44"/>
      <c r="L527" s="44"/>
      <c r="M527" s="44"/>
      <c r="N527" s="44"/>
      <c r="O527" s="44"/>
      <c r="P527" s="150"/>
      <c r="Q527" s="150"/>
      <c r="R527" s="44"/>
      <c r="S527" s="44"/>
      <c r="T527" s="44"/>
      <c r="U527" s="44"/>
      <c r="V527" s="44"/>
      <c r="W527" s="44"/>
      <c r="X527" s="44"/>
      <c r="Y527" s="44"/>
      <c r="Z527" s="44"/>
      <c r="AA527" s="44"/>
      <c r="AB527" s="44"/>
      <c r="AC527" s="44"/>
      <c r="AD527" s="44"/>
      <c r="AE527" s="44"/>
      <c r="AF527" s="44"/>
      <c r="AG527" s="44"/>
      <c r="AH527" s="44"/>
      <c r="AI527" s="44"/>
      <c r="AJ527" s="150"/>
      <c r="AK527" s="44"/>
      <c r="AL527" s="150"/>
      <c r="AM527" s="150"/>
      <c r="AN527" s="44"/>
      <c r="AO527" s="150"/>
      <c r="AP527" s="150"/>
      <c r="AQ527" s="42"/>
      <c r="AR527" s="42"/>
      <c r="AS527" s="42"/>
      <c r="AT527" s="42"/>
      <c r="AU527" s="42"/>
      <c r="AV527" s="42"/>
      <c r="AW527" s="42"/>
      <c r="AX527" s="42"/>
    </row>
    <row r="528" spans="1:50" ht="12.75" customHeight="1">
      <c r="A528" s="149"/>
      <c r="B528" s="44"/>
      <c r="C528" s="44"/>
      <c r="D528" s="44"/>
      <c r="E528" s="44"/>
      <c r="F528" s="150"/>
      <c r="G528" s="44"/>
      <c r="H528" s="44"/>
      <c r="I528" s="44"/>
      <c r="J528" s="44"/>
      <c r="K528" s="44"/>
      <c r="L528" s="44"/>
      <c r="M528" s="44"/>
      <c r="N528" s="44"/>
      <c r="O528" s="44"/>
      <c r="P528" s="150"/>
      <c r="Q528" s="150"/>
      <c r="R528" s="44"/>
      <c r="S528" s="44"/>
      <c r="T528" s="44"/>
      <c r="U528" s="44"/>
      <c r="V528" s="44"/>
      <c r="W528" s="44"/>
      <c r="X528" s="44"/>
      <c r="Y528" s="44"/>
      <c r="Z528" s="44"/>
      <c r="AA528" s="44"/>
      <c r="AB528" s="44"/>
      <c r="AC528" s="44"/>
      <c r="AD528" s="44"/>
      <c r="AE528" s="44"/>
      <c r="AF528" s="44"/>
      <c r="AG528" s="44"/>
      <c r="AH528" s="44"/>
      <c r="AI528" s="44"/>
      <c r="AJ528" s="150"/>
      <c r="AK528" s="44"/>
      <c r="AL528" s="150"/>
      <c r="AM528" s="150"/>
      <c r="AN528" s="44"/>
      <c r="AO528" s="150"/>
      <c r="AP528" s="150"/>
      <c r="AQ528" s="42"/>
      <c r="AR528" s="42"/>
      <c r="AS528" s="42"/>
      <c r="AT528" s="42"/>
      <c r="AU528" s="42"/>
      <c r="AV528" s="42"/>
      <c r="AW528" s="42"/>
      <c r="AX528" s="42"/>
    </row>
    <row r="529" spans="1:50" ht="12.75" customHeight="1">
      <c r="A529" s="149"/>
      <c r="B529" s="44"/>
      <c r="C529" s="44"/>
      <c r="D529" s="44"/>
      <c r="E529" s="44"/>
      <c r="F529" s="150"/>
      <c r="G529" s="44"/>
      <c r="H529" s="44"/>
      <c r="I529" s="44"/>
      <c r="J529" s="44"/>
      <c r="K529" s="44"/>
      <c r="L529" s="44"/>
      <c r="M529" s="44"/>
      <c r="N529" s="44"/>
      <c r="O529" s="44"/>
      <c r="P529" s="150"/>
      <c r="Q529" s="150"/>
      <c r="R529" s="44"/>
      <c r="S529" s="44"/>
      <c r="T529" s="44"/>
      <c r="U529" s="44"/>
      <c r="V529" s="44"/>
      <c r="W529" s="44"/>
      <c r="X529" s="44"/>
      <c r="Y529" s="44"/>
      <c r="Z529" s="44"/>
      <c r="AA529" s="44"/>
      <c r="AB529" s="44"/>
      <c r="AC529" s="44"/>
      <c r="AD529" s="44"/>
      <c r="AE529" s="44"/>
      <c r="AF529" s="44"/>
      <c r="AG529" s="44"/>
      <c r="AH529" s="44"/>
      <c r="AI529" s="44"/>
      <c r="AJ529" s="150"/>
      <c r="AK529" s="44"/>
      <c r="AL529" s="150"/>
      <c r="AM529" s="150"/>
      <c r="AN529" s="44"/>
      <c r="AO529" s="150"/>
      <c r="AP529" s="150"/>
      <c r="AQ529" s="42"/>
      <c r="AR529" s="42"/>
      <c r="AS529" s="42"/>
      <c r="AT529" s="42"/>
      <c r="AU529" s="42"/>
      <c r="AV529" s="42"/>
      <c r="AW529" s="42"/>
      <c r="AX529" s="42"/>
    </row>
    <row r="530" spans="1:50" ht="12.75" customHeight="1">
      <c r="A530" s="149"/>
      <c r="B530" s="44"/>
      <c r="C530" s="44"/>
      <c r="D530" s="44"/>
      <c r="E530" s="44"/>
      <c r="F530" s="150"/>
      <c r="G530" s="44"/>
      <c r="H530" s="44"/>
      <c r="I530" s="44"/>
      <c r="J530" s="44"/>
      <c r="K530" s="44"/>
      <c r="L530" s="44"/>
      <c r="M530" s="44"/>
      <c r="N530" s="44"/>
      <c r="O530" s="44"/>
      <c r="P530" s="150"/>
      <c r="Q530" s="150"/>
      <c r="R530" s="44"/>
      <c r="S530" s="44"/>
      <c r="T530" s="44"/>
      <c r="U530" s="44"/>
      <c r="V530" s="44"/>
      <c r="W530" s="44"/>
      <c r="X530" s="44"/>
      <c r="Y530" s="44"/>
      <c r="Z530" s="44"/>
      <c r="AA530" s="44"/>
      <c r="AB530" s="44"/>
      <c r="AC530" s="44"/>
      <c r="AD530" s="44"/>
      <c r="AE530" s="44"/>
      <c r="AF530" s="44"/>
      <c r="AG530" s="44"/>
      <c r="AH530" s="44"/>
      <c r="AI530" s="44"/>
      <c r="AJ530" s="150"/>
      <c r="AK530" s="44"/>
      <c r="AL530" s="150"/>
      <c r="AM530" s="150"/>
      <c r="AN530" s="44"/>
      <c r="AO530" s="150"/>
      <c r="AP530" s="150"/>
      <c r="AQ530" s="42"/>
      <c r="AR530" s="42"/>
      <c r="AS530" s="42"/>
      <c r="AT530" s="42"/>
      <c r="AU530" s="42"/>
      <c r="AV530" s="42"/>
      <c r="AW530" s="42"/>
      <c r="AX530" s="42"/>
    </row>
    <row r="531" spans="1:50" ht="12.75" customHeight="1">
      <c r="A531" s="149"/>
      <c r="B531" s="44"/>
      <c r="C531" s="44"/>
      <c r="D531" s="44"/>
      <c r="E531" s="44"/>
      <c r="F531" s="150"/>
      <c r="G531" s="44"/>
      <c r="H531" s="44"/>
      <c r="I531" s="44"/>
      <c r="J531" s="44"/>
      <c r="K531" s="44"/>
      <c r="L531" s="44"/>
      <c r="M531" s="44"/>
      <c r="N531" s="44"/>
      <c r="O531" s="44"/>
      <c r="P531" s="150"/>
      <c r="Q531" s="150"/>
      <c r="R531" s="44"/>
      <c r="S531" s="44"/>
      <c r="T531" s="44"/>
      <c r="U531" s="44"/>
      <c r="V531" s="44"/>
      <c r="W531" s="44"/>
      <c r="X531" s="44"/>
      <c r="Y531" s="44"/>
      <c r="Z531" s="44"/>
      <c r="AA531" s="44"/>
      <c r="AB531" s="44"/>
      <c r="AC531" s="44"/>
      <c r="AD531" s="44"/>
      <c r="AE531" s="44"/>
      <c r="AF531" s="44"/>
      <c r="AG531" s="44"/>
      <c r="AH531" s="44"/>
      <c r="AI531" s="44"/>
      <c r="AJ531" s="150"/>
      <c r="AK531" s="44"/>
      <c r="AL531" s="150"/>
      <c r="AM531" s="150"/>
      <c r="AN531" s="44"/>
      <c r="AO531" s="150"/>
      <c r="AP531" s="150"/>
      <c r="AQ531" s="42"/>
      <c r="AR531" s="42"/>
      <c r="AS531" s="42"/>
      <c r="AT531" s="42"/>
      <c r="AU531" s="42"/>
      <c r="AV531" s="42"/>
      <c r="AW531" s="42"/>
      <c r="AX531" s="42"/>
    </row>
    <row r="532" spans="1:50" ht="12.75" customHeight="1">
      <c r="A532" s="149"/>
      <c r="B532" s="44"/>
      <c r="C532" s="44"/>
      <c r="D532" s="44"/>
      <c r="E532" s="44"/>
      <c r="F532" s="150"/>
      <c r="G532" s="44"/>
      <c r="H532" s="44"/>
      <c r="I532" s="44"/>
      <c r="J532" s="44"/>
      <c r="K532" s="44"/>
      <c r="L532" s="44"/>
      <c r="M532" s="44"/>
      <c r="N532" s="44"/>
      <c r="O532" s="44"/>
      <c r="P532" s="150"/>
      <c r="Q532" s="150"/>
      <c r="R532" s="44"/>
      <c r="S532" s="44"/>
      <c r="T532" s="44"/>
      <c r="U532" s="44"/>
      <c r="V532" s="44"/>
      <c r="W532" s="44"/>
      <c r="X532" s="44"/>
      <c r="Y532" s="44"/>
      <c r="Z532" s="44"/>
      <c r="AA532" s="44"/>
      <c r="AB532" s="44"/>
      <c r="AC532" s="44"/>
      <c r="AD532" s="44"/>
      <c r="AE532" s="44"/>
      <c r="AF532" s="44"/>
      <c r="AG532" s="44"/>
      <c r="AH532" s="44"/>
      <c r="AI532" s="44"/>
      <c r="AJ532" s="150"/>
      <c r="AK532" s="44"/>
      <c r="AL532" s="150"/>
      <c r="AM532" s="150"/>
      <c r="AN532" s="44"/>
      <c r="AO532" s="150"/>
      <c r="AP532" s="150"/>
      <c r="AQ532" s="42"/>
      <c r="AR532" s="42"/>
      <c r="AS532" s="42"/>
      <c r="AT532" s="42"/>
      <c r="AU532" s="42"/>
      <c r="AV532" s="42"/>
      <c r="AW532" s="42"/>
      <c r="AX532" s="42"/>
    </row>
    <row r="533" spans="1:50" ht="12.75" customHeight="1">
      <c r="A533" s="149"/>
      <c r="B533" s="44"/>
      <c r="C533" s="44"/>
      <c r="D533" s="44"/>
      <c r="E533" s="44"/>
      <c r="F533" s="150"/>
      <c r="G533" s="44"/>
      <c r="H533" s="44"/>
      <c r="I533" s="44"/>
      <c r="J533" s="44"/>
      <c r="K533" s="44"/>
      <c r="L533" s="44"/>
      <c r="M533" s="44"/>
      <c r="N533" s="44"/>
      <c r="O533" s="44"/>
      <c r="P533" s="150"/>
      <c r="Q533" s="150"/>
      <c r="R533" s="44"/>
      <c r="S533" s="44"/>
      <c r="T533" s="44"/>
      <c r="U533" s="44"/>
      <c r="V533" s="44"/>
      <c r="W533" s="44"/>
      <c r="X533" s="44"/>
      <c r="Y533" s="44"/>
      <c r="Z533" s="44"/>
      <c r="AA533" s="44"/>
      <c r="AB533" s="44"/>
      <c r="AC533" s="44"/>
      <c r="AD533" s="44"/>
      <c r="AE533" s="44"/>
      <c r="AF533" s="44"/>
      <c r="AG533" s="44"/>
      <c r="AH533" s="44"/>
      <c r="AI533" s="44"/>
      <c r="AJ533" s="150"/>
      <c r="AK533" s="44"/>
      <c r="AL533" s="150"/>
      <c r="AM533" s="150"/>
      <c r="AN533" s="44"/>
      <c r="AO533" s="150"/>
      <c r="AP533" s="150"/>
      <c r="AQ533" s="42"/>
      <c r="AR533" s="42"/>
      <c r="AS533" s="42"/>
      <c r="AT533" s="42"/>
      <c r="AU533" s="42"/>
      <c r="AV533" s="42"/>
      <c r="AW533" s="42"/>
      <c r="AX533" s="42"/>
    </row>
    <row r="534" spans="1:50" ht="12.75" customHeight="1">
      <c r="A534" s="149"/>
      <c r="B534" s="44"/>
      <c r="C534" s="44"/>
      <c r="D534" s="44"/>
      <c r="E534" s="44"/>
      <c r="F534" s="150"/>
      <c r="G534" s="44"/>
      <c r="H534" s="44"/>
      <c r="I534" s="44"/>
      <c r="J534" s="44"/>
      <c r="K534" s="44"/>
      <c r="L534" s="44"/>
      <c r="M534" s="44"/>
      <c r="N534" s="44"/>
      <c r="O534" s="44"/>
      <c r="P534" s="150"/>
      <c r="Q534" s="150"/>
      <c r="R534" s="44"/>
      <c r="S534" s="44"/>
      <c r="T534" s="44"/>
      <c r="U534" s="44"/>
      <c r="V534" s="44"/>
      <c r="W534" s="44"/>
      <c r="X534" s="44"/>
      <c r="Y534" s="44"/>
      <c r="Z534" s="44"/>
      <c r="AA534" s="44"/>
      <c r="AB534" s="44"/>
      <c r="AC534" s="44"/>
      <c r="AD534" s="44"/>
      <c r="AE534" s="44"/>
      <c r="AF534" s="44"/>
      <c r="AG534" s="44"/>
      <c r="AH534" s="44"/>
      <c r="AI534" s="44"/>
      <c r="AJ534" s="150"/>
      <c r="AK534" s="44"/>
      <c r="AL534" s="150"/>
      <c r="AM534" s="150"/>
      <c r="AN534" s="44"/>
      <c r="AO534" s="150"/>
      <c r="AP534" s="150"/>
      <c r="AQ534" s="42"/>
      <c r="AR534" s="42"/>
      <c r="AS534" s="42"/>
      <c r="AT534" s="42"/>
      <c r="AU534" s="42"/>
      <c r="AV534" s="42"/>
      <c r="AW534" s="42"/>
      <c r="AX534" s="42"/>
    </row>
    <row r="535" spans="1:50" ht="12.75" customHeight="1">
      <c r="A535" s="149"/>
      <c r="B535" s="44"/>
      <c r="C535" s="44"/>
      <c r="D535" s="44"/>
      <c r="E535" s="44"/>
      <c r="F535" s="150"/>
      <c r="G535" s="44"/>
      <c r="H535" s="44"/>
      <c r="I535" s="44"/>
      <c r="J535" s="44"/>
      <c r="K535" s="44"/>
      <c r="L535" s="44"/>
      <c r="M535" s="44"/>
      <c r="N535" s="44"/>
      <c r="O535" s="44"/>
      <c r="P535" s="150"/>
      <c r="Q535" s="150"/>
      <c r="R535" s="44"/>
      <c r="S535" s="44"/>
      <c r="T535" s="44"/>
      <c r="U535" s="44"/>
      <c r="V535" s="44"/>
      <c r="W535" s="44"/>
      <c r="X535" s="44"/>
      <c r="Y535" s="44"/>
      <c r="Z535" s="44"/>
      <c r="AA535" s="44"/>
      <c r="AB535" s="44"/>
      <c r="AC535" s="44"/>
      <c r="AD535" s="44"/>
      <c r="AE535" s="44"/>
      <c r="AF535" s="44"/>
      <c r="AG535" s="44"/>
      <c r="AH535" s="44"/>
      <c r="AI535" s="44"/>
      <c r="AJ535" s="150"/>
      <c r="AK535" s="44"/>
      <c r="AL535" s="150"/>
      <c r="AM535" s="150"/>
      <c r="AN535" s="44"/>
      <c r="AO535" s="150"/>
      <c r="AP535" s="150"/>
      <c r="AQ535" s="42"/>
      <c r="AR535" s="42"/>
      <c r="AS535" s="42"/>
      <c r="AT535" s="42"/>
      <c r="AU535" s="42"/>
      <c r="AV535" s="42"/>
      <c r="AW535" s="42"/>
      <c r="AX535" s="42"/>
    </row>
    <row r="536" spans="1:50" ht="12.75" customHeight="1">
      <c r="A536" s="149"/>
      <c r="B536" s="44"/>
      <c r="C536" s="44"/>
      <c r="D536" s="44"/>
      <c r="E536" s="44"/>
      <c r="F536" s="150"/>
      <c r="G536" s="44"/>
      <c r="H536" s="44"/>
      <c r="I536" s="44"/>
      <c r="J536" s="44"/>
      <c r="K536" s="44"/>
      <c r="L536" s="44"/>
      <c r="M536" s="44"/>
      <c r="N536" s="44"/>
      <c r="O536" s="44"/>
      <c r="P536" s="150"/>
      <c r="Q536" s="150"/>
      <c r="R536" s="44"/>
      <c r="S536" s="44"/>
      <c r="T536" s="44"/>
      <c r="U536" s="44"/>
      <c r="V536" s="44"/>
      <c r="W536" s="44"/>
      <c r="X536" s="44"/>
      <c r="Y536" s="44"/>
      <c r="Z536" s="44"/>
      <c r="AA536" s="44"/>
      <c r="AB536" s="44"/>
      <c r="AC536" s="44"/>
      <c r="AD536" s="44"/>
      <c r="AE536" s="44"/>
      <c r="AF536" s="44"/>
      <c r="AG536" s="44"/>
      <c r="AH536" s="44"/>
      <c r="AI536" s="44"/>
      <c r="AJ536" s="150"/>
      <c r="AK536" s="44"/>
      <c r="AL536" s="150"/>
      <c r="AM536" s="150"/>
      <c r="AN536" s="44"/>
      <c r="AO536" s="150"/>
      <c r="AP536" s="150"/>
      <c r="AQ536" s="42"/>
      <c r="AR536" s="42"/>
      <c r="AS536" s="42"/>
      <c r="AT536" s="42"/>
      <c r="AU536" s="42"/>
      <c r="AV536" s="42"/>
      <c r="AW536" s="42"/>
      <c r="AX536" s="42"/>
    </row>
    <row r="537" spans="1:50" ht="12.75" customHeight="1">
      <c r="A537" s="149"/>
      <c r="B537" s="44"/>
      <c r="C537" s="44"/>
      <c r="D537" s="44"/>
      <c r="E537" s="44"/>
      <c r="F537" s="150"/>
      <c r="G537" s="44"/>
      <c r="H537" s="44"/>
      <c r="I537" s="44"/>
      <c r="J537" s="44"/>
      <c r="K537" s="44"/>
      <c r="L537" s="44"/>
      <c r="M537" s="44"/>
      <c r="N537" s="44"/>
      <c r="O537" s="44"/>
      <c r="P537" s="150"/>
      <c r="Q537" s="150"/>
      <c r="R537" s="44"/>
      <c r="S537" s="44"/>
      <c r="T537" s="44"/>
      <c r="U537" s="44"/>
      <c r="V537" s="44"/>
      <c r="W537" s="44"/>
      <c r="X537" s="44"/>
      <c r="Y537" s="44"/>
      <c r="Z537" s="44"/>
      <c r="AA537" s="44"/>
      <c r="AB537" s="44"/>
      <c r="AC537" s="44"/>
      <c r="AD537" s="44"/>
      <c r="AE537" s="44"/>
      <c r="AF537" s="44"/>
      <c r="AG537" s="44"/>
      <c r="AH537" s="44"/>
      <c r="AI537" s="44"/>
      <c r="AJ537" s="150"/>
      <c r="AK537" s="44"/>
      <c r="AL537" s="150"/>
      <c r="AM537" s="150"/>
      <c r="AN537" s="44"/>
      <c r="AO537" s="150"/>
      <c r="AP537" s="150"/>
      <c r="AQ537" s="42"/>
      <c r="AR537" s="42"/>
      <c r="AS537" s="42"/>
      <c r="AT537" s="42"/>
      <c r="AU537" s="42"/>
      <c r="AV537" s="42"/>
      <c r="AW537" s="42"/>
      <c r="AX537" s="42"/>
    </row>
    <row r="538" spans="1:50" ht="12.75" customHeight="1">
      <c r="A538" s="149"/>
      <c r="B538" s="44"/>
      <c r="C538" s="44"/>
      <c r="D538" s="44"/>
      <c r="E538" s="44"/>
      <c r="F538" s="150"/>
      <c r="G538" s="44"/>
      <c r="H538" s="44"/>
      <c r="I538" s="44"/>
      <c r="J538" s="44"/>
      <c r="K538" s="44"/>
      <c r="L538" s="44"/>
      <c r="M538" s="44"/>
      <c r="N538" s="44"/>
      <c r="O538" s="44"/>
      <c r="P538" s="150"/>
      <c r="Q538" s="150"/>
      <c r="R538" s="44"/>
      <c r="S538" s="44"/>
      <c r="T538" s="44"/>
      <c r="U538" s="44"/>
      <c r="V538" s="44"/>
      <c r="W538" s="44"/>
      <c r="X538" s="44"/>
      <c r="Y538" s="44"/>
      <c r="Z538" s="44"/>
      <c r="AA538" s="44"/>
      <c r="AB538" s="44"/>
      <c r="AC538" s="44"/>
      <c r="AD538" s="44"/>
      <c r="AE538" s="44"/>
      <c r="AF538" s="44"/>
      <c r="AG538" s="44"/>
      <c r="AH538" s="44"/>
      <c r="AI538" s="44"/>
      <c r="AJ538" s="150"/>
      <c r="AK538" s="44"/>
      <c r="AL538" s="150"/>
      <c r="AM538" s="150"/>
      <c r="AN538" s="44"/>
      <c r="AO538" s="150"/>
      <c r="AP538" s="150"/>
      <c r="AQ538" s="42"/>
      <c r="AR538" s="42"/>
      <c r="AS538" s="42"/>
      <c r="AT538" s="42"/>
      <c r="AU538" s="42"/>
      <c r="AV538" s="42"/>
      <c r="AW538" s="42"/>
      <c r="AX538" s="42"/>
    </row>
    <row r="539" spans="1:50" ht="12.75" customHeight="1">
      <c r="A539" s="149"/>
      <c r="B539" s="44"/>
      <c r="C539" s="44"/>
      <c r="D539" s="44"/>
      <c r="E539" s="44"/>
      <c r="F539" s="150"/>
      <c r="G539" s="44"/>
      <c r="H539" s="44"/>
      <c r="I539" s="44"/>
      <c r="J539" s="44"/>
      <c r="K539" s="44"/>
      <c r="L539" s="44"/>
      <c r="M539" s="44"/>
      <c r="N539" s="44"/>
      <c r="O539" s="44"/>
      <c r="P539" s="150"/>
      <c r="Q539" s="150"/>
      <c r="R539" s="44"/>
      <c r="S539" s="44"/>
      <c r="T539" s="44"/>
      <c r="U539" s="44"/>
      <c r="V539" s="44"/>
      <c r="W539" s="44"/>
      <c r="X539" s="44"/>
      <c r="Y539" s="44"/>
      <c r="Z539" s="44"/>
      <c r="AA539" s="44"/>
      <c r="AB539" s="44"/>
      <c r="AC539" s="44"/>
      <c r="AD539" s="44"/>
      <c r="AE539" s="44"/>
      <c r="AF539" s="44"/>
      <c r="AG539" s="44"/>
      <c r="AH539" s="44"/>
      <c r="AI539" s="44"/>
      <c r="AJ539" s="150"/>
      <c r="AK539" s="44"/>
      <c r="AL539" s="150"/>
      <c r="AM539" s="150"/>
      <c r="AN539" s="44"/>
      <c r="AO539" s="150"/>
      <c r="AP539" s="150"/>
      <c r="AQ539" s="42"/>
      <c r="AR539" s="42"/>
      <c r="AS539" s="42"/>
      <c r="AT539" s="42"/>
      <c r="AU539" s="42"/>
      <c r="AV539" s="42"/>
      <c r="AW539" s="42"/>
      <c r="AX539" s="42"/>
    </row>
    <row r="540" spans="1:50" ht="12.75" customHeight="1">
      <c r="A540" s="149"/>
      <c r="B540" s="44"/>
      <c r="C540" s="44"/>
      <c r="D540" s="44"/>
      <c r="E540" s="44"/>
      <c r="F540" s="150"/>
      <c r="G540" s="44"/>
      <c r="H540" s="44"/>
      <c r="I540" s="44"/>
      <c r="J540" s="44"/>
      <c r="K540" s="44"/>
      <c r="L540" s="44"/>
      <c r="M540" s="44"/>
      <c r="N540" s="44"/>
      <c r="O540" s="44"/>
      <c r="P540" s="150"/>
      <c r="Q540" s="150"/>
      <c r="R540" s="44"/>
      <c r="S540" s="44"/>
      <c r="T540" s="44"/>
      <c r="U540" s="44"/>
      <c r="V540" s="44"/>
      <c r="W540" s="44"/>
      <c r="X540" s="44"/>
      <c r="Y540" s="44"/>
      <c r="Z540" s="44"/>
      <c r="AA540" s="44"/>
      <c r="AB540" s="44"/>
      <c r="AC540" s="44"/>
      <c r="AD540" s="44"/>
      <c r="AE540" s="44"/>
      <c r="AF540" s="44"/>
      <c r="AG540" s="44"/>
      <c r="AH540" s="44"/>
      <c r="AI540" s="44"/>
      <c r="AJ540" s="150"/>
      <c r="AK540" s="44"/>
      <c r="AL540" s="150"/>
      <c r="AM540" s="150"/>
      <c r="AN540" s="44"/>
      <c r="AO540" s="150"/>
      <c r="AP540" s="150"/>
      <c r="AQ540" s="42"/>
      <c r="AR540" s="42"/>
      <c r="AS540" s="42"/>
      <c r="AT540" s="42"/>
      <c r="AU540" s="42"/>
      <c r="AV540" s="42"/>
      <c r="AW540" s="42"/>
      <c r="AX540" s="42"/>
    </row>
    <row r="541" spans="1:50" ht="12.75" customHeight="1">
      <c r="A541" s="149"/>
      <c r="B541" s="44"/>
      <c r="C541" s="44"/>
      <c r="D541" s="44"/>
      <c r="E541" s="44"/>
      <c r="F541" s="150"/>
      <c r="G541" s="44"/>
      <c r="H541" s="44"/>
      <c r="I541" s="44"/>
      <c r="J541" s="44"/>
      <c r="K541" s="44"/>
      <c r="L541" s="44"/>
      <c r="M541" s="44"/>
      <c r="N541" s="44"/>
      <c r="O541" s="44"/>
      <c r="P541" s="150"/>
      <c r="Q541" s="150"/>
      <c r="R541" s="44"/>
      <c r="S541" s="44"/>
      <c r="T541" s="44"/>
      <c r="U541" s="44"/>
      <c r="V541" s="44"/>
      <c r="W541" s="44"/>
      <c r="X541" s="44"/>
      <c r="Y541" s="44"/>
      <c r="Z541" s="44"/>
      <c r="AA541" s="44"/>
      <c r="AB541" s="44"/>
      <c r="AC541" s="44"/>
      <c r="AD541" s="44"/>
      <c r="AE541" s="44"/>
      <c r="AF541" s="44"/>
      <c r="AG541" s="44"/>
      <c r="AH541" s="44"/>
      <c r="AI541" s="44"/>
      <c r="AJ541" s="150"/>
      <c r="AK541" s="44"/>
      <c r="AL541" s="150"/>
      <c r="AM541" s="150"/>
      <c r="AN541" s="44"/>
      <c r="AO541" s="150"/>
      <c r="AP541" s="150"/>
      <c r="AQ541" s="42"/>
      <c r="AR541" s="42"/>
      <c r="AS541" s="42"/>
      <c r="AT541" s="42"/>
      <c r="AU541" s="42"/>
      <c r="AV541" s="42"/>
      <c r="AW541" s="42"/>
      <c r="AX541" s="42"/>
    </row>
    <row r="542" spans="1:50" ht="12.75" customHeight="1">
      <c r="A542" s="149"/>
      <c r="B542" s="44"/>
      <c r="C542" s="44"/>
      <c r="D542" s="44"/>
      <c r="E542" s="44"/>
      <c r="F542" s="150"/>
      <c r="G542" s="44"/>
      <c r="H542" s="44"/>
      <c r="I542" s="44"/>
      <c r="J542" s="44"/>
      <c r="K542" s="44"/>
      <c r="L542" s="44"/>
      <c r="M542" s="44"/>
      <c r="N542" s="44"/>
      <c r="O542" s="44"/>
      <c r="P542" s="150"/>
      <c r="Q542" s="150"/>
      <c r="R542" s="44"/>
      <c r="S542" s="44"/>
      <c r="T542" s="44"/>
      <c r="U542" s="44"/>
      <c r="V542" s="44"/>
      <c r="W542" s="44"/>
      <c r="X542" s="44"/>
      <c r="Y542" s="44"/>
      <c r="Z542" s="44"/>
      <c r="AA542" s="44"/>
      <c r="AB542" s="44"/>
      <c r="AC542" s="44"/>
      <c r="AD542" s="44"/>
      <c r="AE542" s="44"/>
      <c r="AF542" s="44"/>
      <c r="AG542" s="44"/>
      <c r="AH542" s="44"/>
      <c r="AI542" s="44"/>
      <c r="AJ542" s="150"/>
      <c r="AK542" s="44"/>
      <c r="AL542" s="150"/>
      <c r="AM542" s="150"/>
      <c r="AN542" s="44"/>
      <c r="AO542" s="150"/>
      <c r="AP542" s="150"/>
      <c r="AQ542" s="42"/>
      <c r="AR542" s="42"/>
      <c r="AS542" s="42"/>
      <c r="AT542" s="42"/>
      <c r="AU542" s="42"/>
      <c r="AV542" s="42"/>
      <c r="AW542" s="42"/>
      <c r="AX542" s="42"/>
    </row>
    <row r="543" spans="1:50" ht="12.75" customHeight="1">
      <c r="A543" s="149"/>
      <c r="B543" s="44"/>
      <c r="C543" s="44"/>
      <c r="D543" s="44"/>
      <c r="E543" s="44"/>
      <c r="F543" s="150"/>
      <c r="G543" s="44"/>
      <c r="H543" s="44"/>
      <c r="I543" s="44"/>
      <c r="J543" s="44"/>
      <c r="K543" s="44"/>
      <c r="L543" s="44"/>
      <c r="M543" s="44"/>
      <c r="N543" s="44"/>
      <c r="O543" s="44"/>
      <c r="P543" s="150"/>
      <c r="Q543" s="150"/>
      <c r="R543" s="44"/>
      <c r="S543" s="44"/>
      <c r="T543" s="44"/>
      <c r="U543" s="44"/>
      <c r="V543" s="44"/>
      <c r="W543" s="44"/>
      <c r="X543" s="44"/>
      <c r="Y543" s="44"/>
      <c r="Z543" s="44"/>
      <c r="AA543" s="44"/>
      <c r="AB543" s="44"/>
      <c r="AC543" s="44"/>
      <c r="AD543" s="44"/>
      <c r="AE543" s="44"/>
      <c r="AF543" s="44"/>
      <c r="AG543" s="44"/>
      <c r="AH543" s="44"/>
      <c r="AI543" s="44"/>
      <c r="AJ543" s="150"/>
      <c r="AK543" s="44"/>
      <c r="AL543" s="150"/>
      <c r="AM543" s="150"/>
      <c r="AN543" s="44"/>
      <c r="AO543" s="150"/>
      <c r="AP543" s="150"/>
      <c r="AQ543" s="42"/>
      <c r="AR543" s="42"/>
      <c r="AS543" s="42"/>
      <c r="AT543" s="42"/>
      <c r="AU543" s="42"/>
      <c r="AV543" s="42"/>
      <c r="AW543" s="42"/>
      <c r="AX543" s="42"/>
    </row>
    <row r="544" spans="1:50" ht="12.75" customHeight="1">
      <c r="A544" s="149"/>
      <c r="B544" s="44"/>
      <c r="C544" s="44"/>
      <c r="D544" s="44"/>
      <c r="E544" s="44"/>
      <c r="F544" s="150"/>
      <c r="G544" s="44"/>
      <c r="H544" s="44"/>
      <c r="I544" s="44"/>
      <c r="J544" s="44"/>
      <c r="K544" s="44"/>
      <c r="L544" s="44"/>
      <c r="M544" s="44"/>
      <c r="N544" s="44"/>
      <c r="O544" s="44"/>
      <c r="P544" s="150"/>
      <c r="Q544" s="150"/>
      <c r="R544" s="44"/>
      <c r="S544" s="44"/>
      <c r="T544" s="44"/>
      <c r="U544" s="44"/>
      <c r="V544" s="44"/>
      <c r="W544" s="44"/>
      <c r="X544" s="44"/>
      <c r="Y544" s="44"/>
      <c r="Z544" s="44"/>
      <c r="AA544" s="44"/>
      <c r="AB544" s="44"/>
      <c r="AC544" s="44"/>
      <c r="AD544" s="44"/>
      <c r="AE544" s="44"/>
      <c r="AF544" s="44"/>
      <c r="AG544" s="44"/>
      <c r="AH544" s="44"/>
      <c r="AI544" s="44"/>
      <c r="AJ544" s="150"/>
      <c r="AK544" s="44"/>
      <c r="AL544" s="150"/>
      <c r="AM544" s="150"/>
      <c r="AN544" s="44"/>
      <c r="AO544" s="150"/>
      <c r="AP544" s="150"/>
      <c r="AQ544" s="42"/>
      <c r="AR544" s="42"/>
      <c r="AS544" s="42"/>
      <c r="AT544" s="42"/>
      <c r="AU544" s="42"/>
      <c r="AV544" s="42"/>
      <c r="AW544" s="42"/>
      <c r="AX544" s="42"/>
    </row>
    <row r="545" spans="1:50" ht="12.75" customHeight="1">
      <c r="A545" s="149"/>
      <c r="B545" s="44"/>
      <c r="C545" s="44"/>
      <c r="D545" s="44"/>
      <c r="E545" s="44"/>
      <c r="F545" s="150"/>
      <c r="G545" s="44"/>
      <c r="H545" s="44"/>
      <c r="I545" s="44"/>
      <c r="J545" s="44"/>
      <c r="K545" s="44"/>
      <c r="L545" s="44"/>
      <c r="M545" s="44"/>
      <c r="N545" s="44"/>
      <c r="O545" s="44"/>
      <c r="P545" s="150"/>
      <c r="Q545" s="150"/>
      <c r="R545" s="44"/>
      <c r="S545" s="44"/>
      <c r="T545" s="44"/>
      <c r="U545" s="44"/>
      <c r="V545" s="44"/>
      <c r="W545" s="44"/>
      <c r="X545" s="44"/>
      <c r="Y545" s="44"/>
      <c r="Z545" s="44"/>
      <c r="AA545" s="44"/>
      <c r="AB545" s="44"/>
      <c r="AC545" s="44"/>
      <c r="AD545" s="44"/>
      <c r="AE545" s="44"/>
      <c r="AF545" s="44"/>
      <c r="AG545" s="44"/>
      <c r="AH545" s="44"/>
      <c r="AI545" s="44"/>
      <c r="AJ545" s="150"/>
      <c r="AK545" s="44"/>
      <c r="AL545" s="150"/>
      <c r="AM545" s="150"/>
      <c r="AN545" s="44"/>
      <c r="AO545" s="150"/>
      <c r="AP545" s="150"/>
      <c r="AQ545" s="42"/>
      <c r="AR545" s="42"/>
      <c r="AS545" s="42"/>
      <c r="AT545" s="42"/>
      <c r="AU545" s="42"/>
      <c r="AV545" s="42"/>
      <c r="AW545" s="42"/>
      <c r="AX545" s="42"/>
    </row>
    <row r="546" spans="1:50" ht="12.75" customHeight="1">
      <c r="A546" s="149"/>
      <c r="B546" s="44"/>
      <c r="C546" s="44"/>
      <c r="D546" s="44"/>
      <c r="E546" s="44"/>
      <c r="F546" s="150"/>
      <c r="G546" s="44"/>
      <c r="H546" s="44"/>
      <c r="I546" s="44"/>
      <c r="J546" s="44"/>
      <c r="K546" s="44"/>
      <c r="L546" s="44"/>
      <c r="M546" s="44"/>
      <c r="N546" s="44"/>
      <c r="O546" s="44"/>
      <c r="P546" s="150"/>
      <c r="Q546" s="150"/>
      <c r="R546" s="44"/>
      <c r="S546" s="44"/>
      <c r="T546" s="44"/>
      <c r="U546" s="44"/>
      <c r="V546" s="44"/>
      <c r="W546" s="44"/>
      <c r="X546" s="44"/>
      <c r="Y546" s="44"/>
      <c r="Z546" s="44"/>
      <c r="AA546" s="44"/>
      <c r="AB546" s="44"/>
      <c r="AC546" s="44"/>
      <c r="AD546" s="44"/>
      <c r="AE546" s="44"/>
      <c r="AF546" s="44"/>
      <c r="AG546" s="44"/>
      <c r="AH546" s="44"/>
      <c r="AI546" s="44"/>
      <c r="AJ546" s="150"/>
      <c r="AK546" s="44"/>
      <c r="AL546" s="150"/>
      <c r="AM546" s="150"/>
      <c r="AN546" s="44"/>
      <c r="AO546" s="150"/>
      <c r="AP546" s="150"/>
      <c r="AQ546" s="42"/>
      <c r="AR546" s="42"/>
      <c r="AS546" s="42"/>
      <c r="AT546" s="42"/>
      <c r="AU546" s="42"/>
      <c r="AV546" s="42"/>
      <c r="AW546" s="42"/>
      <c r="AX546" s="42"/>
    </row>
    <row r="547" spans="1:50" ht="12.75" customHeight="1">
      <c r="A547" s="149"/>
      <c r="B547" s="44"/>
      <c r="C547" s="44"/>
      <c r="D547" s="44"/>
      <c r="E547" s="44"/>
      <c r="F547" s="150"/>
      <c r="G547" s="44"/>
      <c r="H547" s="44"/>
      <c r="I547" s="44"/>
      <c r="J547" s="44"/>
      <c r="K547" s="44"/>
      <c r="L547" s="44"/>
      <c r="M547" s="44"/>
      <c r="N547" s="44"/>
      <c r="O547" s="44"/>
      <c r="P547" s="150"/>
      <c r="Q547" s="150"/>
      <c r="R547" s="44"/>
      <c r="S547" s="44"/>
      <c r="T547" s="44"/>
      <c r="U547" s="44"/>
      <c r="V547" s="44"/>
      <c r="W547" s="44"/>
      <c r="X547" s="44"/>
      <c r="Y547" s="44"/>
      <c r="Z547" s="44"/>
      <c r="AA547" s="44"/>
      <c r="AB547" s="44"/>
      <c r="AC547" s="44"/>
      <c r="AD547" s="44"/>
      <c r="AE547" s="44"/>
      <c r="AF547" s="44"/>
      <c r="AG547" s="44"/>
      <c r="AH547" s="44"/>
      <c r="AI547" s="44"/>
      <c r="AJ547" s="150"/>
      <c r="AK547" s="44"/>
      <c r="AL547" s="150"/>
      <c r="AM547" s="150"/>
      <c r="AN547" s="44"/>
      <c r="AO547" s="150"/>
      <c r="AP547" s="150"/>
      <c r="AQ547" s="42"/>
      <c r="AR547" s="42"/>
      <c r="AS547" s="42"/>
      <c r="AT547" s="42"/>
      <c r="AU547" s="42"/>
      <c r="AV547" s="42"/>
      <c r="AW547" s="42"/>
      <c r="AX547" s="42"/>
    </row>
    <row r="548" spans="1:50" ht="12.75" customHeight="1">
      <c r="A548" s="149"/>
      <c r="B548" s="44"/>
      <c r="C548" s="44"/>
      <c r="D548" s="44"/>
      <c r="E548" s="44"/>
      <c r="F548" s="150"/>
      <c r="G548" s="44"/>
      <c r="H548" s="44"/>
      <c r="I548" s="44"/>
      <c r="J548" s="44"/>
      <c r="K548" s="44"/>
      <c r="L548" s="44"/>
      <c r="M548" s="44"/>
      <c r="N548" s="44"/>
      <c r="O548" s="44"/>
      <c r="P548" s="150"/>
      <c r="Q548" s="150"/>
      <c r="R548" s="44"/>
      <c r="S548" s="44"/>
      <c r="T548" s="44"/>
      <c r="U548" s="44"/>
      <c r="V548" s="44"/>
      <c r="W548" s="44"/>
      <c r="X548" s="44"/>
      <c r="Y548" s="44"/>
      <c r="Z548" s="44"/>
      <c r="AA548" s="44"/>
      <c r="AB548" s="44"/>
      <c r="AC548" s="44"/>
      <c r="AD548" s="44"/>
      <c r="AE548" s="44"/>
      <c r="AF548" s="44"/>
      <c r="AG548" s="44"/>
      <c r="AH548" s="44"/>
      <c r="AI548" s="44"/>
      <c r="AJ548" s="150"/>
      <c r="AK548" s="44"/>
      <c r="AL548" s="150"/>
      <c r="AM548" s="150"/>
      <c r="AN548" s="44"/>
      <c r="AO548" s="150"/>
      <c r="AP548" s="150"/>
      <c r="AQ548" s="42"/>
      <c r="AR548" s="42"/>
      <c r="AS548" s="42"/>
      <c r="AT548" s="42"/>
      <c r="AU548" s="42"/>
      <c r="AV548" s="42"/>
      <c r="AW548" s="42"/>
      <c r="AX548" s="42"/>
    </row>
    <row r="549" spans="1:50" ht="12.75" customHeight="1">
      <c r="A549" s="149"/>
      <c r="B549" s="44"/>
      <c r="C549" s="44"/>
      <c r="D549" s="44"/>
      <c r="E549" s="44"/>
      <c r="F549" s="150"/>
      <c r="G549" s="44"/>
      <c r="H549" s="44"/>
      <c r="I549" s="44"/>
      <c r="J549" s="44"/>
      <c r="K549" s="44"/>
      <c r="L549" s="44"/>
      <c r="M549" s="44"/>
      <c r="N549" s="44"/>
      <c r="O549" s="44"/>
      <c r="P549" s="150"/>
      <c r="Q549" s="150"/>
      <c r="R549" s="44"/>
      <c r="S549" s="44"/>
      <c r="T549" s="44"/>
      <c r="U549" s="44"/>
      <c r="V549" s="44"/>
      <c r="W549" s="44"/>
      <c r="X549" s="44"/>
      <c r="Y549" s="44"/>
      <c r="Z549" s="44"/>
      <c r="AA549" s="44"/>
      <c r="AB549" s="44"/>
      <c r="AC549" s="44"/>
      <c r="AD549" s="44"/>
      <c r="AE549" s="44"/>
      <c r="AF549" s="44"/>
      <c r="AG549" s="44"/>
      <c r="AH549" s="44"/>
      <c r="AI549" s="44"/>
      <c r="AJ549" s="150"/>
      <c r="AK549" s="44"/>
      <c r="AL549" s="150"/>
      <c r="AM549" s="150"/>
      <c r="AN549" s="44"/>
      <c r="AO549" s="150"/>
      <c r="AP549" s="150"/>
      <c r="AQ549" s="42"/>
      <c r="AR549" s="42"/>
      <c r="AS549" s="42"/>
      <c r="AT549" s="42"/>
      <c r="AU549" s="42"/>
      <c r="AV549" s="42"/>
      <c r="AW549" s="42"/>
      <c r="AX549" s="42"/>
    </row>
    <row r="550" spans="1:50" ht="12.75" customHeight="1">
      <c r="A550" s="149"/>
      <c r="B550" s="44"/>
      <c r="C550" s="44"/>
      <c r="D550" s="44"/>
      <c r="E550" s="44"/>
      <c r="F550" s="150"/>
      <c r="G550" s="44"/>
      <c r="H550" s="44"/>
      <c r="I550" s="44"/>
      <c r="J550" s="44"/>
      <c r="K550" s="44"/>
      <c r="L550" s="44"/>
      <c r="M550" s="44"/>
      <c r="N550" s="44"/>
      <c r="O550" s="44"/>
      <c r="P550" s="150"/>
      <c r="Q550" s="150"/>
      <c r="R550" s="44"/>
      <c r="S550" s="44"/>
      <c r="T550" s="44"/>
      <c r="U550" s="44"/>
      <c r="V550" s="44"/>
      <c r="W550" s="44"/>
      <c r="X550" s="44"/>
      <c r="Y550" s="44"/>
      <c r="Z550" s="44"/>
      <c r="AA550" s="44"/>
      <c r="AB550" s="44"/>
      <c r="AC550" s="44"/>
      <c r="AD550" s="44"/>
      <c r="AE550" s="44"/>
      <c r="AF550" s="44"/>
      <c r="AG550" s="44"/>
      <c r="AH550" s="44"/>
      <c r="AI550" s="44"/>
      <c r="AJ550" s="150"/>
      <c r="AK550" s="44"/>
      <c r="AL550" s="150"/>
      <c r="AM550" s="150"/>
      <c r="AN550" s="44"/>
      <c r="AO550" s="150"/>
      <c r="AP550" s="150"/>
      <c r="AQ550" s="42"/>
      <c r="AR550" s="42"/>
      <c r="AS550" s="42"/>
      <c r="AT550" s="42"/>
      <c r="AU550" s="42"/>
      <c r="AV550" s="42"/>
      <c r="AW550" s="42"/>
      <c r="AX550" s="42"/>
    </row>
    <row r="551" spans="1:50" ht="12.75" customHeight="1">
      <c r="A551" s="149"/>
      <c r="B551" s="44"/>
      <c r="C551" s="44"/>
      <c r="D551" s="44"/>
      <c r="E551" s="44"/>
      <c r="F551" s="150"/>
      <c r="G551" s="44"/>
      <c r="H551" s="44"/>
      <c r="I551" s="44"/>
      <c r="J551" s="44"/>
      <c r="K551" s="44"/>
      <c r="L551" s="44"/>
      <c r="M551" s="44"/>
      <c r="N551" s="44"/>
      <c r="O551" s="44"/>
      <c r="P551" s="150"/>
      <c r="Q551" s="150"/>
      <c r="R551" s="44"/>
      <c r="S551" s="44"/>
      <c r="T551" s="44"/>
      <c r="U551" s="44"/>
      <c r="V551" s="44"/>
      <c r="W551" s="44"/>
      <c r="X551" s="44"/>
      <c r="Y551" s="44"/>
      <c r="Z551" s="44"/>
      <c r="AA551" s="44"/>
      <c r="AB551" s="44"/>
      <c r="AC551" s="44"/>
      <c r="AD551" s="44"/>
      <c r="AE551" s="44"/>
      <c r="AF551" s="44"/>
      <c r="AG551" s="44"/>
      <c r="AH551" s="44"/>
      <c r="AI551" s="44"/>
      <c r="AJ551" s="150"/>
      <c r="AK551" s="44"/>
      <c r="AL551" s="150"/>
      <c r="AM551" s="150"/>
      <c r="AN551" s="44"/>
      <c r="AO551" s="150"/>
      <c r="AP551" s="150"/>
      <c r="AQ551" s="42"/>
      <c r="AR551" s="42"/>
      <c r="AS551" s="42"/>
      <c r="AT551" s="42"/>
      <c r="AU551" s="42"/>
      <c r="AV551" s="42"/>
      <c r="AW551" s="42"/>
      <c r="AX551" s="42"/>
    </row>
    <row r="552" spans="1:50" ht="12.7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c r="AC552" s="44"/>
      <c r="AD552" s="44"/>
      <c r="AE552" s="44"/>
      <c r="AF552" s="44"/>
      <c r="AG552" s="44"/>
      <c r="AH552" s="44"/>
      <c r="AI552" s="44"/>
      <c r="AJ552" s="44"/>
      <c r="AK552" s="44"/>
      <c r="AL552" s="44"/>
      <c r="AM552" s="44"/>
      <c r="AN552" s="44"/>
      <c r="AO552" s="44"/>
      <c r="AP552" s="44"/>
      <c r="AQ552" s="42"/>
      <c r="AR552" s="42"/>
      <c r="AS552" s="42"/>
      <c r="AT552" s="42"/>
      <c r="AU552" s="42"/>
      <c r="AV552" s="42"/>
      <c r="AW552" s="42"/>
      <c r="AX552" s="42"/>
    </row>
    <row r="553" spans="1:50" ht="12.7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c r="AD553" s="44"/>
      <c r="AE553" s="44"/>
      <c r="AF553" s="44"/>
      <c r="AG553" s="44"/>
      <c r="AH553" s="44"/>
      <c r="AI553" s="44"/>
      <c r="AJ553" s="44"/>
      <c r="AK553" s="44"/>
      <c r="AL553" s="44"/>
      <c r="AM553" s="44"/>
      <c r="AN553" s="44"/>
      <c r="AO553" s="44"/>
      <c r="AP553" s="44"/>
      <c r="AQ553" s="42"/>
      <c r="AR553" s="42"/>
      <c r="AS553" s="42"/>
      <c r="AT553" s="42"/>
      <c r="AU553" s="42"/>
      <c r="AV553" s="42"/>
      <c r="AW553" s="42"/>
      <c r="AX553" s="42"/>
    </row>
    <row r="554" spans="1:50" ht="12.7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c r="AC554" s="44"/>
      <c r="AD554" s="44"/>
      <c r="AE554" s="44"/>
      <c r="AF554" s="44"/>
      <c r="AG554" s="44"/>
      <c r="AH554" s="44"/>
      <c r="AI554" s="44"/>
      <c r="AJ554" s="44"/>
      <c r="AK554" s="44"/>
      <c r="AL554" s="44"/>
      <c r="AM554" s="44"/>
      <c r="AN554" s="44"/>
      <c r="AO554" s="44"/>
      <c r="AP554" s="44"/>
      <c r="AQ554" s="42"/>
      <c r="AR554" s="42"/>
      <c r="AS554" s="42"/>
      <c r="AT554" s="42"/>
      <c r="AU554" s="42"/>
      <c r="AV554" s="42"/>
      <c r="AW554" s="42"/>
      <c r="AX554" s="42"/>
    </row>
    <row r="555" spans="1:50" ht="12.7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c r="AC555" s="44"/>
      <c r="AD555" s="44"/>
      <c r="AE555" s="44"/>
      <c r="AF555" s="44"/>
      <c r="AG555" s="44"/>
      <c r="AH555" s="44"/>
      <c r="AI555" s="44"/>
      <c r="AJ555" s="44"/>
      <c r="AK555" s="44"/>
      <c r="AL555" s="44"/>
      <c r="AM555" s="44"/>
      <c r="AN555" s="44"/>
      <c r="AO555" s="44"/>
      <c r="AP555" s="44"/>
      <c r="AQ555" s="42"/>
      <c r="AR555" s="42"/>
      <c r="AS555" s="42"/>
      <c r="AT555" s="42"/>
      <c r="AU555" s="42"/>
      <c r="AV555" s="42"/>
      <c r="AW555" s="42"/>
      <c r="AX555" s="42"/>
    </row>
    <row r="556" spans="1:50" ht="12.7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c r="AC556" s="44"/>
      <c r="AD556" s="44"/>
      <c r="AE556" s="44"/>
      <c r="AF556" s="44"/>
      <c r="AG556" s="44"/>
      <c r="AH556" s="44"/>
      <c r="AI556" s="44"/>
      <c r="AJ556" s="44"/>
      <c r="AK556" s="44"/>
      <c r="AL556" s="44"/>
      <c r="AM556" s="44"/>
      <c r="AN556" s="44"/>
      <c r="AO556" s="44"/>
      <c r="AP556" s="44"/>
      <c r="AQ556" s="42"/>
      <c r="AR556" s="42"/>
      <c r="AS556" s="42"/>
      <c r="AT556" s="42"/>
      <c r="AU556" s="42"/>
      <c r="AV556" s="42"/>
      <c r="AW556" s="42"/>
      <c r="AX556" s="42"/>
    </row>
    <row r="557" spans="1:50" ht="12.7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c r="AC557" s="44"/>
      <c r="AD557" s="44"/>
      <c r="AE557" s="44"/>
      <c r="AF557" s="44"/>
      <c r="AG557" s="44"/>
      <c r="AH557" s="44"/>
      <c r="AI557" s="44"/>
      <c r="AJ557" s="44"/>
      <c r="AK557" s="44"/>
      <c r="AL557" s="44"/>
      <c r="AM557" s="44"/>
      <c r="AN557" s="44"/>
      <c r="AO557" s="44"/>
      <c r="AP557" s="44"/>
      <c r="AQ557" s="42"/>
      <c r="AR557" s="42"/>
      <c r="AS557" s="42"/>
      <c r="AT557" s="42"/>
      <c r="AU557" s="42"/>
      <c r="AV557" s="42"/>
      <c r="AW557" s="42"/>
      <c r="AX557" s="42"/>
    </row>
    <row r="558" spans="1:50" ht="12.7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c r="AD558" s="44"/>
      <c r="AE558" s="44"/>
      <c r="AF558" s="44"/>
      <c r="AG558" s="44"/>
      <c r="AH558" s="44"/>
      <c r="AI558" s="44"/>
      <c r="AJ558" s="44"/>
      <c r="AK558" s="44"/>
      <c r="AL558" s="44"/>
      <c r="AM558" s="44"/>
      <c r="AN558" s="44"/>
      <c r="AO558" s="44"/>
      <c r="AP558" s="44"/>
      <c r="AQ558" s="42"/>
      <c r="AR558" s="42"/>
      <c r="AS558" s="42"/>
      <c r="AT558" s="42"/>
      <c r="AU558" s="42"/>
      <c r="AV558" s="42"/>
      <c r="AW558" s="42"/>
      <c r="AX558" s="42"/>
    </row>
    <row r="559" spans="1:50" ht="12.7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c r="AC559" s="44"/>
      <c r="AD559" s="44"/>
      <c r="AE559" s="44"/>
      <c r="AF559" s="44"/>
      <c r="AG559" s="44"/>
      <c r="AH559" s="44"/>
      <c r="AI559" s="44"/>
      <c r="AJ559" s="44"/>
      <c r="AK559" s="44"/>
      <c r="AL559" s="44"/>
      <c r="AM559" s="44"/>
      <c r="AN559" s="44"/>
      <c r="AO559" s="44"/>
      <c r="AP559" s="44"/>
      <c r="AQ559" s="42"/>
      <c r="AR559" s="42"/>
      <c r="AS559" s="42"/>
      <c r="AT559" s="42"/>
      <c r="AU559" s="42"/>
      <c r="AV559" s="42"/>
      <c r="AW559" s="42"/>
      <c r="AX559" s="42"/>
    </row>
  </sheetData>
  <mergeCells count="1">
    <mergeCell ref="AR7:AU7"/>
  </mergeCell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000"/>
  <sheetViews>
    <sheetView workbookViewId="0"/>
  </sheetViews>
  <sheetFormatPr baseColWidth="10" defaultColWidth="14.42578125" defaultRowHeight="15" customHeight="1"/>
  <cols>
    <col min="1" max="2" width="10.7109375" customWidth="1"/>
    <col min="3" max="3" width="51.85546875" customWidth="1"/>
    <col min="4" max="6" width="10.7109375" customWidth="1"/>
  </cols>
  <sheetData>
    <row r="1" spans="1:3">
      <c r="A1" s="8">
        <v>1</v>
      </c>
      <c r="B1" s="152">
        <v>2310450</v>
      </c>
      <c r="C1" s="152" t="s">
        <v>153</v>
      </c>
    </row>
    <row r="2" spans="1:3">
      <c r="A2" s="8">
        <v>2</v>
      </c>
      <c r="B2" s="152">
        <v>2300100</v>
      </c>
      <c r="C2" s="152" t="s">
        <v>548</v>
      </c>
    </row>
    <row r="3" spans="1:3">
      <c r="A3" s="8">
        <v>3</v>
      </c>
      <c r="B3" s="152">
        <v>2310100</v>
      </c>
      <c r="C3" s="152" t="s">
        <v>550</v>
      </c>
    </row>
    <row r="4" spans="1:3">
      <c r="A4" s="8">
        <v>4</v>
      </c>
      <c r="B4" s="152">
        <v>2310200</v>
      </c>
      <c r="C4" s="152" t="s">
        <v>551</v>
      </c>
    </row>
    <row r="5" spans="1:3">
      <c r="A5" s="8">
        <v>5</v>
      </c>
      <c r="B5" s="152">
        <v>2310300</v>
      </c>
      <c r="C5" s="152" t="s">
        <v>552</v>
      </c>
    </row>
    <row r="6" spans="1:3">
      <c r="A6" s="8">
        <v>6</v>
      </c>
      <c r="B6" s="152">
        <v>2310400</v>
      </c>
      <c r="C6" s="152" t="s">
        <v>553</v>
      </c>
    </row>
    <row r="7" spans="1:3">
      <c r="A7" s="8">
        <v>7</v>
      </c>
      <c r="B7" s="152">
        <v>2310430</v>
      </c>
      <c r="C7" s="152" t="s">
        <v>555</v>
      </c>
    </row>
    <row r="8" spans="1:3">
      <c r="A8" s="8">
        <v>8</v>
      </c>
      <c r="B8" s="152">
        <v>2310440</v>
      </c>
      <c r="C8" s="152" t="s">
        <v>33</v>
      </c>
    </row>
    <row r="9" spans="1:3">
      <c r="A9" s="8">
        <v>9</v>
      </c>
      <c r="B9" s="152">
        <v>2310460</v>
      </c>
      <c r="C9" s="152" t="s">
        <v>559</v>
      </c>
    </row>
    <row r="10" spans="1:3">
      <c r="A10" s="8">
        <v>10</v>
      </c>
      <c r="B10" s="152">
        <v>2310470</v>
      </c>
      <c r="C10" s="152" t="s">
        <v>150</v>
      </c>
    </row>
    <row r="11" spans="1:3">
      <c r="A11" s="8">
        <v>11</v>
      </c>
      <c r="B11" s="152">
        <v>2311000</v>
      </c>
      <c r="C11" s="152" t="s">
        <v>560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I1000"/>
  <sheetViews>
    <sheetView workbookViewId="0"/>
  </sheetViews>
  <sheetFormatPr baseColWidth="10" defaultColWidth="14.42578125" defaultRowHeight="15" customHeight="1"/>
  <cols>
    <col min="1" max="1" width="10.7109375" customWidth="1"/>
    <col min="2" max="2" width="18" customWidth="1"/>
    <col min="3" max="7" width="10.7109375" customWidth="1"/>
    <col min="8" max="8" width="17.5703125" customWidth="1"/>
    <col min="9" max="9" width="15.28515625" customWidth="1"/>
  </cols>
  <sheetData>
    <row r="1" spans="2:9">
      <c r="B1" s="155" t="s">
        <v>604</v>
      </c>
      <c r="C1" s="156" t="s">
        <v>148</v>
      </c>
    </row>
    <row r="2" spans="2:9">
      <c r="B2" s="157" t="s">
        <v>605</v>
      </c>
      <c r="C2" s="158">
        <v>6427327</v>
      </c>
    </row>
    <row r="3" spans="2:9">
      <c r="B3" s="157" t="s">
        <v>610</v>
      </c>
      <c r="C3" s="158">
        <v>2570930</v>
      </c>
      <c r="D3" s="2" t="s">
        <v>611</v>
      </c>
    </row>
    <row r="4" spans="2:9">
      <c r="B4" s="157" t="s">
        <v>612</v>
      </c>
      <c r="C4" s="158"/>
    </row>
    <row r="5" spans="2:9">
      <c r="B5" s="159" t="s">
        <v>613</v>
      </c>
      <c r="C5" s="160">
        <f>SUM(C2:C4)</f>
        <v>8998257</v>
      </c>
      <c r="H5" s="247" t="s">
        <v>160</v>
      </c>
      <c r="I5" s="248" t="s">
        <v>634</v>
      </c>
    </row>
    <row r="6" spans="2:9" ht="15" customHeight="1">
      <c r="H6" s="249"/>
      <c r="I6" s="264">
        <v>14</v>
      </c>
    </row>
    <row r="7" spans="2:9" ht="15" customHeight="1">
      <c r="H7" s="250" t="s">
        <v>84</v>
      </c>
      <c r="I7" s="265">
        <v>65</v>
      </c>
    </row>
    <row r="8" spans="2:9" ht="15" customHeight="1">
      <c r="H8" s="250" t="s">
        <v>48</v>
      </c>
      <c r="I8" s="265">
        <v>91</v>
      </c>
    </row>
    <row r="9" spans="2:9" ht="15" customHeight="1">
      <c r="H9" s="251" t="s">
        <v>2070</v>
      </c>
      <c r="I9" s="266">
        <v>170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N1000"/>
  <sheetViews>
    <sheetView workbookViewId="0"/>
  </sheetViews>
  <sheetFormatPr baseColWidth="10" defaultColWidth="14.42578125" defaultRowHeight="15" customHeight="1"/>
  <cols>
    <col min="1" max="1" width="16.140625" customWidth="1"/>
    <col min="2" max="2" width="21.85546875" customWidth="1"/>
    <col min="3" max="3" width="15.7109375" customWidth="1"/>
    <col min="4" max="4" width="17.5703125" customWidth="1"/>
    <col min="5" max="5" width="20.7109375" customWidth="1"/>
    <col min="6" max="6" width="6.5703125" customWidth="1"/>
    <col min="7" max="7" width="6.85546875" customWidth="1"/>
    <col min="8" max="8" width="29.5703125" customWidth="1"/>
    <col min="9" max="9" width="24.85546875" customWidth="1"/>
    <col min="10" max="10" width="85.5703125" customWidth="1"/>
    <col min="11" max="11" width="10.140625" customWidth="1"/>
    <col min="12" max="12" width="10.42578125" customWidth="1"/>
    <col min="13" max="13" width="11" customWidth="1"/>
    <col min="14" max="14" width="11.5703125" customWidth="1"/>
  </cols>
  <sheetData>
    <row r="1" spans="1:14">
      <c r="A1" s="161" t="s">
        <v>684</v>
      </c>
      <c r="B1" s="161" t="s">
        <v>689</v>
      </c>
      <c r="C1" s="162" t="s">
        <v>690</v>
      </c>
      <c r="D1" s="162" t="s">
        <v>691</v>
      </c>
      <c r="E1" s="162" t="s">
        <v>692</v>
      </c>
      <c r="F1" s="162" t="s">
        <v>693</v>
      </c>
      <c r="G1" s="162" t="s">
        <v>694</v>
      </c>
      <c r="H1" s="162" t="s">
        <v>695</v>
      </c>
      <c r="I1" s="162" t="s">
        <v>696</v>
      </c>
      <c r="J1" s="162" t="s">
        <v>697</v>
      </c>
      <c r="K1" s="162" t="s">
        <v>698</v>
      </c>
      <c r="L1" s="162" t="s">
        <v>699</v>
      </c>
      <c r="M1" s="162" t="s">
        <v>700</v>
      </c>
      <c r="N1" s="162" t="s">
        <v>701</v>
      </c>
    </row>
    <row r="2" spans="1:14">
      <c r="A2" s="149">
        <v>2656</v>
      </c>
      <c r="B2" s="43">
        <v>1000774068</v>
      </c>
      <c r="C2" s="42" t="s">
        <v>561</v>
      </c>
      <c r="D2" s="42" t="s">
        <v>562</v>
      </c>
      <c r="E2" s="42" t="s">
        <v>563</v>
      </c>
      <c r="F2" s="42">
        <v>407</v>
      </c>
      <c r="G2" s="42">
        <v>9</v>
      </c>
      <c r="H2" s="42" t="s">
        <v>146</v>
      </c>
      <c r="I2" s="42">
        <v>2310470</v>
      </c>
      <c r="J2" s="42" t="s">
        <v>477</v>
      </c>
      <c r="K2" s="42">
        <v>0</v>
      </c>
      <c r="L2" s="42">
        <v>0</v>
      </c>
      <c r="M2" s="42">
        <v>0</v>
      </c>
      <c r="N2" s="42">
        <v>0</v>
      </c>
    </row>
    <row r="3" spans="1:14">
      <c r="A3" s="149">
        <v>2685</v>
      </c>
      <c r="B3" s="43">
        <v>1001170136</v>
      </c>
      <c r="C3" s="42" t="s">
        <v>445</v>
      </c>
      <c r="D3" s="42" t="s">
        <v>445</v>
      </c>
      <c r="E3" s="42" t="s">
        <v>566</v>
      </c>
      <c r="F3" s="42">
        <v>314</v>
      </c>
      <c r="G3" s="42">
        <v>15</v>
      </c>
      <c r="H3" s="42" t="s">
        <v>517</v>
      </c>
      <c r="I3" s="42">
        <v>2310450</v>
      </c>
      <c r="J3" s="42" t="s">
        <v>568</v>
      </c>
      <c r="K3" s="42">
        <v>0</v>
      </c>
      <c r="L3" s="42">
        <v>0</v>
      </c>
      <c r="M3" s="42">
        <v>0</v>
      </c>
      <c r="N3" s="42">
        <v>0</v>
      </c>
    </row>
    <row r="4" spans="1:14">
      <c r="A4" s="149">
        <v>2537</v>
      </c>
      <c r="B4" s="43">
        <v>1010176886</v>
      </c>
      <c r="C4" s="42" t="s">
        <v>624</v>
      </c>
      <c r="D4" s="42" t="s">
        <v>625</v>
      </c>
      <c r="E4" s="42" t="s">
        <v>626</v>
      </c>
      <c r="F4" s="42">
        <v>314</v>
      </c>
      <c r="G4" s="42">
        <v>15</v>
      </c>
      <c r="H4" s="42" t="s">
        <v>517</v>
      </c>
      <c r="I4" s="42">
        <v>2310440</v>
      </c>
      <c r="J4" s="42" t="s">
        <v>628</v>
      </c>
      <c r="K4" s="42">
        <v>3</v>
      </c>
      <c r="L4" s="42">
        <v>0</v>
      </c>
      <c r="M4" s="42">
        <v>0</v>
      </c>
      <c r="N4" s="42">
        <v>0</v>
      </c>
    </row>
    <row r="5" spans="1:14">
      <c r="A5" s="149">
        <v>2663</v>
      </c>
      <c r="B5" s="43">
        <v>1010220018</v>
      </c>
      <c r="C5" s="42" t="s">
        <v>645</v>
      </c>
      <c r="D5" s="42" t="s">
        <v>646</v>
      </c>
      <c r="E5" s="42" t="s">
        <v>647</v>
      </c>
      <c r="F5" s="42">
        <v>314</v>
      </c>
      <c r="G5" s="42">
        <v>9</v>
      </c>
      <c r="H5" s="42" t="s">
        <v>517</v>
      </c>
      <c r="I5" s="42">
        <v>2310460</v>
      </c>
      <c r="J5" s="42" t="s">
        <v>709</v>
      </c>
      <c r="K5" s="42">
        <v>0</v>
      </c>
      <c r="L5" s="42">
        <v>0</v>
      </c>
      <c r="M5" s="42">
        <v>0</v>
      </c>
      <c r="N5" s="42">
        <v>0</v>
      </c>
    </row>
    <row r="6" spans="1:14">
      <c r="A6" s="149">
        <v>2555</v>
      </c>
      <c r="B6" s="43">
        <v>1012339868</v>
      </c>
      <c r="C6" s="42" t="s">
        <v>650</v>
      </c>
      <c r="D6" s="42" t="s">
        <v>533</v>
      </c>
      <c r="E6" s="42" t="s">
        <v>651</v>
      </c>
      <c r="F6" s="42">
        <v>407</v>
      </c>
      <c r="G6" s="42">
        <v>17</v>
      </c>
      <c r="H6" s="42" t="s">
        <v>146</v>
      </c>
      <c r="I6" s="42">
        <v>2311000</v>
      </c>
      <c r="J6" s="42" t="s">
        <v>710</v>
      </c>
      <c r="K6" s="42">
        <v>3</v>
      </c>
      <c r="L6" s="42">
        <v>0</v>
      </c>
      <c r="M6" s="42">
        <v>0</v>
      </c>
      <c r="N6" s="42">
        <v>0</v>
      </c>
    </row>
    <row r="7" spans="1:14">
      <c r="A7" s="149">
        <v>2655</v>
      </c>
      <c r="B7" s="43">
        <v>1012367914</v>
      </c>
      <c r="C7" s="42" t="s">
        <v>653</v>
      </c>
      <c r="D7" s="42" t="s">
        <v>654</v>
      </c>
      <c r="E7" s="42" t="s">
        <v>655</v>
      </c>
      <c r="F7" s="42">
        <v>407</v>
      </c>
      <c r="G7" s="42">
        <v>15</v>
      </c>
      <c r="H7" s="42" t="s">
        <v>146</v>
      </c>
      <c r="I7" s="42">
        <v>2311000</v>
      </c>
      <c r="J7" s="42" t="s">
        <v>710</v>
      </c>
      <c r="K7" s="42">
        <v>0</v>
      </c>
      <c r="L7" s="42">
        <v>0</v>
      </c>
      <c r="M7" s="42">
        <v>0</v>
      </c>
      <c r="N7" s="42">
        <v>0</v>
      </c>
    </row>
    <row r="8" spans="1:14">
      <c r="A8" s="149">
        <v>2621</v>
      </c>
      <c r="B8" s="43">
        <v>1013608357</v>
      </c>
      <c r="C8" s="42" t="s">
        <v>670</v>
      </c>
      <c r="D8" s="42" t="s">
        <v>538</v>
      </c>
      <c r="E8" s="42" t="s">
        <v>671</v>
      </c>
      <c r="F8" s="42">
        <v>219</v>
      </c>
      <c r="G8" s="42">
        <v>18</v>
      </c>
      <c r="H8" s="42" t="s">
        <v>72</v>
      </c>
      <c r="I8" s="42">
        <v>2310440</v>
      </c>
      <c r="J8" s="42" t="s">
        <v>628</v>
      </c>
      <c r="K8" s="42">
        <v>0</v>
      </c>
      <c r="L8" s="42">
        <v>0</v>
      </c>
      <c r="M8" s="42">
        <v>40</v>
      </c>
      <c r="N8" s="42">
        <v>0</v>
      </c>
    </row>
    <row r="9" spans="1:14">
      <c r="A9" s="149">
        <v>2673</v>
      </c>
      <c r="B9" s="43">
        <v>1014212093</v>
      </c>
      <c r="C9" s="42" t="s">
        <v>676</v>
      </c>
      <c r="D9" s="42" t="s">
        <v>677</v>
      </c>
      <c r="E9" s="42" t="s">
        <v>678</v>
      </c>
      <c r="F9" s="42">
        <v>219</v>
      </c>
      <c r="G9" s="42">
        <v>1</v>
      </c>
      <c r="H9" s="42" t="s">
        <v>72</v>
      </c>
      <c r="I9" s="42">
        <v>2310450</v>
      </c>
      <c r="J9" s="42" t="s">
        <v>568</v>
      </c>
      <c r="K9" s="42">
        <v>0</v>
      </c>
      <c r="L9" s="42">
        <v>0</v>
      </c>
      <c r="M9" s="42">
        <v>40</v>
      </c>
      <c r="N9" s="42">
        <v>0</v>
      </c>
    </row>
    <row r="10" spans="1:14">
      <c r="A10" s="149">
        <v>2543</v>
      </c>
      <c r="B10" s="43">
        <v>1015393324</v>
      </c>
      <c r="C10" s="42" t="s">
        <v>538</v>
      </c>
      <c r="D10" s="42" t="s">
        <v>685</v>
      </c>
      <c r="E10" s="42" t="s">
        <v>686</v>
      </c>
      <c r="F10" s="42">
        <v>219</v>
      </c>
      <c r="G10" s="42">
        <v>10</v>
      </c>
      <c r="H10" s="42" t="s">
        <v>72</v>
      </c>
      <c r="I10" s="42">
        <v>2310470</v>
      </c>
      <c r="J10" s="42" t="s">
        <v>477</v>
      </c>
      <c r="K10" s="42">
        <v>3</v>
      </c>
      <c r="L10" s="42">
        <v>0</v>
      </c>
      <c r="M10" s="42">
        <v>40</v>
      </c>
      <c r="N10" s="42">
        <v>0</v>
      </c>
    </row>
    <row r="11" spans="1:14">
      <c r="A11" s="149">
        <v>2689</v>
      </c>
      <c r="B11" s="43">
        <v>1015406682</v>
      </c>
      <c r="C11" s="42" t="s">
        <v>446</v>
      </c>
      <c r="D11" s="42" t="s">
        <v>702</v>
      </c>
      <c r="E11" s="42" t="s">
        <v>703</v>
      </c>
      <c r="F11" s="42">
        <v>9</v>
      </c>
      <c r="G11" s="42">
        <v>7</v>
      </c>
      <c r="H11" s="42" t="s">
        <v>512</v>
      </c>
      <c r="I11" s="42">
        <v>2310450</v>
      </c>
      <c r="J11" s="42" t="s">
        <v>568</v>
      </c>
      <c r="K11" s="42">
        <v>0</v>
      </c>
      <c r="L11" s="42">
        <v>0</v>
      </c>
      <c r="M11" s="42">
        <v>50</v>
      </c>
      <c r="N11" s="42">
        <v>0</v>
      </c>
    </row>
    <row r="12" spans="1:14">
      <c r="A12" s="149">
        <v>2632</v>
      </c>
      <c r="B12" s="43">
        <v>1015409873</v>
      </c>
      <c r="C12" s="42" t="s">
        <v>706</v>
      </c>
      <c r="D12" s="42" t="s">
        <v>538</v>
      </c>
      <c r="E12" s="42" t="s">
        <v>707</v>
      </c>
      <c r="F12" s="42">
        <v>314</v>
      </c>
      <c r="G12" s="42">
        <v>15</v>
      </c>
      <c r="H12" s="42" t="s">
        <v>517</v>
      </c>
      <c r="I12" s="42">
        <v>2310470</v>
      </c>
      <c r="J12" s="42" t="s">
        <v>477</v>
      </c>
      <c r="K12" s="42">
        <v>0</v>
      </c>
      <c r="L12" s="42">
        <v>0</v>
      </c>
      <c r="M12" s="42">
        <v>0</v>
      </c>
      <c r="N12" s="42">
        <v>0</v>
      </c>
    </row>
    <row r="13" spans="1:14">
      <c r="A13" s="149">
        <v>2418</v>
      </c>
      <c r="B13" s="43">
        <v>1015419295</v>
      </c>
      <c r="C13" s="42" t="s">
        <v>711</v>
      </c>
      <c r="D13" s="42" t="s">
        <v>712</v>
      </c>
      <c r="E13" s="42" t="s">
        <v>713</v>
      </c>
      <c r="F13" s="42">
        <v>219</v>
      </c>
      <c r="G13" s="42">
        <v>15</v>
      </c>
      <c r="H13" s="42" t="s">
        <v>72</v>
      </c>
      <c r="I13" s="42">
        <v>2310450</v>
      </c>
      <c r="J13" s="42" t="s">
        <v>568</v>
      </c>
      <c r="K13" s="42">
        <v>3</v>
      </c>
      <c r="L13" s="42">
        <v>0</v>
      </c>
      <c r="M13" s="42">
        <v>30.4</v>
      </c>
      <c r="N13" s="42">
        <v>0</v>
      </c>
    </row>
    <row r="14" spans="1:14">
      <c r="A14" s="149">
        <v>2545</v>
      </c>
      <c r="B14" s="43">
        <v>1015425376</v>
      </c>
      <c r="C14" s="42" t="s">
        <v>717</v>
      </c>
      <c r="D14" s="42" t="s">
        <v>445</v>
      </c>
      <c r="E14" s="42" t="s">
        <v>719</v>
      </c>
      <c r="F14" s="42">
        <v>219</v>
      </c>
      <c r="G14" s="42">
        <v>10</v>
      </c>
      <c r="H14" s="42" t="s">
        <v>72</v>
      </c>
      <c r="I14" s="42">
        <v>2310450</v>
      </c>
      <c r="J14" s="42" t="s">
        <v>568</v>
      </c>
      <c r="K14" s="42">
        <v>3</v>
      </c>
      <c r="L14" s="42">
        <v>0</v>
      </c>
      <c r="M14" s="42">
        <v>33.6</v>
      </c>
      <c r="N14" s="42">
        <v>0</v>
      </c>
    </row>
    <row r="15" spans="1:14">
      <c r="A15" s="149">
        <v>2687</v>
      </c>
      <c r="B15" s="43">
        <v>1015438831</v>
      </c>
      <c r="C15" s="42" t="s">
        <v>721</v>
      </c>
      <c r="D15" s="42" t="s">
        <v>722</v>
      </c>
      <c r="E15" s="42" t="s">
        <v>723</v>
      </c>
      <c r="F15" s="42">
        <v>314</v>
      </c>
      <c r="G15" s="42">
        <v>15</v>
      </c>
      <c r="H15" s="42" t="s">
        <v>517</v>
      </c>
      <c r="I15" s="42">
        <v>2310450</v>
      </c>
      <c r="J15" s="42" t="s">
        <v>568</v>
      </c>
      <c r="K15" s="42">
        <v>0</v>
      </c>
      <c r="L15" s="42">
        <v>0</v>
      </c>
      <c r="M15" s="42">
        <v>0</v>
      </c>
      <c r="N15" s="42">
        <v>0</v>
      </c>
    </row>
    <row r="16" spans="1:14">
      <c r="A16" s="149">
        <v>2534</v>
      </c>
      <c r="B16" s="43">
        <v>1018409494</v>
      </c>
      <c r="C16" s="42" t="s">
        <v>725</v>
      </c>
      <c r="D16" s="42" t="s">
        <v>645</v>
      </c>
      <c r="E16" s="42" t="s">
        <v>726</v>
      </c>
      <c r="F16" s="42">
        <v>219</v>
      </c>
      <c r="G16" s="42">
        <v>18</v>
      </c>
      <c r="H16" s="42" t="s">
        <v>72</v>
      </c>
      <c r="I16" s="42">
        <v>2310470</v>
      </c>
      <c r="J16" s="42" t="s">
        <v>477</v>
      </c>
      <c r="K16" s="42">
        <v>3</v>
      </c>
      <c r="L16" s="42">
        <v>0</v>
      </c>
      <c r="M16" s="42">
        <v>40</v>
      </c>
      <c r="N16" s="42">
        <v>0</v>
      </c>
    </row>
    <row r="17" spans="1:14">
      <c r="A17" s="149">
        <v>2683</v>
      </c>
      <c r="B17" s="43">
        <v>1018423025</v>
      </c>
      <c r="C17" s="42" t="s">
        <v>727</v>
      </c>
      <c r="D17" s="42" t="s">
        <v>728</v>
      </c>
      <c r="E17" s="42" t="s">
        <v>729</v>
      </c>
      <c r="F17" s="42">
        <v>9</v>
      </c>
      <c r="G17" s="42">
        <v>7</v>
      </c>
      <c r="H17" s="42" t="s">
        <v>512</v>
      </c>
      <c r="I17" s="42">
        <v>2300100</v>
      </c>
      <c r="J17" s="42" t="s">
        <v>730</v>
      </c>
      <c r="K17" s="42">
        <v>0</v>
      </c>
      <c r="L17" s="42">
        <v>0</v>
      </c>
      <c r="M17" s="42">
        <v>50</v>
      </c>
      <c r="N17" s="42">
        <v>0</v>
      </c>
    </row>
    <row r="18" spans="1:14">
      <c r="A18" s="149">
        <v>2424</v>
      </c>
      <c r="B18" s="43">
        <v>1018435583</v>
      </c>
      <c r="C18" s="42" t="s">
        <v>733</v>
      </c>
      <c r="D18" s="42" t="s">
        <v>734</v>
      </c>
      <c r="E18" s="42" t="s">
        <v>736</v>
      </c>
      <c r="F18" s="42">
        <v>222</v>
      </c>
      <c r="G18" s="42">
        <v>19</v>
      </c>
      <c r="H18" s="42" t="s">
        <v>51</v>
      </c>
      <c r="I18" s="42">
        <v>2310450</v>
      </c>
      <c r="J18" s="42" t="s">
        <v>568</v>
      </c>
      <c r="K18" s="42">
        <v>3</v>
      </c>
      <c r="L18" s="42">
        <v>0</v>
      </c>
      <c r="M18" s="42">
        <v>40</v>
      </c>
      <c r="N18" s="42">
        <v>0</v>
      </c>
    </row>
    <row r="19" spans="1:14">
      <c r="A19" s="149">
        <v>2566</v>
      </c>
      <c r="B19" s="43">
        <v>1018482333</v>
      </c>
      <c r="C19" s="42" t="s">
        <v>478</v>
      </c>
      <c r="D19" s="42" t="s">
        <v>737</v>
      </c>
      <c r="E19" s="42" t="s">
        <v>738</v>
      </c>
      <c r="F19" s="42">
        <v>219</v>
      </c>
      <c r="G19" s="42">
        <v>15</v>
      </c>
      <c r="H19" s="42" t="s">
        <v>72</v>
      </c>
      <c r="I19" s="42">
        <v>2311000</v>
      </c>
      <c r="J19" s="42" t="s">
        <v>710</v>
      </c>
      <c r="K19" s="42">
        <v>3</v>
      </c>
      <c r="L19" s="42">
        <v>0</v>
      </c>
      <c r="M19" s="42">
        <v>40</v>
      </c>
      <c r="N19" s="42">
        <v>0</v>
      </c>
    </row>
    <row r="20" spans="1:14">
      <c r="A20" s="149">
        <v>2696</v>
      </c>
      <c r="B20" s="43">
        <v>1018499480</v>
      </c>
      <c r="C20" s="42" t="s">
        <v>740</v>
      </c>
      <c r="D20" s="42" t="s">
        <v>741</v>
      </c>
      <c r="E20" s="42" t="s">
        <v>743</v>
      </c>
      <c r="F20" s="42">
        <v>314</v>
      </c>
      <c r="G20" s="42">
        <v>15</v>
      </c>
      <c r="H20" s="42" t="s">
        <v>517</v>
      </c>
      <c r="I20" s="42">
        <v>2310440</v>
      </c>
      <c r="J20" s="42" t="s">
        <v>628</v>
      </c>
      <c r="K20" s="42">
        <v>0</v>
      </c>
      <c r="L20" s="42">
        <v>0</v>
      </c>
      <c r="M20" s="42">
        <v>0</v>
      </c>
      <c r="N20" s="42">
        <v>0</v>
      </c>
    </row>
    <row r="21" spans="1:14" ht="15.75" customHeight="1">
      <c r="A21" s="149">
        <v>2648</v>
      </c>
      <c r="B21" s="43">
        <v>1019058729</v>
      </c>
      <c r="C21" s="42" t="s">
        <v>744</v>
      </c>
      <c r="D21" s="42" t="s">
        <v>745</v>
      </c>
      <c r="E21" s="42" t="s">
        <v>746</v>
      </c>
      <c r="F21" s="42">
        <v>222</v>
      </c>
      <c r="G21" s="42">
        <v>24</v>
      </c>
      <c r="H21" s="42" t="s">
        <v>51</v>
      </c>
      <c r="I21" s="42">
        <v>2310450</v>
      </c>
      <c r="J21" s="42" t="s">
        <v>568</v>
      </c>
      <c r="K21" s="42">
        <v>0</v>
      </c>
      <c r="L21" s="42">
        <v>0</v>
      </c>
      <c r="M21" s="42">
        <v>40</v>
      </c>
      <c r="N21" s="42">
        <v>0</v>
      </c>
    </row>
    <row r="22" spans="1:14" ht="15.75" customHeight="1">
      <c r="A22" s="149">
        <v>2703</v>
      </c>
      <c r="B22" s="43">
        <v>1020810401</v>
      </c>
      <c r="C22" s="42" t="s">
        <v>749</v>
      </c>
      <c r="D22" s="42" t="s">
        <v>722</v>
      </c>
      <c r="E22" s="42" t="s">
        <v>750</v>
      </c>
      <c r="F22" s="42">
        <v>105</v>
      </c>
      <c r="G22" s="42">
        <v>5</v>
      </c>
      <c r="H22" s="42" t="s">
        <v>26</v>
      </c>
      <c r="I22" s="42">
        <v>2300100</v>
      </c>
      <c r="J22" s="42" t="s">
        <v>730</v>
      </c>
      <c r="K22" s="42">
        <v>0</v>
      </c>
      <c r="L22" s="42">
        <v>0</v>
      </c>
      <c r="M22" s="42">
        <v>50</v>
      </c>
      <c r="N22" s="42">
        <v>0</v>
      </c>
    </row>
    <row r="23" spans="1:14" ht="15.75" customHeight="1">
      <c r="A23" s="149">
        <v>2697</v>
      </c>
      <c r="B23" s="43">
        <v>1020837889</v>
      </c>
      <c r="C23" s="42" t="s">
        <v>751</v>
      </c>
      <c r="D23" s="42" t="s">
        <v>752</v>
      </c>
      <c r="E23" s="42" t="s">
        <v>754</v>
      </c>
      <c r="F23" s="42">
        <v>219</v>
      </c>
      <c r="G23" s="42">
        <v>1</v>
      </c>
      <c r="H23" s="42" t="s">
        <v>72</v>
      </c>
      <c r="I23" s="42">
        <v>2310470</v>
      </c>
      <c r="J23" s="42" t="s">
        <v>477</v>
      </c>
      <c r="K23" s="42">
        <v>0</v>
      </c>
      <c r="L23" s="42">
        <v>0</v>
      </c>
      <c r="M23" s="42">
        <v>11.5</v>
      </c>
      <c r="N23" s="42">
        <v>0</v>
      </c>
    </row>
    <row r="24" spans="1:14" ht="15.75" customHeight="1">
      <c r="A24" s="149">
        <v>2541</v>
      </c>
      <c r="B24" s="43">
        <v>1022362951</v>
      </c>
      <c r="C24" s="42" t="s">
        <v>755</v>
      </c>
      <c r="D24" s="42" t="s">
        <v>756</v>
      </c>
      <c r="E24" s="42" t="s">
        <v>757</v>
      </c>
      <c r="F24" s="42">
        <v>219</v>
      </c>
      <c r="G24" s="42">
        <v>8</v>
      </c>
      <c r="H24" s="42" t="s">
        <v>72</v>
      </c>
      <c r="I24" s="42">
        <v>2310470</v>
      </c>
      <c r="J24" s="42" t="s">
        <v>477</v>
      </c>
      <c r="K24" s="42">
        <v>3</v>
      </c>
      <c r="L24" s="42">
        <v>0</v>
      </c>
      <c r="M24" s="42">
        <v>33.6</v>
      </c>
      <c r="N24" s="42">
        <v>0</v>
      </c>
    </row>
    <row r="25" spans="1:14" ht="15.75" customHeight="1">
      <c r="A25" s="149">
        <v>2628</v>
      </c>
      <c r="B25" s="43">
        <v>1023894175</v>
      </c>
      <c r="C25" s="42" t="s">
        <v>758</v>
      </c>
      <c r="D25" s="42" t="s">
        <v>759</v>
      </c>
      <c r="E25" s="42" t="s">
        <v>760</v>
      </c>
      <c r="F25" s="42">
        <v>407</v>
      </c>
      <c r="G25" s="42">
        <v>11</v>
      </c>
      <c r="H25" s="42" t="s">
        <v>146</v>
      </c>
      <c r="I25" s="42">
        <v>2310450</v>
      </c>
      <c r="J25" s="42" t="s">
        <v>568</v>
      </c>
      <c r="K25" s="42">
        <v>0</v>
      </c>
      <c r="L25" s="42">
        <v>0</v>
      </c>
      <c r="M25" s="42">
        <v>0</v>
      </c>
      <c r="N25" s="42">
        <v>0</v>
      </c>
    </row>
    <row r="26" spans="1:14" ht="15.75" customHeight="1">
      <c r="A26" s="149">
        <v>2643</v>
      </c>
      <c r="B26" s="43">
        <v>1024566898</v>
      </c>
      <c r="C26" s="42" t="s">
        <v>765</v>
      </c>
      <c r="D26" s="42" t="s">
        <v>469</v>
      </c>
      <c r="E26" s="42" t="s">
        <v>766</v>
      </c>
      <c r="F26" s="42">
        <v>314</v>
      </c>
      <c r="G26" s="42">
        <v>9</v>
      </c>
      <c r="H26" s="42" t="s">
        <v>517</v>
      </c>
      <c r="I26" s="42">
        <v>2310450</v>
      </c>
      <c r="J26" s="42" t="s">
        <v>568</v>
      </c>
      <c r="K26" s="42">
        <v>0</v>
      </c>
      <c r="L26" s="42">
        <v>0</v>
      </c>
      <c r="M26" s="42">
        <v>0</v>
      </c>
      <c r="N26" s="42">
        <v>0</v>
      </c>
    </row>
    <row r="27" spans="1:14" ht="15.75" customHeight="1">
      <c r="A27" s="149">
        <v>2613</v>
      </c>
      <c r="B27" s="43">
        <v>1030577699</v>
      </c>
      <c r="C27" s="42" t="s">
        <v>653</v>
      </c>
      <c r="D27" s="42" t="s">
        <v>469</v>
      </c>
      <c r="E27" s="42" t="s">
        <v>767</v>
      </c>
      <c r="F27" s="42">
        <v>314</v>
      </c>
      <c r="G27" s="42">
        <v>15</v>
      </c>
      <c r="H27" s="42" t="s">
        <v>517</v>
      </c>
      <c r="I27" s="42">
        <v>2310460</v>
      </c>
      <c r="J27" s="42" t="s">
        <v>709</v>
      </c>
      <c r="K27" s="42">
        <v>3</v>
      </c>
      <c r="L27" s="42">
        <v>0</v>
      </c>
      <c r="M27" s="42">
        <v>0</v>
      </c>
      <c r="N27" s="42">
        <v>0</v>
      </c>
    </row>
    <row r="28" spans="1:14" ht="15.75" customHeight="1">
      <c r="A28" s="149">
        <v>2698</v>
      </c>
      <c r="B28" s="43">
        <v>1030597508</v>
      </c>
      <c r="C28" s="42" t="s">
        <v>479</v>
      </c>
      <c r="D28" s="42" t="s">
        <v>673</v>
      </c>
      <c r="E28" s="42" t="s">
        <v>768</v>
      </c>
      <c r="F28" s="42">
        <v>440</v>
      </c>
      <c r="G28" s="42">
        <v>9</v>
      </c>
      <c r="H28" s="42" t="s">
        <v>29</v>
      </c>
      <c r="I28" s="42">
        <v>2311000</v>
      </c>
      <c r="J28" s="42" t="s">
        <v>710</v>
      </c>
      <c r="K28" s="42">
        <v>0</v>
      </c>
      <c r="L28" s="42">
        <v>0</v>
      </c>
      <c r="M28" s="42">
        <v>0</v>
      </c>
      <c r="N28" s="42">
        <v>2</v>
      </c>
    </row>
    <row r="29" spans="1:14" ht="15.75" customHeight="1">
      <c r="A29" s="149">
        <v>2488</v>
      </c>
      <c r="B29" s="43">
        <v>1030602070</v>
      </c>
      <c r="C29" s="42" t="s">
        <v>773</v>
      </c>
      <c r="D29" s="42" t="s">
        <v>774</v>
      </c>
      <c r="E29" s="42" t="s">
        <v>775</v>
      </c>
      <c r="F29" s="42">
        <v>314</v>
      </c>
      <c r="G29" s="42">
        <v>20</v>
      </c>
      <c r="H29" s="42" t="s">
        <v>517</v>
      </c>
      <c r="I29" s="42">
        <v>2310200</v>
      </c>
      <c r="J29" s="42" t="s">
        <v>776</v>
      </c>
      <c r="K29" s="42">
        <v>0</v>
      </c>
      <c r="L29" s="42">
        <v>0</v>
      </c>
      <c r="M29" s="42">
        <v>0</v>
      </c>
      <c r="N29" s="42">
        <v>0</v>
      </c>
    </row>
    <row r="30" spans="1:14" ht="15.75" customHeight="1">
      <c r="A30" s="149">
        <v>2625</v>
      </c>
      <c r="B30" s="43">
        <v>1030618681</v>
      </c>
      <c r="C30" s="42" t="s">
        <v>578</v>
      </c>
      <c r="D30" s="42" t="s">
        <v>777</v>
      </c>
      <c r="E30" s="42" t="s">
        <v>778</v>
      </c>
      <c r="F30" s="42">
        <v>314</v>
      </c>
      <c r="G30" s="42">
        <v>20</v>
      </c>
      <c r="H30" s="42" t="s">
        <v>517</v>
      </c>
      <c r="I30" s="42">
        <v>2310400</v>
      </c>
      <c r="J30" s="42" t="s">
        <v>779</v>
      </c>
      <c r="K30" s="42">
        <v>0</v>
      </c>
      <c r="L30" s="42">
        <v>0</v>
      </c>
      <c r="M30" s="42">
        <v>0</v>
      </c>
      <c r="N30" s="42">
        <v>0</v>
      </c>
    </row>
    <row r="31" spans="1:14" ht="15.75" customHeight="1">
      <c r="A31" s="149">
        <v>2694</v>
      </c>
      <c r="B31" s="43">
        <v>1032360948</v>
      </c>
      <c r="C31" s="42" t="s">
        <v>561</v>
      </c>
      <c r="D31" s="42" t="s">
        <v>780</v>
      </c>
      <c r="E31" s="42" t="s">
        <v>781</v>
      </c>
      <c r="F31" s="42">
        <v>9</v>
      </c>
      <c r="G31" s="42">
        <v>7</v>
      </c>
      <c r="H31" s="42" t="s">
        <v>512</v>
      </c>
      <c r="I31" s="42">
        <v>2310430</v>
      </c>
      <c r="J31" s="42" t="s">
        <v>782</v>
      </c>
      <c r="K31" s="42">
        <v>0</v>
      </c>
      <c r="L31" s="42">
        <v>0</v>
      </c>
      <c r="M31" s="42">
        <v>50</v>
      </c>
      <c r="N31" s="42">
        <v>0</v>
      </c>
    </row>
    <row r="32" spans="1:14" ht="15.75" customHeight="1">
      <c r="A32" s="149">
        <v>2578</v>
      </c>
      <c r="B32" s="43">
        <v>1032366723</v>
      </c>
      <c r="C32" s="42" t="s">
        <v>783</v>
      </c>
      <c r="D32" s="42" t="s">
        <v>784</v>
      </c>
      <c r="E32" s="42" t="s">
        <v>785</v>
      </c>
      <c r="F32" s="42">
        <v>6</v>
      </c>
      <c r="G32" s="42">
        <v>6</v>
      </c>
      <c r="H32" s="42" t="s">
        <v>28</v>
      </c>
      <c r="I32" s="42">
        <v>2310100</v>
      </c>
      <c r="J32" s="42" t="s">
        <v>788</v>
      </c>
      <c r="K32" s="42">
        <v>3</v>
      </c>
      <c r="L32" s="42">
        <v>0</v>
      </c>
      <c r="M32" s="42">
        <v>50</v>
      </c>
      <c r="N32" s="42">
        <v>0</v>
      </c>
    </row>
    <row r="33" spans="1:14" ht="15.75" customHeight="1">
      <c r="A33" s="149">
        <v>2554</v>
      </c>
      <c r="B33" s="43">
        <v>1032448684</v>
      </c>
      <c r="C33" s="42" t="s">
        <v>445</v>
      </c>
      <c r="D33" s="42" t="s">
        <v>790</v>
      </c>
      <c r="E33" s="42" t="s">
        <v>791</v>
      </c>
      <c r="F33" s="42">
        <v>222</v>
      </c>
      <c r="G33" s="42">
        <v>21</v>
      </c>
      <c r="H33" s="42" t="s">
        <v>51</v>
      </c>
      <c r="I33" s="42">
        <v>2311000</v>
      </c>
      <c r="J33" s="42" t="s">
        <v>710</v>
      </c>
      <c r="K33" s="42">
        <v>3</v>
      </c>
      <c r="L33" s="42">
        <v>0</v>
      </c>
      <c r="M33" s="42">
        <v>40</v>
      </c>
      <c r="N33" s="42">
        <v>0</v>
      </c>
    </row>
    <row r="34" spans="1:14" ht="15.75" customHeight="1">
      <c r="A34" s="149">
        <v>2564</v>
      </c>
      <c r="B34" s="43">
        <v>1032479676</v>
      </c>
      <c r="C34" s="42" t="s">
        <v>711</v>
      </c>
      <c r="D34" s="42" t="s">
        <v>792</v>
      </c>
      <c r="E34" s="42" t="s">
        <v>793</v>
      </c>
      <c r="F34" s="42">
        <v>219</v>
      </c>
      <c r="G34" s="42">
        <v>15</v>
      </c>
      <c r="H34" s="42" t="s">
        <v>72</v>
      </c>
      <c r="I34" s="42">
        <v>2310470</v>
      </c>
      <c r="J34" s="42" t="s">
        <v>477</v>
      </c>
      <c r="K34" s="42">
        <v>3</v>
      </c>
      <c r="L34" s="42">
        <v>0</v>
      </c>
      <c r="M34" s="42">
        <v>40</v>
      </c>
      <c r="N34" s="42">
        <v>0</v>
      </c>
    </row>
    <row r="35" spans="1:14" ht="15.75" customHeight="1">
      <c r="A35" s="149">
        <v>2535</v>
      </c>
      <c r="B35" s="43">
        <v>1032489040</v>
      </c>
      <c r="C35" s="42" t="s">
        <v>625</v>
      </c>
      <c r="D35" s="42" t="s">
        <v>774</v>
      </c>
      <c r="E35" s="42" t="s">
        <v>794</v>
      </c>
      <c r="F35" s="42">
        <v>219</v>
      </c>
      <c r="G35" s="42">
        <v>18</v>
      </c>
      <c r="H35" s="42" t="s">
        <v>72</v>
      </c>
      <c r="I35" s="42">
        <v>2310450</v>
      </c>
      <c r="J35" s="42" t="s">
        <v>568</v>
      </c>
      <c r="K35" s="42">
        <v>3</v>
      </c>
      <c r="L35" s="42">
        <v>0</v>
      </c>
      <c r="M35" s="42">
        <v>40</v>
      </c>
      <c r="N35" s="42">
        <v>0</v>
      </c>
    </row>
    <row r="36" spans="1:14" ht="15.75" customHeight="1">
      <c r="A36" s="149">
        <v>2651</v>
      </c>
      <c r="B36" s="43">
        <v>1033718483</v>
      </c>
      <c r="C36" s="42" t="s">
        <v>797</v>
      </c>
      <c r="D36" s="42" t="s">
        <v>774</v>
      </c>
      <c r="E36" s="42" t="s">
        <v>798</v>
      </c>
      <c r="F36" s="42">
        <v>440</v>
      </c>
      <c r="G36" s="42">
        <v>9</v>
      </c>
      <c r="H36" s="42" t="s">
        <v>29</v>
      </c>
      <c r="I36" s="42">
        <v>2311000</v>
      </c>
      <c r="J36" s="42" t="s">
        <v>710</v>
      </c>
      <c r="K36" s="42">
        <v>0</v>
      </c>
      <c r="L36" s="42">
        <v>0</v>
      </c>
      <c r="M36" s="42">
        <v>0</v>
      </c>
      <c r="N36" s="42">
        <v>2</v>
      </c>
    </row>
    <row r="37" spans="1:14" ht="15.75" customHeight="1">
      <c r="A37" s="149">
        <v>2581</v>
      </c>
      <c r="B37" s="43">
        <v>1049619617</v>
      </c>
      <c r="C37" s="42" t="s">
        <v>799</v>
      </c>
      <c r="D37" s="42" t="s">
        <v>800</v>
      </c>
      <c r="E37" s="42" t="s">
        <v>801</v>
      </c>
      <c r="F37" s="42">
        <v>219</v>
      </c>
      <c r="G37" s="42">
        <v>18</v>
      </c>
      <c r="H37" s="42" t="s">
        <v>72</v>
      </c>
      <c r="I37" s="42">
        <v>2310450</v>
      </c>
      <c r="J37" s="42" t="s">
        <v>568</v>
      </c>
      <c r="K37" s="42">
        <v>3</v>
      </c>
      <c r="L37" s="42">
        <v>0</v>
      </c>
      <c r="M37" s="42">
        <v>40</v>
      </c>
      <c r="N37" s="42">
        <v>0</v>
      </c>
    </row>
    <row r="38" spans="1:14" ht="15.75" customHeight="1">
      <c r="A38" s="149">
        <v>2611</v>
      </c>
      <c r="B38" s="43">
        <v>1064976255</v>
      </c>
      <c r="C38" s="42" t="s">
        <v>802</v>
      </c>
      <c r="D38" s="42" t="s">
        <v>803</v>
      </c>
      <c r="E38" s="42" t="s">
        <v>804</v>
      </c>
      <c r="F38" s="42">
        <v>222</v>
      </c>
      <c r="G38" s="42">
        <v>27</v>
      </c>
      <c r="H38" s="42" t="s">
        <v>51</v>
      </c>
      <c r="I38" s="42">
        <v>2310450</v>
      </c>
      <c r="J38" s="42" t="s">
        <v>568</v>
      </c>
      <c r="K38" s="42">
        <v>3</v>
      </c>
      <c r="L38" s="42">
        <v>0</v>
      </c>
      <c r="M38" s="42">
        <v>40</v>
      </c>
      <c r="N38" s="42">
        <v>0</v>
      </c>
    </row>
    <row r="39" spans="1:14" ht="15.75" customHeight="1">
      <c r="A39" s="149">
        <v>2549</v>
      </c>
      <c r="B39" s="43">
        <v>1072493406</v>
      </c>
      <c r="C39" s="42" t="s">
        <v>589</v>
      </c>
      <c r="D39" s="42" t="s">
        <v>502</v>
      </c>
      <c r="E39" s="42" t="s">
        <v>805</v>
      </c>
      <c r="F39" s="42">
        <v>314</v>
      </c>
      <c r="G39" s="42">
        <v>21</v>
      </c>
      <c r="H39" s="42" t="s">
        <v>517</v>
      </c>
      <c r="I39" s="42">
        <v>2310460</v>
      </c>
      <c r="J39" s="42" t="s">
        <v>709</v>
      </c>
      <c r="K39" s="42">
        <v>3</v>
      </c>
      <c r="L39" s="42">
        <v>0</v>
      </c>
      <c r="M39" s="42">
        <v>0</v>
      </c>
      <c r="N39" s="42">
        <v>0</v>
      </c>
    </row>
    <row r="40" spans="1:14" ht="15.75" customHeight="1">
      <c r="A40" s="149">
        <v>2550</v>
      </c>
      <c r="B40" s="43">
        <v>1073159399</v>
      </c>
      <c r="C40" s="42" t="s">
        <v>761</v>
      </c>
      <c r="D40" s="42" t="s">
        <v>808</v>
      </c>
      <c r="E40" s="42" t="s">
        <v>809</v>
      </c>
      <c r="F40" s="42">
        <v>314</v>
      </c>
      <c r="G40" s="42">
        <v>20</v>
      </c>
      <c r="H40" s="42" t="s">
        <v>517</v>
      </c>
      <c r="I40" s="42">
        <v>2310470</v>
      </c>
      <c r="J40" s="42" t="s">
        <v>477</v>
      </c>
      <c r="K40" s="42">
        <v>3</v>
      </c>
      <c r="L40" s="42">
        <v>0</v>
      </c>
      <c r="M40" s="42">
        <v>0</v>
      </c>
      <c r="N40" s="42">
        <v>0</v>
      </c>
    </row>
    <row r="41" spans="1:14" ht="15.75" customHeight="1">
      <c r="A41" s="149">
        <v>2626</v>
      </c>
      <c r="B41" s="43">
        <v>1075256570</v>
      </c>
      <c r="C41" s="42" t="s">
        <v>810</v>
      </c>
      <c r="D41" s="42" t="s">
        <v>811</v>
      </c>
      <c r="E41" s="42" t="s">
        <v>812</v>
      </c>
      <c r="F41" s="42">
        <v>470</v>
      </c>
      <c r="G41" s="42">
        <v>3</v>
      </c>
      <c r="H41" s="42" t="s">
        <v>813</v>
      </c>
      <c r="I41" s="42">
        <v>2311000</v>
      </c>
      <c r="J41" s="42" t="s">
        <v>710</v>
      </c>
      <c r="K41" s="42">
        <v>0</v>
      </c>
      <c r="L41" s="42">
        <v>0</v>
      </c>
      <c r="M41" s="42">
        <v>0</v>
      </c>
      <c r="N41" s="42">
        <v>0</v>
      </c>
    </row>
    <row r="42" spans="1:14" ht="15.75" customHeight="1">
      <c r="A42" s="149">
        <v>2669</v>
      </c>
      <c r="B42" s="43">
        <v>1085258177</v>
      </c>
      <c r="C42" s="42" t="s">
        <v>814</v>
      </c>
      <c r="D42" s="42" t="s">
        <v>815</v>
      </c>
      <c r="E42" s="42" t="s">
        <v>816</v>
      </c>
      <c r="F42" s="42">
        <v>219</v>
      </c>
      <c r="G42" s="42">
        <v>18</v>
      </c>
      <c r="H42" s="42" t="s">
        <v>72</v>
      </c>
      <c r="I42" s="42">
        <v>2310450</v>
      </c>
      <c r="J42" s="42" t="s">
        <v>568</v>
      </c>
      <c r="K42" s="42">
        <v>5</v>
      </c>
      <c r="L42" s="42">
        <v>0</v>
      </c>
      <c r="M42" s="42">
        <v>40</v>
      </c>
      <c r="N42" s="42">
        <v>0</v>
      </c>
    </row>
    <row r="43" spans="1:14" ht="15.75" customHeight="1">
      <c r="A43" s="149">
        <v>2700</v>
      </c>
      <c r="B43" s="43">
        <v>1085338624</v>
      </c>
      <c r="C43" s="42" t="s">
        <v>819</v>
      </c>
      <c r="D43" s="42" t="s">
        <v>759</v>
      </c>
      <c r="E43" s="42" t="s">
        <v>821</v>
      </c>
      <c r="F43" s="42">
        <v>314</v>
      </c>
      <c r="G43" s="42">
        <v>15</v>
      </c>
      <c r="H43" s="42" t="s">
        <v>517</v>
      </c>
      <c r="I43" s="42">
        <v>2310450</v>
      </c>
      <c r="J43" s="42" t="s">
        <v>568</v>
      </c>
      <c r="K43" s="42">
        <v>0</v>
      </c>
      <c r="L43" s="42">
        <v>0</v>
      </c>
      <c r="M43" s="42">
        <v>0</v>
      </c>
      <c r="N43" s="42">
        <v>0</v>
      </c>
    </row>
    <row r="44" spans="1:14" ht="15.75" customHeight="1">
      <c r="A44" s="149">
        <v>2695</v>
      </c>
      <c r="B44" s="43">
        <v>1098774988</v>
      </c>
      <c r="C44" s="42" t="s">
        <v>823</v>
      </c>
      <c r="D44" s="42" t="s">
        <v>519</v>
      </c>
      <c r="E44" s="42" t="s">
        <v>580</v>
      </c>
      <c r="F44" s="42">
        <v>105</v>
      </c>
      <c r="G44" s="42">
        <v>5</v>
      </c>
      <c r="H44" s="42" t="s">
        <v>26</v>
      </c>
      <c r="I44" s="42">
        <v>2300100</v>
      </c>
      <c r="J44" s="42" t="s">
        <v>730</v>
      </c>
      <c r="K44" s="42">
        <v>0</v>
      </c>
      <c r="L44" s="42">
        <v>0</v>
      </c>
      <c r="M44" s="42">
        <v>50</v>
      </c>
      <c r="N44" s="42">
        <v>0</v>
      </c>
    </row>
    <row r="45" spans="1:14" ht="15.75" customHeight="1">
      <c r="A45" s="149">
        <v>2674</v>
      </c>
      <c r="B45" s="43">
        <v>1098810694</v>
      </c>
      <c r="C45" s="42" t="s">
        <v>824</v>
      </c>
      <c r="D45" s="42" t="s">
        <v>502</v>
      </c>
      <c r="E45" s="42" t="s">
        <v>825</v>
      </c>
      <c r="F45" s="42">
        <v>9</v>
      </c>
      <c r="G45" s="42">
        <v>7</v>
      </c>
      <c r="H45" s="42" t="s">
        <v>512</v>
      </c>
      <c r="I45" s="42">
        <v>2300100</v>
      </c>
      <c r="J45" s="42" t="s">
        <v>730</v>
      </c>
      <c r="K45" s="42">
        <v>0</v>
      </c>
      <c r="L45" s="42">
        <v>0</v>
      </c>
      <c r="M45" s="42">
        <v>38</v>
      </c>
      <c r="N45" s="42">
        <v>0</v>
      </c>
    </row>
    <row r="46" spans="1:14" ht="15.75" customHeight="1">
      <c r="A46" s="149">
        <v>2603</v>
      </c>
      <c r="B46" s="43">
        <v>1110573560</v>
      </c>
      <c r="C46" s="42" t="s">
        <v>826</v>
      </c>
      <c r="D46" s="42" t="s">
        <v>728</v>
      </c>
      <c r="E46" s="42" t="s">
        <v>827</v>
      </c>
      <c r="F46" s="42">
        <v>219</v>
      </c>
      <c r="G46" s="42">
        <v>18</v>
      </c>
      <c r="H46" s="42" t="s">
        <v>72</v>
      </c>
      <c r="I46" s="42">
        <v>2310470</v>
      </c>
      <c r="J46" s="42" t="s">
        <v>477</v>
      </c>
      <c r="K46" s="42">
        <v>3</v>
      </c>
      <c r="L46" s="42">
        <v>0</v>
      </c>
      <c r="M46" s="42">
        <v>40</v>
      </c>
      <c r="N46" s="42">
        <v>0</v>
      </c>
    </row>
    <row r="47" spans="1:14" ht="15.75" customHeight="1">
      <c r="A47" s="149">
        <v>2638</v>
      </c>
      <c r="B47" s="43">
        <v>1121816584</v>
      </c>
      <c r="C47" s="42" t="s">
        <v>829</v>
      </c>
      <c r="D47" s="42" t="s">
        <v>830</v>
      </c>
      <c r="E47" s="42" t="s">
        <v>831</v>
      </c>
      <c r="F47" s="42">
        <v>407</v>
      </c>
      <c r="G47" s="42">
        <v>15</v>
      </c>
      <c r="H47" s="42" t="s">
        <v>146</v>
      </c>
      <c r="I47" s="42">
        <v>2310450</v>
      </c>
      <c r="J47" s="42" t="s">
        <v>568</v>
      </c>
      <c r="K47" s="42">
        <v>0</v>
      </c>
      <c r="L47" s="42">
        <v>0</v>
      </c>
      <c r="M47" s="42">
        <v>0</v>
      </c>
      <c r="N47" s="42">
        <v>0</v>
      </c>
    </row>
    <row r="48" spans="1:14" ht="15.75" customHeight="1">
      <c r="A48" s="149">
        <v>2675</v>
      </c>
      <c r="B48" s="43">
        <v>1121857540</v>
      </c>
      <c r="C48" s="42" t="s">
        <v>832</v>
      </c>
      <c r="D48" s="42" t="s">
        <v>538</v>
      </c>
      <c r="E48" s="42" t="s">
        <v>833</v>
      </c>
      <c r="F48" s="42">
        <v>105</v>
      </c>
      <c r="G48" s="42">
        <v>5</v>
      </c>
      <c r="H48" s="42" t="s">
        <v>26</v>
      </c>
      <c r="I48" s="42">
        <v>2300100</v>
      </c>
      <c r="J48" s="42" t="s">
        <v>730</v>
      </c>
      <c r="K48" s="42">
        <v>0</v>
      </c>
      <c r="L48" s="42">
        <v>0</v>
      </c>
      <c r="M48" s="42">
        <v>50</v>
      </c>
      <c r="N48" s="42">
        <v>0</v>
      </c>
    </row>
    <row r="49" spans="1:14" ht="15.75" customHeight="1">
      <c r="A49" s="149">
        <v>2693</v>
      </c>
      <c r="B49" s="43">
        <v>1130593147</v>
      </c>
      <c r="C49" s="42" t="s">
        <v>836</v>
      </c>
      <c r="D49" s="42" t="s">
        <v>838</v>
      </c>
      <c r="E49" s="42" t="s">
        <v>839</v>
      </c>
      <c r="F49" s="42">
        <v>219</v>
      </c>
      <c r="G49" s="42">
        <v>9</v>
      </c>
      <c r="H49" s="42" t="s">
        <v>72</v>
      </c>
      <c r="I49" s="42">
        <v>2310100</v>
      </c>
      <c r="J49" s="42" t="s">
        <v>788</v>
      </c>
      <c r="K49" s="42">
        <v>0</v>
      </c>
      <c r="L49" s="42">
        <v>0</v>
      </c>
      <c r="M49" s="42">
        <v>27.5</v>
      </c>
      <c r="N49" s="42">
        <v>0</v>
      </c>
    </row>
    <row r="50" spans="1:14" ht="15.75" customHeight="1">
      <c r="A50" s="149">
        <v>2691</v>
      </c>
      <c r="B50" s="43">
        <v>1136879957</v>
      </c>
      <c r="C50" s="42" t="s">
        <v>843</v>
      </c>
      <c r="D50" s="42" t="s">
        <v>554</v>
      </c>
      <c r="E50" s="42" t="s">
        <v>844</v>
      </c>
      <c r="F50" s="42">
        <v>440</v>
      </c>
      <c r="G50" s="42">
        <v>9</v>
      </c>
      <c r="H50" s="42" t="s">
        <v>29</v>
      </c>
      <c r="I50" s="42">
        <v>2311000</v>
      </c>
      <c r="J50" s="42" t="s">
        <v>710</v>
      </c>
      <c r="K50" s="42">
        <v>0</v>
      </c>
      <c r="L50" s="42">
        <v>0</v>
      </c>
      <c r="M50" s="42">
        <v>0</v>
      </c>
      <c r="N50" s="42">
        <v>2</v>
      </c>
    </row>
    <row r="51" spans="1:14" ht="15.75" customHeight="1">
      <c r="A51" s="149">
        <v>2684</v>
      </c>
      <c r="B51" s="43">
        <v>1136880003</v>
      </c>
      <c r="C51" s="42" t="s">
        <v>664</v>
      </c>
      <c r="D51" s="42" t="s">
        <v>518</v>
      </c>
      <c r="E51" s="42" t="s">
        <v>846</v>
      </c>
      <c r="F51" s="42">
        <v>219</v>
      </c>
      <c r="G51" s="42">
        <v>8</v>
      </c>
      <c r="H51" s="42" t="s">
        <v>72</v>
      </c>
      <c r="I51" s="42">
        <v>2310200</v>
      </c>
      <c r="J51" s="42" t="s">
        <v>776</v>
      </c>
      <c r="K51" s="42">
        <v>0</v>
      </c>
      <c r="L51" s="42">
        <v>0</v>
      </c>
      <c r="M51" s="42">
        <v>24</v>
      </c>
      <c r="N51" s="42">
        <v>0</v>
      </c>
    </row>
    <row r="52" spans="1:14" ht="15.75" customHeight="1">
      <c r="A52" s="149">
        <v>2664</v>
      </c>
      <c r="B52" s="43">
        <v>11446004</v>
      </c>
      <c r="C52" s="42" t="s">
        <v>847</v>
      </c>
      <c r="D52" s="42" t="s">
        <v>790</v>
      </c>
      <c r="E52" s="42" t="s">
        <v>848</v>
      </c>
      <c r="F52" s="42">
        <v>219</v>
      </c>
      <c r="G52" s="42">
        <v>18</v>
      </c>
      <c r="H52" s="42" t="s">
        <v>72</v>
      </c>
      <c r="I52" s="42">
        <v>2310300</v>
      </c>
      <c r="J52" s="42" t="s">
        <v>552</v>
      </c>
      <c r="K52" s="42">
        <v>0</v>
      </c>
      <c r="L52" s="42">
        <v>0</v>
      </c>
      <c r="M52" s="42">
        <v>40</v>
      </c>
      <c r="N52" s="42">
        <v>0</v>
      </c>
    </row>
    <row r="53" spans="1:14" ht="15.75" customHeight="1">
      <c r="A53" s="149">
        <v>2571</v>
      </c>
      <c r="B53" s="43">
        <v>16077540</v>
      </c>
      <c r="C53" s="42" t="s">
        <v>721</v>
      </c>
      <c r="D53" s="42" t="s">
        <v>849</v>
      </c>
      <c r="E53" s="42" t="s">
        <v>837</v>
      </c>
      <c r="F53" s="42">
        <v>219</v>
      </c>
      <c r="G53" s="42">
        <v>18</v>
      </c>
      <c r="H53" s="42" t="s">
        <v>72</v>
      </c>
      <c r="I53" s="42">
        <v>2310470</v>
      </c>
      <c r="J53" s="42" t="s">
        <v>477</v>
      </c>
      <c r="K53" s="42">
        <v>3</v>
      </c>
      <c r="L53" s="42">
        <v>0</v>
      </c>
      <c r="M53" s="42">
        <v>40</v>
      </c>
      <c r="N53" s="42">
        <v>0</v>
      </c>
    </row>
    <row r="54" spans="1:14" ht="15.75" customHeight="1">
      <c r="A54" s="149">
        <v>71</v>
      </c>
      <c r="B54" s="43">
        <v>19347862</v>
      </c>
      <c r="C54" s="42" t="s">
        <v>554</v>
      </c>
      <c r="D54" s="42" t="s">
        <v>852</v>
      </c>
      <c r="E54" s="42" t="s">
        <v>853</v>
      </c>
      <c r="F54" s="42">
        <v>222</v>
      </c>
      <c r="G54" s="42">
        <v>27</v>
      </c>
      <c r="H54" s="42" t="s">
        <v>51</v>
      </c>
      <c r="I54" s="42">
        <v>2310470</v>
      </c>
      <c r="J54" s="42" t="s">
        <v>477</v>
      </c>
      <c r="K54" s="42">
        <v>7</v>
      </c>
      <c r="L54" s="42">
        <v>0</v>
      </c>
      <c r="M54" s="42">
        <v>40</v>
      </c>
      <c r="N54" s="42">
        <v>0</v>
      </c>
    </row>
    <row r="55" spans="1:14" ht="15.75" customHeight="1">
      <c r="A55" s="149">
        <v>2617</v>
      </c>
      <c r="B55" s="43">
        <v>19444915</v>
      </c>
      <c r="C55" s="42" t="s">
        <v>856</v>
      </c>
      <c r="D55" s="42" t="s">
        <v>475</v>
      </c>
      <c r="E55" s="42" t="s">
        <v>857</v>
      </c>
      <c r="F55" s="42">
        <v>222</v>
      </c>
      <c r="G55" s="42">
        <v>27</v>
      </c>
      <c r="H55" s="42" t="s">
        <v>51</v>
      </c>
      <c r="I55" s="42">
        <v>2310470</v>
      </c>
      <c r="J55" s="42" t="s">
        <v>477</v>
      </c>
      <c r="K55" s="42">
        <v>3</v>
      </c>
      <c r="L55" s="42">
        <v>0</v>
      </c>
      <c r="M55" s="42">
        <v>40</v>
      </c>
      <c r="N55" s="42">
        <v>0</v>
      </c>
    </row>
    <row r="56" spans="1:14" ht="15.75" customHeight="1">
      <c r="A56" s="149">
        <v>2665</v>
      </c>
      <c r="B56" s="43">
        <v>20699098</v>
      </c>
      <c r="C56" s="42" t="s">
        <v>858</v>
      </c>
      <c r="D56" s="42" t="s">
        <v>859</v>
      </c>
      <c r="E56" s="42" t="s">
        <v>860</v>
      </c>
      <c r="F56" s="42">
        <v>407</v>
      </c>
      <c r="G56" s="42">
        <v>15</v>
      </c>
      <c r="H56" s="42" t="s">
        <v>146</v>
      </c>
      <c r="I56" s="42">
        <v>2311000</v>
      </c>
      <c r="J56" s="42" t="s">
        <v>710</v>
      </c>
      <c r="K56" s="42">
        <v>0</v>
      </c>
      <c r="L56" s="42">
        <v>0</v>
      </c>
      <c r="M56" s="42">
        <v>0</v>
      </c>
      <c r="N56" s="42">
        <v>0</v>
      </c>
    </row>
    <row r="57" spans="1:14" ht="15.75" customHeight="1">
      <c r="A57" s="149">
        <v>2630</v>
      </c>
      <c r="B57" s="43">
        <v>22446641</v>
      </c>
      <c r="C57" s="42" t="s">
        <v>861</v>
      </c>
      <c r="D57" s="42" t="s">
        <v>862</v>
      </c>
      <c r="E57" s="42" t="s">
        <v>863</v>
      </c>
      <c r="F57" s="42">
        <v>219</v>
      </c>
      <c r="G57" s="42">
        <v>3</v>
      </c>
      <c r="H57" s="42" t="s">
        <v>72</v>
      </c>
      <c r="I57" s="42">
        <v>2310440</v>
      </c>
      <c r="J57" s="42" t="s">
        <v>628</v>
      </c>
      <c r="K57" s="42">
        <v>0</v>
      </c>
      <c r="L57" s="42">
        <v>0</v>
      </c>
      <c r="M57" s="42">
        <v>20.9</v>
      </c>
      <c r="N57" s="42">
        <v>0</v>
      </c>
    </row>
    <row r="58" spans="1:14" ht="15.75" customHeight="1">
      <c r="A58" s="149">
        <v>2599</v>
      </c>
      <c r="B58" s="43">
        <v>23582747</v>
      </c>
      <c r="C58" s="42" t="s">
        <v>491</v>
      </c>
      <c r="D58" s="42" t="s">
        <v>866</v>
      </c>
      <c r="E58" s="42" t="s">
        <v>868</v>
      </c>
      <c r="F58" s="42">
        <v>222</v>
      </c>
      <c r="G58" s="42">
        <v>27</v>
      </c>
      <c r="H58" s="42" t="s">
        <v>51</v>
      </c>
      <c r="I58" s="42">
        <v>2310450</v>
      </c>
      <c r="J58" s="42" t="s">
        <v>568</v>
      </c>
      <c r="K58" s="42">
        <v>3</v>
      </c>
      <c r="L58" s="42">
        <v>0</v>
      </c>
      <c r="M58" s="42">
        <v>40</v>
      </c>
      <c r="N58" s="42">
        <v>0</v>
      </c>
    </row>
    <row r="59" spans="1:14" ht="15.75" customHeight="1">
      <c r="A59" s="149">
        <v>733</v>
      </c>
      <c r="B59" s="43">
        <v>24179106</v>
      </c>
      <c r="C59" s="42" t="s">
        <v>538</v>
      </c>
      <c r="D59" s="42" t="s">
        <v>870</v>
      </c>
      <c r="E59" s="42" t="s">
        <v>871</v>
      </c>
      <c r="F59" s="42">
        <v>222</v>
      </c>
      <c r="G59" s="42">
        <v>27</v>
      </c>
      <c r="H59" s="42" t="s">
        <v>51</v>
      </c>
      <c r="I59" s="42">
        <v>2310440</v>
      </c>
      <c r="J59" s="42" t="s">
        <v>628</v>
      </c>
      <c r="K59" s="42">
        <v>7</v>
      </c>
      <c r="L59" s="42">
        <v>0</v>
      </c>
      <c r="M59" s="42">
        <v>40</v>
      </c>
      <c r="N59" s="42">
        <v>0</v>
      </c>
    </row>
    <row r="60" spans="1:14" ht="15.75" customHeight="1">
      <c r="A60" s="149">
        <v>2527</v>
      </c>
      <c r="B60" s="43">
        <v>28488940</v>
      </c>
      <c r="C60" s="42" t="s">
        <v>873</v>
      </c>
      <c r="D60" s="42" t="s">
        <v>874</v>
      </c>
      <c r="E60" s="42" t="s">
        <v>726</v>
      </c>
      <c r="F60" s="42">
        <v>219</v>
      </c>
      <c r="G60" s="42">
        <v>1</v>
      </c>
      <c r="H60" s="42" t="s">
        <v>72</v>
      </c>
      <c r="I60" s="42">
        <v>2310460</v>
      </c>
      <c r="J60" s="42" t="s">
        <v>709</v>
      </c>
      <c r="K60" s="42">
        <v>3</v>
      </c>
      <c r="L60" s="42">
        <v>0</v>
      </c>
      <c r="M60" s="42">
        <v>36.799999999999997</v>
      </c>
      <c r="N60" s="42">
        <v>0</v>
      </c>
    </row>
    <row r="61" spans="1:14" ht="15.75" customHeight="1">
      <c r="A61" s="149">
        <v>2591</v>
      </c>
      <c r="B61" s="43">
        <v>28496885</v>
      </c>
      <c r="C61" s="42" t="s">
        <v>877</v>
      </c>
      <c r="D61" s="42" t="s">
        <v>878</v>
      </c>
      <c r="E61" s="42" t="s">
        <v>879</v>
      </c>
      <c r="F61" s="42">
        <v>222</v>
      </c>
      <c r="G61" s="42">
        <v>27</v>
      </c>
      <c r="H61" s="42" t="s">
        <v>51</v>
      </c>
      <c r="I61" s="42">
        <v>2310400</v>
      </c>
      <c r="J61" s="42" t="s">
        <v>779</v>
      </c>
      <c r="K61" s="42">
        <v>3</v>
      </c>
      <c r="L61" s="42">
        <v>0</v>
      </c>
      <c r="M61" s="42">
        <v>40</v>
      </c>
      <c r="N61" s="42">
        <v>0</v>
      </c>
    </row>
    <row r="62" spans="1:14" ht="15.75" customHeight="1">
      <c r="A62" s="149">
        <v>109</v>
      </c>
      <c r="B62" s="43">
        <v>28891891</v>
      </c>
      <c r="C62" s="42" t="s">
        <v>880</v>
      </c>
      <c r="D62" s="42" t="s">
        <v>728</v>
      </c>
      <c r="E62" s="42" t="s">
        <v>881</v>
      </c>
      <c r="F62" s="42">
        <v>222</v>
      </c>
      <c r="G62" s="42">
        <v>26</v>
      </c>
      <c r="H62" s="42" t="s">
        <v>51</v>
      </c>
      <c r="I62" s="42">
        <v>2310450</v>
      </c>
      <c r="J62" s="42" t="s">
        <v>568</v>
      </c>
      <c r="K62" s="42">
        <v>7</v>
      </c>
      <c r="L62" s="42">
        <v>0</v>
      </c>
      <c r="M62" s="42">
        <v>50</v>
      </c>
      <c r="N62" s="42">
        <v>0</v>
      </c>
    </row>
    <row r="63" spans="1:14" ht="15.75" customHeight="1">
      <c r="A63" s="149">
        <v>111</v>
      </c>
      <c r="B63" s="43">
        <v>28963444</v>
      </c>
      <c r="C63" s="42" t="s">
        <v>882</v>
      </c>
      <c r="D63" s="42" t="s">
        <v>884</v>
      </c>
      <c r="E63" s="42" t="s">
        <v>886</v>
      </c>
      <c r="F63" s="42">
        <v>222</v>
      </c>
      <c r="G63" s="42">
        <v>26</v>
      </c>
      <c r="H63" s="42" t="s">
        <v>51</v>
      </c>
      <c r="I63" s="42">
        <v>2311000</v>
      </c>
      <c r="J63" s="42" t="s">
        <v>710</v>
      </c>
      <c r="K63" s="42">
        <v>7</v>
      </c>
      <c r="L63" s="42">
        <v>0</v>
      </c>
      <c r="M63" s="42">
        <v>40</v>
      </c>
      <c r="N63" s="42">
        <v>0</v>
      </c>
    </row>
    <row r="64" spans="1:14" ht="15.75" customHeight="1">
      <c r="A64" s="149">
        <v>2557</v>
      </c>
      <c r="B64" s="43">
        <v>30082628</v>
      </c>
      <c r="C64" s="42" t="s">
        <v>578</v>
      </c>
      <c r="D64" s="42" t="s">
        <v>685</v>
      </c>
      <c r="E64" s="42" t="s">
        <v>888</v>
      </c>
      <c r="F64" s="42">
        <v>222</v>
      </c>
      <c r="G64" s="42">
        <v>19</v>
      </c>
      <c r="H64" s="42" t="s">
        <v>51</v>
      </c>
      <c r="I64" s="42">
        <v>2310430</v>
      </c>
      <c r="J64" s="42" t="s">
        <v>782</v>
      </c>
      <c r="K64" s="42">
        <v>3</v>
      </c>
      <c r="L64" s="42">
        <v>0</v>
      </c>
      <c r="M64" s="42">
        <v>40</v>
      </c>
      <c r="N64" s="42">
        <v>0</v>
      </c>
    </row>
    <row r="65" spans="1:14" ht="15.75" customHeight="1">
      <c r="A65" s="149">
        <v>2619</v>
      </c>
      <c r="B65" s="43">
        <v>30333406</v>
      </c>
      <c r="C65" s="42" t="s">
        <v>889</v>
      </c>
      <c r="D65" s="42" t="s">
        <v>890</v>
      </c>
      <c r="E65" s="42" t="s">
        <v>891</v>
      </c>
      <c r="F65" s="42">
        <v>219</v>
      </c>
      <c r="G65" s="42">
        <v>1</v>
      </c>
      <c r="H65" s="42" t="s">
        <v>72</v>
      </c>
      <c r="I65" s="42">
        <v>2310440</v>
      </c>
      <c r="J65" s="42" t="s">
        <v>628</v>
      </c>
      <c r="K65" s="42">
        <v>3</v>
      </c>
      <c r="L65" s="42">
        <v>0</v>
      </c>
      <c r="M65" s="42">
        <v>36.799999999999997</v>
      </c>
      <c r="N65" s="42">
        <v>0</v>
      </c>
    </row>
    <row r="66" spans="1:14" ht="15.75" customHeight="1">
      <c r="A66" s="149">
        <v>669</v>
      </c>
      <c r="B66" s="43">
        <v>3085860</v>
      </c>
      <c r="C66" s="42" t="s">
        <v>469</v>
      </c>
      <c r="D66" s="42" t="s">
        <v>893</v>
      </c>
      <c r="E66" s="42" t="s">
        <v>894</v>
      </c>
      <c r="F66" s="42">
        <v>222</v>
      </c>
      <c r="G66" s="42">
        <v>27</v>
      </c>
      <c r="H66" s="42" t="s">
        <v>51</v>
      </c>
      <c r="I66" s="42">
        <v>2310450</v>
      </c>
      <c r="J66" s="42" t="s">
        <v>568</v>
      </c>
      <c r="K66" s="42">
        <v>7</v>
      </c>
      <c r="L66" s="42">
        <v>0</v>
      </c>
      <c r="M66" s="42">
        <v>50</v>
      </c>
      <c r="N66" s="42">
        <v>0</v>
      </c>
    </row>
    <row r="67" spans="1:14" ht="15.75" customHeight="1">
      <c r="A67" s="149">
        <v>2524</v>
      </c>
      <c r="B67" s="43">
        <v>33368317</v>
      </c>
      <c r="C67" s="42" t="s">
        <v>569</v>
      </c>
      <c r="D67" s="42" t="s">
        <v>896</v>
      </c>
      <c r="E67" s="42" t="s">
        <v>897</v>
      </c>
      <c r="F67" s="42">
        <v>440</v>
      </c>
      <c r="G67" s="42">
        <v>9</v>
      </c>
      <c r="H67" s="42" t="s">
        <v>29</v>
      </c>
      <c r="I67" s="42">
        <v>2310100</v>
      </c>
      <c r="J67" s="42" t="s">
        <v>788</v>
      </c>
      <c r="K67" s="42">
        <v>0</v>
      </c>
      <c r="L67" s="42">
        <v>0</v>
      </c>
      <c r="M67" s="42">
        <v>0</v>
      </c>
      <c r="N67" s="42">
        <v>2</v>
      </c>
    </row>
    <row r="68" spans="1:14" ht="15.75" customHeight="1">
      <c r="A68" s="149">
        <v>2688</v>
      </c>
      <c r="B68" s="43">
        <v>37535201</v>
      </c>
      <c r="C68" s="42" t="s">
        <v>898</v>
      </c>
      <c r="D68" s="42" t="s">
        <v>899</v>
      </c>
      <c r="E68" s="42" t="s">
        <v>900</v>
      </c>
      <c r="F68" s="42">
        <v>45</v>
      </c>
      <c r="G68" s="42">
        <v>8</v>
      </c>
      <c r="H68" s="42" t="s">
        <v>842</v>
      </c>
      <c r="I68" s="42">
        <v>2310400</v>
      </c>
      <c r="J68" s="42" t="s">
        <v>779</v>
      </c>
      <c r="K68" s="42">
        <v>0</v>
      </c>
      <c r="L68" s="42">
        <v>0</v>
      </c>
      <c r="M68" s="42">
        <v>50</v>
      </c>
      <c r="N68" s="42">
        <v>0</v>
      </c>
    </row>
    <row r="69" spans="1:14" ht="15.75" customHeight="1">
      <c r="A69" s="149">
        <v>2544</v>
      </c>
      <c r="B69" s="43">
        <v>37625914</v>
      </c>
      <c r="C69" s="42" t="s">
        <v>468</v>
      </c>
      <c r="D69" s="42" t="s">
        <v>538</v>
      </c>
      <c r="E69" s="42" t="s">
        <v>903</v>
      </c>
      <c r="F69" s="42">
        <v>219</v>
      </c>
      <c r="G69" s="42">
        <v>13</v>
      </c>
      <c r="H69" s="42" t="s">
        <v>72</v>
      </c>
      <c r="I69" s="42">
        <v>2310450</v>
      </c>
      <c r="J69" s="42" t="s">
        <v>568</v>
      </c>
      <c r="K69" s="42">
        <v>3</v>
      </c>
      <c r="L69" s="42">
        <v>0</v>
      </c>
      <c r="M69" s="42">
        <v>40</v>
      </c>
      <c r="N69" s="42">
        <v>0</v>
      </c>
    </row>
    <row r="70" spans="1:14" ht="15.75" customHeight="1">
      <c r="A70" s="149">
        <v>133</v>
      </c>
      <c r="B70" s="43">
        <v>39773518</v>
      </c>
      <c r="C70" s="42" t="s">
        <v>904</v>
      </c>
      <c r="D70" s="42" t="s">
        <v>905</v>
      </c>
      <c r="E70" s="42" t="s">
        <v>906</v>
      </c>
      <c r="F70" s="42">
        <v>407</v>
      </c>
      <c r="G70" s="42">
        <v>15</v>
      </c>
      <c r="H70" s="42" t="s">
        <v>146</v>
      </c>
      <c r="I70" s="42">
        <v>2310300</v>
      </c>
      <c r="J70" s="42" t="s">
        <v>552</v>
      </c>
      <c r="K70" s="42">
        <v>7</v>
      </c>
      <c r="L70" s="42">
        <v>0</v>
      </c>
      <c r="M70" s="42">
        <v>0</v>
      </c>
      <c r="N70" s="42">
        <v>0</v>
      </c>
    </row>
    <row r="71" spans="1:14" ht="15.75" customHeight="1">
      <c r="A71" s="149">
        <v>2587</v>
      </c>
      <c r="B71" s="43">
        <v>40011063</v>
      </c>
      <c r="C71" s="42" t="s">
        <v>759</v>
      </c>
      <c r="D71" s="42" t="s">
        <v>445</v>
      </c>
      <c r="E71" s="42" t="s">
        <v>910</v>
      </c>
      <c r="F71" s="42">
        <v>222</v>
      </c>
      <c r="G71" s="42">
        <v>27</v>
      </c>
      <c r="H71" s="42" t="s">
        <v>51</v>
      </c>
      <c r="I71" s="42">
        <v>2310450</v>
      </c>
      <c r="J71" s="42" t="s">
        <v>568</v>
      </c>
      <c r="K71" s="42">
        <v>3</v>
      </c>
      <c r="L71" s="42">
        <v>0</v>
      </c>
      <c r="M71" s="42">
        <v>40</v>
      </c>
      <c r="N71" s="42">
        <v>0</v>
      </c>
    </row>
    <row r="72" spans="1:14" ht="15.75" customHeight="1">
      <c r="A72" s="149">
        <v>2635</v>
      </c>
      <c r="B72" s="43">
        <v>41059054</v>
      </c>
      <c r="C72" s="42" t="s">
        <v>911</v>
      </c>
      <c r="D72" s="42" t="s">
        <v>912</v>
      </c>
      <c r="E72" s="42" t="s">
        <v>913</v>
      </c>
      <c r="F72" s="42">
        <v>219</v>
      </c>
      <c r="G72" s="42">
        <v>1</v>
      </c>
      <c r="H72" s="42" t="s">
        <v>72</v>
      </c>
      <c r="I72" s="42">
        <v>2310470</v>
      </c>
      <c r="J72" s="42" t="s">
        <v>477</v>
      </c>
      <c r="K72" s="42">
        <v>0</v>
      </c>
      <c r="L72" s="42">
        <v>0</v>
      </c>
      <c r="M72" s="42">
        <v>24</v>
      </c>
      <c r="N72" s="42">
        <v>0</v>
      </c>
    </row>
    <row r="73" spans="1:14" ht="15.75" customHeight="1">
      <c r="A73" s="149">
        <v>182</v>
      </c>
      <c r="B73" s="43">
        <v>41732503</v>
      </c>
      <c r="C73" s="42" t="s">
        <v>740</v>
      </c>
      <c r="D73" s="42" t="s">
        <v>917</v>
      </c>
      <c r="E73" s="42" t="s">
        <v>918</v>
      </c>
      <c r="F73" s="42">
        <v>470</v>
      </c>
      <c r="G73" s="42">
        <v>7</v>
      </c>
      <c r="H73" s="42" t="s">
        <v>813</v>
      </c>
      <c r="I73" s="42">
        <v>2311000</v>
      </c>
      <c r="J73" s="42" t="s">
        <v>710</v>
      </c>
      <c r="K73" s="42">
        <v>7</v>
      </c>
      <c r="L73" s="42">
        <v>0</v>
      </c>
      <c r="M73" s="42">
        <v>0</v>
      </c>
      <c r="N73" s="42">
        <v>0</v>
      </c>
    </row>
    <row r="74" spans="1:14" ht="15.75" customHeight="1">
      <c r="A74" s="149">
        <v>192</v>
      </c>
      <c r="B74" s="43">
        <v>42497241</v>
      </c>
      <c r="C74" s="42" t="s">
        <v>919</v>
      </c>
      <c r="D74" s="42" t="s">
        <v>920</v>
      </c>
      <c r="E74" s="42" t="s">
        <v>921</v>
      </c>
      <c r="F74" s="42">
        <v>222</v>
      </c>
      <c r="G74" s="42">
        <v>24</v>
      </c>
      <c r="H74" s="42" t="s">
        <v>51</v>
      </c>
      <c r="I74" s="42">
        <v>2310460</v>
      </c>
      <c r="J74" s="42" t="s">
        <v>709</v>
      </c>
      <c r="K74" s="42">
        <v>7</v>
      </c>
      <c r="L74" s="42">
        <v>0</v>
      </c>
      <c r="M74" s="42">
        <v>40</v>
      </c>
      <c r="N74" s="42">
        <v>0</v>
      </c>
    </row>
    <row r="75" spans="1:14" ht="15.75" customHeight="1">
      <c r="A75" s="149">
        <v>2561</v>
      </c>
      <c r="B75" s="43">
        <v>46677766</v>
      </c>
      <c r="C75" s="42" t="s">
        <v>446</v>
      </c>
      <c r="D75" s="42" t="s">
        <v>761</v>
      </c>
      <c r="E75" s="42" t="s">
        <v>924</v>
      </c>
      <c r="F75" s="42">
        <v>222</v>
      </c>
      <c r="G75" s="42">
        <v>27</v>
      </c>
      <c r="H75" s="42" t="s">
        <v>51</v>
      </c>
      <c r="I75" s="42">
        <v>2310450</v>
      </c>
      <c r="J75" s="42" t="s">
        <v>568</v>
      </c>
      <c r="K75" s="42">
        <v>3</v>
      </c>
      <c r="L75" s="42">
        <v>0</v>
      </c>
      <c r="M75" s="42">
        <v>40</v>
      </c>
      <c r="N75" s="42">
        <v>0</v>
      </c>
    </row>
    <row r="76" spans="1:14" ht="15.75" customHeight="1">
      <c r="A76" s="149">
        <v>200</v>
      </c>
      <c r="B76" s="43">
        <v>51569861</v>
      </c>
      <c r="C76" s="42" t="s">
        <v>926</v>
      </c>
      <c r="D76" s="42" t="s">
        <v>927</v>
      </c>
      <c r="E76" s="42" t="s">
        <v>928</v>
      </c>
      <c r="F76" s="42">
        <v>222</v>
      </c>
      <c r="G76" s="42">
        <v>27</v>
      </c>
      <c r="H76" s="42" t="s">
        <v>51</v>
      </c>
      <c r="I76" s="42">
        <v>2310450</v>
      </c>
      <c r="J76" s="42" t="s">
        <v>568</v>
      </c>
      <c r="K76" s="42">
        <v>7</v>
      </c>
      <c r="L76" s="42">
        <v>0</v>
      </c>
      <c r="M76" s="42">
        <v>40</v>
      </c>
      <c r="N76" s="42">
        <v>0</v>
      </c>
    </row>
    <row r="77" spans="1:14" ht="15.75" customHeight="1">
      <c r="A77" s="149">
        <v>216</v>
      </c>
      <c r="B77" s="43">
        <v>51649014</v>
      </c>
      <c r="C77" s="42" t="s">
        <v>774</v>
      </c>
      <c r="D77" s="42" t="s">
        <v>554</v>
      </c>
      <c r="E77" s="42" t="s">
        <v>931</v>
      </c>
      <c r="F77" s="42">
        <v>222</v>
      </c>
      <c r="G77" s="42">
        <v>27</v>
      </c>
      <c r="H77" s="42" t="s">
        <v>51</v>
      </c>
      <c r="I77" s="42">
        <v>2311000</v>
      </c>
      <c r="J77" s="42" t="s">
        <v>710</v>
      </c>
      <c r="K77" s="42">
        <v>7</v>
      </c>
      <c r="L77" s="42">
        <v>0</v>
      </c>
      <c r="M77" s="42">
        <v>40</v>
      </c>
      <c r="N77" s="42">
        <v>0</v>
      </c>
    </row>
    <row r="78" spans="1:14" ht="15.75" customHeight="1">
      <c r="A78" s="149">
        <v>1519</v>
      </c>
      <c r="B78" s="43">
        <v>51732443</v>
      </c>
      <c r="C78" s="42" t="s">
        <v>759</v>
      </c>
      <c r="D78" s="42" t="s">
        <v>538</v>
      </c>
      <c r="E78" s="42" t="s">
        <v>934</v>
      </c>
      <c r="F78" s="42">
        <v>425</v>
      </c>
      <c r="G78" s="42">
        <v>21</v>
      </c>
      <c r="H78" s="42" t="s">
        <v>255</v>
      </c>
      <c r="I78" s="42">
        <v>2310470</v>
      </c>
      <c r="J78" s="42" t="s">
        <v>477</v>
      </c>
      <c r="K78" s="42">
        <v>7</v>
      </c>
      <c r="L78" s="42">
        <v>0</v>
      </c>
      <c r="M78" s="42">
        <v>0</v>
      </c>
      <c r="N78" s="42">
        <v>2</v>
      </c>
    </row>
    <row r="79" spans="1:14" ht="15.75" customHeight="1">
      <c r="A79" s="149">
        <v>244</v>
      </c>
      <c r="B79" s="43">
        <v>51882380</v>
      </c>
      <c r="C79" s="42" t="s">
        <v>936</v>
      </c>
      <c r="D79" s="42" t="s">
        <v>936</v>
      </c>
      <c r="E79" s="42" t="s">
        <v>937</v>
      </c>
      <c r="F79" s="42">
        <v>407</v>
      </c>
      <c r="G79" s="42">
        <v>24</v>
      </c>
      <c r="H79" s="42" t="s">
        <v>146</v>
      </c>
      <c r="I79" s="42">
        <v>2311000</v>
      </c>
      <c r="J79" s="42" t="s">
        <v>710</v>
      </c>
      <c r="K79" s="42">
        <v>7</v>
      </c>
      <c r="L79" s="42">
        <v>0</v>
      </c>
      <c r="M79" s="42">
        <v>0</v>
      </c>
      <c r="N79" s="42">
        <v>0</v>
      </c>
    </row>
    <row r="80" spans="1:14" ht="15.75" customHeight="1">
      <c r="A80" s="149">
        <v>247</v>
      </c>
      <c r="B80" s="43">
        <v>51937185</v>
      </c>
      <c r="C80" s="42" t="s">
        <v>479</v>
      </c>
      <c r="D80" s="42" t="s">
        <v>502</v>
      </c>
      <c r="E80" s="42" t="s">
        <v>938</v>
      </c>
      <c r="F80" s="42">
        <v>219</v>
      </c>
      <c r="G80" s="42">
        <v>18</v>
      </c>
      <c r="H80" s="42" t="s">
        <v>72</v>
      </c>
      <c r="I80" s="42">
        <v>2311000</v>
      </c>
      <c r="J80" s="42" t="s">
        <v>710</v>
      </c>
      <c r="K80" s="42">
        <v>7</v>
      </c>
      <c r="L80" s="42">
        <v>0</v>
      </c>
      <c r="M80" s="42">
        <v>40</v>
      </c>
      <c r="N80" s="42">
        <v>0</v>
      </c>
    </row>
    <row r="81" spans="1:14" ht="15.75" customHeight="1">
      <c r="A81" s="149">
        <v>2624</v>
      </c>
      <c r="B81" s="43">
        <v>51961579</v>
      </c>
      <c r="C81" s="42" t="s">
        <v>940</v>
      </c>
      <c r="D81" s="42" t="s">
        <v>941</v>
      </c>
      <c r="E81" s="42" t="s">
        <v>943</v>
      </c>
      <c r="F81" s="42">
        <v>314</v>
      </c>
      <c r="G81" s="42">
        <v>20</v>
      </c>
      <c r="H81" s="42" t="s">
        <v>517</v>
      </c>
      <c r="I81" s="42">
        <v>2311000</v>
      </c>
      <c r="J81" s="42" t="s">
        <v>710</v>
      </c>
      <c r="K81" s="42">
        <v>0</v>
      </c>
      <c r="L81" s="42">
        <v>0</v>
      </c>
      <c r="M81" s="42">
        <v>0</v>
      </c>
      <c r="N81" s="42">
        <v>0</v>
      </c>
    </row>
    <row r="82" spans="1:14" ht="15.75" customHeight="1">
      <c r="A82" s="149">
        <v>2640</v>
      </c>
      <c r="B82" s="43">
        <v>52033530</v>
      </c>
      <c r="C82" s="42" t="s">
        <v>946</v>
      </c>
      <c r="D82" s="42" t="s">
        <v>478</v>
      </c>
      <c r="E82" s="42" t="s">
        <v>947</v>
      </c>
      <c r="F82" s="42">
        <v>222</v>
      </c>
      <c r="G82" s="42">
        <v>27</v>
      </c>
      <c r="H82" s="42" t="s">
        <v>51</v>
      </c>
      <c r="I82" s="42">
        <v>2310460</v>
      </c>
      <c r="J82" s="42" t="s">
        <v>709</v>
      </c>
      <c r="K82" s="42">
        <v>0</v>
      </c>
      <c r="L82" s="42">
        <v>0</v>
      </c>
      <c r="M82" s="42">
        <v>40</v>
      </c>
      <c r="N82" s="42">
        <v>0</v>
      </c>
    </row>
    <row r="83" spans="1:14" ht="15.75" customHeight="1">
      <c r="A83" s="149">
        <v>2435</v>
      </c>
      <c r="B83" s="43">
        <v>52115141</v>
      </c>
      <c r="C83" s="42" t="s">
        <v>625</v>
      </c>
      <c r="D83" s="42" t="s">
        <v>790</v>
      </c>
      <c r="E83" s="42" t="s">
        <v>948</v>
      </c>
      <c r="F83" s="42">
        <v>407</v>
      </c>
      <c r="G83" s="42">
        <v>13</v>
      </c>
      <c r="H83" s="42" t="s">
        <v>146</v>
      </c>
      <c r="I83" s="42">
        <v>2311000</v>
      </c>
      <c r="J83" s="42" t="s">
        <v>710</v>
      </c>
      <c r="K83" s="42">
        <v>3</v>
      </c>
      <c r="L83" s="42">
        <v>0</v>
      </c>
      <c r="M83" s="42">
        <v>0</v>
      </c>
      <c r="N83" s="42">
        <v>0</v>
      </c>
    </row>
    <row r="84" spans="1:14" ht="15.75" customHeight="1">
      <c r="A84" s="149">
        <v>257</v>
      </c>
      <c r="B84" s="43">
        <v>52124597</v>
      </c>
      <c r="C84" s="42" t="s">
        <v>949</v>
      </c>
      <c r="D84" s="42" t="s">
        <v>711</v>
      </c>
      <c r="E84" s="42" t="s">
        <v>951</v>
      </c>
      <c r="F84" s="42">
        <v>407</v>
      </c>
      <c r="G84" s="42">
        <v>11</v>
      </c>
      <c r="H84" s="42" t="s">
        <v>146</v>
      </c>
      <c r="I84" s="42">
        <v>2311000</v>
      </c>
      <c r="J84" s="42" t="s">
        <v>710</v>
      </c>
      <c r="K84" s="42">
        <v>7</v>
      </c>
      <c r="L84" s="42">
        <v>0</v>
      </c>
      <c r="M84" s="42">
        <v>0</v>
      </c>
      <c r="N84" s="42">
        <v>0</v>
      </c>
    </row>
    <row r="85" spans="1:14" ht="15.75" customHeight="1">
      <c r="A85" s="149">
        <v>2660</v>
      </c>
      <c r="B85" s="43">
        <v>52146157</v>
      </c>
      <c r="C85" s="42" t="s">
        <v>954</v>
      </c>
      <c r="D85" s="42" t="s">
        <v>955</v>
      </c>
      <c r="E85" s="42" t="s">
        <v>956</v>
      </c>
      <c r="F85" s="42">
        <v>222</v>
      </c>
      <c r="G85" s="42">
        <v>27</v>
      </c>
      <c r="H85" s="42" t="s">
        <v>51</v>
      </c>
      <c r="I85" s="42">
        <v>2310460</v>
      </c>
      <c r="J85" s="42" t="s">
        <v>709</v>
      </c>
      <c r="K85" s="42">
        <v>0</v>
      </c>
      <c r="L85" s="42">
        <v>0</v>
      </c>
      <c r="M85" s="42">
        <v>40</v>
      </c>
      <c r="N85" s="42">
        <v>0</v>
      </c>
    </row>
    <row r="86" spans="1:14" ht="15.75" customHeight="1">
      <c r="A86" s="149">
        <v>698</v>
      </c>
      <c r="B86" s="43">
        <v>52146196</v>
      </c>
      <c r="C86" s="42" t="s">
        <v>957</v>
      </c>
      <c r="D86" s="42" t="s">
        <v>958</v>
      </c>
      <c r="E86" s="42" t="s">
        <v>959</v>
      </c>
      <c r="F86" s="42">
        <v>425</v>
      </c>
      <c r="G86" s="42">
        <v>27</v>
      </c>
      <c r="H86" s="42" t="s">
        <v>255</v>
      </c>
      <c r="I86" s="42">
        <v>2310450</v>
      </c>
      <c r="J86" s="42" t="s">
        <v>568</v>
      </c>
      <c r="K86" s="42">
        <v>7</v>
      </c>
      <c r="L86" s="42">
        <v>0</v>
      </c>
      <c r="M86" s="42">
        <v>0</v>
      </c>
      <c r="N86" s="42">
        <v>2</v>
      </c>
    </row>
    <row r="87" spans="1:14" ht="15.75" customHeight="1">
      <c r="A87" s="149">
        <v>2528</v>
      </c>
      <c r="B87" s="43">
        <v>52151785</v>
      </c>
      <c r="C87" s="42" t="s">
        <v>960</v>
      </c>
      <c r="D87" s="42" t="s">
        <v>468</v>
      </c>
      <c r="E87" s="42" t="s">
        <v>961</v>
      </c>
      <c r="F87" s="42">
        <v>219</v>
      </c>
      <c r="G87" s="42">
        <v>15</v>
      </c>
      <c r="H87" s="42" t="s">
        <v>72</v>
      </c>
      <c r="I87" s="42">
        <v>2310470</v>
      </c>
      <c r="J87" s="42" t="s">
        <v>477</v>
      </c>
      <c r="K87" s="42">
        <v>3</v>
      </c>
      <c r="L87" s="42">
        <v>0</v>
      </c>
      <c r="M87" s="42">
        <v>40</v>
      </c>
      <c r="N87" s="42">
        <v>0</v>
      </c>
    </row>
    <row r="88" spans="1:14" ht="15.75" customHeight="1">
      <c r="A88" s="149">
        <v>2616</v>
      </c>
      <c r="B88" s="43">
        <v>52171949</v>
      </c>
      <c r="C88" s="42" t="s">
        <v>445</v>
      </c>
      <c r="D88" s="42" t="s">
        <v>446</v>
      </c>
      <c r="E88" s="42" t="s">
        <v>447</v>
      </c>
      <c r="F88" s="42">
        <v>219</v>
      </c>
      <c r="G88" s="42">
        <v>10</v>
      </c>
      <c r="H88" s="42" t="s">
        <v>72</v>
      </c>
      <c r="I88" s="42">
        <v>2300100</v>
      </c>
      <c r="J88" s="42" t="s">
        <v>730</v>
      </c>
      <c r="K88" s="42">
        <v>3</v>
      </c>
      <c r="L88" s="42">
        <v>0</v>
      </c>
      <c r="M88" s="42">
        <v>40</v>
      </c>
      <c r="N88" s="42">
        <v>0</v>
      </c>
    </row>
    <row r="89" spans="1:14" ht="15.75" customHeight="1">
      <c r="A89" s="149">
        <v>2671</v>
      </c>
      <c r="B89" s="43">
        <v>52174173</v>
      </c>
      <c r="C89" s="42" t="s">
        <v>462</v>
      </c>
      <c r="D89" s="42" t="s">
        <v>463</v>
      </c>
      <c r="E89" s="42" t="s">
        <v>464</v>
      </c>
      <c r="F89" s="42">
        <v>219</v>
      </c>
      <c r="G89" s="42">
        <v>18</v>
      </c>
      <c r="H89" s="42" t="s">
        <v>72</v>
      </c>
      <c r="I89" s="42">
        <v>2311000</v>
      </c>
      <c r="J89" s="42" t="s">
        <v>710</v>
      </c>
      <c r="K89" s="42">
        <v>5</v>
      </c>
      <c r="L89" s="42">
        <v>0</v>
      </c>
      <c r="M89" s="42">
        <v>40</v>
      </c>
      <c r="N89" s="42">
        <v>0</v>
      </c>
    </row>
    <row r="90" spans="1:14" ht="15.75" customHeight="1">
      <c r="A90" s="149">
        <v>2699</v>
      </c>
      <c r="B90" s="43">
        <v>52176286</v>
      </c>
      <c r="C90" s="42" t="s">
        <v>468</v>
      </c>
      <c r="D90" s="42" t="s">
        <v>469</v>
      </c>
      <c r="E90" s="42" t="s">
        <v>470</v>
      </c>
      <c r="F90" s="42">
        <v>407</v>
      </c>
      <c r="G90" s="42">
        <v>16</v>
      </c>
      <c r="H90" s="42" t="s">
        <v>146</v>
      </c>
      <c r="I90" s="42">
        <v>2311000</v>
      </c>
      <c r="J90" s="42" t="s">
        <v>710</v>
      </c>
      <c r="K90" s="42">
        <v>0</v>
      </c>
      <c r="L90" s="42">
        <v>0</v>
      </c>
      <c r="M90" s="42">
        <v>0</v>
      </c>
      <c r="N90" s="42">
        <v>0</v>
      </c>
    </row>
    <row r="91" spans="1:14" ht="15.75" customHeight="1">
      <c r="A91" s="149">
        <v>2536</v>
      </c>
      <c r="B91" s="43">
        <v>52176512</v>
      </c>
      <c r="C91" s="42" t="s">
        <v>474</v>
      </c>
      <c r="D91" s="42" t="s">
        <v>475</v>
      </c>
      <c r="E91" s="42" t="s">
        <v>464</v>
      </c>
      <c r="F91" s="42">
        <v>222</v>
      </c>
      <c r="G91" s="42">
        <v>21</v>
      </c>
      <c r="H91" s="42" t="s">
        <v>51</v>
      </c>
      <c r="I91" s="42">
        <v>2310470</v>
      </c>
      <c r="J91" s="42" t="s">
        <v>477</v>
      </c>
      <c r="K91" s="42">
        <v>3</v>
      </c>
      <c r="L91" s="42">
        <v>0</v>
      </c>
      <c r="M91" s="42">
        <v>40</v>
      </c>
      <c r="N91" s="42">
        <v>0</v>
      </c>
    </row>
    <row r="92" spans="1:14" ht="15.75" customHeight="1">
      <c r="A92" s="149">
        <v>701</v>
      </c>
      <c r="B92" s="43">
        <v>52235989</v>
      </c>
      <c r="C92" s="42" t="s">
        <v>485</v>
      </c>
      <c r="D92" s="42" t="s">
        <v>486</v>
      </c>
      <c r="E92" s="42" t="s">
        <v>487</v>
      </c>
      <c r="F92" s="42">
        <v>407</v>
      </c>
      <c r="G92" s="42">
        <v>26</v>
      </c>
      <c r="H92" s="42" t="s">
        <v>146</v>
      </c>
      <c r="I92" s="42">
        <v>2310430</v>
      </c>
      <c r="J92" s="42" t="s">
        <v>782</v>
      </c>
      <c r="K92" s="42">
        <v>7</v>
      </c>
      <c r="L92" s="42">
        <v>0</v>
      </c>
      <c r="M92" s="42">
        <v>0</v>
      </c>
      <c r="N92" s="42">
        <v>0</v>
      </c>
    </row>
    <row r="93" spans="1:14" ht="15.75" customHeight="1">
      <c r="A93" s="149">
        <v>1762</v>
      </c>
      <c r="B93" s="43">
        <v>52236487</v>
      </c>
      <c r="C93" s="42" t="s">
        <v>463</v>
      </c>
      <c r="D93" s="42" t="s">
        <v>491</v>
      </c>
      <c r="E93" s="42" t="s">
        <v>492</v>
      </c>
      <c r="F93" s="42">
        <v>222</v>
      </c>
      <c r="G93" s="42">
        <v>27</v>
      </c>
      <c r="H93" s="42" t="s">
        <v>51</v>
      </c>
      <c r="I93" s="42">
        <v>2310430</v>
      </c>
      <c r="J93" s="42" t="s">
        <v>782</v>
      </c>
      <c r="K93" s="42">
        <v>7</v>
      </c>
      <c r="L93" s="42">
        <v>0</v>
      </c>
      <c r="M93" s="42">
        <v>40</v>
      </c>
      <c r="N93" s="42">
        <v>0</v>
      </c>
    </row>
    <row r="94" spans="1:14" ht="15.75" customHeight="1">
      <c r="A94" s="149">
        <v>2602</v>
      </c>
      <c r="B94" s="43">
        <v>52258032</v>
      </c>
      <c r="C94" s="42" t="s">
        <v>502</v>
      </c>
      <c r="D94" s="42" t="s">
        <v>503</v>
      </c>
      <c r="E94" s="42" t="s">
        <v>504</v>
      </c>
      <c r="F94" s="42">
        <v>222</v>
      </c>
      <c r="G94" s="42">
        <v>19</v>
      </c>
      <c r="H94" s="42" t="s">
        <v>51</v>
      </c>
      <c r="I94" s="42">
        <v>2310460</v>
      </c>
      <c r="J94" s="42" t="s">
        <v>709</v>
      </c>
      <c r="K94" s="42">
        <v>3</v>
      </c>
      <c r="L94" s="42">
        <v>0</v>
      </c>
      <c r="M94" s="42">
        <v>40</v>
      </c>
      <c r="N94" s="42">
        <v>0</v>
      </c>
    </row>
    <row r="95" spans="1:14" ht="15.75" customHeight="1">
      <c r="A95" s="149">
        <v>2577</v>
      </c>
      <c r="B95" s="43">
        <v>52277284</v>
      </c>
      <c r="C95" s="42" t="s">
        <v>513</v>
      </c>
      <c r="D95" s="42" t="s">
        <v>514</v>
      </c>
      <c r="E95" s="42" t="s">
        <v>515</v>
      </c>
      <c r="F95" s="42">
        <v>219</v>
      </c>
      <c r="G95" s="42">
        <v>1</v>
      </c>
      <c r="H95" s="42" t="s">
        <v>72</v>
      </c>
      <c r="I95" s="42">
        <v>2311000</v>
      </c>
      <c r="J95" s="42" t="s">
        <v>710</v>
      </c>
      <c r="K95" s="42">
        <v>3</v>
      </c>
      <c r="L95" s="42">
        <v>0</v>
      </c>
      <c r="M95" s="42">
        <v>33.6</v>
      </c>
      <c r="N95" s="42">
        <v>0</v>
      </c>
    </row>
    <row r="96" spans="1:14" ht="15.75" customHeight="1">
      <c r="A96" s="149">
        <v>2529</v>
      </c>
      <c r="B96" s="43">
        <v>52281297</v>
      </c>
      <c r="C96" s="42" t="s">
        <v>518</v>
      </c>
      <c r="D96" s="42" t="s">
        <v>519</v>
      </c>
      <c r="E96" s="42" t="s">
        <v>520</v>
      </c>
      <c r="F96" s="42">
        <v>314</v>
      </c>
      <c r="G96" s="42">
        <v>20</v>
      </c>
      <c r="H96" s="42" t="s">
        <v>517</v>
      </c>
      <c r="I96" s="42">
        <v>2310200</v>
      </c>
      <c r="J96" s="42" t="s">
        <v>776</v>
      </c>
      <c r="K96" s="42">
        <v>3</v>
      </c>
      <c r="L96" s="42">
        <v>0</v>
      </c>
      <c r="M96" s="42">
        <v>0</v>
      </c>
      <c r="N96" s="42">
        <v>0</v>
      </c>
    </row>
    <row r="97" spans="1:14" ht="15.75" customHeight="1">
      <c r="A97" s="149">
        <v>2547</v>
      </c>
      <c r="B97" s="43">
        <v>52282454</v>
      </c>
      <c r="C97" s="42" t="s">
        <v>523</v>
      </c>
      <c r="D97" s="42" t="s">
        <v>524</v>
      </c>
      <c r="E97" s="42" t="s">
        <v>525</v>
      </c>
      <c r="F97" s="42">
        <v>222</v>
      </c>
      <c r="G97" s="42">
        <v>27</v>
      </c>
      <c r="H97" s="42" t="s">
        <v>51</v>
      </c>
      <c r="I97" s="42">
        <v>2311000</v>
      </c>
      <c r="J97" s="42" t="s">
        <v>710</v>
      </c>
      <c r="K97" s="42">
        <v>7</v>
      </c>
      <c r="L97" s="42">
        <v>0</v>
      </c>
      <c r="M97" s="42">
        <v>40</v>
      </c>
      <c r="N97" s="42">
        <v>0</v>
      </c>
    </row>
    <row r="98" spans="1:14" ht="15.75" customHeight="1">
      <c r="A98" s="149">
        <v>2586</v>
      </c>
      <c r="B98" s="43">
        <v>52337438</v>
      </c>
      <c r="C98" s="42" t="s">
        <v>537</v>
      </c>
      <c r="D98" s="42" t="s">
        <v>538</v>
      </c>
      <c r="E98" s="42" t="s">
        <v>539</v>
      </c>
      <c r="F98" s="42">
        <v>222</v>
      </c>
      <c r="G98" s="42">
        <v>21</v>
      </c>
      <c r="H98" s="42" t="s">
        <v>51</v>
      </c>
      <c r="I98" s="42">
        <v>2311000</v>
      </c>
      <c r="J98" s="42" t="s">
        <v>710</v>
      </c>
      <c r="K98" s="42">
        <v>3</v>
      </c>
      <c r="L98" s="42">
        <v>0</v>
      </c>
      <c r="M98" s="42">
        <v>40</v>
      </c>
      <c r="N98" s="42">
        <v>0</v>
      </c>
    </row>
    <row r="99" spans="1:14" ht="15.75" customHeight="1">
      <c r="A99" s="149">
        <v>624</v>
      </c>
      <c r="B99" s="43">
        <v>52363895</v>
      </c>
      <c r="C99" s="42" t="s">
        <v>554</v>
      </c>
      <c r="D99" s="42" t="s">
        <v>556</v>
      </c>
      <c r="E99" s="42" t="s">
        <v>557</v>
      </c>
      <c r="F99" s="42">
        <v>222</v>
      </c>
      <c r="G99" s="42">
        <v>27</v>
      </c>
      <c r="H99" s="42" t="s">
        <v>51</v>
      </c>
      <c r="I99" s="42">
        <v>2310440</v>
      </c>
      <c r="J99" s="42" t="s">
        <v>628</v>
      </c>
      <c r="K99" s="42">
        <v>7</v>
      </c>
      <c r="L99" s="42">
        <v>0</v>
      </c>
      <c r="M99" s="42">
        <v>40</v>
      </c>
      <c r="N99" s="42">
        <v>0</v>
      </c>
    </row>
    <row r="100" spans="1:14" ht="15.75" customHeight="1">
      <c r="A100" s="149">
        <v>2636</v>
      </c>
      <c r="B100" s="43">
        <v>52380066</v>
      </c>
      <c r="C100" s="42" t="s">
        <v>478</v>
      </c>
      <c r="D100" s="42" t="s">
        <v>972</v>
      </c>
      <c r="E100" s="42" t="s">
        <v>973</v>
      </c>
      <c r="F100" s="42">
        <v>222</v>
      </c>
      <c r="G100" s="42">
        <v>27</v>
      </c>
      <c r="H100" s="42" t="s">
        <v>51</v>
      </c>
      <c r="I100" s="42">
        <v>2310470</v>
      </c>
      <c r="J100" s="42" t="s">
        <v>477</v>
      </c>
      <c r="K100" s="42">
        <v>7</v>
      </c>
      <c r="L100" s="42">
        <v>0</v>
      </c>
      <c r="M100" s="42">
        <v>40</v>
      </c>
      <c r="N100" s="42">
        <v>0</v>
      </c>
    </row>
    <row r="101" spans="1:14" ht="15.75" customHeight="1">
      <c r="A101" s="149">
        <v>2580</v>
      </c>
      <c r="B101" s="43">
        <v>52391785</v>
      </c>
      <c r="C101" s="42" t="s">
        <v>974</v>
      </c>
      <c r="D101" s="42" t="s">
        <v>975</v>
      </c>
      <c r="E101" s="42" t="s">
        <v>976</v>
      </c>
      <c r="F101" s="42">
        <v>222</v>
      </c>
      <c r="G101" s="42">
        <v>24</v>
      </c>
      <c r="H101" s="42" t="s">
        <v>51</v>
      </c>
      <c r="I101" s="42">
        <v>2311000</v>
      </c>
      <c r="J101" s="42" t="s">
        <v>710</v>
      </c>
      <c r="K101" s="42">
        <v>3</v>
      </c>
      <c r="L101" s="42">
        <v>0</v>
      </c>
      <c r="M101" s="42">
        <v>40</v>
      </c>
      <c r="N101" s="42">
        <v>0</v>
      </c>
    </row>
    <row r="102" spans="1:14" ht="15.75" customHeight="1">
      <c r="A102" s="149">
        <v>2573</v>
      </c>
      <c r="B102" s="43">
        <v>52454621</v>
      </c>
      <c r="C102" s="42" t="s">
        <v>980</v>
      </c>
      <c r="D102" s="42" t="s">
        <v>485</v>
      </c>
      <c r="E102" s="42" t="s">
        <v>726</v>
      </c>
      <c r="F102" s="42">
        <v>222</v>
      </c>
      <c r="G102" s="42">
        <v>24</v>
      </c>
      <c r="H102" s="42" t="s">
        <v>51</v>
      </c>
      <c r="I102" s="42">
        <v>2310300</v>
      </c>
      <c r="J102" s="42" t="s">
        <v>552</v>
      </c>
      <c r="K102" s="42">
        <v>3</v>
      </c>
      <c r="L102" s="42">
        <v>0</v>
      </c>
      <c r="M102" s="42">
        <v>40</v>
      </c>
      <c r="N102" s="42">
        <v>0</v>
      </c>
    </row>
    <row r="103" spans="1:14" ht="15.75" customHeight="1">
      <c r="A103" s="149">
        <v>2531</v>
      </c>
      <c r="B103" s="43">
        <v>52486713</v>
      </c>
      <c r="C103" s="42" t="s">
        <v>981</v>
      </c>
      <c r="D103" s="42" t="s">
        <v>982</v>
      </c>
      <c r="E103" s="42" t="s">
        <v>983</v>
      </c>
      <c r="F103" s="42">
        <v>219</v>
      </c>
      <c r="G103" s="42">
        <v>18</v>
      </c>
      <c r="H103" s="42" t="s">
        <v>72</v>
      </c>
      <c r="I103" s="42">
        <v>2310440</v>
      </c>
      <c r="J103" s="42" t="s">
        <v>628</v>
      </c>
      <c r="K103" s="42">
        <v>3</v>
      </c>
      <c r="L103" s="42">
        <v>0</v>
      </c>
      <c r="M103" s="42">
        <v>40</v>
      </c>
      <c r="N103" s="42">
        <v>0</v>
      </c>
    </row>
    <row r="104" spans="1:14" ht="15.75" customHeight="1">
      <c r="A104" s="149">
        <v>2548</v>
      </c>
      <c r="B104" s="43">
        <v>52542976</v>
      </c>
      <c r="C104" s="42" t="s">
        <v>721</v>
      </c>
      <c r="D104" s="42" t="s">
        <v>985</v>
      </c>
      <c r="E104" s="42" t="s">
        <v>525</v>
      </c>
      <c r="F104" s="42">
        <v>425</v>
      </c>
      <c r="G104" s="42">
        <v>24</v>
      </c>
      <c r="H104" s="42" t="s">
        <v>255</v>
      </c>
      <c r="I104" s="42">
        <v>2311000</v>
      </c>
      <c r="J104" s="42" t="s">
        <v>710</v>
      </c>
      <c r="K104" s="42">
        <v>3</v>
      </c>
      <c r="L104" s="42">
        <v>0</v>
      </c>
      <c r="M104" s="42">
        <v>0</v>
      </c>
      <c r="N104" s="42">
        <v>2</v>
      </c>
    </row>
    <row r="105" spans="1:14" ht="15.75" customHeight="1">
      <c r="A105" s="149">
        <v>359</v>
      </c>
      <c r="B105" s="43">
        <v>52557124</v>
      </c>
      <c r="C105" s="42" t="s">
        <v>734</v>
      </c>
      <c r="D105" s="42" t="s">
        <v>533</v>
      </c>
      <c r="E105" s="42" t="s">
        <v>989</v>
      </c>
      <c r="F105" s="42">
        <v>314</v>
      </c>
      <c r="G105" s="42">
        <v>20</v>
      </c>
      <c r="H105" s="42" t="s">
        <v>517</v>
      </c>
      <c r="I105" s="42">
        <v>2310450</v>
      </c>
      <c r="J105" s="42" t="s">
        <v>568</v>
      </c>
      <c r="K105" s="42">
        <v>7</v>
      </c>
      <c r="L105" s="42">
        <v>0</v>
      </c>
      <c r="M105" s="42">
        <v>0</v>
      </c>
      <c r="N105" s="42">
        <v>0</v>
      </c>
    </row>
    <row r="106" spans="1:14" ht="15.75" customHeight="1">
      <c r="A106" s="149">
        <v>2538</v>
      </c>
      <c r="B106" s="43">
        <v>52646082</v>
      </c>
      <c r="C106" s="42" t="s">
        <v>990</v>
      </c>
      <c r="D106" s="42" t="s">
        <v>991</v>
      </c>
      <c r="E106" s="42" t="s">
        <v>992</v>
      </c>
      <c r="F106" s="42">
        <v>222</v>
      </c>
      <c r="G106" s="42">
        <v>19</v>
      </c>
      <c r="H106" s="42" t="s">
        <v>51</v>
      </c>
      <c r="I106" s="42">
        <v>2310470</v>
      </c>
      <c r="J106" s="42" t="s">
        <v>477</v>
      </c>
      <c r="K106" s="42">
        <v>3</v>
      </c>
      <c r="L106" s="42">
        <v>0</v>
      </c>
      <c r="M106" s="42">
        <v>40</v>
      </c>
      <c r="N106" s="42">
        <v>0</v>
      </c>
    </row>
    <row r="107" spans="1:14" ht="15.75" customHeight="1">
      <c r="A107" s="149">
        <v>2701</v>
      </c>
      <c r="B107" s="43">
        <v>52699744</v>
      </c>
      <c r="C107" s="42" t="s">
        <v>594</v>
      </c>
      <c r="D107" s="42" t="s">
        <v>636</v>
      </c>
      <c r="E107" s="42" t="s">
        <v>993</v>
      </c>
      <c r="F107" s="42">
        <v>9</v>
      </c>
      <c r="G107" s="42">
        <v>7</v>
      </c>
      <c r="H107" s="42" t="s">
        <v>512</v>
      </c>
      <c r="I107" s="42">
        <v>2310440</v>
      </c>
      <c r="J107" s="42" t="s">
        <v>628</v>
      </c>
      <c r="K107" s="42">
        <v>0</v>
      </c>
      <c r="L107" s="42">
        <v>0</v>
      </c>
      <c r="M107" s="42">
        <v>50</v>
      </c>
      <c r="N107" s="42">
        <v>0</v>
      </c>
    </row>
    <row r="108" spans="1:14" ht="15.75" customHeight="1">
      <c r="A108" s="149">
        <v>2427</v>
      </c>
      <c r="B108" s="43">
        <v>52768137</v>
      </c>
      <c r="C108" s="42" t="s">
        <v>533</v>
      </c>
      <c r="D108" s="42" t="s">
        <v>995</v>
      </c>
      <c r="E108" s="42" t="s">
        <v>996</v>
      </c>
      <c r="F108" s="42">
        <v>219</v>
      </c>
      <c r="G108" s="42">
        <v>18</v>
      </c>
      <c r="H108" s="42" t="s">
        <v>72</v>
      </c>
      <c r="I108" s="42">
        <v>2311000</v>
      </c>
      <c r="J108" s="42" t="s">
        <v>710</v>
      </c>
      <c r="K108" s="42">
        <v>3</v>
      </c>
      <c r="L108" s="42">
        <v>0</v>
      </c>
      <c r="M108" s="42">
        <v>32</v>
      </c>
      <c r="N108" s="42">
        <v>0</v>
      </c>
    </row>
    <row r="109" spans="1:14" ht="15.75" customHeight="1">
      <c r="A109" s="149">
        <v>2662</v>
      </c>
      <c r="B109" s="43">
        <v>52781142</v>
      </c>
      <c r="C109" s="42" t="s">
        <v>847</v>
      </c>
      <c r="D109" s="42" t="s">
        <v>561</v>
      </c>
      <c r="E109" s="42" t="s">
        <v>997</v>
      </c>
      <c r="F109" s="42">
        <v>314</v>
      </c>
      <c r="G109" s="42">
        <v>20</v>
      </c>
      <c r="H109" s="42" t="s">
        <v>517</v>
      </c>
      <c r="I109" s="42">
        <v>2311000</v>
      </c>
      <c r="J109" s="42" t="s">
        <v>710</v>
      </c>
      <c r="K109" s="42">
        <v>0</v>
      </c>
      <c r="L109" s="42">
        <v>0</v>
      </c>
      <c r="M109" s="42">
        <v>0</v>
      </c>
      <c r="N109" s="42">
        <v>0</v>
      </c>
    </row>
    <row r="110" spans="1:14" ht="15.75" customHeight="1">
      <c r="A110" s="149">
        <v>2605</v>
      </c>
      <c r="B110" s="43">
        <v>52818411</v>
      </c>
      <c r="C110" s="42" t="s">
        <v>1001</v>
      </c>
      <c r="D110" s="42" t="s">
        <v>1002</v>
      </c>
      <c r="E110" s="42" t="s">
        <v>1003</v>
      </c>
      <c r="F110" s="42">
        <v>222</v>
      </c>
      <c r="G110" s="42">
        <v>21</v>
      </c>
      <c r="H110" s="42" t="s">
        <v>51</v>
      </c>
      <c r="I110" s="42">
        <v>2310460</v>
      </c>
      <c r="J110" s="42" t="s">
        <v>709</v>
      </c>
      <c r="K110" s="42">
        <v>3</v>
      </c>
      <c r="L110" s="42">
        <v>0</v>
      </c>
      <c r="M110" s="42">
        <v>40</v>
      </c>
      <c r="N110" s="42">
        <v>0</v>
      </c>
    </row>
    <row r="111" spans="1:14" ht="15.75" customHeight="1">
      <c r="A111" s="149">
        <v>2592</v>
      </c>
      <c r="B111" s="43">
        <v>52868519</v>
      </c>
      <c r="C111" s="42" t="s">
        <v>463</v>
      </c>
      <c r="D111" s="42" t="s">
        <v>773</v>
      </c>
      <c r="E111" s="42" t="s">
        <v>1004</v>
      </c>
      <c r="F111" s="42">
        <v>219</v>
      </c>
      <c r="G111" s="42">
        <v>18</v>
      </c>
      <c r="H111" s="42" t="s">
        <v>72</v>
      </c>
      <c r="I111" s="42">
        <v>2300100</v>
      </c>
      <c r="J111" s="42" t="s">
        <v>730</v>
      </c>
      <c r="K111" s="42">
        <v>5</v>
      </c>
      <c r="L111" s="42">
        <v>0</v>
      </c>
      <c r="M111" s="42">
        <v>40</v>
      </c>
      <c r="N111" s="42">
        <v>0</v>
      </c>
    </row>
    <row r="112" spans="1:14" ht="15.75" customHeight="1">
      <c r="A112" s="149">
        <v>2425</v>
      </c>
      <c r="B112" s="43">
        <v>53001416</v>
      </c>
      <c r="C112" s="42" t="s">
        <v>463</v>
      </c>
      <c r="D112" s="42" t="s">
        <v>829</v>
      </c>
      <c r="E112" s="42" t="s">
        <v>1005</v>
      </c>
      <c r="F112" s="42">
        <v>219</v>
      </c>
      <c r="G112" s="42">
        <v>18</v>
      </c>
      <c r="H112" s="42" t="s">
        <v>72</v>
      </c>
      <c r="I112" s="42">
        <v>2310440</v>
      </c>
      <c r="J112" s="42" t="s">
        <v>628</v>
      </c>
      <c r="K112" s="42">
        <v>0</v>
      </c>
      <c r="L112" s="42">
        <v>0</v>
      </c>
      <c r="M112" s="42">
        <v>40</v>
      </c>
      <c r="N112" s="42">
        <v>0</v>
      </c>
    </row>
    <row r="113" spans="1:14" ht="15.75" customHeight="1">
      <c r="A113" s="149">
        <v>2676</v>
      </c>
      <c r="B113" s="43">
        <v>53014890</v>
      </c>
      <c r="C113" s="42" t="s">
        <v>1008</v>
      </c>
      <c r="D113" s="42" t="s">
        <v>1009</v>
      </c>
      <c r="E113" s="42" t="s">
        <v>750</v>
      </c>
      <c r="F113" s="42">
        <v>9</v>
      </c>
      <c r="G113" s="42">
        <v>7</v>
      </c>
      <c r="H113" s="42" t="s">
        <v>512</v>
      </c>
      <c r="I113" s="42">
        <v>2310470</v>
      </c>
      <c r="J113" s="42" t="s">
        <v>477</v>
      </c>
      <c r="K113" s="42">
        <v>0</v>
      </c>
      <c r="L113" s="42">
        <v>0</v>
      </c>
      <c r="M113" s="42">
        <v>50</v>
      </c>
      <c r="N113" s="42">
        <v>0</v>
      </c>
    </row>
    <row r="114" spans="1:14" ht="15.75" customHeight="1">
      <c r="A114" s="149">
        <v>2468</v>
      </c>
      <c r="B114" s="43">
        <v>53015269</v>
      </c>
      <c r="C114" s="42" t="s">
        <v>1010</v>
      </c>
      <c r="D114" s="42" t="s">
        <v>578</v>
      </c>
      <c r="E114" s="42" t="s">
        <v>1011</v>
      </c>
      <c r="F114" s="42">
        <v>222</v>
      </c>
      <c r="G114" s="42">
        <v>24</v>
      </c>
      <c r="H114" s="42" t="s">
        <v>51</v>
      </c>
      <c r="I114" s="42">
        <v>2310440</v>
      </c>
      <c r="J114" s="42" t="s">
        <v>628</v>
      </c>
      <c r="K114" s="42">
        <v>3</v>
      </c>
      <c r="L114" s="42">
        <v>0</v>
      </c>
      <c r="M114" s="42">
        <v>40</v>
      </c>
      <c r="N114" s="42">
        <v>0</v>
      </c>
    </row>
    <row r="115" spans="1:14" ht="15.75" customHeight="1">
      <c r="A115" s="149">
        <v>2584</v>
      </c>
      <c r="B115" s="43">
        <v>53066719</v>
      </c>
      <c r="C115" s="42" t="s">
        <v>774</v>
      </c>
      <c r="D115" s="42" t="s">
        <v>774</v>
      </c>
      <c r="E115" s="42" t="s">
        <v>1012</v>
      </c>
      <c r="F115" s="42">
        <v>222</v>
      </c>
      <c r="G115" s="42">
        <v>21</v>
      </c>
      <c r="H115" s="42" t="s">
        <v>51</v>
      </c>
      <c r="I115" s="42">
        <v>2310470</v>
      </c>
      <c r="J115" s="42" t="s">
        <v>477</v>
      </c>
      <c r="K115" s="42">
        <v>3</v>
      </c>
      <c r="L115" s="42">
        <v>0</v>
      </c>
      <c r="M115" s="42">
        <v>40</v>
      </c>
      <c r="N115" s="42">
        <v>0</v>
      </c>
    </row>
    <row r="116" spans="1:14" ht="15.75" customHeight="1">
      <c r="A116" s="149">
        <v>2612</v>
      </c>
      <c r="B116" s="43">
        <v>53100696</v>
      </c>
      <c r="C116" s="42" t="s">
        <v>759</v>
      </c>
      <c r="D116" s="42" t="s">
        <v>677</v>
      </c>
      <c r="E116" s="42" t="s">
        <v>1015</v>
      </c>
      <c r="F116" s="42">
        <v>314</v>
      </c>
      <c r="G116" s="42">
        <v>20</v>
      </c>
      <c r="H116" s="42" t="s">
        <v>517</v>
      </c>
      <c r="I116" s="42">
        <v>2310470</v>
      </c>
      <c r="J116" s="42" t="s">
        <v>477</v>
      </c>
      <c r="K116" s="42">
        <v>3</v>
      </c>
      <c r="L116" s="42">
        <v>0</v>
      </c>
      <c r="M116" s="42">
        <v>0</v>
      </c>
      <c r="N116" s="42">
        <v>0</v>
      </c>
    </row>
    <row r="117" spans="1:14" ht="15.75" customHeight="1">
      <c r="A117" s="149">
        <v>2670</v>
      </c>
      <c r="B117" s="43">
        <v>53122985</v>
      </c>
      <c r="C117" s="42" t="s">
        <v>533</v>
      </c>
      <c r="D117" s="42" t="s">
        <v>889</v>
      </c>
      <c r="E117" s="42" t="s">
        <v>1017</v>
      </c>
      <c r="F117" s="42">
        <v>219</v>
      </c>
      <c r="G117" s="42">
        <v>18</v>
      </c>
      <c r="H117" s="42" t="s">
        <v>72</v>
      </c>
      <c r="I117" s="42">
        <v>2310450</v>
      </c>
      <c r="J117" s="42" t="s">
        <v>568</v>
      </c>
      <c r="K117" s="42">
        <v>0</v>
      </c>
      <c r="L117" s="42">
        <v>0</v>
      </c>
      <c r="M117" s="42">
        <v>40</v>
      </c>
      <c r="N117" s="42">
        <v>0</v>
      </c>
    </row>
    <row r="118" spans="1:14" ht="15.75" customHeight="1">
      <c r="A118" s="149">
        <v>2563</v>
      </c>
      <c r="B118" s="43">
        <v>53166058</v>
      </c>
      <c r="C118" s="42" t="s">
        <v>1018</v>
      </c>
      <c r="D118" s="42" t="s">
        <v>982</v>
      </c>
      <c r="E118" s="42" t="s">
        <v>1019</v>
      </c>
      <c r="F118" s="42">
        <v>222</v>
      </c>
      <c r="G118" s="42">
        <v>21</v>
      </c>
      <c r="H118" s="42" t="s">
        <v>51</v>
      </c>
      <c r="I118" s="42">
        <v>2311000</v>
      </c>
      <c r="J118" s="42" t="s">
        <v>710</v>
      </c>
      <c r="K118" s="42">
        <v>3</v>
      </c>
      <c r="L118" s="42">
        <v>0</v>
      </c>
      <c r="M118" s="42">
        <v>40</v>
      </c>
      <c r="N118" s="42">
        <v>0</v>
      </c>
    </row>
    <row r="119" spans="1:14" ht="15.75" customHeight="1">
      <c r="A119" s="149">
        <v>2572</v>
      </c>
      <c r="B119" s="43">
        <v>60348229</v>
      </c>
      <c r="C119" s="42" t="s">
        <v>537</v>
      </c>
      <c r="D119" s="42" t="s">
        <v>538</v>
      </c>
      <c r="E119" s="42" t="s">
        <v>1020</v>
      </c>
      <c r="F119" s="42">
        <v>219</v>
      </c>
      <c r="G119" s="42">
        <v>18</v>
      </c>
      <c r="H119" s="42" t="s">
        <v>72</v>
      </c>
      <c r="I119" s="42">
        <v>2311000</v>
      </c>
      <c r="J119" s="42" t="s">
        <v>710</v>
      </c>
      <c r="K119" s="42">
        <v>3</v>
      </c>
      <c r="L119" s="42">
        <v>0</v>
      </c>
      <c r="M119" s="42">
        <v>40</v>
      </c>
      <c r="N119" s="42">
        <v>0</v>
      </c>
    </row>
    <row r="120" spans="1:14" ht="15.75" customHeight="1">
      <c r="A120" s="149">
        <v>2634</v>
      </c>
      <c r="B120" s="43">
        <v>64586540</v>
      </c>
      <c r="C120" s="42" t="s">
        <v>681</v>
      </c>
      <c r="D120" s="42" t="s">
        <v>1023</v>
      </c>
      <c r="E120" s="42" t="s">
        <v>1024</v>
      </c>
      <c r="F120" s="42">
        <v>222</v>
      </c>
      <c r="G120" s="42">
        <v>27</v>
      </c>
      <c r="H120" s="42" t="s">
        <v>51</v>
      </c>
      <c r="I120" s="42">
        <v>2310440</v>
      </c>
      <c r="J120" s="42" t="s">
        <v>628</v>
      </c>
      <c r="K120" s="42">
        <v>0</v>
      </c>
      <c r="L120" s="42">
        <v>0</v>
      </c>
      <c r="M120" s="42">
        <v>40</v>
      </c>
      <c r="N120" s="42">
        <v>0</v>
      </c>
    </row>
    <row r="121" spans="1:14" ht="15.75" customHeight="1">
      <c r="A121" s="149">
        <v>2595</v>
      </c>
      <c r="B121" s="43">
        <v>6765913</v>
      </c>
      <c r="C121" s="42" t="s">
        <v>977</v>
      </c>
      <c r="D121" s="42" t="s">
        <v>1026</v>
      </c>
      <c r="E121" s="42" t="s">
        <v>1027</v>
      </c>
      <c r="F121" s="42">
        <v>222</v>
      </c>
      <c r="G121" s="42">
        <v>20</v>
      </c>
      <c r="H121" s="42" t="s">
        <v>51</v>
      </c>
      <c r="I121" s="42">
        <v>2310450</v>
      </c>
      <c r="J121" s="42" t="s">
        <v>568</v>
      </c>
      <c r="K121" s="42">
        <v>3</v>
      </c>
      <c r="L121" s="42">
        <v>0</v>
      </c>
      <c r="M121" s="42">
        <v>40</v>
      </c>
      <c r="N121" s="42">
        <v>0</v>
      </c>
    </row>
    <row r="122" spans="1:14" ht="15.75" customHeight="1">
      <c r="A122" s="149">
        <v>2525</v>
      </c>
      <c r="B122" s="43">
        <v>73155098</v>
      </c>
      <c r="C122" s="42" t="s">
        <v>773</v>
      </c>
      <c r="D122" s="42" t="s">
        <v>1028</v>
      </c>
      <c r="E122" s="42" t="s">
        <v>1029</v>
      </c>
      <c r="F122" s="42">
        <v>222</v>
      </c>
      <c r="G122" s="42">
        <v>22</v>
      </c>
      <c r="H122" s="42" t="s">
        <v>51</v>
      </c>
      <c r="I122" s="42">
        <v>2310470</v>
      </c>
      <c r="J122" s="42" t="s">
        <v>477</v>
      </c>
      <c r="K122" s="42">
        <v>3</v>
      </c>
      <c r="L122" s="42">
        <v>0</v>
      </c>
      <c r="M122" s="42">
        <v>40</v>
      </c>
      <c r="N122" s="42">
        <v>0</v>
      </c>
    </row>
    <row r="123" spans="1:14" ht="15.75" customHeight="1">
      <c r="A123" s="149">
        <v>2585</v>
      </c>
      <c r="B123" s="43">
        <v>75093516</v>
      </c>
      <c r="C123" s="42" t="s">
        <v>1032</v>
      </c>
      <c r="D123" s="42" t="s">
        <v>1033</v>
      </c>
      <c r="E123" s="42" t="s">
        <v>1035</v>
      </c>
      <c r="F123" s="42">
        <v>219</v>
      </c>
      <c r="G123" s="42">
        <v>18</v>
      </c>
      <c r="H123" s="42" t="s">
        <v>72</v>
      </c>
      <c r="I123" s="42">
        <v>2311000</v>
      </c>
      <c r="J123" s="42" t="s">
        <v>710</v>
      </c>
      <c r="K123" s="42">
        <v>3</v>
      </c>
      <c r="L123" s="42">
        <v>0</v>
      </c>
      <c r="M123" s="42">
        <v>40</v>
      </c>
      <c r="N123" s="42">
        <v>0</v>
      </c>
    </row>
    <row r="124" spans="1:14" ht="15.75" customHeight="1">
      <c r="A124" s="149">
        <v>2507</v>
      </c>
      <c r="B124" s="43">
        <v>7690438</v>
      </c>
      <c r="C124" s="42" t="s">
        <v>1036</v>
      </c>
      <c r="D124" s="42" t="s">
        <v>759</v>
      </c>
      <c r="E124" s="42" t="s">
        <v>1037</v>
      </c>
      <c r="F124" s="42">
        <v>480</v>
      </c>
      <c r="G124" s="42">
        <v>13</v>
      </c>
      <c r="H124" s="42" t="s">
        <v>223</v>
      </c>
      <c r="I124" s="42">
        <v>2311000</v>
      </c>
      <c r="J124" s="42" t="s">
        <v>710</v>
      </c>
      <c r="K124" s="42">
        <v>3</v>
      </c>
      <c r="L124" s="42">
        <v>0</v>
      </c>
      <c r="M124" s="42">
        <v>0</v>
      </c>
      <c r="N124" s="42">
        <v>0</v>
      </c>
    </row>
    <row r="125" spans="1:14" ht="15.75" customHeight="1">
      <c r="A125" s="149">
        <v>401</v>
      </c>
      <c r="B125" s="43">
        <v>79048737</v>
      </c>
      <c r="C125" s="42" t="s">
        <v>797</v>
      </c>
      <c r="D125" s="42" t="s">
        <v>1039</v>
      </c>
      <c r="E125" s="42" t="s">
        <v>1040</v>
      </c>
      <c r="F125" s="42">
        <v>425</v>
      </c>
      <c r="G125" s="42">
        <v>20</v>
      </c>
      <c r="H125" s="42" t="s">
        <v>255</v>
      </c>
      <c r="I125" s="42">
        <v>2311000</v>
      </c>
      <c r="J125" s="42" t="s">
        <v>710</v>
      </c>
      <c r="K125" s="42">
        <v>7</v>
      </c>
      <c r="L125" s="42">
        <v>0</v>
      </c>
      <c r="M125" s="42">
        <v>0</v>
      </c>
      <c r="N125" s="42">
        <v>2</v>
      </c>
    </row>
    <row r="126" spans="1:14" ht="15.75" customHeight="1">
      <c r="A126" s="149">
        <v>269</v>
      </c>
      <c r="B126" s="43">
        <v>79138328</v>
      </c>
      <c r="C126" s="42" t="s">
        <v>1042</v>
      </c>
      <c r="D126" s="42" t="s">
        <v>1044</v>
      </c>
      <c r="E126" s="42" t="s">
        <v>1046</v>
      </c>
      <c r="F126" s="42">
        <v>407</v>
      </c>
      <c r="G126" s="42">
        <v>20</v>
      </c>
      <c r="H126" s="42" t="s">
        <v>146</v>
      </c>
      <c r="I126" s="42">
        <v>2310450</v>
      </c>
      <c r="J126" s="42" t="s">
        <v>568</v>
      </c>
      <c r="K126" s="42">
        <v>7</v>
      </c>
      <c r="L126" s="42">
        <v>0</v>
      </c>
      <c r="M126" s="42">
        <v>0</v>
      </c>
      <c r="N126" s="42">
        <v>0</v>
      </c>
    </row>
    <row r="127" spans="1:14" ht="15.75" customHeight="1">
      <c r="A127" s="149">
        <v>403</v>
      </c>
      <c r="B127" s="43">
        <v>79262614</v>
      </c>
      <c r="C127" s="42" t="s">
        <v>637</v>
      </c>
      <c r="D127" s="42" t="s">
        <v>898</v>
      </c>
      <c r="E127" s="42" t="s">
        <v>1048</v>
      </c>
      <c r="F127" s="42">
        <v>407</v>
      </c>
      <c r="G127" s="42">
        <v>14</v>
      </c>
      <c r="H127" s="42" t="s">
        <v>146</v>
      </c>
      <c r="I127" s="42">
        <v>2311000</v>
      </c>
      <c r="J127" s="42" t="s">
        <v>710</v>
      </c>
      <c r="K127" s="42">
        <v>7</v>
      </c>
      <c r="L127" s="42">
        <v>0</v>
      </c>
      <c r="M127" s="42">
        <v>0</v>
      </c>
      <c r="N127" s="42">
        <v>0</v>
      </c>
    </row>
    <row r="128" spans="1:14" ht="15.75" customHeight="1">
      <c r="A128" s="149">
        <v>2567</v>
      </c>
      <c r="B128" s="43">
        <v>79316619</v>
      </c>
      <c r="C128" s="42" t="s">
        <v>537</v>
      </c>
      <c r="D128" s="42" t="s">
        <v>1049</v>
      </c>
      <c r="E128" s="42" t="s">
        <v>1050</v>
      </c>
      <c r="F128" s="42">
        <v>222</v>
      </c>
      <c r="G128" s="42">
        <v>24</v>
      </c>
      <c r="H128" s="42" t="s">
        <v>51</v>
      </c>
      <c r="I128" s="42">
        <v>2310470</v>
      </c>
      <c r="J128" s="42" t="s">
        <v>477</v>
      </c>
      <c r="K128" s="42">
        <v>3</v>
      </c>
      <c r="L128" s="42">
        <v>0</v>
      </c>
      <c r="M128" s="42">
        <v>40</v>
      </c>
      <c r="N128" s="42">
        <v>0</v>
      </c>
    </row>
    <row r="129" spans="1:14" ht="15.75" customHeight="1">
      <c r="A129" s="149">
        <v>380</v>
      </c>
      <c r="B129" s="43">
        <v>79349710</v>
      </c>
      <c r="C129" s="42" t="s">
        <v>1053</v>
      </c>
      <c r="D129" s="42" t="s">
        <v>1055</v>
      </c>
      <c r="E129" s="42" t="s">
        <v>1056</v>
      </c>
      <c r="F129" s="42">
        <v>222</v>
      </c>
      <c r="G129" s="42">
        <v>24</v>
      </c>
      <c r="H129" s="42" t="s">
        <v>51</v>
      </c>
      <c r="I129" s="42">
        <v>2310200</v>
      </c>
      <c r="J129" s="42" t="s">
        <v>776</v>
      </c>
      <c r="K129" s="42">
        <v>7</v>
      </c>
      <c r="L129" s="42">
        <v>0</v>
      </c>
      <c r="M129" s="42">
        <v>40</v>
      </c>
      <c r="N129" s="42">
        <v>0</v>
      </c>
    </row>
    <row r="130" spans="1:14" ht="15.75" customHeight="1">
      <c r="A130" s="149">
        <v>278</v>
      </c>
      <c r="B130" s="43">
        <v>79361343</v>
      </c>
      <c r="C130" s="42" t="s">
        <v>645</v>
      </c>
      <c r="D130" s="42" t="s">
        <v>1036</v>
      </c>
      <c r="E130" s="42" t="s">
        <v>1058</v>
      </c>
      <c r="F130" s="42">
        <v>219</v>
      </c>
      <c r="G130" s="42">
        <v>13</v>
      </c>
      <c r="H130" s="42" t="s">
        <v>72</v>
      </c>
      <c r="I130" s="42">
        <v>2310100</v>
      </c>
      <c r="J130" s="42" t="s">
        <v>788</v>
      </c>
      <c r="K130" s="42">
        <v>7</v>
      </c>
      <c r="L130" s="42">
        <v>0</v>
      </c>
      <c r="M130" s="163">
        <v>40</v>
      </c>
      <c r="N130" s="42">
        <v>0</v>
      </c>
    </row>
    <row r="131" spans="1:14" ht="15.75" customHeight="1">
      <c r="A131" s="149">
        <v>715</v>
      </c>
      <c r="B131" s="43">
        <v>79431243</v>
      </c>
      <c r="C131" s="42" t="s">
        <v>818</v>
      </c>
      <c r="D131" s="42" t="s">
        <v>1060</v>
      </c>
      <c r="E131" s="42" t="s">
        <v>1062</v>
      </c>
      <c r="F131" s="42">
        <v>407</v>
      </c>
      <c r="G131" s="42">
        <v>27</v>
      </c>
      <c r="H131" s="42" t="s">
        <v>146</v>
      </c>
      <c r="I131" s="42">
        <v>2311000</v>
      </c>
      <c r="J131" s="42" t="s">
        <v>710</v>
      </c>
      <c r="K131" s="42">
        <v>7</v>
      </c>
      <c r="L131" s="42">
        <v>0</v>
      </c>
      <c r="M131" s="42">
        <v>0</v>
      </c>
      <c r="N131" s="42">
        <v>0</v>
      </c>
    </row>
    <row r="132" spans="1:14" ht="15.75" customHeight="1">
      <c r="A132" s="149">
        <v>1039</v>
      </c>
      <c r="B132" s="43">
        <v>79450267</v>
      </c>
      <c r="C132" s="42" t="s">
        <v>636</v>
      </c>
      <c r="D132" s="42" t="s">
        <v>1063</v>
      </c>
      <c r="E132" s="42" t="s">
        <v>1064</v>
      </c>
      <c r="F132" s="42">
        <v>222</v>
      </c>
      <c r="G132" s="42">
        <v>21</v>
      </c>
      <c r="H132" s="42" t="s">
        <v>51</v>
      </c>
      <c r="I132" s="42">
        <v>2310450</v>
      </c>
      <c r="J132" s="42" t="s">
        <v>568</v>
      </c>
      <c r="K132" s="42">
        <v>7</v>
      </c>
      <c r="L132" s="42">
        <v>0</v>
      </c>
      <c r="M132" s="42">
        <v>40</v>
      </c>
      <c r="N132" s="42">
        <v>0</v>
      </c>
    </row>
    <row r="133" spans="1:14" ht="15.75" customHeight="1">
      <c r="A133" s="149">
        <v>314</v>
      </c>
      <c r="B133" s="43">
        <v>79468462</v>
      </c>
      <c r="C133" s="42" t="s">
        <v>533</v>
      </c>
      <c r="D133" s="42" t="s">
        <v>1065</v>
      </c>
      <c r="E133" s="42" t="s">
        <v>1066</v>
      </c>
      <c r="F133" s="42">
        <v>407</v>
      </c>
      <c r="G133" s="42">
        <v>20</v>
      </c>
      <c r="H133" s="42" t="s">
        <v>146</v>
      </c>
      <c r="I133" s="42">
        <v>2311000</v>
      </c>
      <c r="J133" s="42" t="s">
        <v>710</v>
      </c>
      <c r="K133" s="42">
        <v>7</v>
      </c>
      <c r="L133" s="42">
        <v>0</v>
      </c>
      <c r="M133" s="42">
        <v>0</v>
      </c>
      <c r="N133" s="42">
        <v>0</v>
      </c>
    </row>
    <row r="134" spans="1:14" ht="15.75" customHeight="1">
      <c r="A134" s="149">
        <v>2590</v>
      </c>
      <c r="B134" s="43">
        <v>79538698</v>
      </c>
      <c r="C134" s="42" t="s">
        <v>998</v>
      </c>
      <c r="D134" s="42" t="s">
        <v>1072</v>
      </c>
      <c r="E134" s="42" t="s">
        <v>1073</v>
      </c>
      <c r="F134" s="42">
        <v>314</v>
      </c>
      <c r="G134" s="42">
        <v>20</v>
      </c>
      <c r="H134" s="42" t="s">
        <v>517</v>
      </c>
      <c r="I134" s="42">
        <v>2310200</v>
      </c>
      <c r="J134" s="42" t="s">
        <v>776</v>
      </c>
      <c r="K134" s="42">
        <v>3</v>
      </c>
      <c r="L134" s="42">
        <v>0</v>
      </c>
      <c r="M134" s="42">
        <v>0</v>
      </c>
      <c r="N134" s="42">
        <v>0</v>
      </c>
    </row>
    <row r="135" spans="1:14" ht="15.75" customHeight="1">
      <c r="A135" s="149">
        <v>1225</v>
      </c>
      <c r="B135" s="43">
        <v>79567977</v>
      </c>
      <c r="C135" s="42" t="s">
        <v>1075</v>
      </c>
      <c r="D135" s="42" t="s">
        <v>658</v>
      </c>
      <c r="E135" s="42" t="s">
        <v>1076</v>
      </c>
      <c r="F135" s="42">
        <v>222</v>
      </c>
      <c r="G135" s="42">
        <v>27</v>
      </c>
      <c r="H135" s="42" t="s">
        <v>51</v>
      </c>
      <c r="I135" s="42">
        <v>2310460</v>
      </c>
      <c r="J135" s="42" t="s">
        <v>709</v>
      </c>
      <c r="K135" s="42">
        <v>7</v>
      </c>
      <c r="L135" s="42">
        <v>0</v>
      </c>
      <c r="M135" s="42">
        <v>40</v>
      </c>
      <c r="N135" s="42">
        <v>0</v>
      </c>
    </row>
    <row r="136" spans="1:14" ht="15.75" customHeight="1">
      <c r="A136" s="149">
        <v>506</v>
      </c>
      <c r="B136" s="43">
        <v>79569642</v>
      </c>
      <c r="C136" s="42" t="s">
        <v>1077</v>
      </c>
      <c r="D136" s="42" t="s">
        <v>1078</v>
      </c>
      <c r="E136" s="42" t="s">
        <v>1079</v>
      </c>
      <c r="F136" s="42">
        <v>222</v>
      </c>
      <c r="G136" s="42">
        <v>21</v>
      </c>
      <c r="H136" s="42" t="s">
        <v>51</v>
      </c>
      <c r="I136" s="42">
        <v>2310100</v>
      </c>
      <c r="J136" s="42" t="s">
        <v>788</v>
      </c>
      <c r="K136" s="42">
        <v>7</v>
      </c>
      <c r="L136" s="42">
        <v>0</v>
      </c>
      <c r="M136" s="42">
        <v>40</v>
      </c>
      <c r="N136" s="42">
        <v>0</v>
      </c>
    </row>
    <row r="137" spans="1:14" ht="15.75" customHeight="1">
      <c r="A137" s="149">
        <v>2614</v>
      </c>
      <c r="B137" s="43">
        <v>79575101</v>
      </c>
      <c r="C137" s="42" t="s">
        <v>832</v>
      </c>
      <c r="D137" s="42" t="s">
        <v>861</v>
      </c>
      <c r="E137" s="42" t="s">
        <v>1084</v>
      </c>
      <c r="F137" s="42">
        <v>222</v>
      </c>
      <c r="G137" s="42">
        <v>27</v>
      </c>
      <c r="H137" s="42" t="s">
        <v>51</v>
      </c>
      <c r="I137" s="42">
        <v>2311000</v>
      </c>
      <c r="J137" s="42" t="s">
        <v>710</v>
      </c>
      <c r="K137" s="42">
        <v>7</v>
      </c>
      <c r="L137" s="42">
        <v>0</v>
      </c>
      <c r="M137" s="42">
        <v>40</v>
      </c>
      <c r="N137" s="42">
        <v>0</v>
      </c>
    </row>
    <row r="138" spans="1:14" ht="15.75" customHeight="1">
      <c r="A138" s="149">
        <v>2530</v>
      </c>
      <c r="B138" s="43">
        <v>79584810</v>
      </c>
      <c r="C138" s="42" t="s">
        <v>1085</v>
      </c>
      <c r="D138" s="42" t="s">
        <v>1086</v>
      </c>
      <c r="E138" s="42" t="s">
        <v>1087</v>
      </c>
      <c r="F138" s="42">
        <v>219</v>
      </c>
      <c r="G138" s="42">
        <v>18</v>
      </c>
      <c r="H138" s="42" t="s">
        <v>72</v>
      </c>
      <c r="I138" s="42">
        <v>2310470</v>
      </c>
      <c r="J138" s="42" t="s">
        <v>477</v>
      </c>
      <c r="K138" s="42">
        <v>3</v>
      </c>
      <c r="L138" s="42">
        <v>0</v>
      </c>
      <c r="M138" s="42">
        <v>40</v>
      </c>
      <c r="N138" s="42">
        <v>0</v>
      </c>
    </row>
    <row r="139" spans="1:14" ht="15.75" customHeight="1">
      <c r="A139" s="149">
        <v>2560</v>
      </c>
      <c r="B139" s="43">
        <v>79709902</v>
      </c>
      <c r="C139" s="42" t="s">
        <v>485</v>
      </c>
      <c r="D139" s="42" t="s">
        <v>711</v>
      </c>
      <c r="E139" s="42" t="s">
        <v>1088</v>
      </c>
      <c r="F139" s="42">
        <v>222</v>
      </c>
      <c r="G139" s="42">
        <v>27</v>
      </c>
      <c r="H139" s="42" t="s">
        <v>51</v>
      </c>
      <c r="I139" s="42">
        <v>2310450</v>
      </c>
      <c r="J139" s="42" t="s">
        <v>568</v>
      </c>
      <c r="K139" s="42">
        <v>3</v>
      </c>
      <c r="L139" s="42">
        <v>0</v>
      </c>
      <c r="M139" s="42">
        <v>40</v>
      </c>
      <c r="N139" s="42">
        <v>0</v>
      </c>
    </row>
    <row r="140" spans="1:14" ht="15.75" customHeight="1">
      <c r="A140" s="149">
        <v>2569</v>
      </c>
      <c r="B140" s="43">
        <v>79769334</v>
      </c>
      <c r="C140" s="42" t="s">
        <v>1090</v>
      </c>
      <c r="D140" s="42"/>
      <c r="E140" s="42" t="s">
        <v>1092</v>
      </c>
      <c r="F140" s="42">
        <v>480</v>
      </c>
      <c r="G140" s="42">
        <v>13</v>
      </c>
      <c r="H140" s="42" t="s">
        <v>223</v>
      </c>
      <c r="I140" s="42">
        <v>2311000</v>
      </c>
      <c r="J140" s="42" t="s">
        <v>710</v>
      </c>
      <c r="K140" s="42">
        <v>3</v>
      </c>
      <c r="L140" s="42">
        <v>0</v>
      </c>
      <c r="M140" s="42">
        <v>0</v>
      </c>
      <c r="N140" s="42">
        <v>0</v>
      </c>
    </row>
    <row r="141" spans="1:14" ht="15.75" customHeight="1">
      <c r="A141" s="149">
        <v>719</v>
      </c>
      <c r="B141" s="43">
        <v>79802044</v>
      </c>
      <c r="C141" s="42" t="s">
        <v>1093</v>
      </c>
      <c r="D141" s="42" t="s">
        <v>1094</v>
      </c>
      <c r="E141" s="42" t="s">
        <v>1095</v>
      </c>
      <c r="F141" s="42">
        <v>222</v>
      </c>
      <c r="G141" s="42">
        <v>27</v>
      </c>
      <c r="H141" s="42" t="s">
        <v>51</v>
      </c>
      <c r="I141" s="42">
        <v>2310450</v>
      </c>
      <c r="J141" s="42" t="s">
        <v>568</v>
      </c>
      <c r="K141" s="42">
        <v>7</v>
      </c>
      <c r="L141" s="42">
        <v>0</v>
      </c>
      <c r="M141" s="42">
        <v>40</v>
      </c>
      <c r="N141" s="42">
        <v>0</v>
      </c>
    </row>
    <row r="142" spans="1:14" ht="15.75" customHeight="1">
      <c r="A142" s="149">
        <v>2414</v>
      </c>
      <c r="B142" s="43">
        <v>79954654</v>
      </c>
      <c r="C142" s="42" t="s">
        <v>478</v>
      </c>
      <c r="D142" s="42" t="s">
        <v>478</v>
      </c>
      <c r="E142" s="42" t="s">
        <v>1096</v>
      </c>
      <c r="F142" s="42">
        <v>222</v>
      </c>
      <c r="G142" s="42">
        <v>25</v>
      </c>
      <c r="H142" s="42" t="s">
        <v>51</v>
      </c>
      <c r="I142" s="42">
        <v>2310470</v>
      </c>
      <c r="J142" s="42" t="s">
        <v>477</v>
      </c>
      <c r="K142" s="42">
        <v>3</v>
      </c>
      <c r="L142" s="42">
        <v>0</v>
      </c>
      <c r="M142" s="42">
        <v>40</v>
      </c>
      <c r="N142" s="42">
        <v>0</v>
      </c>
    </row>
    <row r="143" spans="1:14" ht="15.75" customHeight="1">
      <c r="A143" s="149">
        <v>1308</v>
      </c>
      <c r="B143" s="43">
        <v>80022321</v>
      </c>
      <c r="C143" s="42" t="s">
        <v>554</v>
      </c>
      <c r="D143" s="42" t="s">
        <v>1099</v>
      </c>
      <c r="E143" s="42" t="s">
        <v>1101</v>
      </c>
      <c r="F143" s="42">
        <v>222</v>
      </c>
      <c r="G143" s="42">
        <v>21</v>
      </c>
      <c r="H143" s="42" t="s">
        <v>51</v>
      </c>
      <c r="I143" s="42">
        <v>2311000</v>
      </c>
      <c r="J143" s="42" t="s">
        <v>710</v>
      </c>
      <c r="K143" s="42">
        <v>0</v>
      </c>
      <c r="L143" s="42">
        <v>0</v>
      </c>
      <c r="M143" s="42">
        <v>40</v>
      </c>
      <c r="N143" s="42">
        <v>0</v>
      </c>
    </row>
    <row r="144" spans="1:14" ht="15.75" customHeight="1">
      <c r="A144" s="149">
        <v>2686</v>
      </c>
      <c r="B144" s="43">
        <v>80096113</v>
      </c>
      <c r="C144" s="42" t="s">
        <v>790</v>
      </c>
      <c r="D144" s="42" t="s">
        <v>923</v>
      </c>
      <c r="E144" s="42" t="s">
        <v>1027</v>
      </c>
      <c r="F144" s="42">
        <v>105</v>
      </c>
      <c r="G144" s="42">
        <v>5</v>
      </c>
      <c r="H144" s="42" t="s">
        <v>26</v>
      </c>
      <c r="I144" s="42">
        <v>2300100</v>
      </c>
      <c r="J144" s="42" t="s">
        <v>730</v>
      </c>
      <c r="K144" s="42">
        <v>0</v>
      </c>
      <c r="L144" s="42">
        <v>0</v>
      </c>
      <c r="M144" s="42">
        <v>50</v>
      </c>
      <c r="N144" s="42">
        <v>0</v>
      </c>
    </row>
    <row r="145" spans="1:14" ht="15.75" customHeight="1">
      <c r="A145" s="149">
        <v>2540</v>
      </c>
      <c r="B145" s="43">
        <v>80100027</v>
      </c>
      <c r="C145" s="42" t="s">
        <v>1103</v>
      </c>
      <c r="D145" s="42" t="s">
        <v>677</v>
      </c>
      <c r="E145" s="42" t="s">
        <v>1104</v>
      </c>
      <c r="F145" s="42">
        <v>480</v>
      </c>
      <c r="G145" s="42">
        <v>13</v>
      </c>
      <c r="H145" s="42" t="s">
        <v>223</v>
      </c>
      <c r="I145" s="42">
        <v>2311000</v>
      </c>
      <c r="J145" s="42" t="s">
        <v>710</v>
      </c>
      <c r="K145" s="42">
        <v>3</v>
      </c>
      <c r="L145" s="42">
        <v>0</v>
      </c>
      <c r="M145" s="42">
        <v>0</v>
      </c>
      <c r="N145" s="42">
        <v>0</v>
      </c>
    </row>
    <row r="146" spans="1:14" ht="15.75" customHeight="1">
      <c r="A146" s="149">
        <v>2542</v>
      </c>
      <c r="B146" s="43">
        <v>80154878</v>
      </c>
      <c r="C146" s="42" t="s">
        <v>1098</v>
      </c>
      <c r="D146" s="42" t="s">
        <v>1105</v>
      </c>
      <c r="E146" s="42" t="s">
        <v>1106</v>
      </c>
      <c r="F146" s="42">
        <v>219</v>
      </c>
      <c r="G146" s="42">
        <v>18</v>
      </c>
      <c r="H146" s="42" t="s">
        <v>72</v>
      </c>
      <c r="I146" s="42">
        <v>2310470</v>
      </c>
      <c r="J146" s="42" t="s">
        <v>477</v>
      </c>
      <c r="K146" s="42">
        <v>3</v>
      </c>
      <c r="L146" s="42">
        <v>0</v>
      </c>
      <c r="M146" s="42">
        <v>40</v>
      </c>
      <c r="N146" s="42">
        <v>0</v>
      </c>
    </row>
    <row r="147" spans="1:14" ht="15.75" customHeight="1">
      <c r="A147" s="149">
        <v>2553</v>
      </c>
      <c r="B147" s="43">
        <v>80188856</v>
      </c>
      <c r="C147" s="42" t="s">
        <v>446</v>
      </c>
      <c r="D147" s="42" t="s">
        <v>664</v>
      </c>
      <c r="E147" s="42" t="s">
        <v>1108</v>
      </c>
      <c r="F147" s="42">
        <v>407</v>
      </c>
      <c r="G147" s="42">
        <v>16</v>
      </c>
      <c r="H147" s="42" t="s">
        <v>146</v>
      </c>
      <c r="I147" s="42">
        <v>2311000</v>
      </c>
      <c r="J147" s="42" t="s">
        <v>710</v>
      </c>
      <c r="K147" s="42">
        <v>3</v>
      </c>
      <c r="L147" s="42">
        <v>0</v>
      </c>
      <c r="M147" s="42">
        <v>0</v>
      </c>
      <c r="N147" s="42">
        <v>0</v>
      </c>
    </row>
    <row r="148" spans="1:14" ht="15.75" customHeight="1">
      <c r="A148" s="149">
        <v>2601</v>
      </c>
      <c r="B148" s="43">
        <v>80222608</v>
      </c>
      <c r="C148" s="42" t="s">
        <v>797</v>
      </c>
      <c r="D148" s="42" t="s">
        <v>797</v>
      </c>
      <c r="E148" s="42" t="s">
        <v>1109</v>
      </c>
      <c r="F148" s="42">
        <v>222</v>
      </c>
      <c r="G148" s="42">
        <v>27</v>
      </c>
      <c r="H148" s="42" t="s">
        <v>51</v>
      </c>
      <c r="I148" s="42">
        <v>2310400</v>
      </c>
      <c r="J148" s="42" t="s">
        <v>779</v>
      </c>
      <c r="K148" s="42">
        <v>7</v>
      </c>
      <c r="L148" s="42">
        <v>0</v>
      </c>
      <c r="M148" s="42">
        <v>40</v>
      </c>
      <c r="N148" s="42">
        <v>0</v>
      </c>
    </row>
    <row r="149" spans="1:14" ht="15.75" customHeight="1">
      <c r="A149" s="149">
        <v>2618</v>
      </c>
      <c r="B149" s="43">
        <v>80267904</v>
      </c>
      <c r="C149" s="42" t="s">
        <v>721</v>
      </c>
      <c r="D149" s="42" t="s">
        <v>1041</v>
      </c>
      <c r="E149" s="42" t="s">
        <v>1112</v>
      </c>
      <c r="F149" s="42">
        <v>219</v>
      </c>
      <c r="G149" s="42">
        <v>18</v>
      </c>
      <c r="H149" s="42" t="s">
        <v>72</v>
      </c>
      <c r="I149" s="42">
        <v>2310460</v>
      </c>
      <c r="J149" s="42" t="s">
        <v>709</v>
      </c>
      <c r="K149" s="42">
        <v>3</v>
      </c>
      <c r="L149" s="42">
        <v>0</v>
      </c>
      <c r="M149" s="42">
        <v>40</v>
      </c>
      <c r="N149" s="42">
        <v>0</v>
      </c>
    </row>
    <row r="150" spans="1:14" ht="15.75" customHeight="1">
      <c r="A150" s="149">
        <v>2681</v>
      </c>
      <c r="B150" s="43">
        <v>80423284</v>
      </c>
      <c r="C150" s="42" t="s">
        <v>856</v>
      </c>
      <c r="D150" s="42" t="s">
        <v>890</v>
      </c>
      <c r="E150" s="42" t="s">
        <v>1113</v>
      </c>
      <c r="F150" s="42">
        <v>6</v>
      </c>
      <c r="G150" s="42">
        <v>6</v>
      </c>
      <c r="H150" s="42" t="s">
        <v>28</v>
      </c>
      <c r="I150" s="42">
        <v>2310200</v>
      </c>
      <c r="J150" s="42" t="s">
        <v>776</v>
      </c>
      <c r="K150" s="42">
        <v>0</v>
      </c>
      <c r="L150" s="42">
        <v>0</v>
      </c>
      <c r="M150" s="42">
        <v>50</v>
      </c>
      <c r="N150" s="42">
        <v>0</v>
      </c>
    </row>
    <row r="151" spans="1:14" ht="15.75" customHeight="1">
      <c r="A151" s="149">
        <v>2658</v>
      </c>
      <c r="B151" s="43">
        <v>80842817</v>
      </c>
      <c r="C151" s="42" t="s">
        <v>1114</v>
      </c>
      <c r="D151" s="42" t="s">
        <v>637</v>
      </c>
      <c r="E151" s="42" t="s">
        <v>1115</v>
      </c>
      <c r="F151" s="42">
        <v>440</v>
      </c>
      <c r="G151" s="42">
        <v>19</v>
      </c>
      <c r="H151" s="42" t="s">
        <v>29</v>
      </c>
      <c r="I151" s="42">
        <v>2310460</v>
      </c>
      <c r="J151" s="42" t="s">
        <v>709</v>
      </c>
      <c r="K151" s="42">
        <v>0</v>
      </c>
      <c r="L151" s="42">
        <v>0</v>
      </c>
      <c r="M151" s="42">
        <v>0</v>
      </c>
      <c r="N151" s="42">
        <v>2</v>
      </c>
    </row>
    <row r="152" spans="1:14" ht="15.75" customHeight="1">
      <c r="A152" s="149">
        <v>2472</v>
      </c>
      <c r="B152" s="43">
        <v>80850931</v>
      </c>
      <c r="C152" s="42" t="s">
        <v>1116</v>
      </c>
      <c r="D152" s="42" t="s">
        <v>636</v>
      </c>
      <c r="E152" s="42" t="s">
        <v>1117</v>
      </c>
      <c r="F152" s="42">
        <v>222</v>
      </c>
      <c r="G152" s="42">
        <v>27</v>
      </c>
      <c r="H152" s="42" t="s">
        <v>51</v>
      </c>
      <c r="I152" s="42">
        <v>2310400</v>
      </c>
      <c r="J152" s="42" t="s">
        <v>779</v>
      </c>
      <c r="K152" s="42">
        <v>3</v>
      </c>
      <c r="L152" s="42">
        <v>0</v>
      </c>
      <c r="M152" s="42">
        <v>40</v>
      </c>
      <c r="N152" s="42">
        <v>0</v>
      </c>
    </row>
    <row r="153" spans="1:14" ht="15.75" customHeight="1">
      <c r="A153" s="149">
        <v>2672</v>
      </c>
      <c r="B153" s="43">
        <v>80872961</v>
      </c>
      <c r="C153" s="42" t="s">
        <v>1119</v>
      </c>
      <c r="D153" s="42" t="s">
        <v>849</v>
      </c>
      <c r="E153" s="42" t="s">
        <v>1120</v>
      </c>
      <c r="F153" s="42">
        <v>20</v>
      </c>
      <c r="G153" s="42">
        <v>9</v>
      </c>
      <c r="H153" s="42" t="s">
        <v>1121</v>
      </c>
      <c r="I153" s="42">
        <v>2300100</v>
      </c>
      <c r="J153" s="42" t="s">
        <v>730</v>
      </c>
      <c r="K153" s="42">
        <v>0</v>
      </c>
      <c r="L153" s="42">
        <v>0</v>
      </c>
      <c r="M153" s="42">
        <v>50</v>
      </c>
      <c r="N153" s="42">
        <v>0</v>
      </c>
    </row>
    <row r="154" spans="1:14" ht="15.75" customHeight="1">
      <c r="A154" s="149">
        <v>2659</v>
      </c>
      <c r="B154" s="43">
        <v>8526853</v>
      </c>
      <c r="C154" s="42" t="s">
        <v>1122</v>
      </c>
      <c r="D154" s="42" t="s">
        <v>1123</v>
      </c>
      <c r="E154" s="42" t="s">
        <v>1124</v>
      </c>
      <c r="F154" s="42">
        <v>222</v>
      </c>
      <c r="G154" s="42">
        <v>20</v>
      </c>
      <c r="H154" s="42" t="s">
        <v>51</v>
      </c>
      <c r="I154" s="42">
        <v>2310450</v>
      </c>
      <c r="J154" s="42" t="s">
        <v>568</v>
      </c>
      <c r="K154" s="42">
        <v>0</v>
      </c>
      <c r="L154" s="42">
        <v>0</v>
      </c>
      <c r="M154" s="42">
        <v>40</v>
      </c>
      <c r="N154" s="42">
        <v>0</v>
      </c>
    </row>
    <row r="155" spans="1:14" ht="15.75" customHeight="1">
      <c r="A155" s="149">
        <v>2562</v>
      </c>
      <c r="B155" s="43">
        <v>86058268</v>
      </c>
      <c r="C155" s="42" t="s">
        <v>1125</v>
      </c>
      <c r="D155" s="42" t="s">
        <v>722</v>
      </c>
      <c r="E155" s="42" t="s">
        <v>1126</v>
      </c>
      <c r="F155" s="42">
        <v>222</v>
      </c>
      <c r="G155" s="42">
        <v>24</v>
      </c>
      <c r="H155" s="42" t="s">
        <v>51</v>
      </c>
      <c r="I155" s="42">
        <v>2310440</v>
      </c>
      <c r="J155" s="42" t="s">
        <v>628</v>
      </c>
      <c r="K155" s="42">
        <v>3</v>
      </c>
      <c r="L155" s="42">
        <v>0</v>
      </c>
      <c r="M155" s="42">
        <v>40</v>
      </c>
      <c r="N155" s="42">
        <v>0</v>
      </c>
    </row>
    <row r="156" spans="1:14" ht="15.75" customHeight="1">
      <c r="A156" s="149">
        <v>2588</v>
      </c>
      <c r="B156" s="43">
        <v>91526810</v>
      </c>
      <c r="C156" s="42" t="s">
        <v>1129</v>
      </c>
      <c r="D156" s="42" t="s">
        <v>1130</v>
      </c>
      <c r="E156" s="42" t="s">
        <v>1132</v>
      </c>
      <c r="F156" s="42">
        <v>222</v>
      </c>
      <c r="G156" s="42">
        <v>24</v>
      </c>
      <c r="H156" s="42" t="s">
        <v>51</v>
      </c>
      <c r="I156" s="42">
        <v>2310460</v>
      </c>
      <c r="J156" s="42" t="s">
        <v>709</v>
      </c>
      <c r="K156" s="42">
        <v>3</v>
      </c>
      <c r="L156" s="42">
        <v>0</v>
      </c>
      <c r="M156" s="42">
        <v>40</v>
      </c>
      <c r="N156" s="42">
        <v>0</v>
      </c>
    </row>
    <row r="157" spans="1:14" ht="15.75" customHeight="1">
      <c r="A157" s="149">
        <v>1226</v>
      </c>
      <c r="B157" s="43">
        <v>93371977</v>
      </c>
      <c r="C157" s="42" t="s">
        <v>1133</v>
      </c>
      <c r="D157" s="42" t="s">
        <v>478</v>
      </c>
      <c r="E157" s="42" t="s">
        <v>1134</v>
      </c>
      <c r="F157" s="42">
        <v>219</v>
      </c>
      <c r="G157" s="42">
        <v>18</v>
      </c>
      <c r="H157" s="42" t="s">
        <v>72</v>
      </c>
      <c r="I157" s="42">
        <v>2310460</v>
      </c>
      <c r="J157" s="42" t="s">
        <v>709</v>
      </c>
      <c r="K157" s="42">
        <v>7</v>
      </c>
      <c r="L157" s="42">
        <v>0</v>
      </c>
      <c r="M157" s="42">
        <v>40</v>
      </c>
      <c r="N157" s="42">
        <v>0</v>
      </c>
    </row>
    <row r="158" spans="1:14" ht="15.75" customHeight="1">
      <c r="A158" s="149">
        <v>2702</v>
      </c>
      <c r="B158" s="43">
        <v>98400244</v>
      </c>
      <c r="C158" s="42" t="s">
        <v>446</v>
      </c>
      <c r="D158" s="42" t="s">
        <v>579</v>
      </c>
      <c r="E158" s="42" t="s">
        <v>1136</v>
      </c>
      <c r="F158" s="42">
        <v>115</v>
      </c>
      <c r="G158" s="42">
        <v>6</v>
      </c>
      <c r="H158" s="42" t="s">
        <v>635</v>
      </c>
      <c r="I158" s="42">
        <v>2310100</v>
      </c>
      <c r="J158" s="42" t="s">
        <v>788</v>
      </c>
      <c r="K158" s="42">
        <v>0</v>
      </c>
      <c r="L158" s="42">
        <v>0</v>
      </c>
      <c r="M158" s="42">
        <v>50</v>
      </c>
      <c r="N158" s="42">
        <v>0</v>
      </c>
    </row>
    <row r="159" spans="1:14" ht="15.75" customHeight="1">
      <c r="A159" s="149"/>
      <c r="B159" s="43"/>
      <c r="C159" s="42"/>
      <c r="D159" s="42"/>
      <c r="E159" s="42"/>
      <c r="F159" s="42"/>
      <c r="G159" s="42"/>
      <c r="H159" s="42"/>
      <c r="I159" s="42"/>
      <c r="J159" s="42"/>
      <c r="K159" s="42"/>
      <c r="L159" s="42"/>
      <c r="M159" s="42"/>
      <c r="N159" s="42"/>
    </row>
    <row r="160" spans="1:14" ht="15.75" customHeight="1">
      <c r="A160" s="149"/>
      <c r="B160" s="43"/>
      <c r="C160" s="42"/>
      <c r="D160" s="42"/>
      <c r="E160" s="42"/>
      <c r="F160" s="42"/>
      <c r="G160" s="42"/>
      <c r="H160" s="42"/>
      <c r="I160" s="42"/>
      <c r="J160" s="42"/>
      <c r="K160" s="42"/>
      <c r="L160" s="42"/>
      <c r="M160" s="42"/>
      <c r="N160" s="42"/>
    </row>
    <row r="161" spans="1:14" ht="15.75" customHeight="1">
      <c r="A161" s="149"/>
      <c r="B161" s="43"/>
      <c r="C161" s="42"/>
      <c r="D161" s="42"/>
      <c r="E161" s="42"/>
      <c r="F161" s="42"/>
      <c r="G161" s="42"/>
      <c r="H161" s="42"/>
      <c r="I161" s="42"/>
      <c r="J161" s="42"/>
      <c r="K161" s="42"/>
      <c r="L161" s="42"/>
      <c r="M161" s="42"/>
      <c r="N161" s="42"/>
    </row>
    <row r="162" spans="1:14" ht="15.75" customHeight="1">
      <c r="A162" s="149"/>
      <c r="B162" s="43"/>
      <c r="C162" s="42"/>
      <c r="D162" s="42"/>
      <c r="E162" s="42"/>
      <c r="F162" s="42"/>
      <c r="G162" s="42"/>
      <c r="H162" s="42"/>
      <c r="I162" s="42"/>
      <c r="J162" s="42"/>
      <c r="K162" s="42"/>
      <c r="L162" s="42"/>
      <c r="M162" s="42"/>
      <c r="N162" s="42"/>
    </row>
    <row r="163" spans="1:14" ht="15.75" customHeight="1">
      <c r="A163" s="149"/>
      <c r="B163" s="43"/>
      <c r="C163" s="42"/>
      <c r="D163" s="42"/>
      <c r="E163" s="42"/>
      <c r="F163" s="42"/>
      <c r="G163" s="42"/>
      <c r="H163" s="42"/>
      <c r="I163" s="42"/>
      <c r="J163" s="42"/>
      <c r="K163" s="42"/>
      <c r="L163" s="42"/>
      <c r="M163" s="42"/>
      <c r="N163" s="42"/>
    </row>
    <row r="164" spans="1:14" ht="15.75" customHeight="1">
      <c r="A164" s="149"/>
      <c r="B164" s="43"/>
      <c r="C164" s="42"/>
      <c r="D164" s="42"/>
      <c r="E164" s="42"/>
      <c r="F164" s="42"/>
      <c r="G164" s="42"/>
      <c r="H164" s="42"/>
      <c r="I164" s="42"/>
      <c r="J164" s="42"/>
      <c r="K164" s="42"/>
      <c r="L164" s="42"/>
      <c r="M164" s="42"/>
      <c r="N164" s="42"/>
    </row>
    <row r="165" spans="1:14" ht="15.75" customHeight="1">
      <c r="A165" s="149"/>
      <c r="B165" s="43"/>
      <c r="C165" s="42"/>
      <c r="D165" s="42"/>
      <c r="E165" s="42"/>
      <c r="F165" s="42"/>
      <c r="G165" s="42"/>
      <c r="H165" s="42"/>
      <c r="I165" s="42"/>
      <c r="J165" s="42"/>
      <c r="K165" s="42"/>
      <c r="L165" s="42"/>
      <c r="M165" s="42"/>
      <c r="N165" s="42"/>
    </row>
    <row r="166" spans="1:14" ht="15.75" customHeight="1">
      <c r="A166" s="149"/>
      <c r="B166" s="43"/>
      <c r="C166" s="42"/>
      <c r="D166" s="42"/>
      <c r="E166" s="42"/>
      <c r="F166" s="42"/>
      <c r="G166" s="42"/>
      <c r="H166" s="42"/>
      <c r="I166" s="42"/>
      <c r="J166" s="42"/>
      <c r="K166" s="42"/>
      <c r="L166" s="42"/>
      <c r="M166" s="42"/>
      <c r="N166" s="42"/>
    </row>
    <row r="167" spans="1:14" ht="15.75" customHeight="1">
      <c r="A167" s="149"/>
      <c r="B167" s="43"/>
      <c r="C167" s="42"/>
      <c r="D167" s="42"/>
      <c r="E167" s="42"/>
      <c r="F167" s="42"/>
      <c r="G167" s="42"/>
      <c r="H167" s="42"/>
      <c r="I167" s="42"/>
      <c r="J167" s="42"/>
      <c r="K167" s="42"/>
      <c r="L167" s="42"/>
      <c r="M167" s="42"/>
      <c r="N167" s="42"/>
    </row>
    <row r="168" spans="1:14" ht="15.75" customHeight="1">
      <c r="A168" s="43"/>
      <c r="B168" s="43"/>
      <c r="C168" s="42"/>
      <c r="D168" s="42"/>
      <c r="E168" s="42"/>
      <c r="F168" s="42"/>
      <c r="G168" s="42"/>
      <c r="H168" s="42"/>
      <c r="I168" s="42"/>
      <c r="J168" s="42"/>
      <c r="K168" s="42"/>
      <c r="L168" s="42"/>
      <c r="M168" s="42"/>
      <c r="N168" s="42"/>
    </row>
    <row r="169" spans="1:14" ht="15.75" customHeight="1">
      <c r="A169" s="43"/>
      <c r="B169" s="43"/>
      <c r="C169" s="42"/>
      <c r="D169" s="42"/>
      <c r="E169" s="42"/>
      <c r="F169" s="42"/>
      <c r="G169" s="42"/>
      <c r="H169" s="42"/>
      <c r="I169" s="42"/>
      <c r="J169" s="42"/>
      <c r="K169" s="42"/>
      <c r="L169" s="42"/>
      <c r="M169" s="42"/>
      <c r="N169" s="42"/>
    </row>
    <row r="170" spans="1:14" ht="15.75" customHeight="1">
      <c r="A170" s="43"/>
      <c r="B170" s="43"/>
      <c r="C170" s="42"/>
      <c r="D170" s="42"/>
      <c r="E170" s="42"/>
      <c r="F170" s="42"/>
      <c r="G170" s="42"/>
      <c r="H170" s="42"/>
      <c r="I170" s="42"/>
      <c r="J170" s="42"/>
      <c r="K170" s="42"/>
      <c r="L170" s="42"/>
      <c r="M170" s="42"/>
      <c r="N170" s="42"/>
    </row>
    <row r="171" spans="1:14" ht="15.75" customHeight="1">
      <c r="A171" s="43"/>
      <c r="B171" s="43"/>
      <c r="C171" s="42"/>
      <c r="D171" s="42"/>
      <c r="E171" s="42"/>
      <c r="F171" s="42"/>
      <c r="G171" s="42"/>
      <c r="H171" s="42"/>
      <c r="I171" s="42"/>
      <c r="J171" s="42"/>
      <c r="K171" s="42"/>
      <c r="L171" s="42"/>
      <c r="M171" s="42"/>
      <c r="N171" s="42"/>
    </row>
    <row r="172" spans="1:14" ht="15.75" customHeight="1">
      <c r="A172" s="43"/>
      <c r="B172" s="43"/>
      <c r="C172" s="42"/>
      <c r="D172" s="42"/>
      <c r="E172" s="42"/>
      <c r="F172" s="42"/>
      <c r="G172" s="42"/>
      <c r="H172" s="42"/>
      <c r="I172" s="42"/>
      <c r="J172" s="42"/>
      <c r="K172" s="42"/>
      <c r="L172" s="42"/>
      <c r="M172" s="42"/>
      <c r="N172" s="42"/>
    </row>
    <row r="173" spans="1:14" ht="15.75" customHeight="1">
      <c r="A173" s="43"/>
      <c r="B173" s="43"/>
      <c r="C173" s="42"/>
      <c r="D173" s="42"/>
      <c r="E173" s="42"/>
      <c r="F173" s="42"/>
      <c r="G173" s="42"/>
      <c r="H173" s="42"/>
      <c r="I173" s="42"/>
      <c r="J173" s="42"/>
      <c r="K173" s="42"/>
      <c r="L173" s="42"/>
      <c r="M173" s="42"/>
      <c r="N173" s="42"/>
    </row>
    <row r="174" spans="1:14" ht="15.75" customHeight="1">
      <c r="A174" s="43"/>
      <c r="B174" s="43"/>
      <c r="C174" s="42"/>
      <c r="D174" s="42"/>
      <c r="E174" s="42"/>
      <c r="F174" s="42"/>
      <c r="G174" s="42"/>
      <c r="H174" s="42"/>
      <c r="I174" s="42"/>
      <c r="J174" s="42"/>
      <c r="K174" s="42"/>
      <c r="L174" s="42"/>
      <c r="M174" s="42"/>
      <c r="N174" s="42"/>
    </row>
    <row r="175" spans="1:14" ht="15.75" customHeight="1">
      <c r="A175" s="43"/>
      <c r="B175" s="43"/>
      <c r="C175" s="42"/>
      <c r="D175" s="42"/>
      <c r="E175" s="42"/>
      <c r="F175" s="42"/>
      <c r="G175" s="42"/>
      <c r="H175" s="42"/>
      <c r="I175" s="42"/>
      <c r="J175" s="42"/>
      <c r="K175" s="42"/>
      <c r="L175" s="42"/>
      <c r="M175" s="42"/>
      <c r="N175" s="42"/>
    </row>
    <row r="176" spans="1:14" ht="15.75" customHeight="1">
      <c r="A176" s="43"/>
      <c r="B176" s="43"/>
      <c r="C176" s="42"/>
      <c r="D176" s="42"/>
      <c r="E176" s="42"/>
      <c r="F176" s="42"/>
      <c r="G176" s="42"/>
      <c r="H176" s="42"/>
      <c r="I176" s="42"/>
      <c r="J176" s="42"/>
      <c r="K176" s="42"/>
      <c r="L176" s="42"/>
      <c r="M176" s="42"/>
      <c r="N176" s="42"/>
    </row>
    <row r="177" spans="2:14" ht="15.75" customHeight="1">
      <c r="B177" s="43"/>
      <c r="C177" s="42"/>
      <c r="D177" s="42"/>
      <c r="E177" s="42"/>
      <c r="F177" s="42"/>
      <c r="G177" s="42"/>
      <c r="H177" s="42"/>
      <c r="I177" s="42"/>
      <c r="J177" s="42"/>
      <c r="K177" s="42"/>
      <c r="L177" s="42"/>
      <c r="M177" s="42"/>
      <c r="N177" s="42"/>
    </row>
    <row r="178" spans="2:14" ht="15.75" customHeight="1">
      <c r="B178" s="43"/>
      <c r="C178" s="42"/>
      <c r="D178" s="42"/>
      <c r="E178" s="42"/>
      <c r="F178" s="42"/>
      <c r="G178" s="42"/>
      <c r="H178" s="42"/>
      <c r="I178" s="42"/>
      <c r="J178" s="42"/>
      <c r="K178" s="42"/>
      <c r="L178" s="42"/>
      <c r="M178" s="42"/>
      <c r="N178" s="42"/>
    </row>
    <row r="179" spans="2:14" ht="15.75" customHeight="1">
      <c r="B179" s="43"/>
      <c r="C179" s="42"/>
      <c r="D179" s="42"/>
      <c r="E179" s="42"/>
      <c r="F179" s="42"/>
      <c r="G179" s="42"/>
      <c r="H179" s="42"/>
      <c r="I179" s="42"/>
      <c r="J179" s="42"/>
      <c r="K179" s="42"/>
      <c r="L179" s="42"/>
      <c r="M179" s="42"/>
      <c r="N179" s="42"/>
    </row>
    <row r="180" spans="2:14" ht="15.75" customHeight="1">
      <c r="B180" s="43"/>
      <c r="C180" s="42"/>
      <c r="D180" s="42"/>
      <c r="E180" s="42"/>
      <c r="F180" s="42"/>
      <c r="G180" s="42"/>
      <c r="H180" s="42"/>
      <c r="I180" s="42"/>
      <c r="J180" s="42"/>
      <c r="K180" s="42"/>
      <c r="L180" s="42"/>
      <c r="M180" s="42"/>
      <c r="N180" s="42"/>
    </row>
    <row r="181" spans="2:14" ht="15.75" customHeight="1">
      <c r="B181" s="43"/>
      <c r="C181" s="42"/>
      <c r="D181" s="42"/>
      <c r="E181" s="42"/>
      <c r="F181" s="42"/>
      <c r="G181" s="42"/>
      <c r="H181" s="42"/>
      <c r="I181" s="42"/>
      <c r="J181" s="42"/>
      <c r="K181" s="42"/>
      <c r="L181" s="42"/>
      <c r="M181" s="42"/>
      <c r="N181" s="42"/>
    </row>
    <row r="182" spans="2:14" ht="15.75" customHeight="1">
      <c r="B182" s="43"/>
      <c r="C182" s="42"/>
      <c r="D182" s="42"/>
      <c r="E182" s="42"/>
      <c r="F182" s="42"/>
      <c r="G182" s="42"/>
      <c r="H182" s="42"/>
      <c r="I182" s="42"/>
      <c r="J182" s="42"/>
      <c r="K182" s="42"/>
      <c r="L182" s="42"/>
      <c r="M182" s="42"/>
      <c r="N182" s="42"/>
    </row>
    <row r="183" spans="2:14" ht="15.75" customHeight="1">
      <c r="B183" s="43"/>
      <c r="C183" s="42"/>
      <c r="D183" s="42"/>
      <c r="E183" s="42"/>
      <c r="F183" s="42"/>
      <c r="G183" s="42"/>
      <c r="H183" s="42"/>
      <c r="I183" s="42"/>
      <c r="J183" s="42"/>
      <c r="K183" s="42"/>
      <c r="L183" s="42"/>
      <c r="M183" s="42"/>
      <c r="N183" s="42"/>
    </row>
    <row r="184" spans="2:14" ht="15.75" customHeight="1">
      <c r="B184" s="43"/>
      <c r="C184" s="42"/>
      <c r="D184" s="42"/>
      <c r="E184" s="42"/>
      <c r="F184" s="42"/>
      <c r="G184" s="42"/>
      <c r="H184" s="42"/>
      <c r="I184" s="42"/>
      <c r="J184" s="42"/>
      <c r="K184" s="42"/>
      <c r="L184" s="42"/>
      <c r="M184" s="42"/>
      <c r="N184" s="42"/>
    </row>
    <row r="185" spans="2:14" ht="15.75" customHeight="1">
      <c r="B185" s="43"/>
      <c r="C185" s="42"/>
      <c r="D185" s="42"/>
      <c r="E185" s="42"/>
      <c r="F185" s="42"/>
      <c r="G185" s="42"/>
      <c r="H185" s="42"/>
      <c r="I185" s="42"/>
      <c r="J185" s="42"/>
      <c r="K185" s="42"/>
      <c r="L185" s="42"/>
      <c r="M185" s="42"/>
      <c r="N185" s="42"/>
    </row>
    <row r="186" spans="2:14" ht="15.75" customHeight="1">
      <c r="B186" s="43"/>
      <c r="C186" s="42"/>
      <c r="D186" s="42"/>
      <c r="E186" s="42"/>
      <c r="F186" s="42"/>
      <c r="G186" s="42"/>
      <c r="H186" s="42"/>
      <c r="I186" s="42"/>
      <c r="J186" s="42"/>
      <c r="K186" s="42"/>
      <c r="L186" s="42"/>
      <c r="M186" s="42"/>
      <c r="N186" s="42"/>
    </row>
    <row r="187" spans="2:14" ht="15.75" customHeight="1">
      <c r="B187" s="43"/>
      <c r="C187" s="42"/>
      <c r="D187" s="42"/>
      <c r="E187" s="42"/>
      <c r="F187" s="42"/>
      <c r="G187" s="42"/>
      <c r="H187" s="42"/>
      <c r="I187" s="42"/>
      <c r="J187" s="42"/>
      <c r="K187" s="42"/>
      <c r="L187" s="42"/>
      <c r="M187" s="42"/>
      <c r="N187" s="42"/>
    </row>
    <row r="188" spans="2:14" ht="15.75" customHeight="1">
      <c r="B188" s="43"/>
      <c r="C188" s="42"/>
      <c r="D188" s="42"/>
      <c r="E188" s="42"/>
      <c r="F188" s="42"/>
      <c r="G188" s="42"/>
      <c r="H188" s="42"/>
      <c r="I188" s="42"/>
      <c r="J188" s="42"/>
      <c r="K188" s="42"/>
      <c r="L188" s="42"/>
      <c r="M188" s="42"/>
      <c r="N188" s="42"/>
    </row>
    <row r="189" spans="2:14" ht="15.75" customHeight="1">
      <c r="B189" s="43"/>
      <c r="C189" s="42"/>
      <c r="D189" s="42"/>
      <c r="E189" s="42"/>
      <c r="F189" s="42"/>
      <c r="G189" s="42"/>
      <c r="H189" s="42"/>
      <c r="I189" s="42"/>
      <c r="J189" s="42"/>
      <c r="K189" s="42"/>
      <c r="L189" s="42"/>
      <c r="M189" s="42"/>
      <c r="N189" s="42"/>
    </row>
    <row r="190" spans="2:14" ht="15.75" customHeight="1">
      <c r="B190" s="43"/>
      <c r="C190" s="42"/>
      <c r="D190" s="42"/>
      <c r="E190" s="42"/>
      <c r="F190" s="42"/>
      <c r="G190" s="42"/>
      <c r="H190" s="42"/>
      <c r="I190" s="42"/>
      <c r="J190" s="42"/>
      <c r="K190" s="42"/>
      <c r="L190" s="42"/>
      <c r="M190" s="42"/>
      <c r="N190" s="42"/>
    </row>
    <row r="191" spans="2:14" ht="15.75" customHeight="1">
      <c r="B191" s="43"/>
      <c r="C191" s="42"/>
      <c r="D191" s="42"/>
      <c r="E191" s="42"/>
      <c r="F191" s="42"/>
      <c r="G191" s="42"/>
      <c r="H191" s="42"/>
      <c r="I191" s="42"/>
      <c r="J191" s="42"/>
      <c r="K191" s="42"/>
      <c r="L191" s="42"/>
      <c r="M191" s="42"/>
      <c r="N191" s="42"/>
    </row>
    <row r="192" spans="2:14" ht="15.75" customHeight="1">
      <c r="B192" s="43"/>
      <c r="C192" s="42"/>
      <c r="D192" s="42"/>
      <c r="E192" s="42"/>
      <c r="F192" s="42"/>
      <c r="G192" s="42"/>
      <c r="H192" s="42"/>
      <c r="I192" s="42"/>
      <c r="J192" s="42"/>
      <c r="K192" s="42"/>
      <c r="L192" s="42"/>
      <c r="M192" s="42"/>
      <c r="N192" s="42"/>
    </row>
    <row r="193" spans="2:14" ht="15.75" customHeight="1">
      <c r="B193" s="43"/>
      <c r="C193" s="42"/>
      <c r="D193" s="42"/>
      <c r="E193" s="42"/>
      <c r="F193" s="42"/>
      <c r="G193" s="42"/>
      <c r="H193" s="42"/>
      <c r="I193" s="42"/>
      <c r="J193" s="42"/>
      <c r="K193" s="42"/>
      <c r="L193" s="42"/>
      <c r="M193" s="42"/>
      <c r="N193" s="42"/>
    </row>
    <row r="194" spans="2:14" ht="15.75" customHeight="1">
      <c r="B194" s="43"/>
      <c r="C194" s="42"/>
      <c r="D194" s="42"/>
      <c r="E194" s="42"/>
      <c r="F194" s="42"/>
      <c r="G194" s="42"/>
      <c r="H194" s="42"/>
      <c r="I194" s="42"/>
      <c r="J194" s="42"/>
      <c r="K194" s="42"/>
      <c r="L194" s="42"/>
      <c r="M194" s="42"/>
      <c r="N194" s="42"/>
    </row>
    <row r="195" spans="2:14" ht="15.75" customHeight="1">
      <c r="B195" s="43"/>
      <c r="C195" s="42"/>
      <c r="D195" s="42"/>
      <c r="E195" s="42"/>
      <c r="F195" s="42"/>
      <c r="G195" s="42"/>
      <c r="H195" s="42"/>
      <c r="I195" s="42"/>
      <c r="J195" s="42"/>
      <c r="K195" s="42"/>
      <c r="L195" s="42"/>
      <c r="M195" s="42"/>
      <c r="N195" s="42"/>
    </row>
    <row r="196" spans="2:14" ht="15.75" customHeight="1">
      <c r="B196" s="43"/>
      <c r="C196" s="42"/>
      <c r="D196" s="42"/>
      <c r="E196" s="42"/>
      <c r="F196" s="42"/>
      <c r="G196" s="42"/>
      <c r="H196" s="42"/>
      <c r="I196" s="42"/>
      <c r="J196" s="42"/>
      <c r="K196" s="42"/>
      <c r="L196" s="42"/>
      <c r="M196" s="42"/>
      <c r="N196" s="42"/>
    </row>
    <row r="197" spans="2:14" ht="15.75" customHeight="1">
      <c r="B197" s="43"/>
      <c r="C197" s="42"/>
      <c r="D197" s="42"/>
      <c r="E197" s="42"/>
      <c r="F197" s="42"/>
      <c r="G197" s="42"/>
      <c r="H197" s="42"/>
      <c r="I197" s="42"/>
      <c r="J197" s="42"/>
      <c r="K197" s="42"/>
      <c r="L197" s="42"/>
      <c r="M197" s="42"/>
      <c r="N197" s="42"/>
    </row>
    <row r="198" spans="2:14" ht="15.75" customHeight="1">
      <c r="B198" s="43"/>
      <c r="C198" s="42"/>
      <c r="D198" s="42"/>
      <c r="E198" s="42"/>
      <c r="F198" s="42"/>
      <c r="G198" s="42"/>
      <c r="H198" s="42"/>
      <c r="I198" s="42"/>
      <c r="J198" s="42"/>
      <c r="K198" s="42"/>
      <c r="L198" s="42"/>
      <c r="M198" s="42"/>
      <c r="N198" s="42"/>
    </row>
    <row r="199" spans="2:14" ht="15.75" customHeight="1">
      <c r="B199" s="43"/>
      <c r="C199" s="42"/>
      <c r="D199" s="42"/>
      <c r="E199" s="42"/>
      <c r="F199" s="42"/>
      <c r="G199" s="42"/>
      <c r="H199" s="42"/>
      <c r="I199" s="42"/>
      <c r="J199" s="42"/>
      <c r="K199" s="42"/>
      <c r="L199" s="42"/>
      <c r="M199" s="42"/>
      <c r="N199" s="42"/>
    </row>
    <row r="200" spans="2:14" ht="15.75" customHeight="1">
      <c r="B200" s="43"/>
      <c r="C200" s="42"/>
      <c r="D200" s="42"/>
      <c r="E200" s="42"/>
      <c r="F200" s="42"/>
      <c r="G200" s="42"/>
      <c r="H200" s="42"/>
      <c r="I200" s="42"/>
      <c r="J200" s="42"/>
      <c r="K200" s="42"/>
      <c r="L200" s="42"/>
      <c r="M200" s="42"/>
      <c r="N200" s="42"/>
    </row>
    <row r="201" spans="2:14" ht="15.75" customHeight="1">
      <c r="B201" s="43"/>
      <c r="C201" s="42"/>
      <c r="D201" s="42"/>
      <c r="E201" s="42"/>
      <c r="F201" s="42"/>
      <c r="G201" s="42"/>
      <c r="H201" s="42"/>
      <c r="I201" s="42"/>
      <c r="J201" s="42"/>
      <c r="K201" s="42"/>
      <c r="L201" s="42"/>
      <c r="M201" s="42"/>
      <c r="N201" s="42"/>
    </row>
    <row r="202" spans="2:14" ht="15.75" customHeight="1">
      <c r="B202" s="43"/>
      <c r="C202" s="42"/>
      <c r="D202" s="42"/>
      <c r="E202" s="42"/>
      <c r="F202" s="42"/>
      <c r="G202" s="42"/>
      <c r="H202" s="42"/>
      <c r="I202" s="42"/>
      <c r="J202" s="42"/>
      <c r="K202" s="42"/>
      <c r="L202" s="42"/>
      <c r="M202" s="42"/>
      <c r="N202" s="42"/>
    </row>
    <row r="203" spans="2:14" ht="15.75" customHeight="1">
      <c r="B203" s="43"/>
      <c r="C203" s="42"/>
      <c r="D203" s="42"/>
      <c r="E203" s="42"/>
      <c r="F203" s="42"/>
      <c r="G203" s="42"/>
      <c r="H203" s="42"/>
      <c r="I203" s="42"/>
      <c r="J203" s="42"/>
      <c r="K203" s="42"/>
      <c r="L203" s="42"/>
      <c r="M203" s="42"/>
      <c r="N203" s="42"/>
    </row>
    <row r="204" spans="2:14" ht="15.75" customHeight="1">
      <c r="B204" s="43"/>
      <c r="C204" s="42"/>
      <c r="D204" s="42"/>
      <c r="E204" s="42"/>
      <c r="F204" s="42"/>
      <c r="G204" s="42"/>
      <c r="H204" s="42"/>
      <c r="I204" s="42"/>
      <c r="J204" s="42"/>
      <c r="K204" s="42"/>
      <c r="L204" s="42"/>
      <c r="M204" s="42"/>
      <c r="N204" s="42"/>
    </row>
    <row r="205" spans="2:14" ht="15.75" customHeight="1">
      <c r="B205" s="43"/>
      <c r="C205" s="42"/>
      <c r="D205" s="42"/>
      <c r="E205" s="42"/>
      <c r="F205" s="42"/>
      <c r="G205" s="42"/>
      <c r="H205" s="42"/>
      <c r="I205" s="42"/>
      <c r="J205" s="42"/>
      <c r="K205" s="42"/>
      <c r="L205" s="42"/>
      <c r="M205" s="42"/>
      <c r="N205" s="42"/>
    </row>
    <row r="206" spans="2:14" ht="15.75" customHeight="1">
      <c r="B206" s="43"/>
      <c r="C206" s="42"/>
      <c r="D206" s="42"/>
      <c r="E206" s="42"/>
      <c r="F206" s="42"/>
      <c r="G206" s="42"/>
      <c r="H206" s="42"/>
      <c r="I206" s="42"/>
      <c r="J206" s="42"/>
      <c r="K206" s="42"/>
      <c r="L206" s="42"/>
      <c r="M206" s="42"/>
      <c r="N206" s="42"/>
    </row>
    <row r="207" spans="2:14" ht="15.75" customHeight="1">
      <c r="B207" s="43"/>
      <c r="C207" s="42"/>
      <c r="D207" s="42"/>
      <c r="E207" s="42"/>
      <c r="F207" s="42"/>
      <c r="G207" s="42"/>
      <c r="H207" s="42"/>
      <c r="I207" s="42"/>
      <c r="J207" s="42"/>
      <c r="K207" s="42"/>
      <c r="L207" s="42"/>
      <c r="M207" s="42"/>
      <c r="N207" s="42"/>
    </row>
    <row r="208" spans="2:14" ht="15.75" customHeight="1">
      <c r="B208" s="43"/>
      <c r="C208" s="42"/>
      <c r="D208" s="42"/>
      <c r="E208" s="42"/>
      <c r="F208" s="42"/>
      <c r="G208" s="42"/>
      <c r="H208" s="42"/>
      <c r="I208" s="42"/>
      <c r="J208" s="42"/>
      <c r="K208" s="42"/>
      <c r="L208" s="42"/>
      <c r="M208" s="42"/>
      <c r="N208" s="42"/>
    </row>
    <row r="209" spans="2:14" ht="15.75" customHeight="1">
      <c r="B209" s="43"/>
      <c r="C209" s="42"/>
      <c r="D209" s="42"/>
      <c r="E209" s="42"/>
      <c r="F209" s="42"/>
      <c r="G209" s="42"/>
      <c r="H209" s="42"/>
      <c r="I209" s="42"/>
      <c r="J209" s="42"/>
      <c r="K209" s="42"/>
      <c r="L209" s="42"/>
      <c r="M209" s="42"/>
      <c r="N209" s="42"/>
    </row>
    <row r="210" spans="2:14" ht="15.75" customHeight="1">
      <c r="B210" s="43"/>
      <c r="C210" s="42"/>
      <c r="D210" s="42"/>
      <c r="E210" s="42"/>
      <c r="F210" s="42"/>
      <c r="G210" s="42"/>
      <c r="H210" s="42"/>
      <c r="I210" s="42"/>
      <c r="J210" s="42"/>
      <c r="K210" s="42"/>
      <c r="L210" s="42"/>
      <c r="M210" s="42"/>
      <c r="N210" s="42"/>
    </row>
    <row r="211" spans="2:14" ht="15.75" customHeight="1">
      <c r="B211" s="43"/>
      <c r="C211" s="42"/>
      <c r="D211" s="42"/>
      <c r="E211" s="42"/>
      <c r="F211" s="42"/>
      <c r="G211" s="42"/>
      <c r="H211" s="42"/>
      <c r="I211" s="42"/>
      <c r="J211" s="42"/>
      <c r="K211" s="42"/>
      <c r="L211" s="42"/>
      <c r="M211" s="42"/>
      <c r="N211" s="42"/>
    </row>
    <row r="212" spans="2:14" ht="15.75" customHeight="1">
      <c r="B212" s="43"/>
      <c r="C212" s="42"/>
      <c r="D212" s="42"/>
      <c r="E212" s="42"/>
      <c r="F212" s="42"/>
      <c r="G212" s="42"/>
      <c r="H212" s="42"/>
      <c r="I212" s="42"/>
      <c r="J212" s="42"/>
      <c r="K212" s="42"/>
      <c r="L212" s="42"/>
      <c r="M212" s="42"/>
      <c r="N212" s="42"/>
    </row>
    <row r="213" spans="2:14" ht="15.75" customHeight="1">
      <c r="B213" s="43"/>
      <c r="C213" s="42"/>
      <c r="D213" s="42"/>
      <c r="E213" s="42"/>
      <c r="F213" s="42"/>
      <c r="G213" s="42"/>
      <c r="H213" s="42"/>
      <c r="I213" s="42"/>
      <c r="J213" s="42"/>
      <c r="K213" s="42"/>
      <c r="L213" s="42"/>
      <c r="M213" s="42"/>
      <c r="N213" s="42"/>
    </row>
    <row r="214" spans="2:14" ht="15.75" customHeight="1">
      <c r="B214" s="43"/>
      <c r="C214" s="42"/>
      <c r="D214" s="42"/>
      <c r="E214" s="42"/>
      <c r="F214" s="42"/>
      <c r="G214" s="42"/>
      <c r="H214" s="42"/>
      <c r="I214" s="42"/>
      <c r="J214" s="42"/>
      <c r="K214" s="42"/>
      <c r="L214" s="42"/>
      <c r="M214" s="42"/>
      <c r="N214" s="42"/>
    </row>
    <row r="215" spans="2:14" ht="15.75" customHeight="1">
      <c r="B215" s="43"/>
      <c r="C215" s="42"/>
      <c r="D215" s="42"/>
      <c r="E215" s="42"/>
      <c r="F215" s="42"/>
      <c r="G215" s="42"/>
      <c r="H215" s="42"/>
      <c r="I215" s="42"/>
      <c r="J215" s="42"/>
      <c r="K215" s="42"/>
      <c r="L215" s="42"/>
      <c r="M215" s="42"/>
      <c r="N215" s="42"/>
    </row>
    <row r="216" spans="2:14" ht="15.75" customHeight="1">
      <c r="B216" s="43"/>
      <c r="C216" s="42"/>
      <c r="D216" s="42"/>
      <c r="E216" s="42"/>
      <c r="F216" s="42"/>
      <c r="G216" s="42"/>
      <c r="H216" s="42"/>
      <c r="I216" s="42"/>
      <c r="J216" s="42"/>
      <c r="K216" s="42"/>
      <c r="L216" s="42"/>
      <c r="M216" s="42"/>
      <c r="N216" s="42"/>
    </row>
    <row r="217" spans="2:14" ht="15.75" customHeight="1">
      <c r="B217" s="43"/>
      <c r="C217" s="42"/>
      <c r="D217" s="42"/>
      <c r="E217" s="42"/>
      <c r="F217" s="42"/>
      <c r="G217" s="42"/>
      <c r="H217" s="42"/>
      <c r="I217" s="42"/>
      <c r="J217" s="42"/>
      <c r="K217" s="42"/>
      <c r="L217" s="42"/>
      <c r="M217" s="42"/>
      <c r="N217" s="42"/>
    </row>
    <row r="218" spans="2:14" ht="15.75" customHeight="1">
      <c r="B218" s="43"/>
      <c r="C218" s="42"/>
      <c r="D218" s="42"/>
      <c r="E218" s="42"/>
      <c r="F218" s="42"/>
      <c r="G218" s="42"/>
      <c r="H218" s="42"/>
      <c r="I218" s="42"/>
      <c r="J218" s="42"/>
      <c r="K218" s="42"/>
      <c r="L218" s="42"/>
      <c r="M218" s="42"/>
      <c r="N218" s="42"/>
    </row>
    <row r="219" spans="2:14" ht="15.75" customHeight="1">
      <c r="B219" s="43"/>
      <c r="C219" s="42"/>
      <c r="D219" s="42"/>
      <c r="E219" s="42"/>
      <c r="F219" s="42"/>
      <c r="G219" s="42"/>
      <c r="H219" s="42"/>
      <c r="I219" s="42"/>
      <c r="J219" s="42"/>
      <c r="K219" s="42"/>
      <c r="L219" s="42"/>
      <c r="M219" s="42"/>
      <c r="N219" s="42"/>
    </row>
    <row r="220" spans="2:14" ht="15.75" customHeight="1">
      <c r="B220" s="43"/>
      <c r="C220" s="42"/>
      <c r="D220" s="42"/>
      <c r="E220" s="42"/>
      <c r="F220" s="42"/>
      <c r="G220" s="42"/>
      <c r="H220" s="42"/>
      <c r="I220" s="42"/>
      <c r="J220" s="42"/>
      <c r="K220" s="42"/>
      <c r="L220" s="42"/>
      <c r="M220" s="42"/>
      <c r="N220" s="42"/>
    </row>
    <row r="221" spans="2:14" ht="15.75" customHeight="1">
      <c r="B221" s="43"/>
      <c r="C221" s="42"/>
      <c r="D221" s="42"/>
      <c r="E221" s="42"/>
      <c r="F221" s="42"/>
      <c r="G221" s="42"/>
      <c r="H221" s="42"/>
      <c r="I221" s="42"/>
      <c r="J221" s="42"/>
      <c r="K221" s="42"/>
      <c r="L221" s="42"/>
      <c r="M221" s="42"/>
      <c r="N221" s="42"/>
    </row>
    <row r="222" spans="2:14" ht="15.75" customHeight="1">
      <c r="B222" s="43"/>
      <c r="C222" s="42"/>
      <c r="D222" s="42"/>
      <c r="E222" s="42"/>
      <c r="F222" s="42"/>
      <c r="G222" s="42"/>
      <c r="H222" s="42"/>
      <c r="I222" s="42"/>
      <c r="J222" s="42"/>
      <c r="K222" s="42"/>
      <c r="L222" s="42"/>
      <c r="M222" s="42"/>
      <c r="N222" s="42"/>
    </row>
    <row r="223" spans="2:14" ht="15.75" customHeight="1">
      <c r="B223" s="43"/>
      <c r="C223" s="42"/>
      <c r="D223" s="42"/>
      <c r="E223" s="42"/>
      <c r="F223" s="42"/>
      <c r="G223" s="42"/>
      <c r="H223" s="42"/>
      <c r="I223" s="42"/>
      <c r="J223" s="42"/>
      <c r="K223" s="42"/>
      <c r="L223" s="42"/>
      <c r="M223" s="42"/>
      <c r="N223" s="42"/>
    </row>
    <row r="224" spans="2:14" ht="15.75" customHeight="1">
      <c r="B224" s="43"/>
      <c r="C224" s="42"/>
      <c r="D224" s="42"/>
      <c r="E224" s="42"/>
      <c r="F224" s="42"/>
      <c r="G224" s="42"/>
      <c r="H224" s="42"/>
      <c r="I224" s="42"/>
      <c r="J224" s="42"/>
      <c r="K224" s="42"/>
      <c r="L224" s="42"/>
      <c r="M224" s="42"/>
      <c r="N224" s="42"/>
    </row>
    <row r="225" spans="2:14" ht="15.75" customHeight="1">
      <c r="B225" s="43"/>
      <c r="C225" s="42"/>
      <c r="D225" s="42"/>
      <c r="E225" s="42"/>
      <c r="F225" s="42"/>
      <c r="G225" s="42"/>
      <c r="H225" s="42"/>
      <c r="I225" s="42"/>
      <c r="J225" s="42"/>
      <c r="K225" s="42"/>
      <c r="L225" s="42"/>
      <c r="M225" s="42"/>
      <c r="N225" s="42"/>
    </row>
    <row r="226" spans="2:14" ht="15.75" customHeight="1">
      <c r="B226" s="43"/>
      <c r="C226" s="42"/>
      <c r="D226" s="42"/>
      <c r="E226" s="42"/>
      <c r="F226" s="42"/>
      <c r="G226" s="42"/>
      <c r="H226" s="42"/>
      <c r="I226" s="42"/>
      <c r="J226" s="42"/>
      <c r="K226" s="42"/>
      <c r="L226" s="42"/>
      <c r="M226" s="42"/>
      <c r="N226" s="42"/>
    </row>
    <row r="227" spans="2:14" ht="15.75" customHeight="1">
      <c r="B227" s="43"/>
      <c r="C227" s="42"/>
      <c r="D227" s="42"/>
      <c r="E227" s="42"/>
      <c r="F227" s="42"/>
      <c r="G227" s="42"/>
      <c r="H227" s="42"/>
      <c r="I227" s="42"/>
      <c r="J227" s="42"/>
      <c r="K227" s="42"/>
      <c r="L227" s="42"/>
      <c r="M227" s="42"/>
      <c r="N227" s="42"/>
    </row>
    <row r="228" spans="2:14" ht="15.75" customHeight="1">
      <c r="B228" s="43"/>
      <c r="C228" s="42"/>
      <c r="D228" s="42"/>
      <c r="E228" s="42"/>
      <c r="F228" s="42"/>
      <c r="G228" s="42"/>
      <c r="H228" s="42"/>
      <c r="I228" s="42"/>
      <c r="J228" s="42"/>
      <c r="K228" s="42"/>
      <c r="L228" s="42"/>
      <c r="M228" s="42"/>
      <c r="N228" s="42"/>
    </row>
    <row r="229" spans="2:14" ht="15.75" customHeight="1">
      <c r="B229" s="43"/>
      <c r="C229" s="42"/>
      <c r="D229" s="42"/>
      <c r="E229" s="42"/>
      <c r="F229" s="42"/>
      <c r="G229" s="42"/>
      <c r="H229" s="42"/>
      <c r="I229" s="42"/>
      <c r="J229" s="42"/>
      <c r="K229" s="42"/>
      <c r="L229" s="42"/>
      <c r="M229" s="42"/>
      <c r="N229" s="42"/>
    </row>
    <row r="230" spans="2:14" ht="15.75" customHeight="1">
      <c r="B230" s="43"/>
      <c r="C230" s="42"/>
      <c r="D230" s="42"/>
      <c r="E230" s="42"/>
      <c r="F230" s="42"/>
      <c r="G230" s="42"/>
      <c r="H230" s="42"/>
      <c r="I230" s="42"/>
      <c r="J230" s="42"/>
      <c r="K230" s="42"/>
      <c r="L230" s="42"/>
      <c r="M230" s="42"/>
      <c r="N230" s="42"/>
    </row>
    <row r="231" spans="2:14" ht="15.75" customHeight="1">
      <c r="B231" s="43"/>
      <c r="C231" s="42"/>
      <c r="D231" s="42"/>
      <c r="E231" s="42"/>
      <c r="F231" s="42"/>
      <c r="G231" s="42"/>
      <c r="H231" s="42"/>
      <c r="I231" s="42"/>
      <c r="J231" s="42"/>
      <c r="K231" s="42"/>
      <c r="L231" s="42"/>
      <c r="M231" s="42"/>
      <c r="N231" s="42"/>
    </row>
    <row r="232" spans="2:14" ht="15.75" customHeight="1">
      <c r="B232" s="43"/>
      <c r="C232" s="42"/>
      <c r="D232" s="42"/>
      <c r="E232" s="42"/>
      <c r="F232" s="42"/>
      <c r="G232" s="42"/>
      <c r="H232" s="42"/>
      <c r="I232" s="42"/>
      <c r="J232" s="42"/>
      <c r="K232" s="42"/>
      <c r="L232" s="42"/>
      <c r="M232" s="42"/>
      <c r="N232" s="42"/>
    </row>
    <row r="233" spans="2:14" ht="15.75" customHeight="1">
      <c r="B233" s="43"/>
      <c r="C233" s="42"/>
      <c r="D233" s="42"/>
      <c r="E233" s="42"/>
      <c r="F233" s="42"/>
      <c r="G233" s="42"/>
      <c r="H233" s="42"/>
      <c r="I233" s="42"/>
      <c r="J233" s="42"/>
      <c r="K233" s="42"/>
      <c r="L233" s="42"/>
      <c r="M233" s="42"/>
      <c r="N233" s="42"/>
    </row>
    <row r="234" spans="2:14" ht="15.75" customHeight="1">
      <c r="B234" s="43"/>
      <c r="C234" s="42"/>
      <c r="D234" s="42"/>
      <c r="E234" s="42"/>
      <c r="F234" s="42"/>
      <c r="G234" s="42"/>
      <c r="H234" s="42"/>
      <c r="I234" s="42"/>
      <c r="J234" s="42"/>
      <c r="K234" s="42"/>
      <c r="L234" s="42"/>
      <c r="M234" s="42"/>
      <c r="N234" s="42"/>
    </row>
    <row r="235" spans="2:14" ht="15.75" customHeight="1">
      <c r="B235" s="43"/>
      <c r="C235" s="42"/>
      <c r="D235" s="42"/>
      <c r="E235" s="42"/>
      <c r="F235" s="42"/>
      <c r="G235" s="42"/>
      <c r="H235" s="42"/>
      <c r="I235" s="42"/>
      <c r="J235" s="42"/>
      <c r="K235" s="42"/>
      <c r="L235" s="42"/>
      <c r="M235" s="42"/>
      <c r="N235" s="42"/>
    </row>
    <row r="236" spans="2:14" ht="15.75" customHeight="1">
      <c r="B236" s="43"/>
      <c r="C236" s="42"/>
      <c r="D236" s="42"/>
      <c r="E236" s="42"/>
      <c r="F236" s="42"/>
      <c r="G236" s="42"/>
      <c r="H236" s="42"/>
      <c r="I236" s="42"/>
      <c r="J236" s="42"/>
      <c r="K236" s="42"/>
      <c r="L236" s="42"/>
      <c r="M236" s="42"/>
      <c r="N236" s="42"/>
    </row>
    <row r="237" spans="2:14" ht="15.75" customHeight="1">
      <c r="B237" s="43"/>
      <c r="C237" s="42"/>
      <c r="D237" s="42"/>
      <c r="E237" s="42"/>
      <c r="F237" s="42"/>
      <c r="G237" s="42"/>
      <c r="H237" s="42"/>
      <c r="I237" s="42"/>
      <c r="J237" s="42"/>
      <c r="K237" s="42"/>
      <c r="L237" s="42"/>
      <c r="M237" s="42"/>
      <c r="N237" s="42"/>
    </row>
    <row r="238" spans="2:14" ht="15.75" customHeight="1">
      <c r="B238" s="43"/>
      <c r="C238" s="42"/>
      <c r="D238" s="42"/>
      <c r="E238" s="42"/>
      <c r="F238" s="42"/>
      <c r="G238" s="42"/>
      <c r="H238" s="42"/>
      <c r="I238" s="42"/>
      <c r="J238" s="42"/>
      <c r="K238" s="42"/>
      <c r="L238" s="42"/>
      <c r="M238" s="42"/>
      <c r="N238" s="42"/>
    </row>
    <row r="239" spans="2:14" ht="15.75" customHeight="1">
      <c r="B239" s="43"/>
      <c r="C239" s="42"/>
      <c r="D239" s="42"/>
      <c r="E239" s="42"/>
      <c r="F239" s="42"/>
      <c r="G239" s="42"/>
      <c r="H239" s="42"/>
      <c r="I239" s="42"/>
      <c r="J239" s="42"/>
      <c r="K239" s="42"/>
      <c r="L239" s="42"/>
      <c r="M239" s="42"/>
      <c r="N239" s="42"/>
    </row>
    <row r="240" spans="2:14" ht="15.75" customHeight="1">
      <c r="B240" s="43"/>
      <c r="C240" s="42"/>
      <c r="D240" s="42"/>
      <c r="E240" s="42"/>
      <c r="F240" s="42"/>
      <c r="G240" s="42"/>
      <c r="H240" s="42"/>
      <c r="I240" s="42"/>
      <c r="J240" s="42"/>
      <c r="K240" s="42"/>
      <c r="L240" s="42"/>
      <c r="M240" s="42"/>
      <c r="N240" s="42"/>
    </row>
    <row r="241" spans="2:14" ht="15.75" customHeight="1">
      <c r="B241" s="43"/>
      <c r="C241" s="42"/>
      <c r="D241" s="42"/>
      <c r="E241" s="42"/>
      <c r="F241" s="42"/>
      <c r="G241" s="42"/>
      <c r="H241" s="42"/>
      <c r="I241" s="42"/>
      <c r="J241" s="42"/>
      <c r="K241" s="42"/>
      <c r="L241" s="42"/>
      <c r="M241" s="42"/>
      <c r="N241" s="42"/>
    </row>
    <row r="242" spans="2:14" ht="15.75" customHeight="1">
      <c r="B242" s="43"/>
      <c r="C242" s="42"/>
      <c r="D242" s="42"/>
      <c r="E242" s="42"/>
      <c r="F242" s="42"/>
      <c r="G242" s="42"/>
      <c r="H242" s="42"/>
      <c r="I242" s="42"/>
      <c r="J242" s="42"/>
      <c r="K242" s="42"/>
      <c r="L242" s="42"/>
      <c r="M242" s="42"/>
      <c r="N242" s="42"/>
    </row>
    <row r="243" spans="2:14" ht="15.75" customHeight="1">
      <c r="B243" s="43"/>
      <c r="C243" s="42"/>
      <c r="D243" s="42"/>
      <c r="E243" s="42"/>
      <c r="F243" s="42"/>
      <c r="G243" s="42"/>
      <c r="H243" s="42"/>
      <c r="I243" s="42"/>
      <c r="J243" s="42"/>
      <c r="K243" s="42"/>
      <c r="L243" s="42"/>
      <c r="M243" s="42"/>
      <c r="N243" s="42"/>
    </row>
    <row r="244" spans="2:14" ht="15.75" customHeight="1">
      <c r="B244" s="43"/>
      <c r="C244" s="42"/>
      <c r="D244" s="42"/>
      <c r="E244" s="42"/>
      <c r="F244" s="42"/>
      <c r="G244" s="42"/>
      <c r="H244" s="42"/>
      <c r="I244" s="42"/>
      <c r="J244" s="42"/>
      <c r="K244" s="42"/>
      <c r="L244" s="42"/>
      <c r="M244" s="42"/>
      <c r="N244" s="42"/>
    </row>
    <row r="245" spans="2:14" ht="15.75" customHeight="1">
      <c r="B245" s="43"/>
      <c r="C245" s="42"/>
      <c r="D245" s="42"/>
      <c r="E245" s="42"/>
      <c r="F245" s="42"/>
      <c r="G245" s="42"/>
      <c r="H245" s="42"/>
      <c r="I245" s="42"/>
      <c r="J245" s="42"/>
      <c r="K245" s="42"/>
      <c r="L245" s="42"/>
      <c r="M245" s="42"/>
      <c r="N245" s="42"/>
    </row>
    <row r="246" spans="2:14" ht="15.75" customHeight="1">
      <c r="B246" s="43"/>
      <c r="C246" s="42"/>
      <c r="D246" s="42"/>
      <c r="E246" s="42"/>
      <c r="F246" s="42"/>
      <c r="G246" s="42"/>
      <c r="H246" s="42"/>
      <c r="I246" s="42"/>
      <c r="J246" s="42"/>
      <c r="K246" s="42"/>
      <c r="L246" s="42"/>
      <c r="M246" s="42"/>
      <c r="N246" s="42"/>
    </row>
    <row r="247" spans="2:14" ht="15.75" customHeight="1">
      <c r="B247" s="43"/>
      <c r="C247" s="42"/>
      <c r="D247" s="42"/>
      <c r="E247" s="42"/>
      <c r="F247" s="42"/>
      <c r="G247" s="42"/>
      <c r="H247" s="42"/>
      <c r="I247" s="42"/>
      <c r="J247" s="42"/>
      <c r="K247" s="42"/>
      <c r="L247" s="42"/>
      <c r="M247" s="42"/>
      <c r="N247" s="42"/>
    </row>
    <row r="248" spans="2:14" ht="15.75" customHeight="1">
      <c r="B248" s="43"/>
      <c r="C248" s="42"/>
      <c r="D248" s="42"/>
      <c r="E248" s="42"/>
      <c r="F248" s="42"/>
      <c r="G248" s="42"/>
      <c r="H248" s="42"/>
      <c r="I248" s="42"/>
      <c r="J248" s="42"/>
      <c r="K248" s="42"/>
      <c r="L248" s="42"/>
      <c r="M248" s="42"/>
      <c r="N248" s="42"/>
    </row>
    <row r="249" spans="2:14" ht="15.75" customHeight="1">
      <c r="B249" s="43"/>
      <c r="C249" s="42"/>
      <c r="D249" s="42"/>
      <c r="E249" s="42"/>
      <c r="F249" s="42"/>
      <c r="G249" s="42"/>
      <c r="H249" s="42"/>
      <c r="I249" s="42"/>
      <c r="J249" s="42"/>
      <c r="K249" s="42"/>
      <c r="L249" s="42"/>
      <c r="M249" s="42"/>
      <c r="N249" s="42"/>
    </row>
    <row r="250" spans="2:14" ht="15.75" customHeight="1">
      <c r="B250" s="43"/>
      <c r="C250" s="42"/>
      <c r="D250" s="42"/>
      <c r="E250" s="42"/>
      <c r="F250" s="42"/>
      <c r="G250" s="42"/>
      <c r="H250" s="42"/>
      <c r="I250" s="42"/>
      <c r="J250" s="42"/>
      <c r="K250" s="42"/>
      <c r="L250" s="42"/>
      <c r="M250" s="42"/>
      <c r="N250" s="42"/>
    </row>
    <row r="251" spans="2:14" ht="15.75" customHeight="1">
      <c r="B251" s="43"/>
      <c r="C251" s="42"/>
      <c r="D251" s="42"/>
      <c r="E251" s="42"/>
      <c r="F251" s="42"/>
      <c r="G251" s="42"/>
      <c r="H251" s="42"/>
      <c r="I251" s="42"/>
      <c r="J251" s="42"/>
      <c r="K251" s="42"/>
      <c r="L251" s="42"/>
      <c r="M251" s="42"/>
      <c r="N251" s="42"/>
    </row>
    <row r="252" spans="2:14" ht="15.75" customHeight="1">
      <c r="B252" s="43"/>
      <c r="C252" s="42"/>
      <c r="D252" s="42"/>
      <c r="E252" s="42"/>
      <c r="F252" s="42"/>
      <c r="G252" s="42"/>
      <c r="H252" s="42"/>
      <c r="I252" s="42"/>
      <c r="J252" s="42"/>
      <c r="K252" s="42"/>
      <c r="L252" s="42"/>
      <c r="M252" s="42"/>
      <c r="N252" s="42"/>
    </row>
    <row r="253" spans="2:14" ht="15.75" customHeight="1">
      <c r="B253" s="43"/>
      <c r="C253" s="42"/>
      <c r="D253" s="42"/>
      <c r="E253" s="42"/>
      <c r="F253" s="42"/>
      <c r="G253" s="42"/>
      <c r="H253" s="42"/>
      <c r="I253" s="42"/>
      <c r="J253" s="42"/>
      <c r="K253" s="42"/>
      <c r="L253" s="42"/>
      <c r="M253" s="42"/>
      <c r="N253" s="42"/>
    </row>
    <row r="254" spans="2:14" ht="15.75" customHeight="1">
      <c r="B254" s="43"/>
      <c r="C254" s="42"/>
      <c r="D254" s="42"/>
      <c r="E254" s="42"/>
      <c r="F254" s="42"/>
      <c r="G254" s="42"/>
      <c r="H254" s="42"/>
      <c r="I254" s="42"/>
      <c r="J254" s="42"/>
      <c r="K254" s="42"/>
      <c r="L254" s="42"/>
      <c r="M254" s="42"/>
      <c r="N254" s="42"/>
    </row>
    <row r="255" spans="2:14" ht="15.75" customHeight="1">
      <c r="B255" s="43"/>
      <c r="C255" s="42"/>
      <c r="D255" s="42"/>
      <c r="E255" s="42"/>
      <c r="F255" s="42"/>
      <c r="G255" s="42"/>
      <c r="H255" s="42"/>
      <c r="I255" s="42"/>
      <c r="J255" s="42"/>
      <c r="K255" s="42"/>
      <c r="L255" s="42"/>
      <c r="M255" s="42"/>
      <c r="N255" s="42"/>
    </row>
    <row r="256" spans="2:14" ht="15.75" customHeight="1">
      <c r="B256" s="43"/>
      <c r="C256" s="42"/>
      <c r="D256" s="42"/>
      <c r="E256" s="42"/>
      <c r="F256" s="42"/>
      <c r="G256" s="42"/>
      <c r="H256" s="42"/>
      <c r="I256" s="42"/>
      <c r="J256" s="42"/>
      <c r="K256" s="42"/>
      <c r="L256" s="42"/>
      <c r="M256" s="42"/>
      <c r="N256" s="42"/>
    </row>
    <row r="257" spans="2:14" ht="15.75" customHeight="1">
      <c r="B257" s="43"/>
      <c r="C257" s="42"/>
      <c r="D257" s="42"/>
      <c r="E257" s="42"/>
      <c r="F257" s="42"/>
      <c r="G257" s="42"/>
      <c r="H257" s="42"/>
      <c r="I257" s="42"/>
      <c r="J257" s="42"/>
      <c r="K257" s="42"/>
      <c r="L257" s="42"/>
      <c r="M257" s="42"/>
      <c r="N257" s="42"/>
    </row>
    <row r="258" spans="2:14" ht="15.75" customHeight="1">
      <c r="B258" s="43"/>
      <c r="C258" s="42"/>
      <c r="D258" s="42"/>
      <c r="E258" s="42"/>
      <c r="F258" s="42"/>
      <c r="G258" s="42"/>
      <c r="H258" s="42"/>
      <c r="I258" s="42"/>
      <c r="J258" s="42"/>
      <c r="K258" s="42"/>
      <c r="L258" s="42"/>
      <c r="M258" s="42"/>
      <c r="N258" s="42"/>
    </row>
    <row r="259" spans="2:14" ht="15.75" customHeight="1">
      <c r="B259" s="43"/>
      <c r="C259" s="42"/>
      <c r="D259" s="42"/>
      <c r="E259" s="42"/>
      <c r="F259" s="42"/>
      <c r="G259" s="42"/>
      <c r="H259" s="42"/>
      <c r="I259" s="42"/>
      <c r="J259" s="42"/>
      <c r="K259" s="42"/>
      <c r="L259" s="42"/>
      <c r="M259" s="42"/>
      <c r="N259" s="42"/>
    </row>
    <row r="260" spans="2:14" ht="15.75" customHeight="1">
      <c r="B260" s="43"/>
      <c r="C260" s="42"/>
      <c r="D260" s="42"/>
      <c r="E260" s="42"/>
      <c r="F260" s="42"/>
      <c r="G260" s="42"/>
      <c r="H260" s="42"/>
      <c r="I260" s="42"/>
      <c r="J260" s="42"/>
      <c r="K260" s="42"/>
      <c r="L260" s="42"/>
      <c r="M260" s="42"/>
      <c r="N260" s="42"/>
    </row>
    <row r="261" spans="2:14" ht="15.75" customHeight="1">
      <c r="B261" s="43"/>
      <c r="C261" s="42"/>
      <c r="D261" s="42"/>
      <c r="E261" s="42"/>
      <c r="F261" s="42"/>
      <c r="G261" s="42"/>
      <c r="H261" s="42"/>
      <c r="I261" s="42"/>
      <c r="J261" s="42"/>
      <c r="K261" s="42"/>
      <c r="L261" s="42"/>
      <c r="M261" s="42"/>
      <c r="N261" s="42"/>
    </row>
    <row r="262" spans="2:14" ht="15.75" customHeight="1">
      <c r="B262" s="43"/>
      <c r="C262" s="42"/>
      <c r="D262" s="42"/>
      <c r="E262" s="42"/>
      <c r="F262" s="42"/>
      <c r="G262" s="42"/>
      <c r="H262" s="42"/>
      <c r="I262" s="42"/>
      <c r="J262" s="42"/>
      <c r="K262" s="42"/>
      <c r="L262" s="42"/>
      <c r="M262" s="42"/>
      <c r="N262" s="42"/>
    </row>
    <row r="263" spans="2:14" ht="15.75" customHeight="1">
      <c r="B263" s="43"/>
      <c r="C263" s="42"/>
      <c r="D263" s="42"/>
      <c r="E263" s="42"/>
      <c r="F263" s="42"/>
      <c r="G263" s="42"/>
      <c r="H263" s="42"/>
      <c r="I263" s="42"/>
      <c r="J263" s="42"/>
      <c r="K263" s="42"/>
      <c r="L263" s="42"/>
      <c r="M263" s="42"/>
      <c r="N263" s="42"/>
    </row>
    <row r="264" spans="2:14" ht="15.75" customHeight="1">
      <c r="B264" s="43"/>
      <c r="C264" s="42"/>
      <c r="D264" s="42"/>
      <c r="E264" s="42"/>
      <c r="F264" s="42"/>
      <c r="G264" s="42"/>
      <c r="H264" s="42"/>
      <c r="I264" s="42"/>
      <c r="J264" s="42"/>
      <c r="K264" s="42"/>
      <c r="L264" s="42"/>
      <c r="M264" s="42"/>
      <c r="N264" s="42"/>
    </row>
    <row r="265" spans="2:14" ht="15.75" customHeight="1">
      <c r="B265" s="43"/>
      <c r="C265" s="42"/>
      <c r="D265" s="42"/>
      <c r="E265" s="42"/>
      <c r="F265" s="42"/>
      <c r="G265" s="42"/>
      <c r="H265" s="42"/>
      <c r="I265" s="42"/>
      <c r="J265" s="42"/>
      <c r="K265" s="42"/>
      <c r="L265" s="42"/>
      <c r="M265" s="42"/>
      <c r="N265" s="42"/>
    </row>
    <row r="266" spans="2:14" ht="15.75" customHeight="1">
      <c r="B266" s="43"/>
      <c r="C266" s="42"/>
      <c r="D266" s="42"/>
      <c r="E266" s="42"/>
      <c r="F266" s="42"/>
      <c r="G266" s="42"/>
      <c r="H266" s="42"/>
      <c r="I266" s="42"/>
      <c r="J266" s="42"/>
      <c r="K266" s="42"/>
      <c r="L266" s="42"/>
      <c r="M266" s="42"/>
      <c r="N266" s="42"/>
    </row>
    <row r="267" spans="2:14" ht="15.75" customHeight="1">
      <c r="B267" s="43"/>
      <c r="C267" s="42"/>
      <c r="D267" s="42"/>
      <c r="E267" s="42"/>
      <c r="F267" s="42"/>
      <c r="G267" s="42"/>
      <c r="H267" s="42"/>
      <c r="I267" s="42"/>
      <c r="J267" s="42"/>
      <c r="K267" s="42"/>
      <c r="L267" s="42"/>
      <c r="M267" s="42"/>
      <c r="N267" s="42"/>
    </row>
    <row r="268" spans="2:14" ht="15.75" customHeight="1">
      <c r="B268" s="43"/>
      <c r="C268" s="42"/>
      <c r="D268" s="42"/>
      <c r="E268" s="42"/>
      <c r="F268" s="42"/>
      <c r="G268" s="42"/>
      <c r="H268" s="42"/>
      <c r="I268" s="42"/>
      <c r="J268" s="42"/>
      <c r="K268" s="42"/>
      <c r="L268" s="42"/>
      <c r="M268" s="42"/>
      <c r="N268" s="42"/>
    </row>
    <row r="269" spans="2:14" ht="15.75" customHeight="1">
      <c r="B269" s="43"/>
      <c r="C269" s="42"/>
      <c r="D269" s="42"/>
      <c r="E269" s="42"/>
      <c r="F269" s="42"/>
      <c r="G269" s="42"/>
      <c r="H269" s="42"/>
      <c r="I269" s="42"/>
      <c r="J269" s="42"/>
      <c r="K269" s="42"/>
      <c r="L269" s="42"/>
      <c r="M269" s="42"/>
      <c r="N269" s="42"/>
    </row>
    <row r="270" spans="2:14" ht="15.75" customHeight="1">
      <c r="B270" s="43"/>
      <c r="C270" s="42"/>
      <c r="D270" s="42"/>
      <c r="E270" s="42"/>
      <c r="F270" s="42"/>
      <c r="G270" s="42"/>
      <c r="H270" s="42"/>
      <c r="I270" s="42"/>
      <c r="J270" s="42"/>
      <c r="K270" s="42"/>
      <c r="L270" s="42"/>
      <c r="M270" s="42"/>
      <c r="N270" s="42"/>
    </row>
    <row r="271" spans="2:14" ht="15.75" customHeight="1">
      <c r="B271" s="43"/>
      <c r="C271" s="42"/>
      <c r="D271" s="42"/>
      <c r="E271" s="42"/>
      <c r="F271" s="42"/>
      <c r="G271" s="42"/>
      <c r="H271" s="42"/>
      <c r="I271" s="42"/>
      <c r="J271" s="42"/>
      <c r="K271" s="42"/>
      <c r="L271" s="42"/>
      <c r="M271" s="42"/>
      <c r="N271" s="42"/>
    </row>
    <row r="272" spans="2:14" ht="15.75" customHeight="1">
      <c r="B272" s="43"/>
      <c r="C272" s="42"/>
      <c r="D272" s="42"/>
      <c r="E272" s="42"/>
      <c r="F272" s="42"/>
      <c r="G272" s="42"/>
      <c r="H272" s="42"/>
      <c r="I272" s="42"/>
      <c r="J272" s="42"/>
      <c r="K272" s="42"/>
      <c r="L272" s="42"/>
      <c r="M272" s="42"/>
      <c r="N272" s="42"/>
    </row>
    <row r="273" spans="2:14" ht="15.75" customHeight="1">
      <c r="B273" s="43"/>
      <c r="C273" s="42"/>
      <c r="D273" s="42"/>
      <c r="E273" s="42"/>
      <c r="F273" s="42"/>
      <c r="G273" s="42"/>
      <c r="H273" s="42"/>
      <c r="I273" s="42"/>
      <c r="J273" s="42"/>
      <c r="K273" s="42"/>
      <c r="L273" s="42"/>
      <c r="M273" s="42"/>
      <c r="N273" s="42"/>
    </row>
    <row r="274" spans="2:14" ht="15.75" customHeight="1">
      <c r="B274" s="43"/>
      <c r="C274" s="42"/>
      <c r="D274" s="42"/>
      <c r="E274" s="42"/>
      <c r="F274" s="42"/>
      <c r="G274" s="42"/>
      <c r="H274" s="42"/>
      <c r="I274" s="42"/>
      <c r="J274" s="42"/>
      <c r="K274" s="42"/>
      <c r="L274" s="42"/>
      <c r="M274" s="42"/>
      <c r="N274" s="42"/>
    </row>
    <row r="275" spans="2:14" ht="15.75" customHeight="1">
      <c r="B275" s="43"/>
      <c r="C275" s="42"/>
      <c r="D275" s="42"/>
      <c r="E275" s="42"/>
      <c r="F275" s="42"/>
      <c r="G275" s="42"/>
      <c r="H275" s="42"/>
      <c r="I275" s="42"/>
      <c r="J275" s="42"/>
      <c r="K275" s="42"/>
      <c r="L275" s="42"/>
      <c r="M275" s="42"/>
      <c r="N275" s="42"/>
    </row>
    <row r="276" spans="2:14" ht="15.75" customHeight="1">
      <c r="B276" s="43"/>
      <c r="C276" s="42"/>
      <c r="D276" s="42"/>
      <c r="E276" s="42"/>
      <c r="F276" s="42"/>
      <c r="G276" s="42"/>
      <c r="H276" s="42"/>
      <c r="I276" s="42"/>
      <c r="J276" s="42"/>
      <c r="K276" s="42"/>
      <c r="L276" s="42"/>
      <c r="M276" s="42"/>
      <c r="N276" s="42"/>
    </row>
    <row r="277" spans="2:14" ht="15.75" customHeight="1">
      <c r="B277" s="43"/>
      <c r="C277" s="42"/>
      <c r="D277" s="42"/>
      <c r="E277" s="42"/>
      <c r="F277" s="42"/>
      <c r="G277" s="42"/>
      <c r="H277" s="42"/>
      <c r="I277" s="42"/>
      <c r="J277" s="42"/>
      <c r="K277" s="42"/>
      <c r="L277" s="42"/>
      <c r="M277" s="42"/>
      <c r="N277" s="42"/>
    </row>
    <row r="278" spans="2:14" ht="15.75" customHeight="1">
      <c r="B278" s="43"/>
      <c r="C278" s="42"/>
      <c r="D278" s="42"/>
      <c r="E278" s="42"/>
      <c r="F278" s="42"/>
      <c r="G278" s="42"/>
      <c r="H278" s="42"/>
      <c r="I278" s="42"/>
      <c r="J278" s="42"/>
      <c r="K278" s="42"/>
      <c r="L278" s="42"/>
      <c r="M278" s="42"/>
      <c r="N278" s="42"/>
    </row>
    <row r="279" spans="2:14" ht="15.75" customHeight="1">
      <c r="B279" s="43"/>
      <c r="C279" s="42"/>
      <c r="D279" s="42"/>
      <c r="E279" s="42"/>
      <c r="F279" s="42"/>
      <c r="G279" s="42"/>
      <c r="H279" s="42"/>
      <c r="I279" s="42"/>
      <c r="J279" s="42"/>
      <c r="K279" s="42"/>
      <c r="L279" s="42"/>
      <c r="M279" s="42"/>
      <c r="N279" s="42"/>
    </row>
    <row r="280" spans="2:14" ht="15.75" customHeight="1">
      <c r="B280" s="43"/>
      <c r="C280" s="42"/>
      <c r="D280" s="42"/>
      <c r="E280" s="42"/>
      <c r="F280" s="42"/>
      <c r="G280" s="42"/>
      <c r="H280" s="42"/>
      <c r="I280" s="42"/>
      <c r="J280" s="42"/>
      <c r="K280" s="42"/>
      <c r="L280" s="42"/>
      <c r="M280" s="42"/>
      <c r="N280" s="42"/>
    </row>
    <row r="281" spans="2:14" ht="15.75" customHeight="1">
      <c r="B281" s="43"/>
      <c r="C281" s="42"/>
      <c r="D281" s="42"/>
      <c r="E281" s="42"/>
      <c r="F281" s="42"/>
      <c r="G281" s="42"/>
      <c r="H281" s="42"/>
      <c r="I281" s="42"/>
      <c r="J281" s="42"/>
      <c r="K281" s="42"/>
      <c r="L281" s="42"/>
      <c r="M281" s="42"/>
      <c r="N281" s="42"/>
    </row>
    <row r="282" spans="2:14" ht="15.75" customHeight="1">
      <c r="B282" s="43"/>
      <c r="C282" s="42"/>
      <c r="D282" s="42"/>
      <c r="E282" s="42"/>
      <c r="F282" s="42"/>
      <c r="G282" s="42"/>
      <c r="H282" s="42"/>
      <c r="I282" s="42"/>
      <c r="J282" s="42"/>
      <c r="K282" s="42"/>
      <c r="L282" s="42"/>
      <c r="M282" s="42"/>
      <c r="N282" s="42"/>
    </row>
    <row r="283" spans="2:14" ht="15.75" customHeight="1">
      <c r="B283" s="43"/>
      <c r="C283" s="42"/>
      <c r="D283" s="42"/>
      <c r="E283" s="42"/>
      <c r="F283" s="42"/>
      <c r="G283" s="42"/>
      <c r="H283" s="42"/>
      <c r="I283" s="42"/>
      <c r="J283" s="42"/>
      <c r="K283" s="42"/>
      <c r="L283" s="42"/>
      <c r="M283" s="42"/>
      <c r="N283" s="42"/>
    </row>
    <row r="284" spans="2:14" ht="15.75" customHeight="1">
      <c r="B284" s="43"/>
      <c r="C284" s="42"/>
      <c r="D284" s="42"/>
      <c r="E284" s="42"/>
      <c r="F284" s="42"/>
      <c r="G284" s="42"/>
      <c r="H284" s="42"/>
      <c r="I284" s="42"/>
      <c r="J284" s="42"/>
      <c r="K284" s="42"/>
      <c r="L284" s="42"/>
      <c r="M284" s="42"/>
      <c r="N284" s="42"/>
    </row>
    <row r="285" spans="2:14" ht="15.75" customHeight="1">
      <c r="B285" s="43"/>
      <c r="C285" s="42"/>
      <c r="D285" s="42"/>
      <c r="E285" s="42"/>
      <c r="F285" s="42"/>
      <c r="G285" s="42"/>
      <c r="H285" s="42"/>
      <c r="I285" s="42"/>
      <c r="J285" s="42"/>
      <c r="K285" s="42"/>
      <c r="L285" s="42"/>
      <c r="M285" s="42"/>
      <c r="N285" s="42"/>
    </row>
    <row r="286" spans="2:14" ht="15.75" customHeight="1">
      <c r="B286" s="43"/>
      <c r="C286" s="42"/>
      <c r="D286" s="42"/>
      <c r="E286" s="42"/>
      <c r="F286" s="42"/>
      <c r="G286" s="42"/>
      <c r="H286" s="42"/>
      <c r="I286" s="42"/>
      <c r="J286" s="42"/>
      <c r="K286" s="42"/>
      <c r="L286" s="42"/>
      <c r="M286" s="42"/>
      <c r="N286" s="42"/>
    </row>
    <row r="287" spans="2:14" ht="15.75" customHeight="1">
      <c r="B287" s="43"/>
      <c r="C287" s="42"/>
      <c r="D287" s="42"/>
      <c r="E287" s="42"/>
      <c r="F287" s="42"/>
      <c r="G287" s="42"/>
      <c r="H287" s="42"/>
      <c r="I287" s="42"/>
      <c r="J287" s="42"/>
      <c r="K287" s="42"/>
      <c r="L287" s="42"/>
      <c r="M287" s="42"/>
      <c r="N287" s="42"/>
    </row>
    <row r="288" spans="2:14" ht="15.75" customHeight="1">
      <c r="B288" s="43"/>
      <c r="C288" s="42"/>
      <c r="D288" s="42"/>
      <c r="E288" s="42"/>
      <c r="F288" s="42"/>
      <c r="G288" s="42"/>
      <c r="H288" s="42"/>
      <c r="I288" s="42"/>
      <c r="J288" s="42"/>
      <c r="K288" s="42"/>
      <c r="L288" s="42"/>
      <c r="M288" s="42"/>
      <c r="N288" s="42"/>
    </row>
    <row r="289" spans="2:14" ht="15.75" customHeight="1">
      <c r="B289" s="43"/>
      <c r="C289" s="42"/>
      <c r="D289" s="42"/>
      <c r="E289" s="42"/>
      <c r="F289" s="42"/>
      <c r="G289" s="42"/>
      <c r="H289" s="42"/>
      <c r="I289" s="42"/>
      <c r="J289" s="42"/>
      <c r="K289" s="42"/>
      <c r="L289" s="42"/>
      <c r="M289" s="42"/>
      <c r="N289" s="42"/>
    </row>
    <row r="290" spans="2:14" ht="15.75" customHeight="1">
      <c r="B290" s="43"/>
      <c r="C290" s="42"/>
      <c r="D290" s="42"/>
      <c r="E290" s="42"/>
      <c r="F290" s="42"/>
      <c r="G290" s="42"/>
      <c r="H290" s="42"/>
      <c r="I290" s="42"/>
      <c r="J290" s="42"/>
      <c r="K290" s="42"/>
      <c r="L290" s="42"/>
      <c r="M290" s="42"/>
      <c r="N290" s="42"/>
    </row>
    <row r="291" spans="2:14" ht="15.75" customHeight="1">
      <c r="B291" s="43"/>
      <c r="C291" s="42"/>
      <c r="D291" s="42"/>
      <c r="E291" s="42"/>
      <c r="F291" s="42"/>
      <c r="G291" s="42"/>
      <c r="H291" s="42"/>
      <c r="I291" s="42"/>
      <c r="J291" s="42"/>
      <c r="K291" s="42"/>
      <c r="L291" s="42"/>
      <c r="M291" s="42"/>
      <c r="N291" s="42"/>
    </row>
    <row r="292" spans="2:14" ht="15.75" customHeight="1">
      <c r="B292" s="43"/>
      <c r="C292" s="42"/>
      <c r="D292" s="42"/>
      <c r="E292" s="42"/>
      <c r="F292" s="42"/>
      <c r="G292" s="42"/>
      <c r="H292" s="42"/>
      <c r="I292" s="42"/>
      <c r="J292" s="42"/>
      <c r="K292" s="42"/>
      <c r="L292" s="42"/>
      <c r="M292" s="42"/>
      <c r="N292" s="42"/>
    </row>
    <row r="293" spans="2:14" ht="15.75" customHeight="1">
      <c r="B293" s="43"/>
      <c r="C293" s="42"/>
      <c r="D293" s="42"/>
      <c r="E293" s="42"/>
      <c r="F293" s="42"/>
      <c r="G293" s="42"/>
      <c r="H293" s="42"/>
      <c r="I293" s="42"/>
      <c r="J293" s="42"/>
      <c r="K293" s="42"/>
      <c r="L293" s="42"/>
      <c r="M293" s="42"/>
      <c r="N293" s="42"/>
    </row>
    <row r="294" spans="2:14" ht="15.75" customHeight="1">
      <c r="B294" s="43"/>
      <c r="C294" s="42"/>
      <c r="D294" s="42"/>
      <c r="E294" s="42"/>
      <c r="F294" s="42"/>
      <c r="G294" s="42"/>
      <c r="H294" s="42"/>
      <c r="I294" s="42"/>
      <c r="J294" s="42"/>
      <c r="K294" s="42"/>
      <c r="L294" s="42"/>
      <c r="M294" s="42"/>
      <c r="N294" s="42"/>
    </row>
    <row r="295" spans="2:14" ht="15.75" customHeight="1">
      <c r="B295" s="43"/>
      <c r="C295" s="42"/>
      <c r="D295" s="42"/>
      <c r="E295" s="42"/>
      <c r="F295" s="42"/>
      <c r="G295" s="42"/>
      <c r="H295" s="42"/>
      <c r="I295" s="42"/>
      <c r="J295" s="42"/>
      <c r="K295" s="42"/>
      <c r="L295" s="42"/>
      <c r="M295" s="42"/>
      <c r="N295" s="42"/>
    </row>
    <row r="296" spans="2:14" ht="15.75" customHeight="1">
      <c r="B296" s="43"/>
      <c r="C296" s="42"/>
      <c r="D296" s="42"/>
      <c r="E296" s="42"/>
      <c r="F296" s="42"/>
      <c r="G296" s="42"/>
      <c r="H296" s="42"/>
      <c r="I296" s="42"/>
      <c r="J296" s="42"/>
      <c r="K296" s="42"/>
      <c r="L296" s="42"/>
      <c r="M296" s="42"/>
      <c r="N296" s="42"/>
    </row>
    <row r="297" spans="2:14" ht="15.75" customHeight="1">
      <c r="B297" s="43"/>
      <c r="C297" s="42"/>
      <c r="D297" s="42"/>
      <c r="E297" s="42"/>
      <c r="F297" s="42"/>
      <c r="G297" s="42"/>
      <c r="H297" s="42"/>
      <c r="I297" s="42"/>
      <c r="J297" s="42"/>
      <c r="K297" s="42"/>
      <c r="L297" s="42"/>
      <c r="M297" s="42"/>
      <c r="N297" s="42"/>
    </row>
    <row r="298" spans="2:14" ht="15.75" customHeight="1">
      <c r="B298" s="43"/>
      <c r="C298" s="42"/>
      <c r="D298" s="42"/>
      <c r="E298" s="42"/>
      <c r="F298" s="42"/>
      <c r="G298" s="42"/>
      <c r="H298" s="42"/>
      <c r="I298" s="42"/>
      <c r="J298" s="42"/>
      <c r="K298" s="42"/>
      <c r="L298" s="42"/>
      <c r="M298" s="42"/>
      <c r="N298" s="42"/>
    </row>
    <row r="299" spans="2:14" ht="15.75" customHeight="1">
      <c r="B299" s="43"/>
      <c r="C299" s="42"/>
      <c r="D299" s="42"/>
      <c r="E299" s="42"/>
      <c r="F299" s="42"/>
      <c r="G299" s="42"/>
      <c r="H299" s="42"/>
      <c r="I299" s="42"/>
      <c r="J299" s="42"/>
      <c r="K299" s="42"/>
      <c r="L299" s="42"/>
      <c r="M299" s="42"/>
      <c r="N299" s="42"/>
    </row>
    <row r="300" spans="2:14" ht="15.75" customHeight="1">
      <c r="B300" s="43"/>
      <c r="C300" s="42"/>
      <c r="D300" s="42"/>
      <c r="E300" s="42"/>
      <c r="F300" s="42"/>
      <c r="G300" s="42"/>
      <c r="H300" s="42"/>
      <c r="I300" s="42"/>
      <c r="J300" s="42"/>
      <c r="K300" s="42"/>
      <c r="L300" s="42"/>
      <c r="M300" s="42"/>
      <c r="N300" s="42"/>
    </row>
    <row r="301" spans="2:14" ht="15.75" customHeight="1">
      <c r="B301" s="43"/>
      <c r="C301" s="42"/>
      <c r="D301" s="42"/>
      <c r="E301" s="42"/>
      <c r="F301" s="42"/>
      <c r="G301" s="42"/>
      <c r="H301" s="42"/>
      <c r="I301" s="42"/>
      <c r="J301" s="42"/>
      <c r="K301" s="42"/>
      <c r="L301" s="42"/>
      <c r="M301" s="42"/>
      <c r="N301" s="42"/>
    </row>
    <row r="302" spans="2:14" ht="15.75" customHeight="1">
      <c r="B302" s="43"/>
      <c r="C302" s="42"/>
      <c r="D302" s="42"/>
      <c r="E302" s="42"/>
      <c r="F302" s="42"/>
      <c r="G302" s="42"/>
      <c r="H302" s="42"/>
      <c r="I302" s="42"/>
      <c r="J302" s="42"/>
      <c r="K302" s="42"/>
      <c r="L302" s="42"/>
      <c r="M302" s="42"/>
      <c r="N302" s="42"/>
    </row>
    <row r="303" spans="2:14" ht="15.75" customHeight="1">
      <c r="B303" s="43"/>
      <c r="C303" s="42"/>
      <c r="D303" s="42"/>
      <c r="E303" s="42"/>
      <c r="F303" s="42"/>
      <c r="G303" s="42"/>
      <c r="H303" s="42"/>
      <c r="I303" s="42"/>
      <c r="J303" s="42"/>
      <c r="K303" s="42"/>
      <c r="L303" s="42"/>
      <c r="M303" s="42"/>
      <c r="N303" s="42"/>
    </row>
    <row r="304" spans="2:14" ht="15.75" customHeight="1">
      <c r="B304" s="43"/>
      <c r="C304" s="42"/>
      <c r="D304" s="42"/>
      <c r="E304" s="42"/>
      <c r="F304" s="42"/>
      <c r="G304" s="42"/>
      <c r="H304" s="42"/>
      <c r="I304" s="42"/>
      <c r="J304" s="42"/>
      <c r="K304" s="42"/>
      <c r="L304" s="42"/>
      <c r="M304" s="42"/>
      <c r="N304" s="42"/>
    </row>
    <row r="305" spans="2:14" ht="15.75" customHeight="1">
      <c r="B305" s="43"/>
      <c r="C305" s="42"/>
      <c r="D305" s="42"/>
      <c r="E305" s="42"/>
      <c r="F305" s="42"/>
      <c r="G305" s="42"/>
      <c r="H305" s="42"/>
      <c r="I305" s="42"/>
      <c r="J305" s="42"/>
      <c r="K305" s="42"/>
      <c r="L305" s="42"/>
      <c r="M305" s="42"/>
      <c r="N305" s="42"/>
    </row>
    <row r="306" spans="2:14" ht="15.75" customHeight="1">
      <c r="B306" s="43"/>
      <c r="C306" s="42"/>
      <c r="D306" s="42"/>
      <c r="E306" s="42"/>
      <c r="F306" s="42"/>
      <c r="G306" s="42"/>
      <c r="H306" s="42"/>
      <c r="I306" s="42"/>
      <c r="J306" s="42"/>
      <c r="K306" s="42"/>
      <c r="L306" s="42"/>
      <c r="M306" s="42"/>
      <c r="N306" s="42"/>
    </row>
    <row r="307" spans="2:14" ht="15.75" customHeight="1">
      <c r="B307" s="43"/>
      <c r="C307" s="42"/>
      <c r="D307" s="42"/>
      <c r="E307" s="42"/>
      <c r="F307" s="42"/>
      <c r="G307" s="42"/>
      <c r="H307" s="42"/>
      <c r="I307" s="42"/>
      <c r="J307" s="42"/>
      <c r="K307" s="42"/>
      <c r="L307" s="42"/>
      <c r="M307" s="42"/>
      <c r="N307" s="42"/>
    </row>
    <row r="308" spans="2:14" ht="15.75" customHeight="1">
      <c r="B308" s="43"/>
      <c r="C308" s="42"/>
      <c r="D308" s="42"/>
      <c r="E308" s="42"/>
      <c r="F308" s="42"/>
      <c r="G308" s="42"/>
      <c r="H308" s="42"/>
      <c r="I308" s="42"/>
      <c r="J308" s="42"/>
      <c r="K308" s="42"/>
      <c r="L308" s="42"/>
      <c r="M308" s="42"/>
      <c r="N308" s="42"/>
    </row>
    <row r="309" spans="2:14" ht="15.75" customHeight="1">
      <c r="B309" s="43"/>
      <c r="C309" s="42"/>
      <c r="D309" s="42"/>
      <c r="E309" s="42"/>
      <c r="F309" s="42"/>
      <c r="G309" s="42"/>
      <c r="H309" s="42"/>
      <c r="I309" s="42"/>
      <c r="J309" s="42"/>
      <c r="K309" s="42"/>
      <c r="L309" s="42"/>
      <c r="M309" s="42"/>
      <c r="N309" s="42"/>
    </row>
    <row r="310" spans="2:14" ht="15.75" customHeight="1">
      <c r="B310" s="43"/>
      <c r="C310" s="42"/>
      <c r="D310" s="42"/>
      <c r="E310" s="42"/>
      <c r="F310" s="42"/>
      <c r="G310" s="42"/>
      <c r="H310" s="42"/>
      <c r="I310" s="42"/>
      <c r="J310" s="42"/>
      <c r="K310" s="42"/>
      <c r="L310" s="42"/>
      <c r="M310" s="42"/>
      <c r="N310" s="42"/>
    </row>
    <row r="311" spans="2:14" ht="15.75" customHeight="1">
      <c r="B311" s="43"/>
      <c r="C311" s="42"/>
      <c r="D311" s="42"/>
      <c r="E311" s="42"/>
      <c r="F311" s="42"/>
      <c r="G311" s="42"/>
      <c r="H311" s="42"/>
      <c r="I311" s="42"/>
      <c r="J311" s="42"/>
      <c r="K311" s="42"/>
      <c r="L311" s="42"/>
      <c r="M311" s="42"/>
      <c r="N311" s="42"/>
    </row>
    <row r="312" spans="2:14" ht="15.75" customHeight="1">
      <c r="B312" s="43"/>
      <c r="C312" s="42"/>
      <c r="D312" s="42"/>
      <c r="E312" s="42"/>
      <c r="F312" s="42"/>
      <c r="G312" s="42"/>
      <c r="H312" s="42"/>
      <c r="I312" s="42"/>
      <c r="J312" s="42"/>
      <c r="K312" s="42"/>
      <c r="L312" s="42"/>
      <c r="M312" s="42"/>
      <c r="N312" s="42"/>
    </row>
    <row r="313" spans="2:14" ht="15.75" customHeight="1">
      <c r="B313" s="43"/>
      <c r="C313" s="42"/>
      <c r="D313" s="42"/>
      <c r="E313" s="42"/>
      <c r="F313" s="42"/>
      <c r="G313" s="42"/>
      <c r="H313" s="42"/>
      <c r="I313" s="42"/>
      <c r="J313" s="42"/>
      <c r="K313" s="42"/>
      <c r="L313" s="42"/>
      <c r="M313" s="42"/>
      <c r="N313" s="42"/>
    </row>
    <row r="314" spans="2:14" ht="15.75" customHeight="1">
      <c r="B314" s="43"/>
      <c r="C314" s="42"/>
      <c r="D314" s="42"/>
      <c r="E314" s="42"/>
      <c r="F314" s="42"/>
      <c r="G314" s="42"/>
      <c r="H314" s="42"/>
      <c r="I314" s="42"/>
      <c r="J314" s="42"/>
      <c r="K314" s="42"/>
      <c r="L314" s="42"/>
      <c r="M314" s="42"/>
      <c r="N314" s="42"/>
    </row>
    <row r="315" spans="2:14" ht="15.75" customHeight="1">
      <c r="B315" s="43"/>
      <c r="C315" s="42"/>
      <c r="D315" s="42"/>
      <c r="E315" s="42"/>
      <c r="F315" s="42"/>
      <c r="G315" s="42"/>
      <c r="H315" s="42"/>
      <c r="I315" s="42"/>
      <c r="J315" s="42"/>
      <c r="K315" s="42"/>
      <c r="L315" s="42"/>
      <c r="M315" s="42"/>
      <c r="N315" s="42"/>
    </row>
    <row r="316" spans="2:14" ht="15.75" customHeight="1">
      <c r="B316" s="43"/>
      <c r="C316" s="42"/>
      <c r="D316" s="42"/>
      <c r="E316" s="42"/>
      <c r="F316" s="42"/>
      <c r="G316" s="42"/>
      <c r="H316" s="42"/>
      <c r="I316" s="42"/>
      <c r="J316" s="42"/>
      <c r="K316" s="42"/>
      <c r="L316" s="42"/>
      <c r="M316" s="42"/>
      <c r="N316" s="42"/>
    </row>
    <row r="317" spans="2:14" ht="15.75" customHeight="1">
      <c r="B317" s="43"/>
      <c r="C317" s="42"/>
      <c r="D317" s="42"/>
      <c r="E317" s="42"/>
      <c r="F317" s="42"/>
      <c r="G317" s="42"/>
      <c r="H317" s="42"/>
      <c r="I317" s="42"/>
      <c r="J317" s="42"/>
      <c r="K317" s="42"/>
      <c r="L317" s="42"/>
      <c r="M317" s="42"/>
      <c r="N317" s="42"/>
    </row>
    <row r="318" spans="2:14" ht="15.75" customHeight="1">
      <c r="B318" s="43"/>
      <c r="C318" s="42"/>
      <c r="D318" s="42"/>
      <c r="E318" s="42"/>
      <c r="F318" s="42"/>
      <c r="G318" s="42"/>
      <c r="H318" s="42"/>
      <c r="I318" s="42"/>
      <c r="J318" s="42"/>
      <c r="K318" s="42"/>
      <c r="L318" s="42"/>
      <c r="M318" s="42"/>
      <c r="N318" s="42"/>
    </row>
    <row r="319" spans="2:14" ht="15.75" customHeight="1">
      <c r="B319" s="43"/>
      <c r="C319" s="42"/>
      <c r="D319" s="42"/>
      <c r="E319" s="42"/>
      <c r="F319" s="42"/>
      <c r="G319" s="42"/>
      <c r="H319" s="42"/>
      <c r="I319" s="42"/>
      <c r="J319" s="42"/>
      <c r="K319" s="42"/>
      <c r="L319" s="42"/>
      <c r="M319" s="42"/>
      <c r="N319" s="42"/>
    </row>
    <row r="320" spans="2:14" ht="15.75" customHeight="1">
      <c r="B320" s="43"/>
      <c r="C320" s="42"/>
      <c r="D320" s="42"/>
      <c r="E320" s="42"/>
      <c r="F320" s="42"/>
      <c r="G320" s="42"/>
      <c r="H320" s="42"/>
      <c r="I320" s="42"/>
      <c r="J320" s="42"/>
      <c r="K320" s="42"/>
      <c r="L320" s="42"/>
      <c r="M320" s="42"/>
      <c r="N320" s="42"/>
    </row>
    <row r="321" spans="2:14" ht="15.75" customHeight="1">
      <c r="B321" s="43"/>
      <c r="C321" s="42"/>
      <c r="D321" s="42"/>
      <c r="E321" s="42"/>
      <c r="F321" s="42"/>
      <c r="G321" s="42"/>
      <c r="H321" s="42"/>
      <c r="I321" s="42"/>
      <c r="J321" s="42"/>
      <c r="K321" s="42"/>
      <c r="L321" s="42"/>
      <c r="M321" s="42"/>
      <c r="N321" s="42"/>
    </row>
    <row r="322" spans="2:14" ht="15.75" customHeight="1">
      <c r="B322" s="43"/>
      <c r="C322" s="42"/>
      <c r="D322" s="42"/>
      <c r="E322" s="42"/>
      <c r="F322" s="42"/>
      <c r="G322" s="42"/>
      <c r="H322" s="42"/>
      <c r="I322" s="42"/>
      <c r="J322" s="42"/>
      <c r="K322" s="42"/>
      <c r="L322" s="42"/>
      <c r="M322" s="42"/>
      <c r="N322" s="42"/>
    </row>
    <row r="323" spans="2:14" ht="15.75" customHeight="1">
      <c r="B323" s="43"/>
      <c r="C323" s="42"/>
      <c r="D323" s="42"/>
      <c r="E323" s="42"/>
      <c r="F323" s="42"/>
      <c r="G323" s="42"/>
      <c r="H323" s="42"/>
      <c r="I323" s="42"/>
      <c r="J323" s="42"/>
      <c r="K323" s="42"/>
      <c r="L323" s="42"/>
      <c r="M323" s="42"/>
      <c r="N323" s="42"/>
    </row>
    <row r="324" spans="2:14" ht="15.75" customHeight="1">
      <c r="B324" s="43"/>
      <c r="C324" s="42"/>
      <c r="D324" s="42"/>
      <c r="E324" s="42"/>
      <c r="F324" s="42"/>
      <c r="G324" s="42"/>
      <c r="H324" s="42"/>
      <c r="I324" s="42"/>
      <c r="J324" s="42"/>
      <c r="K324" s="42"/>
      <c r="L324" s="42"/>
      <c r="M324" s="42"/>
      <c r="N324" s="42"/>
    </row>
    <row r="325" spans="2:14" ht="15.75" customHeight="1">
      <c r="B325" s="43"/>
      <c r="C325" s="42"/>
      <c r="D325" s="42"/>
      <c r="E325" s="42"/>
      <c r="F325" s="42"/>
      <c r="G325" s="42"/>
      <c r="H325" s="42"/>
      <c r="I325" s="42"/>
      <c r="J325" s="42"/>
      <c r="K325" s="42"/>
      <c r="L325" s="42"/>
      <c r="M325" s="42"/>
      <c r="N325" s="42"/>
    </row>
    <row r="326" spans="2:14" ht="15.75" customHeight="1">
      <c r="B326" s="43"/>
      <c r="C326" s="42"/>
      <c r="D326" s="42"/>
      <c r="E326" s="42"/>
      <c r="F326" s="42"/>
      <c r="G326" s="42"/>
      <c r="H326" s="42"/>
      <c r="I326" s="42"/>
      <c r="J326" s="42"/>
      <c r="K326" s="42"/>
      <c r="L326" s="42"/>
      <c r="M326" s="42"/>
      <c r="N326" s="42"/>
    </row>
    <row r="327" spans="2:14" ht="15.75" customHeight="1">
      <c r="B327" s="43"/>
      <c r="C327" s="42"/>
      <c r="D327" s="42"/>
      <c r="E327" s="42"/>
      <c r="F327" s="42"/>
      <c r="G327" s="42"/>
      <c r="H327" s="42"/>
      <c r="I327" s="42"/>
      <c r="J327" s="42"/>
      <c r="K327" s="42"/>
      <c r="L327" s="42"/>
      <c r="M327" s="42"/>
      <c r="N327" s="42"/>
    </row>
    <row r="328" spans="2:14" ht="15.75" customHeight="1">
      <c r="B328" s="43"/>
      <c r="C328" s="42"/>
      <c r="D328" s="42"/>
      <c r="E328" s="42"/>
      <c r="F328" s="42"/>
      <c r="G328" s="42"/>
      <c r="H328" s="42"/>
      <c r="I328" s="42"/>
      <c r="J328" s="42"/>
      <c r="K328" s="42"/>
      <c r="L328" s="42"/>
      <c r="M328" s="42"/>
      <c r="N328" s="42"/>
    </row>
    <row r="329" spans="2:14" ht="15.75" customHeight="1">
      <c r="B329" s="43"/>
      <c r="C329" s="42"/>
      <c r="D329" s="42"/>
      <c r="E329" s="42"/>
      <c r="F329" s="42"/>
      <c r="G329" s="42"/>
      <c r="H329" s="42"/>
      <c r="I329" s="42"/>
      <c r="J329" s="42"/>
      <c r="K329" s="42"/>
      <c r="L329" s="42"/>
      <c r="M329" s="42"/>
      <c r="N329" s="42"/>
    </row>
    <row r="330" spans="2:14" ht="15.75" customHeight="1">
      <c r="B330" s="43"/>
      <c r="C330" s="42"/>
      <c r="D330" s="42"/>
      <c r="E330" s="42"/>
      <c r="F330" s="42"/>
      <c r="G330" s="42"/>
      <c r="H330" s="42"/>
      <c r="I330" s="42"/>
      <c r="J330" s="42"/>
      <c r="K330" s="42"/>
      <c r="L330" s="42"/>
      <c r="M330" s="42"/>
      <c r="N330" s="42"/>
    </row>
    <row r="331" spans="2:14" ht="15.75" customHeight="1">
      <c r="B331" s="43"/>
      <c r="C331" s="42"/>
      <c r="D331" s="42"/>
      <c r="E331" s="42"/>
      <c r="F331" s="42"/>
      <c r="G331" s="42"/>
      <c r="H331" s="42"/>
      <c r="I331" s="42"/>
      <c r="J331" s="42"/>
      <c r="K331" s="42"/>
      <c r="L331" s="42"/>
      <c r="M331" s="42"/>
      <c r="N331" s="42"/>
    </row>
    <row r="332" spans="2:14" ht="15.75" customHeight="1">
      <c r="B332" s="43"/>
      <c r="C332" s="42"/>
      <c r="D332" s="42"/>
      <c r="E332" s="42"/>
      <c r="F332" s="42"/>
      <c r="G332" s="42"/>
      <c r="H332" s="42"/>
      <c r="I332" s="42"/>
      <c r="J332" s="42"/>
      <c r="K332" s="42"/>
      <c r="L332" s="42"/>
      <c r="M332" s="42"/>
      <c r="N332" s="42"/>
    </row>
    <row r="333" spans="2:14" ht="15.75" customHeight="1">
      <c r="B333" s="43"/>
      <c r="C333" s="42"/>
      <c r="D333" s="42"/>
      <c r="E333" s="42"/>
      <c r="F333" s="42"/>
      <c r="G333" s="42"/>
      <c r="H333" s="42"/>
      <c r="I333" s="42"/>
      <c r="J333" s="42"/>
      <c r="K333" s="42"/>
      <c r="L333" s="42"/>
      <c r="M333" s="42"/>
      <c r="N333" s="42"/>
    </row>
    <row r="334" spans="2:14" ht="15.75" customHeight="1">
      <c r="B334" s="43"/>
      <c r="C334" s="42"/>
      <c r="D334" s="42"/>
      <c r="E334" s="42"/>
      <c r="F334" s="42"/>
      <c r="G334" s="42"/>
      <c r="H334" s="42"/>
      <c r="I334" s="42"/>
      <c r="J334" s="42"/>
      <c r="K334" s="42"/>
      <c r="L334" s="42"/>
      <c r="M334" s="42"/>
      <c r="N334" s="42"/>
    </row>
    <row r="335" spans="2:14" ht="15.75" customHeight="1">
      <c r="B335" s="43"/>
      <c r="C335" s="42"/>
      <c r="D335" s="42"/>
      <c r="E335" s="42"/>
      <c r="F335" s="42"/>
      <c r="G335" s="42"/>
      <c r="H335" s="42"/>
      <c r="I335" s="42"/>
      <c r="J335" s="42"/>
      <c r="K335" s="42"/>
      <c r="L335" s="42"/>
      <c r="M335" s="42"/>
      <c r="N335" s="42"/>
    </row>
    <row r="336" spans="2:14" ht="15.75" customHeight="1">
      <c r="B336" s="43"/>
      <c r="C336" s="42"/>
      <c r="D336" s="42"/>
      <c r="E336" s="42"/>
      <c r="F336" s="42"/>
      <c r="G336" s="42"/>
      <c r="H336" s="42"/>
      <c r="I336" s="42"/>
      <c r="J336" s="42"/>
      <c r="K336" s="42"/>
      <c r="L336" s="42"/>
      <c r="M336" s="42"/>
      <c r="N336" s="42"/>
    </row>
    <row r="337" spans="2:14" ht="15.75" customHeight="1">
      <c r="B337" s="43"/>
      <c r="C337" s="42"/>
      <c r="D337" s="42"/>
      <c r="E337" s="42"/>
      <c r="F337" s="42"/>
      <c r="G337" s="42"/>
      <c r="H337" s="42"/>
      <c r="I337" s="42"/>
      <c r="J337" s="42"/>
      <c r="K337" s="42"/>
      <c r="L337" s="42"/>
      <c r="M337" s="42"/>
      <c r="N337" s="42"/>
    </row>
    <row r="338" spans="2:14" ht="15.75" customHeight="1">
      <c r="B338" s="43"/>
      <c r="C338" s="42"/>
      <c r="D338" s="42"/>
      <c r="E338" s="42"/>
      <c r="F338" s="42"/>
      <c r="G338" s="42"/>
      <c r="H338" s="42"/>
      <c r="I338" s="42"/>
      <c r="J338" s="42"/>
      <c r="K338" s="42"/>
      <c r="L338" s="42"/>
      <c r="M338" s="42"/>
      <c r="N338" s="42"/>
    </row>
    <row r="339" spans="2:14" ht="15.75" customHeight="1">
      <c r="B339" s="43"/>
      <c r="C339" s="42"/>
      <c r="D339" s="42"/>
      <c r="E339" s="42"/>
      <c r="F339" s="42"/>
      <c r="G339" s="42"/>
      <c r="H339" s="42"/>
      <c r="I339" s="42"/>
      <c r="J339" s="42"/>
      <c r="K339" s="42"/>
      <c r="L339" s="42"/>
      <c r="M339" s="42"/>
      <c r="N339" s="42"/>
    </row>
    <row r="340" spans="2:14" ht="15.75" customHeight="1">
      <c r="B340" s="43"/>
      <c r="C340" s="42"/>
      <c r="D340" s="42"/>
      <c r="E340" s="42"/>
      <c r="F340" s="42"/>
      <c r="G340" s="42"/>
      <c r="H340" s="42"/>
      <c r="I340" s="42"/>
      <c r="J340" s="42"/>
      <c r="K340" s="42"/>
      <c r="L340" s="42"/>
      <c r="M340" s="42"/>
      <c r="N340" s="42"/>
    </row>
    <row r="341" spans="2:14" ht="15.75" customHeight="1">
      <c r="B341" s="43"/>
      <c r="C341" s="42"/>
      <c r="D341" s="42"/>
      <c r="E341" s="42"/>
      <c r="F341" s="42"/>
      <c r="G341" s="42"/>
      <c r="H341" s="42"/>
      <c r="I341" s="42"/>
      <c r="J341" s="42"/>
      <c r="K341" s="42"/>
      <c r="L341" s="42"/>
      <c r="M341" s="42"/>
      <c r="N341" s="42"/>
    </row>
    <row r="342" spans="2:14" ht="15.75" customHeight="1">
      <c r="B342" s="43"/>
      <c r="C342" s="42"/>
      <c r="D342" s="42"/>
      <c r="E342" s="42"/>
      <c r="F342" s="42"/>
      <c r="G342" s="42"/>
      <c r="H342" s="42"/>
      <c r="I342" s="42"/>
      <c r="J342" s="42"/>
      <c r="K342" s="42"/>
      <c r="L342" s="42"/>
      <c r="M342" s="42"/>
      <c r="N342" s="42"/>
    </row>
    <row r="343" spans="2:14" ht="15.75" customHeight="1">
      <c r="B343" s="43"/>
      <c r="C343" s="42"/>
      <c r="D343" s="42"/>
      <c r="E343" s="42"/>
      <c r="F343" s="42"/>
      <c r="G343" s="42"/>
      <c r="H343" s="42"/>
      <c r="I343" s="42"/>
      <c r="J343" s="42"/>
      <c r="K343" s="42"/>
      <c r="L343" s="42"/>
      <c r="M343" s="42"/>
      <c r="N343" s="42"/>
    </row>
    <row r="344" spans="2:14" ht="15.75" customHeight="1">
      <c r="B344" s="43"/>
      <c r="C344" s="42"/>
      <c r="D344" s="42"/>
      <c r="E344" s="42"/>
      <c r="F344" s="42"/>
      <c r="G344" s="42"/>
      <c r="H344" s="42"/>
      <c r="I344" s="42"/>
      <c r="J344" s="42"/>
      <c r="K344" s="42"/>
      <c r="L344" s="42"/>
      <c r="M344" s="42"/>
      <c r="N344" s="42"/>
    </row>
    <row r="345" spans="2:14" ht="15.75" customHeight="1">
      <c r="B345" s="43"/>
      <c r="C345" s="42"/>
      <c r="D345" s="42"/>
      <c r="E345" s="42"/>
      <c r="F345" s="42"/>
      <c r="G345" s="42"/>
      <c r="H345" s="42"/>
      <c r="I345" s="42"/>
      <c r="J345" s="42"/>
      <c r="K345" s="42"/>
      <c r="L345" s="42"/>
      <c r="M345" s="42"/>
      <c r="N345" s="42"/>
    </row>
    <row r="346" spans="2:14" ht="15.75" customHeight="1">
      <c r="B346" s="43"/>
      <c r="C346" s="42"/>
      <c r="D346" s="42"/>
      <c r="E346" s="42"/>
      <c r="F346" s="42"/>
      <c r="G346" s="42"/>
      <c r="H346" s="42"/>
      <c r="I346" s="42"/>
      <c r="J346" s="42"/>
      <c r="K346" s="42"/>
      <c r="L346" s="42"/>
      <c r="M346" s="42"/>
      <c r="N346" s="42"/>
    </row>
    <row r="347" spans="2:14" ht="15.75" customHeight="1">
      <c r="B347" s="43"/>
      <c r="C347" s="42"/>
      <c r="D347" s="42"/>
      <c r="E347" s="42"/>
      <c r="F347" s="42"/>
      <c r="G347" s="42"/>
      <c r="H347" s="42"/>
      <c r="I347" s="42"/>
      <c r="J347" s="42"/>
      <c r="K347" s="42"/>
      <c r="L347" s="42"/>
      <c r="M347" s="42"/>
      <c r="N347" s="42"/>
    </row>
    <row r="348" spans="2:14" ht="15.75" customHeight="1">
      <c r="B348" s="43"/>
      <c r="C348" s="42"/>
      <c r="D348" s="42"/>
      <c r="E348" s="42"/>
      <c r="F348" s="42"/>
      <c r="G348" s="42"/>
      <c r="H348" s="42"/>
      <c r="I348" s="42"/>
      <c r="J348" s="42"/>
      <c r="K348" s="42"/>
      <c r="L348" s="42"/>
      <c r="M348" s="42"/>
      <c r="N348" s="42"/>
    </row>
    <row r="349" spans="2:14" ht="15.75" customHeight="1">
      <c r="B349" s="43"/>
      <c r="C349" s="42"/>
      <c r="D349" s="42"/>
      <c r="E349" s="42"/>
      <c r="F349" s="42"/>
      <c r="G349" s="42"/>
      <c r="H349" s="42"/>
      <c r="I349" s="42"/>
      <c r="J349" s="42"/>
      <c r="K349" s="42"/>
      <c r="L349" s="42"/>
      <c r="M349" s="42"/>
      <c r="N349" s="42"/>
    </row>
    <row r="350" spans="2:14" ht="15.75" customHeight="1">
      <c r="B350" s="43"/>
      <c r="C350" s="42"/>
      <c r="D350" s="42"/>
      <c r="E350" s="42"/>
      <c r="F350" s="42"/>
      <c r="G350" s="42"/>
      <c r="H350" s="42"/>
      <c r="I350" s="42"/>
      <c r="J350" s="42"/>
      <c r="K350" s="42"/>
      <c r="L350" s="42"/>
      <c r="M350" s="42"/>
      <c r="N350" s="42"/>
    </row>
    <row r="351" spans="2:14" ht="15.75" customHeight="1">
      <c r="B351" s="43"/>
      <c r="C351" s="42"/>
      <c r="D351" s="42"/>
      <c r="E351" s="42"/>
      <c r="F351" s="42"/>
      <c r="G351" s="42"/>
      <c r="H351" s="42"/>
      <c r="I351" s="42"/>
      <c r="J351" s="42"/>
      <c r="K351" s="42"/>
      <c r="L351" s="42"/>
      <c r="M351" s="42"/>
      <c r="N351" s="42"/>
    </row>
    <row r="352" spans="2:14" ht="15.75" customHeight="1">
      <c r="B352" s="43"/>
      <c r="C352" s="42"/>
      <c r="D352" s="42"/>
      <c r="E352" s="42"/>
      <c r="F352" s="42"/>
      <c r="G352" s="42"/>
      <c r="H352" s="42"/>
      <c r="I352" s="42"/>
      <c r="J352" s="42"/>
      <c r="K352" s="42"/>
      <c r="L352" s="42"/>
      <c r="M352" s="42"/>
      <c r="N352" s="42"/>
    </row>
    <row r="353" spans="2:14" ht="15.75" customHeight="1">
      <c r="B353" s="43"/>
      <c r="C353" s="42"/>
      <c r="D353" s="42"/>
      <c r="E353" s="42"/>
      <c r="F353" s="42"/>
      <c r="G353" s="42"/>
      <c r="H353" s="42"/>
      <c r="I353" s="42"/>
      <c r="J353" s="42"/>
      <c r="K353" s="42"/>
      <c r="L353" s="42"/>
      <c r="M353" s="42"/>
      <c r="N353" s="42"/>
    </row>
    <row r="354" spans="2:14" ht="15.75" customHeight="1">
      <c r="B354" s="43"/>
      <c r="C354" s="42"/>
      <c r="D354" s="42"/>
      <c r="E354" s="42"/>
      <c r="F354" s="42"/>
      <c r="G354" s="42"/>
      <c r="H354" s="42"/>
      <c r="I354" s="42"/>
      <c r="J354" s="42"/>
      <c r="K354" s="42"/>
      <c r="L354" s="42"/>
      <c r="M354" s="42"/>
      <c r="N354" s="42"/>
    </row>
    <row r="355" spans="2:14" ht="15.75" customHeight="1">
      <c r="B355" s="43"/>
      <c r="C355" s="42"/>
      <c r="D355" s="42"/>
      <c r="E355" s="42"/>
      <c r="F355" s="42"/>
      <c r="G355" s="42"/>
      <c r="H355" s="42"/>
      <c r="I355" s="42"/>
      <c r="J355" s="42"/>
      <c r="K355" s="42"/>
      <c r="L355" s="42"/>
      <c r="M355" s="42"/>
      <c r="N355" s="42"/>
    </row>
    <row r="356" spans="2:14" ht="15.75" customHeight="1">
      <c r="B356" s="43"/>
      <c r="C356" s="42"/>
      <c r="D356" s="42"/>
      <c r="E356" s="42"/>
      <c r="F356" s="42"/>
      <c r="G356" s="42"/>
      <c r="H356" s="42"/>
      <c r="I356" s="42"/>
      <c r="J356" s="42"/>
      <c r="K356" s="42"/>
      <c r="L356" s="42"/>
      <c r="M356" s="42"/>
      <c r="N356" s="42"/>
    </row>
    <row r="357" spans="2:14" ht="15.75" customHeight="1">
      <c r="B357" s="43"/>
      <c r="C357" s="42"/>
      <c r="D357" s="42"/>
      <c r="E357" s="42"/>
      <c r="F357" s="42"/>
      <c r="G357" s="42"/>
      <c r="H357" s="42"/>
      <c r="I357" s="42"/>
      <c r="J357" s="42"/>
      <c r="K357" s="42"/>
      <c r="L357" s="42"/>
      <c r="M357" s="42"/>
      <c r="N357" s="42"/>
    </row>
    <row r="358" spans="2:14" ht="15.75" customHeight="1">
      <c r="B358" s="43"/>
      <c r="C358" s="42"/>
      <c r="D358" s="42"/>
      <c r="E358" s="42"/>
      <c r="F358" s="42"/>
      <c r="G358" s="42"/>
      <c r="H358" s="42"/>
      <c r="I358" s="42"/>
      <c r="J358" s="42"/>
      <c r="K358" s="42"/>
      <c r="L358" s="42"/>
      <c r="M358" s="42"/>
      <c r="N358" s="42"/>
    </row>
    <row r="359" spans="2:14" ht="15.75" customHeight="1"/>
    <row r="360" spans="2:14" ht="15.75" customHeight="1"/>
    <row r="361" spans="2:14" ht="15.75" customHeight="1"/>
    <row r="362" spans="2:14" ht="15.75" customHeight="1"/>
    <row r="363" spans="2:14" ht="15.75" customHeight="1"/>
    <row r="364" spans="2:14" ht="15.75" customHeight="1"/>
    <row r="365" spans="2:14" ht="15.75" customHeight="1"/>
    <row r="366" spans="2:14" ht="15.75" customHeight="1"/>
    <row r="367" spans="2:14" ht="15.75" customHeight="1"/>
    <row r="368" spans="2:1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156" xr:uid="{00000000-0009-0000-0000-00000B000000}"/>
  <pageMargins left="0.7" right="0.7" top="0.75" bottom="0.75"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000"/>
  <sheetViews>
    <sheetView workbookViewId="0"/>
  </sheetViews>
  <sheetFormatPr baseColWidth="10" defaultColWidth="14.42578125" defaultRowHeight="15" customHeight="1"/>
  <cols>
    <col min="1" max="1" width="10.7109375" customWidth="1"/>
    <col min="2" max="2" width="11.28515625" customWidth="1"/>
    <col min="3" max="3" width="42.28515625" customWidth="1"/>
    <col min="4" max="4" width="15" customWidth="1"/>
    <col min="5" max="5" width="10.7109375" customWidth="1"/>
    <col min="6" max="6" width="40.85546875" customWidth="1"/>
    <col min="7" max="7" width="16.85546875" customWidth="1"/>
    <col min="8" max="8" width="10.7109375" customWidth="1"/>
  </cols>
  <sheetData>
    <row r="1" spans="1:7" ht="63">
      <c r="A1" s="165" t="s">
        <v>1297</v>
      </c>
      <c r="B1" s="165" t="s">
        <v>1298</v>
      </c>
      <c r="C1" s="165" t="s">
        <v>1299</v>
      </c>
      <c r="D1" s="165" t="s">
        <v>1300</v>
      </c>
      <c r="E1" s="165" t="s">
        <v>1301</v>
      </c>
      <c r="F1" s="165"/>
      <c r="G1" s="165" t="s">
        <v>1303</v>
      </c>
    </row>
    <row r="2" spans="1:7" ht="17.25" customHeight="1">
      <c r="A2" s="166">
        <v>4998</v>
      </c>
      <c r="B2" s="167"/>
      <c r="C2" s="167" t="s">
        <v>1307</v>
      </c>
      <c r="D2" s="167">
        <v>36697863</v>
      </c>
      <c r="E2" s="168">
        <f>VLOOKUP(A2,'PLANTA SJD'!B:F,3,0)</f>
        <v>80222608</v>
      </c>
      <c r="F2" s="168" t="str">
        <f>VLOOKUP(E2,'PLANTA SJD'!D:F,2,0)</f>
        <v>GERMAN ALBERTO PULIDO PULIDO</v>
      </c>
      <c r="G2" s="169">
        <f t="shared" ref="G2:G171" si="0">+D2-E2</f>
        <v>-43524745</v>
      </c>
    </row>
    <row r="3" spans="1:7" ht="17.25" customHeight="1">
      <c r="A3" s="166">
        <v>4999</v>
      </c>
      <c r="B3" s="166"/>
      <c r="C3" s="166" t="s">
        <v>1314</v>
      </c>
      <c r="D3" s="166">
        <v>2968815</v>
      </c>
      <c r="E3" s="93">
        <f>VLOOKUP(A3,'PLANTA SJD'!B:F,3,0)</f>
        <v>2968815</v>
      </c>
      <c r="F3" s="93" t="str">
        <f>VLOOKUP(E3,'PLANTA SJD'!D:F,2,0)</f>
        <v>OSCAR JAVIER SUAREZ RAMOS</v>
      </c>
      <c r="G3" s="170">
        <f t="shared" si="0"/>
        <v>0</v>
      </c>
    </row>
    <row r="4" spans="1:7" ht="17.25" customHeight="1">
      <c r="A4" s="166">
        <v>5000</v>
      </c>
      <c r="B4" s="166"/>
      <c r="C4" s="166" t="s">
        <v>1317</v>
      </c>
      <c r="D4" s="166"/>
      <c r="E4" s="93">
        <f>VLOOKUP(A4,'PLANTA SJD'!B:F,3,0)</f>
        <v>64586540</v>
      </c>
      <c r="F4" s="93" t="str">
        <f>VLOOKUP(E4,'PLANTA SJD'!D:F,2,0)</f>
        <v>ALMA ROSA RAMOS MARIA</v>
      </c>
      <c r="G4" s="170">
        <f t="shared" si="0"/>
        <v>-64586540</v>
      </c>
    </row>
    <row r="5" spans="1:7" ht="17.25" customHeight="1">
      <c r="A5" s="166">
        <v>5001</v>
      </c>
      <c r="B5" s="166"/>
      <c r="C5" s="166" t="s">
        <v>1319</v>
      </c>
      <c r="D5" s="166">
        <v>1020810401</v>
      </c>
      <c r="E5" s="93">
        <f>VLOOKUP(A5,'PLANTA SJD'!B:F,3,0)</f>
        <v>1020810401</v>
      </c>
      <c r="F5" s="93" t="str">
        <f>VLOOKUP(E5,'PLANTA SJD'!D:F,2,0)</f>
        <v>MARIA PAULA ALBORNOZ CARDENAS</v>
      </c>
      <c r="G5" s="170">
        <f t="shared" si="0"/>
        <v>0</v>
      </c>
    </row>
    <row r="6" spans="1:7" ht="17.25" customHeight="1">
      <c r="A6" s="166">
        <v>5002</v>
      </c>
      <c r="B6" s="166"/>
      <c r="C6" s="166" t="s">
        <v>1321</v>
      </c>
      <c r="D6" s="166">
        <v>1121857540</v>
      </c>
      <c r="E6" s="93">
        <f>VLOOKUP(A6,'PLANTA SJD'!B:F,3,0)</f>
        <v>1121857540</v>
      </c>
      <c r="F6" s="93" t="str">
        <f>VLOOKUP(E6,'PLANTA SJD'!D:F,2,0)</f>
        <v>MARIA TATIANA MEJIA ROJAS</v>
      </c>
      <c r="G6" s="170">
        <f t="shared" si="0"/>
        <v>0</v>
      </c>
    </row>
    <row r="7" spans="1:7" ht="17.25" customHeight="1">
      <c r="A7" s="166">
        <v>5003</v>
      </c>
      <c r="B7" s="166"/>
      <c r="C7" s="166" t="s">
        <v>1326</v>
      </c>
      <c r="D7" s="166">
        <v>80096113</v>
      </c>
      <c r="E7" s="93">
        <f>VLOOKUP(A7,'PLANTA SJD'!B:F,3,0)</f>
        <v>80096113</v>
      </c>
      <c r="F7" s="93" t="str">
        <f>VLOOKUP(E7,'PLANTA SJD'!D:F,2,0)</f>
        <v>CARLOS ANDRES BERNAL CASAS</v>
      </c>
      <c r="G7" s="170">
        <f t="shared" si="0"/>
        <v>0</v>
      </c>
    </row>
    <row r="8" spans="1:7" ht="17.25" customHeight="1">
      <c r="A8" s="166">
        <v>5004</v>
      </c>
      <c r="B8" s="166"/>
      <c r="C8" s="166" t="s">
        <v>1328</v>
      </c>
      <c r="D8" s="166">
        <v>1098774988</v>
      </c>
      <c r="E8" s="93">
        <f>VLOOKUP(A8,'PLANTA SJD'!B:F,3,0)</f>
        <v>1098774988</v>
      </c>
      <c r="F8" s="93" t="str">
        <f>VLOOKUP(E8,'PLANTA SJD'!D:F,2,0)</f>
        <v>LAURA JULIANA ARIZA HERRERA</v>
      </c>
      <c r="G8" s="170">
        <f t="shared" si="0"/>
        <v>0</v>
      </c>
    </row>
    <row r="9" spans="1:7" ht="17.25" customHeight="1">
      <c r="A9" s="166">
        <v>5005</v>
      </c>
      <c r="B9" s="166"/>
      <c r="C9" s="166" t="s">
        <v>1334</v>
      </c>
      <c r="D9" s="166">
        <v>52235989</v>
      </c>
      <c r="E9" s="93">
        <f>VLOOKUP(A9,'PLANTA SJD'!B:F,3,0)</f>
        <v>52235989</v>
      </c>
      <c r="F9" s="93" t="str">
        <f>VLOOKUP(E9,'PLANTA SJD'!D:F,2,0)</f>
        <v>MILDRED PAOLA ARDILA VERGARA</v>
      </c>
      <c r="G9" s="170">
        <f t="shared" si="0"/>
        <v>0</v>
      </c>
    </row>
    <row r="10" spans="1:7" ht="17.25" customHeight="1">
      <c r="A10" s="166">
        <v>5006</v>
      </c>
      <c r="B10" s="166"/>
      <c r="C10" s="166" t="s">
        <v>1335</v>
      </c>
      <c r="D10" s="166">
        <v>52146196</v>
      </c>
      <c r="E10" s="93">
        <f>VLOOKUP(A10,'PLANTA SJD'!B:F,3,0)</f>
        <v>52146196</v>
      </c>
      <c r="F10" s="93" t="str">
        <f>VLOOKUP(E10,'PLANTA SJD'!D:F,2,0)</f>
        <v>KATHERYN YOLANDA RODGERS QUIROGA</v>
      </c>
      <c r="G10" s="170">
        <f t="shared" si="0"/>
        <v>0</v>
      </c>
    </row>
    <row r="11" spans="1:7" ht="17.25" customHeight="1">
      <c r="A11" s="166">
        <v>5007</v>
      </c>
      <c r="B11" s="166"/>
      <c r="C11" s="166" t="s">
        <v>1317</v>
      </c>
      <c r="D11" s="166"/>
      <c r="E11" s="172">
        <f>VLOOKUP(A11,'PLANTA SJD'!B:F,3,0)</f>
        <v>1012339868</v>
      </c>
      <c r="F11" s="172" t="str">
        <f>VLOOKUP(E11,'PLANTA SJD'!D:F,2,0)</f>
        <v>OLGA LILIANA LONDOÃ‘O GARCIA</v>
      </c>
      <c r="G11" s="173">
        <f t="shared" si="0"/>
        <v>-1012339868</v>
      </c>
    </row>
    <row r="12" spans="1:7" ht="17.25" customHeight="1">
      <c r="A12" s="166">
        <v>5008</v>
      </c>
      <c r="B12" s="166"/>
      <c r="C12" s="166" t="s">
        <v>1341</v>
      </c>
      <c r="D12" s="166">
        <v>52542976</v>
      </c>
      <c r="E12" s="93">
        <f>VLOOKUP(A12,'PLANTA SJD'!B:F,3,0)</f>
        <v>52542976</v>
      </c>
      <c r="F12" s="93" t="str">
        <f>VLOOKUP(E12,'PLANTA SJD'!D:F,2,0)</f>
        <v>ADRIANA PATRICIA RAMIREZ BAUTISTA</v>
      </c>
      <c r="G12" s="170">
        <f t="shared" si="0"/>
        <v>0</v>
      </c>
    </row>
    <row r="13" spans="1:7" ht="17.25" customHeight="1">
      <c r="A13" s="166">
        <v>5009</v>
      </c>
      <c r="B13" s="166"/>
      <c r="C13" s="166" t="s">
        <v>1343</v>
      </c>
      <c r="D13" s="166">
        <v>51882380</v>
      </c>
      <c r="E13" s="93">
        <f>VLOOKUP(A13,'PLANTA SJD'!B:F,3,0)</f>
        <v>51882380</v>
      </c>
      <c r="F13" s="93" t="str">
        <f>VLOOKUP(E13,'PLANTA SJD'!D:F,2,0)</f>
        <v>CARMEN ALICIA FORERO FORERO</v>
      </c>
      <c r="G13" s="170">
        <f t="shared" si="0"/>
        <v>0</v>
      </c>
    </row>
    <row r="14" spans="1:7" ht="17.25" customHeight="1">
      <c r="A14" s="166">
        <v>5010</v>
      </c>
      <c r="B14" s="166"/>
      <c r="C14" s="166" t="s">
        <v>1346</v>
      </c>
      <c r="D14" s="166">
        <v>52124597</v>
      </c>
      <c r="E14" s="93">
        <f>VLOOKUP(A14,'PLANTA SJD'!B:F,3,0)</f>
        <v>52124597</v>
      </c>
      <c r="F14" s="93" t="str">
        <f>VLOOKUP(E14,'PLANTA SJD'!D:F,2,0)</f>
        <v>BETTY ESPERANZA MONTAÃ‘A MORA</v>
      </c>
      <c r="G14" s="170">
        <f t="shared" si="0"/>
        <v>0</v>
      </c>
    </row>
    <row r="15" spans="1:7" ht="17.25" customHeight="1">
      <c r="A15" s="166">
        <v>5011</v>
      </c>
      <c r="B15" s="166"/>
      <c r="C15" s="166" t="s">
        <v>1348</v>
      </c>
      <c r="D15" s="166">
        <v>79431243</v>
      </c>
      <c r="E15" s="93">
        <f>VLOOKUP(A15,'PLANTA SJD'!B:F,3,0)</f>
        <v>20699098</v>
      </c>
      <c r="F15" s="93" t="str">
        <f>VLOOKUP(E15,'PLANTA SJD'!D:F,2,0)</f>
        <v>CLAUDIA BEATRIZ CASTILLA OLAYA</v>
      </c>
      <c r="G15" s="170">
        <f t="shared" si="0"/>
        <v>58732145</v>
      </c>
    </row>
    <row r="16" spans="1:7" ht="17.25" customHeight="1">
      <c r="A16" s="166">
        <v>5012</v>
      </c>
      <c r="B16" s="166"/>
      <c r="C16" s="166" t="s">
        <v>1351</v>
      </c>
      <c r="D16" s="166">
        <v>1075680600</v>
      </c>
      <c r="E16" s="93">
        <f>VLOOKUP(A16,'PLANTA SJD'!B:F,3,0)</f>
        <v>52827794</v>
      </c>
      <c r="F16" s="93" t="str">
        <f>VLOOKUP(E16,'PLANTA SJD'!D:F,2,0)</f>
        <v>ALBA KARINA ESTEVEZ AMAYA</v>
      </c>
      <c r="G16" s="170">
        <f t="shared" si="0"/>
        <v>1022852806</v>
      </c>
    </row>
    <row r="17" spans="1:8" ht="17.25" customHeight="1">
      <c r="A17" s="166">
        <v>5014</v>
      </c>
      <c r="B17" s="166"/>
      <c r="C17" s="166" t="s">
        <v>1363</v>
      </c>
      <c r="D17" s="166">
        <v>1098632731</v>
      </c>
      <c r="E17" s="93">
        <f>VLOOKUP(A17,'PLANTA SJD'!B:F,3,0)</f>
        <v>1098632731</v>
      </c>
      <c r="F17" s="93" t="str">
        <f>VLOOKUP(E17,'PLANTA SJD'!D:F,2,0)</f>
        <v>MARLY YULY ROJAS LAIDEO</v>
      </c>
      <c r="G17" s="170">
        <f t="shared" si="0"/>
        <v>0</v>
      </c>
    </row>
    <row r="18" spans="1:8" ht="17.25" customHeight="1">
      <c r="A18" s="166">
        <v>5015</v>
      </c>
      <c r="B18" s="166"/>
      <c r="C18" s="166" t="s">
        <v>1371</v>
      </c>
      <c r="D18" s="166">
        <v>80842817</v>
      </c>
      <c r="E18" s="93">
        <f>VLOOKUP(A18,'PLANTA SJD'!B:F,3,0)</f>
        <v>80842817</v>
      </c>
      <c r="F18" s="93" t="str">
        <f>VLOOKUP(E18,'PLANTA SJD'!D:F,2,0)</f>
        <v>JEFFER FRANK VELANDIA LOPEZ</v>
      </c>
      <c r="G18" s="170">
        <f t="shared" si="0"/>
        <v>0</v>
      </c>
    </row>
    <row r="19" spans="1:8" ht="17.25" customHeight="1">
      <c r="A19" s="166">
        <v>5018</v>
      </c>
      <c r="B19" s="166"/>
      <c r="C19" s="166" t="s">
        <v>1372</v>
      </c>
      <c r="D19" s="166">
        <v>52176286</v>
      </c>
      <c r="E19" s="93">
        <f>VLOOKUP(A19,'PLANTA SJD'!B:F,3,0)</f>
        <v>52176286</v>
      </c>
      <c r="F19" s="93" t="str">
        <f>VLOOKUP(E19,'PLANTA SJD'!D:F,2,0)</f>
        <v>DIANA LICET SANCHEZ CASTIBLANCO</v>
      </c>
      <c r="G19" s="170">
        <f t="shared" si="0"/>
        <v>0</v>
      </c>
    </row>
    <row r="20" spans="1:8" ht="17.25" customHeight="1">
      <c r="A20" s="166">
        <v>5019</v>
      </c>
      <c r="B20" s="166" t="s">
        <v>1375</v>
      </c>
      <c r="C20" s="166" t="s">
        <v>1317</v>
      </c>
      <c r="D20" s="166"/>
      <c r="E20" s="93">
        <f>VLOOKUP(A20,'PLANTA SJD'!B:F,3,0)</f>
        <v>1121816584</v>
      </c>
      <c r="F20" s="93" t="str">
        <f>VLOOKUP(E20,'PLANTA SJD'!D:F,2,0)</f>
        <v>MIGUEL ANGEL VARGAS CORDERO</v>
      </c>
      <c r="G20" s="170">
        <f t="shared" si="0"/>
        <v>-1121816584</v>
      </c>
    </row>
    <row r="21" spans="1:8" ht="17.25" customHeight="1">
      <c r="A21" s="166">
        <v>5022</v>
      </c>
      <c r="B21" s="166" t="s">
        <v>1375</v>
      </c>
      <c r="C21" s="166" t="s">
        <v>1317</v>
      </c>
      <c r="D21" s="166"/>
      <c r="E21" s="93">
        <f>VLOOKUP(A21,'PLANTA SJD'!B:F,3,0)</f>
        <v>0</v>
      </c>
      <c r="F21" s="8" t="e">
        <f>VLOOKUP(E21,'PLANTA SJD'!D:F,2,0)</f>
        <v>#N/A</v>
      </c>
      <c r="G21" s="170">
        <f t="shared" si="0"/>
        <v>0</v>
      </c>
    </row>
    <row r="22" spans="1:8" ht="17.25" customHeight="1">
      <c r="A22" s="166">
        <v>5023</v>
      </c>
      <c r="B22" s="166" t="s">
        <v>1375</v>
      </c>
      <c r="C22" s="166" t="s">
        <v>1317</v>
      </c>
      <c r="D22" s="166"/>
      <c r="E22" s="93">
        <f>VLOOKUP(A22,'PLANTA SJD'!B:F,3,0)</f>
        <v>0</v>
      </c>
      <c r="F22" s="93" t="e">
        <f>VLOOKUP(E22,'PLANTA SJD'!D:F,2,0)</f>
        <v>#N/A</v>
      </c>
      <c r="G22" s="170">
        <f t="shared" si="0"/>
        <v>0</v>
      </c>
    </row>
    <row r="23" spans="1:8" ht="17.25" customHeight="1">
      <c r="A23" s="166">
        <v>5025</v>
      </c>
      <c r="B23" s="166"/>
      <c r="C23" s="166" t="s">
        <v>1381</v>
      </c>
      <c r="D23" s="166">
        <v>52115141</v>
      </c>
      <c r="E23" s="93">
        <f>VLOOKUP(A23,'PLANTA SJD'!B:F,3,0)</f>
        <v>0</v>
      </c>
      <c r="F23" s="8" t="e">
        <f>VLOOKUP(E23,'PLANTA SJD'!D:F,2,0)</f>
        <v>#N/A</v>
      </c>
      <c r="G23" s="170">
        <f t="shared" si="0"/>
        <v>52115141</v>
      </c>
    </row>
    <row r="24" spans="1:8" ht="17.25" customHeight="1">
      <c r="A24" s="166">
        <v>5026</v>
      </c>
      <c r="B24" s="166"/>
      <c r="C24" s="166" t="s">
        <v>1388</v>
      </c>
      <c r="D24" s="166">
        <v>79417068</v>
      </c>
      <c r="E24" s="93">
        <f>VLOOKUP(A24,'PLANTA SJD'!B:F,3,0)</f>
        <v>79417068</v>
      </c>
      <c r="F24" s="93" t="str">
        <f>VLOOKUP(E24,'PLANTA SJD'!D:F,2,0)</f>
        <v>LUIS DAUVINY DUARTE ROA</v>
      </c>
      <c r="G24" s="170">
        <f t="shared" si="0"/>
        <v>0</v>
      </c>
    </row>
    <row r="25" spans="1:8" ht="17.25" customHeight="1">
      <c r="A25" s="166">
        <v>5027</v>
      </c>
      <c r="B25" s="166"/>
      <c r="C25" s="166" t="s">
        <v>1391</v>
      </c>
      <c r="D25" s="166">
        <v>80100027</v>
      </c>
      <c r="E25" s="93">
        <f>VLOOKUP(A25,'PLANTA SJD'!B:F,3,0)</f>
        <v>80100027</v>
      </c>
      <c r="F25" s="93" t="str">
        <f>VLOOKUP(E25,'PLANTA SJD'!D:F,2,0)</f>
        <v>EDUARDO ALEJANDRO URREGO BECERRA</v>
      </c>
      <c r="G25" s="170">
        <f t="shared" si="0"/>
        <v>0</v>
      </c>
    </row>
    <row r="26" spans="1:8" ht="17.25" customHeight="1">
      <c r="A26" s="166">
        <v>5028</v>
      </c>
      <c r="B26" s="166" t="s">
        <v>1375</v>
      </c>
      <c r="C26" s="166" t="s">
        <v>1317</v>
      </c>
      <c r="D26" s="166"/>
      <c r="E26" s="93">
        <f>VLOOKUP(A26,'PLANTA SJD'!B:F,3,0)</f>
        <v>79769334</v>
      </c>
      <c r="F26" s="93" t="str">
        <f>VLOOKUP(E26,'PLANTA SJD'!D:F,2,0)</f>
        <v xml:space="preserve">JAUMI MANFRED MARROQUIN </v>
      </c>
      <c r="G26" s="170">
        <f t="shared" si="0"/>
        <v>-79769334</v>
      </c>
    </row>
    <row r="27" spans="1:8" ht="17.25" customHeight="1">
      <c r="A27" s="166">
        <v>5029</v>
      </c>
      <c r="B27" s="166"/>
      <c r="C27" s="166" t="s">
        <v>1395</v>
      </c>
      <c r="D27" s="166">
        <v>42163264</v>
      </c>
      <c r="E27" s="93">
        <f>VLOOKUP(A27,'PLANTA SJD'!B:F,3,0)</f>
        <v>42163264</v>
      </c>
      <c r="F27" s="93" t="str">
        <f>VLOOKUP(E27,'PLANTA SJD'!D:F,2,0)</f>
        <v>ERIKA MARCELA MEDINA SANTANA</v>
      </c>
      <c r="G27" s="170">
        <f t="shared" si="0"/>
        <v>0</v>
      </c>
    </row>
    <row r="28" spans="1:8" ht="17.25" customHeight="1">
      <c r="A28" s="166">
        <v>5032</v>
      </c>
      <c r="B28" s="166"/>
      <c r="C28" s="166" t="s">
        <v>1396</v>
      </c>
      <c r="D28" s="166">
        <v>1033718483</v>
      </c>
      <c r="E28" s="93">
        <f>VLOOKUP(A28,'PLANTA SJD'!B:F,3,0)</f>
        <v>1033718483</v>
      </c>
      <c r="F28" s="93" t="str">
        <f>VLOOKUP(E28,'PLANTA SJD'!D:F,2,0)</f>
        <v>ANYELA PAOLA PULIDO GUTIERREZ</v>
      </c>
      <c r="G28" s="170">
        <f t="shared" si="0"/>
        <v>0</v>
      </c>
    </row>
    <row r="29" spans="1:8" ht="17.25" customHeight="1">
      <c r="A29" s="166">
        <v>5033</v>
      </c>
      <c r="B29" s="166"/>
      <c r="C29" s="166" t="s">
        <v>1397</v>
      </c>
      <c r="D29" s="166">
        <v>1030597508</v>
      </c>
      <c r="E29" s="93">
        <f>VLOOKUP(A29,'PLANTA SJD'!B:F,3,0)</f>
        <v>0</v>
      </c>
      <c r="F29" s="93" t="e">
        <f>VLOOKUP(E29,'PLANTA SJD'!D:F,2,0)</f>
        <v>#N/A</v>
      </c>
      <c r="G29" s="170">
        <f t="shared" si="0"/>
        <v>1030597508</v>
      </c>
    </row>
    <row r="30" spans="1:8" ht="17.25" customHeight="1">
      <c r="A30" s="166">
        <v>5035</v>
      </c>
      <c r="B30" s="174"/>
      <c r="C30" s="174" t="s">
        <v>1401</v>
      </c>
      <c r="D30" s="174">
        <v>1015409873</v>
      </c>
      <c r="E30" s="172">
        <f>VLOOKUP(A30,'PLANTA SJD'!B:F,3,0)</f>
        <v>1030572725</v>
      </c>
      <c r="F30" s="172" t="str">
        <f>VLOOKUP(E30,'PLANTA SJD'!D:F,2,0)</f>
        <v>MARIA ALEJANDRA BASTIDAS PADILLA</v>
      </c>
      <c r="G30" s="173">
        <f t="shared" si="0"/>
        <v>-15162852</v>
      </c>
      <c r="H30" s="2" t="s">
        <v>1402</v>
      </c>
    </row>
    <row r="31" spans="1:8" ht="17.25" customHeight="1">
      <c r="A31" s="166">
        <v>5036</v>
      </c>
      <c r="B31" s="166"/>
      <c r="C31" s="166" t="s">
        <v>21</v>
      </c>
      <c r="D31" s="166">
        <v>33368317</v>
      </c>
      <c r="E31" s="93">
        <f>VLOOKUP(A31,'PLANTA SJD'!B:F,3,0)</f>
        <v>33368317</v>
      </c>
      <c r="F31" s="93" t="str">
        <f>VLOOKUP(E31,'PLANTA SJD'!D:F,2,0)</f>
        <v>ZULY NATALIA NANDAR CASTAÃ‘EDA</v>
      </c>
      <c r="G31" s="170">
        <f t="shared" si="0"/>
        <v>0</v>
      </c>
    </row>
    <row r="32" spans="1:8" ht="17.25" customHeight="1">
      <c r="A32" s="166">
        <v>5039</v>
      </c>
      <c r="B32" s="166"/>
      <c r="C32" s="166" t="s">
        <v>1317</v>
      </c>
      <c r="D32" s="166"/>
      <c r="E32" s="93">
        <f>VLOOKUP(A32,'PLANTA SJD'!B:F,3,0)</f>
        <v>35415925</v>
      </c>
      <c r="F32" s="93" t="str">
        <f>VLOOKUP(E32,'PLANTA SJD'!D:F,2,0)</f>
        <v>MARTHA CLAUDIA ALDANA AVELINO</v>
      </c>
      <c r="G32" s="170">
        <f t="shared" si="0"/>
        <v>-35415925</v>
      </c>
    </row>
    <row r="33" spans="1:7" ht="17.25" customHeight="1">
      <c r="A33" s="166">
        <v>5040</v>
      </c>
      <c r="B33" s="166"/>
      <c r="C33" s="166" t="s">
        <v>1408</v>
      </c>
      <c r="D33" s="166">
        <v>80872961</v>
      </c>
      <c r="E33" s="93">
        <f>VLOOKUP(A33,'PLANTA SJD'!B:F,3,0)</f>
        <v>80872961</v>
      </c>
      <c r="F33" s="93" t="str">
        <f>VLOOKUP(E33,'PLANTA SJD'!D:F,2,0)</f>
        <v>MAURICIO ALEJANDRO MONCAYO VALENCIA</v>
      </c>
      <c r="G33" s="170">
        <f t="shared" si="0"/>
        <v>0</v>
      </c>
    </row>
    <row r="34" spans="1:7" ht="17.25" customHeight="1">
      <c r="A34" s="166">
        <v>5042</v>
      </c>
      <c r="B34" s="166"/>
      <c r="C34" s="166" t="s">
        <v>1414</v>
      </c>
      <c r="D34" s="166">
        <v>1018423025</v>
      </c>
      <c r="E34" s="93">
        <f>VLOOKUP(A34,'PLANTA SJD'!B:F,3,0)</f>
        <v>1018423025</v>
      </c>
      <c r="F34" s="93" t="str">
        <f>VLOOKUP(E34,'PLANTA SJD'!D:F,2,0)</f>
        <v>MARIA FERNANDA QUIJANO VASQUEZ</v>
      </c>
      <c r="G34" s="170">
        <f t="shared" si="0"/>
        <v>0</v>
      </c>
    </row>
    <row r="35" spans="1:7" ht="17.25" customHeight="1">
      <c r="A35" s="166">
        <v>5043</v>
      </c>
      <c r="B35" s="166"/>
      <c r="C35" s="166" t="s">
        <v>1416</v>
      </c>
      <c r="D35" s="166">
        <v>1032360948</v>
      </c>
      <c r="E35" s="93">
        <f>VLOOKUP(A35,'PLANTA SJD'!B:F,3,0)</f>
        <v>1032360948</v>
      </c>
      <c r="F35" s="93" t="str">
        <f>VLOOKUP(E35,'PLANTA SJD'!D:F,2,0)</f>
        <v>MARINA LUZ ORTEGA MONTERO</v>
      </c>
      <c r="G35" s="170">
        <f t="shared" si="0"/>
        <v>0</v>
      </c>
    </row>
    <row r="36" spans="1:7" ht="17.25" customHeight="1">
      <c r="A36" s="166">
        <v>5044</v>
      </c>
      <c r="B36" s="166"/>
      <c r="C36" s="166" t="s">
        <v>1417</v>
      </c>
      <c r="D36" s="166">
        <v>1015406682</v>
      </c>
      <c r="E36" s="93">
        <f>VLOOKUP(A36,'PLANTA SJD'!B:F,3,0)</f>
        <v>1015406682</v>
      </c>
      <c r="F36" s="93" t="str">
        <f>VLOOKUP(E36,'PLANTA SJD'!D:F,2,0)</f>
        <v>ANDRES MAURICIO ORTIZ MAYA</v>
      </c>
      <c r="G36" s="170">
        <f t="shared" si="0"/>
        <v>0</v>
      </c>
    </row>
    <row r="37" spans="1:7" ht="17.25" customHeight="1">
      <c r="A37" s="166">
        <v>5045</v>
      </c>
      <c r="B37" s="166"/>
      <c r="C37" s="166" t="s">
        <v>1419</v>
      </c>
      <c r="D37" s="166">
        <v>1098810694</v>
      </c>
      <c r="E37" s="93">
        <f>VLOOKUP(A37,'PLANTA SJD'!B:F,3,0)</f>
        <v>1098810694</v>
      </c>
      <c r="F37" s="93" t="str">
        <f>VLOOKUP(E37,'PLANTA SJD'!D:F,2,0)</f>
        <v>ANDRES FELIPE PUENTES DIAZ</v>
      </c>
      <c r="G37" s="170">
        <f t="shared" si="0"/>
        <v>0</v>
      </c>
    </row>
    <row r="38" spans="1:7" ht="17.25" customHeight="1">
      <c r="A38" s="166">
        <v>5046</v>
      </c>
      <c r="B38" s="166"/>
      <c r="C38" s="174" t="s">
        <v>1421</v>
      </c>
      <c r="D38" s="174">
        <v>52699744</v>
      </c>
      <c r="E38" s="175">
        <f>VLOOKUP(A38,'PLANTA SJD'!B:F,3,0)</f>
        <v>52966706</v>
      </c>
      <c r="F38" s="172" t="str">
        <f>VLOOKUP(E38,'PLANTA SJD'!D:F,2,0)</f>
        <v>MARIA FERNANDA FUENTES TUTA</v>
      </c>
      <c r="G38" s="173">
        <f t="shared" si="0"/>
        <v>-266962</v>
      </c>
    </row>
    <row r="39" spans="1:7" ht="17.25" customHeight="1">
      <c r="A39" s="166">
        <v>5047</v>
      </c>
      <c r="B39" s="166"/>
      <c r="C39" s="166" t="s">
        <v>1423</v>
      </c>
      <c r="D39" s="166">
        <v>80197320</v>
      </c>
      <c r="E39" s="93">
        <f>VLOOKUP(A39,'PLANTA SJD'!B:F,3,0)</f>
        <v>80197320</v>
      </c>
      <c r="F39" s="93" t="str">
        <f>VLOOKUP(E39,'PLANTA SJD'!D:F,2,0)</f>
        <v>CAMILO ALFONSO GUARIN PRIETO</v>
      </c>
      <c r="G39" s="170">
        <f t="shared" si="0"/>
        <v>0</v>
      </c>
    </row>
    <row r="40" spans="1:7" ht="17.25" customHeight="1">
      <c r="A40" s="166">
        <v>5048</v>
      </c>
      <c r="B40" s="166"/>
      <c r="C40" s="166" t="s">
        <v>1426</v>
      </c>
      <c r="D40" s="166">
        <v>1075208323</v>
      </c>
      <c r="E40" s="93">
        <f>VLOOKUP(A40,'PLANTA SJD'!B:F,3,0)</f>
        <v>1075208323</v>
      </c>
      <c r="F40" s="93" t="str">
        <f>VLOOKUP(E40,'PLANTA SJD'!D:F,2,0)</f>
        <v>LEIDY YULIETH PEREA RAMIREZ</v>
      </c>
      <c r="G40" s="170">
        <f t="shared" si="0"/>
        <v>0</v>
      </c>
    </row>
    <row r="41" spans="1:7" ht="17.25" customHeight="1">
      <c r="A41" s="166">
        <v>5049</v>
      </c>
      <c r="B41" s="174"/>
      <c r="C41" s="174" t="s">
        <v>1317</v>
      </c>
      <c r="D41" s="174"/>
      <c r="E41" s="172">
        <f>VLOOKUP(A41,'PLANTA SJD'!B:F,3,0)</f>
        <v>79569642</v>
      </c>
      <c r="F41" s="172" t="str">
        <f>VLOOKUP(E41,'PLANTA SJD'!D:F,2,0)</f>
        <v>NELSON JULIAN SALAZAR URRUTIA</v>
      </c>
      <c r="G41" s="173">
        <f t="shared" si="0"/>
        <v>-79569642</v>
      </c>
    </row>
    <row r="42" spans="1:7" ht="17.25" customHeight="1">
      <c r="A42" s="166">
        <v>5050</v>
      </c>
      <c r="B42" s="166"/>
      <c r="C42" s="166" t="s">
        <v>1431</v>
      </c>
      <c r="D42" s="166">
        <v>52282454</v>
      </c>
      <c r="E42" s="93">
        <f>VLOOKUP(A42,'PLANTA SJD'!B:F,3,0)</f>
        <v>52282454</v>
      </c>
      <c r="F42" s="93" t="str">
        <f>VLOOKUP(E42,'PLANTA SJD'!D:F,2,0)</f>
        <v>ADRIANA PATRICIA GUZMAN CONTRERAS</v>
      </c>
      <c r="G42" s="170">
        <f t="shared" si="0"/>
        <v>0</v>
      </c>
    </row>
    <row r="43" spans="1:7" ht="17.25" customHeight="1">
      <c r="A43" s="166">
        <v>5051</v>
      </c>
      <c r="B43" s="166"/>
      <c r="C43" s="166" t="s">
        <v>1436</v>
      </c>
      <c r="D43" s="166">
        <v>52236487</v>
      </c>
      <c r="E43" s="93">
        <f>VLOOKUP(A43,'PLANTA SJD'!B:F,3,0)</f>
        <v>52236487</v>
      </c>
      <c r="F43" s="93" t="str">
        <f>VLOOKUP(E43,'PLANTA SJD'!D:F,2,0)</f>
        <v>DEYSI YANIRA MORENO GUERRERO</v>
      </c>
      <c r="G43" s="170">
        <f t="shared" si="0"/>
        <v>0</v>
      </c>
    </row>
    <row r="44" spans="1:7" ht="17.25" customHeight="1">
      <c r="A44" s="166">
        <v>5052</v>
      </c>
      <c r="B44" s="166"/>
      <c r="C44" s="166" t="s">
        <v>1439</v>
      </c>
      <c r="D44" s="166">
        <v>80222608</v>
      </c>
      <c r="E44" s="93">
        <f>VLOOKUP(A44,'PLANTA SJD'!B:F,3,0)</f>
        <v>80222608</v>
      </c>
      <c r="F44" s="93" t="str">
        <f>VLOOKUP(E44,'PLANTA SJD'!D:F,2,0)</f>
        <v>GERMAN ALBERTO PULIDO PULIDO</v>
      </c>
      <c r="G44" s="170">
        <f t="shared" si="0"/>
        <v>0</v>
      </c>
    </row>
    <row r="45" spans="1:7" ht="17.25" customHeight="1">
      <c r="A45" s="166">
        <v>5053</v>
      </c>
      <c r="B45" s="166"/>
      <c r="C45" s="166" t="s">
        <v>1440</v>
      </c>
      <c r="D45" s="166">
        <v>28496885</v>
      </c>
      <c r="E45" s="93">
        <f>VLOOKUP(A45,'PLANTA SJD'!B:F,3,0)</f>
        <v>28496885</v>
      </c>
      <c r="F45" s="93" t="str">
        <f>VLOOKUP(E45,'PLANTA SJD'!D:F,2,0)</f>
        <v>ESTHER PINILLA SERRANO</v>
      </c>
      <c r="G45" s="170">
        <f t="shared" si="0"/>
        <v>0</v>
      </c>
    </row>
    <row r="46" spans="1:7" ht="17.25" customHeight="1">
      <c r="A46" s="166">
        <v>5054</v>
      </c>
      <c r="B46" s="166"/>
      <c r="C46" s="166" t="s">
        <v>1443</v>
      </c>
      <c r="D46" s="166">
        <v>91526810</v>
      </c>
      <c r="E46" s="93">
        <f>VLOOKUP(A46,'PLANTA SJD'!B:F,3,0)</f>
        <v>0</v>
      </c>
      <c r="F46" s="8" t="e">
        <f>VLOOKUP(E46,'PLANTA SJD'!D:F,2,0)</f>
        <v>#N/A</v>
      </c>
      <c r="G46" s="170">
        <f t="shared" si="0"/>
        <v>91526810</v>
      </c>
    </row>
    <row r="47" spans="1:7" ht="17.25" customHeight="1">
      <c r="A47" s="166">
        <v>5055</v>
      </c>
      <c r="B47" s="166"/>
      <c r="C47" s="166" t="s">
        <v>1445</v>
      </c>
      <c r="D47" s="166">
        <v>3085860</v>
      </c>
      <c r="E47" s="93">
        <f>VLOOKUP(A47,'PLANTA SJD'!B:F,3,0)</f>
        <v>3085860</v>
      </c>
      <c r="F47" s="93" t="str">
        <f>VLOOKUP(E47,'PLANTA SJD'!D:F,2,0)</f>
        <v>LUIS ALFONSO CASTIBLANCO URQUIJO</v>
      </c>
      <c r="G47" s="170">
        <f t="shared" si="0"/>
        <v>0</v>
      </c>
    </row>
    <row r="48" spans="1:7" ht="17.25" customHeight="1">
      <c r="A48" s="166">
        <v>5056</v>
      </c>
      <c r="B48" s="166"/>
      <c r="C48" s="166" t="s">
        <v>1317</v>
      </c>
      <c r="D48" s="166"/>
      <c r="E48" s="93">
        <f>VLOOKUP(A48,'PLANTA SJD'!B:F,3,0)</f>
        <v>0</v>
      </c>
      <c r="F48" s="8" t="e">
        <f>VLOOKUP(E48,'PLANTA SJD'!D:F,2,0)</f>
        <v>#N/A</v>
      </c>
      <c r="G48" s="170">
        <f t="shared" si="0"/>
        <v>0</v>
      </c>
    </row>
    <row r="49" spans="1:7" ht="17.25" customHeight="1">
      <c r="A49" s="166">
        <v>5057</v>
      </c>
      <c r="B49" s="166"/>
      <c r="C49" s="166" t="s">
        <v>1447</v>
      </c>
      <c r="D49" s="166">
        <v>79575101</v>
      </c>
      <c r="E49" s="93">
        <f>VLOOKUP(A49,'PLANTA SJD'!B:F,3,0)</f>
        <v>79575101</v>
      </c>
      <c r="F49" s="93" t="str">
        <f>VLOOKUP(E49,'PLANTA SJD'!D:F,2,0)</f>
        <v>PEDRO ALFONSO MEJIA SIERRA</v>
      </c>
      <c r="G49" s="170">
        <f t="shared" si="0"/>
        <v>0</v>
      </c>
    </row>
    <row r="50" spans="1:7" ht="17.25" customHeight="1">
      <c r="A50" s="166">
        <v>5058</v>
      </c>
      <c r="B50" s="166"/>
      <c r="C50" s="166" t="s">
        <v>1449</v>
      </c>
      <c r="D50" s="166">
        <v>79709902</v>
      </c>
      <c r="E50" s="93">
        <f>VLOOKUP(A50,'PLANTA SJD'!B:F,3,0)</f>
        <v>79709902</v>
      </c>
      <c r="F50" s="93" t="str">
        <f>VLOOKUP(E50,'PLANTA SJD'!D:F,2,0)</f>
        <v>ALVARO ARDILA MORA</v>
      </c>
      <c r="G50" s="170">
        <f t="shared" si="0"/>
        <v>0</v>
      </c>
    </row>
    <row r="51" spans="1:7" ht="17.25" customHeight="1">
      <c r="A51" s="166">
        <v>5059</v>
      </c>
      <c r="B51" s="166"/>
      <c r="C51" s="166" t="s">
        <v>1451</v>
      </c>
      <c r="D51" s="166">
        <v>23582747</v>
      </c>
      <c r="E51" s="93">
        <f>VLOOKUP(A51,'PLANTA SJD'!B:F,3,0)</f>
        <v>23582747</v>
      </c>
      <c r="F51" s="93" t="str">
        <f>VLOOKUP(E51,'PLANTA SJD'!D:F,2,0)</f>
        <v>MAGDA EDITH GUERRERO BONILLA</v>
      </c>
      <c r="G51" s="170">
        <f t="shared" si="0"/>
        <v>0</v>
      </c>
    </row>
    <row r="52" spans="1:7" ht="17.25" customHeight="1">
      <c r="A52" s="166">
        <v>5060</v>
      </c>
      <c r="B52" s="166"/>
      <c r="C52" s="166" t="s">
        <v>1458</v>
      </c>
      <c r="D52" s="166">
        <v>79802044</v>
      </c>
      <c r="E52" s="93">
        <f>VLOOKUP(A52,'PLANTA SJD'!B:F,3,0)</f>
        <v>79802044</v>
      </c>
      <c r="F52" s="93" t="str">
        <f>VLOOKUP(E52,'PLANTA SJD'!D:F,2,0)</f>
        <v>ALVARO CAMILO BERNATE NAVARRO</v>
      </c>
      <c r="G52" s="170">
        <f t="shared" si="0"/>
        <v>0</v>
      </c>
    </row>
    <row r="53" spans="1:7" ht="17.25" customHeight="1">
      <c r="A53" s="166">
        <v>5061</v>
      </c>
      <c r="B53" s="166"/>
      <c r="C53" s="166" t="s">
        <v>1461</v>
      </c>
      <c r="D53" s="166">
        <v>46677766</v>
      </c>
      <c r="E53" s="93">
        <f>VLOOKUP(A53,'PLANTA SJD'!B:F,3,0)</f>
        <v>46677766</v>
      </c>
      <c r="F53" s="93" t="str">
        <f>VLOOKUP(E53,'PLANTA SJD'!D:F,2,0)</f>
        <v>MARTHA YANETH ORTIZ LEON</v>
      </c>
      <c r="G53" s="170">
        <f t="shared" si="0"/>
        <v>0</v>
      </c>
    </row>
    <row r="54" spans="1:7" ht="17.25" customHeight="1">
      <c r="A54" s="166">
        <v>5062</v>
      </c>
      <c r="B54" s="166"/>
      <c r="C54" s="166" t="s">
        <v>1463</v>
      </c>
      <c r="D54" s="166">
        <v>1064976255</v>
      </c>
      <c r="E54" s="93">
        <f>VLOOKUP(A54,'PLANTA SJD'!B:F,3,0)</f>
        <v>0</v>
      </c>
      <c r="F54" s="8" t="e">
        <f>VLOOKUP(E54,'PLANTA SJD'!D:F,2,0)</f>
        <v>#N/A</v>
      </c>
      <c r="G54" s="170">
        <f t="shared" si="0"/>
        <v>1064976255</v>
      </c>
    </row>
    <row r="55" spans="1:7" ht="17.25" customHeight="1">
      <c r="A55" s="166">
        <v>5063</v>
      </c>
      <c r="B55" s="166"/>
      <c r="C55" s="166" t="s">
        <v>47</v>
      </c>
      <c r="D55" s="166">
        <v>52363895</v>
      </c>
      <c r="E55" s="93">
        <f>VLOOKUP(A55,'PLANTA SJD'!B:F,3,0)</f>
        <v>52363895</v>
      </c>
      <c r="F55" s="93" t="str">
        <f>VLOOKUP(E55,'PLANTA SJD'!D:F,2,0)</f>
        <v>ELVIRA LILIANA HERNANDEZ LIBREROS</v>
      </c>
      <c r="G55" s="170">
        <f t="shared" si="0"/>
        <v>0</v>
      </c>
    </row>
    <row r="56" spans="1:7" ht="17.25" customHeight="1">
      <c r="A56" s="166">
        <v>5064</v>
      </c>
      <c r="B56" s="166"/>
      <c r="C56" s="166" t="s">
        <v>1472</v>
      </c>
      <c r="D56" s="166">
        <v>52146157</v>
      </c>
      <c r="E56" s="93">
        <f>VLOOKUP(A56,'PLANTA SJD'!B:F,3,0)</f>
        <v>52146157</v>
      </c>
      <c r="F56" s="93" t="str">
        <f>VLOOKUP(E56,'PLANTA SJD'!D:F,2,0)</f>
        <v>MARIA CAMILA COTAMO JAIMES</v>
      </c>
      <c r="G56" s="170">
        <f t="shared" si="0"/>
        <v>0</v>
      </c>
    </row>
    <row r="57" spans="1:7" ht="17.25" customHeight="1">
      <c r="A57" s="166">
        <v>5065</v>
      </c>
      <c r="B57" s="166"/>
      <c r="C57" s="166" t="s">
        <v>1473</v>
      </c>
      <c r="D57" s="166">
        <v>52033530</v>
      </c>
      <c r="E57" s="93">
        <f>VLOOKUP(A57,'PLANTA SJD'!B:F,3,0)</f>
        <v>52033530</v>
      </c>
      <c r="F57" s="93" t="str">
        <f>VLOOKUP(E57,'PLANTA SJD'!D:F,2,0)</f>
        <v>LINA MARCELA MELO RODRIGUEZ</v>
      </c>
      <c r="G57" s="170">
        <f t="shared" si="0"/>
        <v>0</v>
      </c>
    </row>
    <row r="58" spans="1:7" ht="17.25" customHeight="1">
      <c r="A58" s="166">
        <v>5066</v>
      </c>
      <c r="B58" s="166"/>
      <c r="C58" s="166" t="s">
        <v>1478</v>
      </c>
      <c r="D58" s="166">
        <v>24179106</v>
      </c>
      <c r="E58" s="93">
        <f>VLOOKUP(A58,'PLANTA SJD'!B:F,3,0)</f>
        <v>24179106</v>
      </c>
      <c r="F58" s="93" t="str">
        <f>VLOOKUP(E58,'PLANTA SJD'!D:F,2,0)</f>
        <v>ZULMA ROJAS SUAREZ</v>
      </c>
      <c r="G58" s="170">
        <f t="shared" si="0"/>
        <v>0</v>
      </c>
    </row>
    <row r="59" spans="1:7" ht="17.25" customHeight="1">
      <c r="A59" s="166">
        <v>5067</v>
      </c>
      <c r="B59" s="166"/>
      <c r="C59" s="166" t="s">
        <v>1479</v>
      </c>
      <c r="D59" s="166">
        <v>64586540</v>
      </c>
      <c r="E59" s="93">
        <f>VLOOKUP(A59,'PLANTA SJD'!B:F,3,0)</f>
        <v>64586540</v>
      </c>
      <c r="F59" s="93" t="str">
        <f>VLOOKUP(E59,'PLANTA SJD'!D:F,2,0)</f>
        <v>ALMA ROSA RAMOS MARIA</v>
      </c>
      <c r="G59" s="170">
        <f t="shared" si="0"/>
        <v>0</v>
      </c>
    </row>
    <row r="60" spans="1:7" ht="17.25" customHeight="1">
      <c r="A60" s="166">
        <v>5068</v>
      </c>
      <c r="B60" s="166"/>
      <c r="C60" s="166" t="s">
        <v>1482</v>
      </c>
      <c r="D60" s="166">
        <v>19347862</v>
      </c>
      <c r="E60" s="93">
        <f>VLOOKUP(A60,'PLANTA SJD'!B:F,3,0)</f>
        <v>19347862</v>
      </c>
      <c r="F60" s="93" t="str">
        <f>VLOOKUP(E60,'PLANTA SJD'!D:F,2,0)</f>
        <v>JORGE ELIECER HERNANDEZ ALBARRACIN</v>
      </c>
      <c r="G60" s="170">
        <f t="shared" si="0"/>
        <v>0</v>
      </c>
    </row>
    <row r="61" spans="1:7" ht="17.25" customHeight="1">
      <c r="A61" s="166">
        <v>5069</v>
      </c>
      <c r="B61" s="166"/>
      <c r="C61" s="166" t="s">
        <v>1489</v>
      </c>
      <c r="D61" s="166">
        <v>51937185</v>
      </c>
      <c r="E61" s="93">
        <f>VLOOKUP(A61,'PLANTA SJD'!B:F,3,0)</f>
        <v>51937185</v>
      </c>
      <c r="F61" s="93" t="str">
        <f>VLOOKUP(E61,'PLANTA SJD'!D:F,2,0)</f>
        <v>MARTHA LILIANA BARRERA DIAZ</v>
      </c>
      <c r="G61" s="170">
        <f t="shared" si="0"/>
        <v>0</v>
      </c>
    </row>
    <row r="62" spans="1:7" ht="17.25" customHeight="1">
      <c r="A62" s="166">
        <v>5070</v>
      </c>
      <c r="B62" s="166"/>
      <c r="C62" s="166" t="s">
        <v>1494</v>
      </c>
      <c r="D62" s="166">
        <v>19444915</v>
      </c>
      <c r="E62" s="93">
        <f>VLOOKUP(A62,'PLANTA SJD'!B:F,3,0)</f>
        <v>19444915</v>
      </c>
      <c r="F62" s="93" t="str">
        <f>VLOOKUP(E62,'PLANTA SJD'!D:F,2,0)</f>
        <v>OCTAVIO QUINTERO LARA</v>
      </c>
      <c r="G62" s="170">
        <f t="shared" si="0"/>
        <v>0</v>
      </c>
    </row>
    <row r="63" spans="1:7" ht="17.25" customHeight="1">
      <c r="A63" s="166">
        <v>5071</v>
      </c>
      <c r="B63" s="166"/>
      <c r="C63" s="166" t="s">
        <v>1501</v>
      </c>
      <c r="D63" s="166">
        <v>52380066</v>
      </c>
      <c r="E63" s="93">
        <f>VLOOKUP(A63,'PLANTA SJD'!B:F,3,0)</f>
        <v>52380066</v>
      </c>
      <c r="F63" s="93" t="str">
        <f>VLOOKUP(E63,'PLANTA SJD'!D:F,2,0)</f>
        <v>YUDY ZULEYMA RODRIGUEZ BLANCO</v>
      </c>
      <c r="G63" s="170">
        <f t="shared" si="0"/>
        <v>0</v>
      </c>
    </row>
    <row r="64" spans="1:7" ht="17.25" customHeight="1">
      <c r="A64" s="166">
        <v>5072</v>
      </c>
      <c r="B64" s="166"/>
      <c r="C64" s="166" t="s">
        <v>1505</v>
      </c>
      <c r="D64" s="166">
        <v>80850931</v>
      </c>
      <c r="E64" s="93">
        <f>VLOOKUP(A64,'PLANTA SJD'!B:F,3,0)</f>
        <v>80850931</v>
      </c>
      <c r="F64" s="93" t="str">
        <f>VLOOKUP(E64,'PLANTA SJD'!D:F,2,0)</f>
        <v>RUBEN DARIO GALLEGO GONZALEZ</v>
      </c>
      <c r="G64" s="170">
        <f t="shared" si="0"/>
        <v>0</v>
      </c>
    </row>
    <row r="65" spans="1:7" ht="17.25" customHeight="1">
      <c r="A65" s="166">
        <v>5073</v>
      </c>
      <c r="B65" s="166" t="s">
        <v>1375</v>
      </c>
      <c r="C65" s="166" t="s">
        <v>1317</v>
      </c>
      <c r="D65" s="166"/>
      <c r="E65" s="93">
        <f>VLOOKUP(A65,'PLANTA SJD'!B:F,3,0)</f>
        <v>79567977</v>
      </c>
      <c r="F65" s="93" t="str">
        <f>VLOOKUP(E65,'PLANTA SJD'!D:F,2,0)</f>
        <v>FERNANDO PACHON PIÃ‘EROS</v>
      </c>
      <c r="G65" s="170">
        <f t="shared" si="0"/>
        <v>-79567977</v>
      </c>
    </row>
    <row r="66" spans="1:7" ht="17.25" customHeight="1">
      <c r="A66" s="166">
        <v>5074</v>
      </c>
      <c r="B66" s="166"/>
      <c r="C66" s="166" t="s">
        <v>1511</v>
      </c>
      <c r="D66" s="166">
        <v>42161948</v>
      </c>
      <c r="E66" s="93">
        <f>VLOOKUP(A66,'PLANTA SJD'!B:F,3,0)</f>
        <v>42161948</v>
      </c>
      <c r="F66" s="93" t="str">
        <f>VLOOKUP(E66,'PLANTA SJD'!D:F,2,0)</f>
        <v>ANGELA MARCELA RODRIGUEZ DIAZ</v>
      </c>
      <c r="G66" s="170">
        <f t="shared" si="0"/>
        <v>0</v>
      </c>
    </row>
    <row r="67" spans="1:7" ht="17.25" customHeight="1">
      <c r="A67" s="166">
        <v>5075</v>
      </c>
      <c r="B67" s="166"/>
      <c r="C67" s="166" t="s">
        <v>1513</v>
      </c>
      <c r="D67" s="166">
        <v>79954654</v>
      </c>
      <c r="E67" s="93">
        <f>VLOOKUP(A67,'PLANTA SJD'!B:F,3,0)</f>
        <v>79954654</v>
      </c>
      <c r="F67" s="93" t="str">
        <f>VLOOKUP(E67,'PLANTA SJD'!D:F,2,0)</f>
        <v>CAMILO ANDRES RODRIGUEZ RODRIGUEZ</v>
      </c>
      <c r="G67" s="170">
        <f t="shared" si="0"/>
        <v>0</v>
      </c>
    </row>
    <row r="68" spans="1:7" ht="17.25" customHeight="1">
      <c r="A68" s="166">
        <v>5076</v>
      </c>
      <c r="B68" s="166"/>
      <c r="C68" s="166" t="s">
        <v>96</v>
      </c>
      <c r="D68" s="166">
        <v>86058268</v>
      </c>
      <c r="E68" s="93">
        <f>VLOOKUP(A68,'PLANTA SJD'!B:F,3,0)</f>
        <v>86058268</v>
      </c>
      <c r="F68" s="93" t="str">
        <f>VLOOKUP(E68,'PLANTA SJD'!D:F,2,0)</f>
        <v>IAM ALEXANDER OJEDA CARDENAS</v>
      </c>
      <c r="G68" s="170">
        <f t="shared" si="0"/>
        <v>0</v>
      </c>
    </row>
    <row r="69" spans="1:7" ht="17.25" customHeight="1">
      <c r="A69" s="166">
        <v>5077</v>
      </c>
      <c r="B69" s="166"/>
      <c r="C69" s="166" t="s">
        <v>1518</v>
      </c>
      <c r="D69" s="166">
        <v>79349710</v>
      </c>
      <c r="E69" s="93">
        <f>VLOOKUP(A69,'PLANTA SJD'!B:F,3,0)</f>
        <v>79349710</v>
      </c>
      <c r="F69" s="93" t="str">
        <f>VLOOKUP(E69,'PLANTA SJD'!D:F,2,0)</f>
        <v>EDGAR ENRIQUE OVALLE CUERVO</v>
      </c>
      <c r="G69" s="170">
        <f t="shared" si="0"/>
        <v>0</v>
      </c>
    </row>
    <row r="70" spans="1:7" ht="17.25" customHeight="1">
      <c r="A70" s="166">
        <v>5078</v>
      </c>
      <c r="B70" s="166"/>
      <c r="C70" s="166" t="s">
        <v>1520</v>
      </c>
      <c r="D70" s="166">
        <v>1019058729</v>
      </c>
      <c r="E70" s="93">
        <f>VLOOKUP(A70,'PLANTA SJD'!B:F,3,0)</f>
        <v>1019058729</v>
      </c>
      <c r="F70" s="93" t="str">
        <f>VLOOKUP(E70,'PLANTA SJD'!D:F,2,0)</f>
        <v>DIEGO ALEJANDRO SOLANO FERNANDEZ</v>
      </c>
      <c r="G70" s="170">
        <f t="shared" si="0"/>
        <v>0</v>
      </c>
    </row>
    <row r="71" spans="1:7" ht="17.25" customHeight="1">
      <c r="A71" s="166">
        <v>5079</v>
      </c>
      <c r="B71" s="166"/>
      <c r="C71" s="166" t="s">
        <v>1521</v>
      </c>
      <c r="D71" s="166">
        <v>52454621</v>
      </c>
      <c r="E71" s="93">
        <f>VLOOKUP(A71,'PLANTA SJD'!B:F,3,0)</f>
        <v>52454621</v>
      </c>
      <c r="F71" s="93" t="str">
        <f>VLOOKUP(E71,'PLANTA SJD'!D:F,2,0)</f>
        <v>CAROLINA LOZANO ARDILA</v>
      </c>
      <c r="G71" s="170">
        <f t="shared" si="0"/>
        <v>0</v>
      </c>
    </row>
    <row r="72" spans="1:7" ht="17.25" customHeight="1">
      <c r="A72" s="166">
        <v>5080</v>
      </c>
      <c r="B72" s="166"/>
      <c r="C72" s="166" t="s">
        <v>1533</v>
      </c>
      <c r="D72" s="166">
        <v>79316619</v>
      </c>
      <c r="E72" s="93">
        <f>VLOOKUP(A72,'PLANTA SJD'!B:F,3,0)</f>
        <v>79316619</v>
      </c>
      <c r="F72" s="93" t="str">
        <f>VLOOKUP(E72,'PLANTA SJD'!D:F,2,0)</f>
        <v>JOSE ORLANDO ALVARADO HERREÃ‘O</v>
      </c>
      <c r="G72" s="170">
        <f t="shared" si="0"/>
        <v>0</v>
      </c>
    </row>
    <row r="73" spans="1:7" ht="17.25" customHeight="1">
      <c r="A73" s="166">
        <v>5081</v>
      </c>
      <c r="B73" s="166"/>
      <c r="C73" s="174" t="s">
        <v>62</v>
      </c>
      <c r="D73" s="174">
        <v>53015269</v>
      </c>
      <c r="E73" s="172">
        <f>VLOOKUP(A73,'PLANTA SJD'!B:F,3,0)</f>
        <v>0</v>
      </c>
      <c r="F73" s="175" t="e">
        <f>VLOOKUP(E73,'PLANTA SJD'!D:F,2,0)</f>
        <v>#N/A</v>
      </c>
      <c r="G73" s="173">
        <f t="shared" si="0"/>
        <v>53015269</v>
      </c>
    </row>
    <row r="74" spans="1:7" ht="17.25" customHeight="1">
      <c r="A74" s="166">
        <v>5082</v>
      </c>
      <c r="B74" s="166"/>
      <c r="C74" s="166" t="s">
        <v>1317</v>
      </c>
      <c r="D74" s="166"/>
      <c r="E74" s="172">
        <f>VLOOKUP(A74,'PLANTA SJD'!B:F,3,0)</f>
        <v>53015269</v>
      </c>
      <c r="F74" s="172" t="str">
        <f>VLOOKUP(E74,'PLANTA SJD'!D:F,2,0)</f>
        <v>JOHANA PATRICIA GAMEZ GOMEZ</v>
      </c>
      <c r="G74" s="173">
        <f t="shared" si="0"/>
        <v>-53015269</v>
      </c>
    </row>
    <row r="75" spans="1:7" ht="17.25" customHeight="1">
      <c r="A75" s="166">
        <v>5083</v>
      </c>
      <c r="B75" s="166"/>
      <c r="C75" s="166" t="s">
        <v>1543</v>
      </c>
      <c r="D75" s="166">
        <v>28963444</v>
      </c>
      <c r="E75" s="93">
        <f>VLOOKUP(A75,'PLANTA SJD'!B:F,3,0)</f>
        <v>28963444</v>
      </c>
      <c r="F75" s="93" t="str">
        <f>VLOOKUP(E75,'PLANTA SJD'!D:F,2,0)</f>
        <v>GLORIA ESTHER SALCEDO TAMAYO</v>
      </c>
      <c r="G75" s="170">
        <f t="shared" si="0"/>
        <v>0</v>
      </c>
    </row>
    <row r="76" spans="1:7" ht="17.25" customHeight="1">
      <c r="A76" s="166">
        <v>5084</v>
      </c>
      <c r="B76" s="166"/>
      <c r="C76" s="166" t="s">
        <v>1548</v>
      </c>
      <c r="D76" s="166">
        <v>52430229</v>
      </c>
      <c r="E76" s="93">
        <f>VLOOKUP(A76,'PLANTA SJD'!B:F,3,0)</f>
        <v>52430229</v>
      </c>
      <c r="F76" s="93" t="str">
        <f>VLOOKUP(E76,'PLANTA SJD'!D:F,2,0)</f>
        <v>LUZ ANDREA CUBILLOS GUALDRON</v>
      </c>
      <c r="G76" s="170">
        <f t="shared" si="0"/>
        <v>0</v>
      </c>
    </row>
    <row r="77" spans="1:7" ht="17.25" customHeight="1">
      <c r="A77" s="166">
        <v>5085</v>
      </c>
      <c r="B77" s="166"/>
      <c r="C77" s="174" t="s">
        <v>1554</v>
      </c>
      <c r="D77" s="174">
        <v>53066719</v>
      </c>
      <c r="E77" s="172">
        <f>VLOOKUP(A77,'PLANTA SJD'!B:F,3,0)</f>
        <v>1018435583</v>
      </c>
      <c r="F77" s="172" t="str">
        <f>VLOOKUP(E77,'PLANTA SJD'!D:F,2,0)</f>
        <v>SONIA TERESA ROA SILVA</v>
      </c>
      <c r="G77" s="173">
        <f t="shared" si="0"/>
        <v>-965368864</v>
      </c>
    </row>
    <row r="78" spans="1:7" ht="17.25" customHeight="1">
      <c r="A78" s="166">
        <v>5089</v>
      </c>
      <c r="B78" s="166"/>
      <c r="C78" s="166" t="s">
        <v>1558</v>
      </c>
      <c r="D78" s="166">
        <v>52391785</v>
      </c>
      <c r="E78" s="93">
        <f>VLOOKUP(A78,'PLANTA SJD'!B:F,3,0)</f>
        <v>52391785</v>
      </c>
      <c r="F78" s="93" t="str">
        <f>VLOOKUP(E78,'PLANTA SJD'!D:F,2,0)</f>
        <v>YOMAIRA AMPARO ALARCON ACERO</v>
      </c>
      <c r="G78" s="170">
        <f t="shared" si="0"/>
        <v>0</v>
      </c>
    </row>
    <row r="79" spans="1:7" ht="17.25" customHeight="1">
      <c r="A79" s="166">
        <v>5090</v>
      </c>
      <c r="B79" s="166"/>
      <c r="C79" s="166" t="s">
        <v>1559</v>
      </c>
      <c r="D79" s="166">
        <v>52176512</v>
      </c>
      <c r="E79" s="93">
        <f>VLOOKUP(A79,'PLANTA SJD'!B:F,3,0)</f>
        <v>52176512</v>
      </c>
      <c r="F79" s="93" t="str">
        <f>VLOOKUP(E79,'PLANTA SJD'!D:F,2,0)</f>
        <v>LUZ DARY MERCHAN LARA</v>
      </c>
      <c r="G79" s="170">
        <f t="shared" si="0"/>
        <v>0</v>
      </c>
    </row>
    <row r="80" spans="1:7" ht="17.25" customHeight="1">
      <c r="A80" s="166">
        <v>5092</v>
      </c>
      <c r="B80" s="166"/>
      <c r="C80" s="166" t="s">
        <v>1562</v>
      </c>
      <c r="D80" s="166">
        <v>51649014</v>
      </c>
      <c r="E80" s="93">
        <f>VLOOKUP(A80,'PLANTA SJD'!B:F,3,0)</f>
        <v>51649014</v>
      </c>
      <c r="F80" s="93" t="str">
        <f>VLOOKUP(E80,'PLANTA SJD'!D:F,2,0)</f>
        <v>DORA BELEN GUTIERREZ HERNANDEZ</v>
      </c>
      <c r="G80" s="170">
        <f t="shared" si="0"/>
        <v>0</v>
      </c>
    </row>
    <row r="81" spans="1:7" ht="17.25" customHeight="1">
      <c r="A81" s="166">
        <v>5093</v>
      </c>
      <c r="B81" s="166" t="s">
        <v>1375</v>
      </c>
      <c r="C81" s="166" t="s">
        <v>1317</v>
      </c>
      <c r="D81" s="166"/>
      <c r="E81" s="93">
        <f>VLOOKUP(A81,'PLANTA SJD'!B:F,3,0)</f>
        <v>79450267</v>
      </c>
      <c r="F81" s="93" t="str">
        <f>VLOOKUP(E81,'PLANTA SJD'!D:F,2,0)</f>
        <v>HENRY ALBERTO GONZALEZ MOLINA</v>
      </c>
      <c r="G81" s="170">
        <f t="shared" si="0"/>
        <v>-79450267</v>
      </c>
    </row>
    <row r="82" spans="1:7" ht="17.25" customHeight="1">
      <c r="A82" s="166">
        <v>5094</v>
      </c>
      <c r="B82" s="166"/>
      <c r="C82" s="166" t="s">
        <v>1564</v>
      </c>
      <c r="D82" s="166">
        <v>52818411</v>
      </c>
      <c r="E82" s="93">
        <f>VLOOKUP(A82,'PLANTA SJD'!B:F,3,0)</f>
        <v>52818411</v>
      </c>
      <c r="F82" s="93" t="str">
        <f>VLOOKUP(E82,'PLANTA SJD'!D:F,2,0)</f>
        <v>MARIA XIMENA CUBIDES AMAYA</v>
      </c>
      <c r="G82" s="170">
        <f t="shared" si="0"/>
        <v>0</v>
      </c>
    </row>
    <row r="83" spans="1:7" ht="17.25" customHeight="1">
      <c r="A83" s="166">
        <v>5095</v>
      </c>
      <c r="B83" s="166"/>
      <c r="C83" s="166" t="s">
        <v>1567</v>
      </c>
      <c r="D83" s="166">
        <v>6765913</v>
      </c>
      <c r="E83" s="93">
        <f>VLOOKUP(A83,'PLANTA SJD'!B:F,3,0)</f>
        <v>6765913</v>
      </c>
      <c r="F83" s="93" t="str">
        <f>VLOOKUP(E83,'PLANTA SJD'!D:F,2,0)</f>
        <v>CARLOS ANDRES NIÃ‘O SOCHA</v>
      </c>
      <c r="G83" s="170">
        <f t="shared" si="0"/>
        <v>0</v>
      </c>
    </row>
    <row r="84" spans="1:7" ht="17.25" customHeight="1">
      <c r="A84" s="166">
        <v>5100</v>
      </c>
      <c r="B84" s="166" t="s">
        <v>1375</v>
      </c>
      <c r="C84" s="166" t="s">
        <v>1317</v>
      </c>
      <c r="D84" s="166"/>
      <c r="E84" s="93">
        <f>VLOOKUP(A84,'PLANTA SJD'!B:F,3,0)</f>
        <v>52258032</v>
      </c>
      <c r="F84" s="93" t="str">
        <f>VLOOKUP(E84,'PLANTA SJD'!D:F,2,0)</f>
        <v>ANGELICA DIAZ RINCON</v>
      </c>
      <c r="G84" s="170">
        <f t="shared" si="0"/>
        <v>-52258032</v>
      </c>
    </row>
    <row r="85" spans="1:7" ht="17.25" customHeight="1">
      <c r="A85" s="166">
        <v>5101</v>
      </c>
      <c r="B85" s="166" t="s">
        <v>1375</v>
      </c>
      <c r="C85" s="166" t="s">
        <v>1317</v>
      </c>
      <c r="D85" s="166"/>
      <c r="E85" s="93">
        <f>VLOOKUP(A85,'PLANTA SJD'!B:F,3,0)</f>
        <v>52868519</v>
      </c>
      <c r="F85" s="93" t="str">
        <f>VLOOKUP(E85,'PLANTA SJD'!D:F,2,0)</f>
        <v>LUZ ESTELLA MORENO PEREZ</v>
      </c>
      <c r="G85" s="170">
        <f t="shared" si="0"/>
        <v>-52868519</v>
      </c>
    </row>
    <row r="86" spans="1:7" ht="17.25" customHeight="1">
      <c r="A86" s="166">
        <v>5102</v>
      </c>
      <c r="B86" s="166"/>
      <c r="C86" s="166" t="s">
        <v>1574</v>
      </c>
      <c r="D86" s="166">
        <v>60348229</v>
      </c>
      <c r="E86" s="93">
        <f>VLOOKUP(A86,'PLANTA SJD'!B:F,3,0)</f>
        <v>60348229</v>
      </c>
      <c r="F86" s="93" t="str">
        <f>VLOOKUP(E86,'PLANTA SJD'!D:F,2,0)</f>
        <v>BRICEIDA ALVARADO ROJAS</v>
      </c>
      <c r="G86" s="170">
        <f t="shared" si="0"/>
        <v>0</v>
      </c>
    </row>
    <row r="87" spans="1:7" ht="17.25" customHeight="1">
      <c r="A87" s="166">
        <v>5103</v>
      </c>
      <c r="B87" s="166"/>
      <c r="C87" s="166" t="s">
        <v>1579</v>
      </c>
      <c r="D87" s="166">
        <v>52174173</v>
      </c>
      <c r="E87" s="93">
        <f>VLOOKUP(A87,'PLANTA SJD'!B:F,3,0)</f>
        <v>52174173</v>
      </c>
      <c r="F87" s="93" t="str">
        <f>VLOOKUP(E87,'PLANTA SJD'!D:F,2,0)</f>
        <v>LUZ DARY CORREDOR MORENO</v>
      </c>
      <c r="G87" s="170">
        <f t="shared" si="0"/>
        <v>0</v>
      </c>
    </row>
    <row r="88" spans="1:7" ht="17.25" customHeight="1">
      <c r="A88" s="166">
        <v>5104</v>
      </c>
      <c r="B88" s="166"/>
      <c r="C88" s="166" t="s">
        <v>1582</v>
      </c>
      <c r="D88" s="166">
        <v>53122985</v>
      </c>
      <c r="E88" s="93">
        <f>VLOOKUP(A88,'PLANTA SJD'!B:F,3,0)</f>
        <v>53122985</v>
      </c>
      <c r="F88" s="93" t="str">
        <f>VLOOKUP(E88,'PLANTA SJD'!D:F,2,0)</f>
        <v>LUISA FERNANDA GARCIA AVILA</v>
      </c>
      <c r="G88" s="170">
        <f t="shared" si="0"/>
        <v>0</v>
      </c>
    </row>
    <row r="89" spans="1:7" ht="17.25" customHeight="1">
      <c r="A89" s="166">
        <v>5105</v>
      </c>
      <c r="B89" s="166"/>
      <c r="C89" s="166" t="s">
        <v>1583</v>
      </c>
      <c r="D89" s="166">
        <v>40011063</v>
      </c>
      <c r="E89" s="93">
        <f>VLOOKUP(A89,'PLANTA SJD'!B:F,3,0)</f>
        <v>40011063</v>
      </c>
      <c r="F89" s="93" t="str">
        <f>VLOOKUP(E89,'PLANTA SJD'!D:F,2,0)</f>
        <v>NELCY TORRES MARTINEZ</v>
      </c>
      <c r="G89" s="170">
        <f t="shared" si="0"/>
        <v>0</v>
      </c>
    </row>
    <row r="90" spans="1:7" ht="17.25" customHeight="1">
      <c r="A90" s="166">
        <v>5106</v>
      </c>
      <c r="B90" s="166"/>
      <c r="C90" s="166" t="s">
        <v>1589</v>
      </c>
      <c r="D90" s="166">
        <v>1049619617</v>
      </c>
      <c r="E90" s="93">
        <f>VLOOKUP(A90,'PLANTA SJD'!B:F,3,0)</f>
        <v>1049619617</v>
      </c>
      <c r="F90" s="93" t="str">
        <f>VLOOKUP(E90,'PLANTA SJD'!D:F,2,0)</f>
        <v>SANDRA LISETTE NOVOA DUEÃ‘AS</v>
      </c>
      <c r="G90" s="170">
        <f t="shared" si="0"/>
        <v>0</v>
      </c>
    </row>
    <row r="91" spans="1:7" ht="17.25" customHeight="1">
      <c r="A91" s="166">
        <v>5107</v>
      </c>
      <c r="B91" s="166"/>
      <c r="C91" s="166" t="s">
        <v>1590</v>
      </c>
      <c r="D91" s="166">
        <v>1032489040</v>
      </c>
      <c r="E91" s="93">
        <f>VLOOKUP(A91,'PLANTA SJD'!B:F,3,0)</f>
        <v>0</v>
      </c>
      <c r="F91" s="93" t="e">
        <f>VLOOKUP(E91,'PLANTA SJD'!D:F,2,0)</f>
        <v>#N/A</v>
      </c>
      <c r="G91" s="170">
        <f t="shared" si="0"/>
        <v>1032489040</v>
      </c>
    </row>
    <row r="92" spans="1:7" ht="17.25" customHeight="1">
      <c r="A92" s="166">
        <v>5108</v>
      </c>
      <c r="B92" s="166"/>
      <c r="C92" s="166" t="s">
        <v>1317</v>
      </c>
      <c r="D92" s="166"/>
      <c r="E92" s="93">
        <f>VLOOKUP(A92,'PLANTA SJD'!B:F,3,0)</f>
        <v>1032489040</v>
      </c>
      <c r="F92" s="93" t="str">
        <f>VLOOKUP(E92,'PLANTA SJD'!D:F,2,0)</f>
        <v>LEIDY JOHANNA ALONSO GUTIERREZ</v>
      </c>
      <c r="G92" s="170">
        <f t="shared" si="0"/>
        <v>-1032489040</v>
      </c>
    </row>
    <row r="93" spans="1:7" ht="17.25" customHeight="1">
      <c r="A93" s="166">
        <v>5109</v>
      </c>
      <c r="B93" s="166"/>
      <c r="C93" s="166" t="s">
        <v>1593</v>
      </c>
      <c r="D93" s="166">
        <v>79967554</v>
      </c>
      <c r="E93" s="93">
        <f>VLOOKUP(A93,'PLANTA SJD'!B:F,3,0)</f>
        <v>79967554</v>
      </c>
      <c r="F93" s="93" t="str">
        <f>VLOOKUP(E93,'PLANTA SJD'!D:F,2,0)</f>
        <v>GIOVANNY ALEXANDER CORTES PACHON</v>
      </c>
      <c r="G93" s="170">
        <f t="shared" si="0"/>
        <v>0</v>
      </c>
    </row>
    <row r="94" spans="1:7" ht="17.25" customHeight="1">
      <c r="A94" s="166">
        <v>5110</v>
      </c>
      <c r="B94" s="166"/>
      <c r="C94" s="166" t="s">
        <v>1594</v>
      </c>
      <c r="D94" s="166">
        <v>80267904</v>
      </c>
      <c r="E94" s="93">
        <f>VLOOKUP(A94,'PLANTA SJD'!B:F,3,0)</f>
        <v>80267904</v>
      </c>
      <c r="F94" s="93" t="str">
        <f>VLOOKUP(E94,'PLANTA SJD'!D:F,2,0)</f>
        <v>CARLOS JULIO RAMIREZ MUÃ‘OZ</v>
      </c>
      <c r="G94" s="170">
        <f t="shared" si="0"/>
        <v>0</v>
      </c>
    </row>
    <row r="95" spans="1:7" ht="17.25" customHeight="1">
      <c r="A95" s="166">
        <v>5111</v>
      </c>
      <c r="B95" s="166"/>
      <c r="C95" s="166" t="s">
        <v>71</v>
      </c>
      <c r="D95" s="166">
        <v>53001416</v>
      </c>
      <c r="E95" s="93">
        <f>VLOOKUP(A95,'PLANTA SJD'!B:F,3,0)</f>
        <v>53001416</v>
      </c>
      <c r="F95" s="93" t="str">
        <f>VLOOKUP(E95,'PLANTA SJD'!D:F,2,0)</f>
        <v>DIANA MARIA MORENO VARGAS</v>
      </c>
      <c r="G95" s="170">
        <f t="shared" si="0"/>
        <v>0</v>
      </c>
    </row>
    <row r="96" spans="1:7" ht="17.25" customHeight="1">
      <c r="A96" s="166">
        <v>5112</v>
      </c>
      <c r="B96" s="166"/>
      <c r="C96" s="166" t="s">
        <v>1598</v>
      </c>
      <c r="D96" s="166">
        <v>1110573560</v>
      </c>
      <c r="E96" s="93">
        <f>VLOOKUP(A96,'PLANTA SJD'!B:F,3,0)</f>
        <v>1110573560</v>
      </c>
      <c r="F96" s="93" t="str">
        <f>VLOOKUP(E96,'PLANTA SJD'!D:F,2,0)</f>
        <v>CRISTHIAM DAVID JIMENEZ VASQUEZ</v>
      </c>
      <c r="G96" s="170">
        <f t="shared" si="0"/>
        <v>0</v>
      </c>
    </row>
    <row r="97" spans="1:7" ht="17.25" customHeight="1">
      <c r="A97" s="166">
        <v>5113</v>
      </c>
      <c r="B97" s="166"/>
      <c r="C97" s="166" t="s">
        <v>1601</v>
      </c>
      <c r="D97" s="166">
        <v>1013608357</v>
      </c>
      <c r="E97" s="93">
        <f>VLOOKUP(A97,'PLANTA SJD'!B:F,3,0)</f>
        <v>1013608357</v>
      </c>
      <c r="F97" s="93" t="str">
        <f>VLOOKUP(E97,'PLANTA SJD'!D:F,2,0)</f>
        <v>MONICA JULIANA SANMIGUEL ROJAS</v>
      </c>
      <c r="G97" s="170">
        <f t="shared" si="0"/>
        <v>0</v>
      </c>
    </row>
    <row r="98" spans="1:7" ht="17.25" customHeight="1">
      <c r="A98" s="166">
        <v>5114</v>
      </c>
      <c r="B98" s="166"/>
      <c r="C98" s="166" t="s">
        <v>1603</v>
      </c>
      <c r="D98" s="166">
        <v>80826518</v>
      </c>
      <c r="E98" s="93">
        <f>VLOOKUP(A98,'PLANTA SJD'!B:F,3,0)</f>
        <v>80826518</v>
      </c>
      <c r="F98" s="93" t="str">
        <f>VLOOKUP(E98,'PLANTA SJD'!D:F,2,0)</f>
        <v>ANDRES FABIAN NOSSA GUZMAN</v>
      </c>
      <c r="G98" s="170">
        <f t="shared" si="0"/>
        <v>0</v>
      </c>
    </row>
    <row r="99" spans="1:7" ht="17.25" customHeight="1">
      <c r="A99" s="166">
        <v>5115</v>
      </c>
      <c r="B99" s="166"/>
      <c r="C99" s="176" t="s">
        <v>61</v>
      </c>
      <c r="D99" s="166">
        <v>73155098</v>
      </c>
      <c r="E99" s="93">
        <f>VLOOKUP(A99,'PLANTA SJD'!B:F,3,0)</f>
        <v>73155098</v>
      </c>
      <c r="F99" s="93" t="str">
        <f>VLOOKUP(E99,'PLANTA SJD'!D:F,2,0)</f>
        <v>FERNAN ENRIQUE PEREZ FORTICH</v>
      </c>
      <c r="G99" s="170">
        <f t="shared" si="0"/>
        <v>0</v>
      </c>
    </row>
    <row r="100" spans="1:7" ht="17.25" customHeight="1">
      <c r="A100" s="166">
        <v>5116</v>
      </c>
      <c r="B100" s="166"/>
      <c r="C100" s="166" t="s">
        <v>1606</v>
      </c>
      <c r="D100" s="166">
        <v>16077540</v>
      </c>
      <c r="E100" s="93">
        <f>VLOOKUP(A100,'PLANTA SJD'!B:F,3,0)</f>
        <v>16077540</v>
      </c>
      <c r="F100" s="93" t="str">
        <f>VLOOKUP(E100,'PLANTA SJD'!D:F,2,0)</f>
        <v>IVAN DAVID RAMIREZ VALENCIA</v>
      </c>
      <c r="G100" s="170">
        <f t="shared" si="0"/>
        <v>0</v>
      </c>
    </row>
    <row r="101" spans="1:7" ht="17.25" customHeight="1">
      <c r="A101" s="166">
        <v>5117</v>
      </c>
      <c r="B101" s="166"/>
      <c r="C101" s="166" t="s">
        <v>1317</v>
      </c>
      <c r="D101" s="166"/>
      <c r="E101" s="93">
        <f>VLOOKUP(A101,'PLANTA SJD'!B:F,3,0)</f>
        <v>52646082</v>
      </c>
      <c r="F101" s="93" t="str">
        <f>VLOOKUP(E101,'PLANTA SJD'!D:F,2,0)</f>
        <v>SANDRA NICOLASA ORGANISTA BUILES</v>
      </c>
      <c r="G101" s="170">
        <f t="shared" si="0"/>
        <v>-52646082</v>
      </c>
    </row>
    <row r="102" spans="1:7" ht="17.25" customHeight="1">
      <c r="A102" s="166">
        <v>5118</v>
      </c>
      <c r="B102" s="166"/>
      <c r="C102" s="166" t="s">
        <v>1612</v>
      </c>
      <c r="D102" s="166">
        <v>52337438</v>
      </c>
      <c r="E102" s="93">
        <f>VLOOKUP(A102,'PLANTA SJD'!B:F,3,0)</f>
        <v>1032448684</v>
      </c>
      <c r="F102" s="93" t="str">
        <f>VLOOKUP(E102,'PLANTA SJD'!D:F,2,0)</f>
        <v>JUAN CARLOS MARTINEZ BERNAL</v>
      </c>
      <c r="G102" s="170">
        <f t="shared" si="0"/>
        <v>-980111246</v>
      </c>
    </row>
    <row r="103" spans="1:7" ht="17.25" customHeight="1">
      <c r="A103" s="166">
        <v>5119</v>
      </c>
      <c r="B103" s="166"/>
      <c r="C103" s="166" t="s">
        <v>1626</v>
      </c>
      <c r="D103" s="166">
        <v>93371977</v>
      </c>
      <c r="E103" s="93">
        <f>VLOOKUP(A103,'PLANTA SJD'!B:F,3,0)</f>
        <v>93371977</v>
      </c>
      <c r="F103" s="93" t="str">
        <f>VLOOKUP(E103,'PLANTA SJD'!D:F,2,0)</f>
        <v>DUVAN SANDOVAL RODRIGUEZ</v>
      </c>
      <c r="G103" s="170">
        <f t="shared" si="0"/>
        <v>0</v>
      </c>
    </row>
    <row r="104" spans="1:7" ht="17.25" customHeight="1">
      <c r="A104" s="166">
        <v>5120</v>
      </c>
      <c r="B104" s="166"/>
      <c r="C104" s="166" t="s">
        <v>86</v>
      </c>
      <c r="D104" s="166">
        <v>52486713</v>
      </c>
      <c r="E104" s="93">
        <f>VLOOKUP(A104,'PLANTA SJD'!B:F,3,0)</f>
        <v>52486713</v>
      </c>
      <c r="F104" s="93" t="str">
        <f>VLOOKUP(E104,'PLANTA SJD'!D:F,2,0)</f>
        <v>CLAUDIA MARCELA CAMARGO CASTRO</v>
      </c>
      <c r="G104" s="170">
        <f t="shared" si="0"/>
        <v>0</v>
      </c>
    </row>
    <row r="105" spans="1:7" ht="17.25" customHeight="1">
      <c r="A105" s="166">
        <v>5121</v>
      </c>
      <c r="B105" s="166"/>
      <c r="C105" s="166" t="s">
        <v>1645</v>
      </c>
      <c r="D105" s="166">
        <v>79584810</v>
      </c>
      <c r="E105" s="93">
        <f>VLOOKUP(A105,'PLANTA SJD'!B:F,3,0)</f>
        <v>79584810</v>
      </c>
      <c r="F105" s="93" t="str">
        <f>VLOOKUP(E105,'PLANTA SJD'!D:F,2,0)</f>
        <v>MIGUEL PINTO SEGURA</v>
      </c>
      <c r="G105" s="170">
        <f t="shared" si="0"/>
        <v>0</v>
      </c>
    </row>
    <row r="106" spans="1:7" ht="17.25" customHeight="1">
      <c r="A106" s="166">
        <v>5122</v>
      </c>
      <c r="B106" s="166"/>
      <c r="C106" s="166" t="s">
        <v>1652</v>
      </c>
      <c r="D106" s="166">
        <v>8980601</v>
      </c>
      <c r="E106" s="93">
        <f>VLOOKUP(A106,'PLANTA SJD'!B:F,3,0)</f>
        <v>8980601</v>
      </c>
      <c r="F106" s="93" t="str">
        <f>VLOOKUP(E106,'PLANTA SJD'!D:F,2,0)</f>
        <v>HUGO ALFONSO CABARCAS AYOLA</v>
      </c>
      <c r="G106" s="170">
        <f t="shared" si="0"/>
        <v>0</v>
      </c>
    </row>
    <row r="107" spans="1:7" ht="17.25" customHeight="1">
      <c r="A107" s="166">
        <v>5123</v>
      </c>
      <c r="B107" s="166"/>
      <c r="C107" s="166" t="s">
        <v>1653</v>
      </c>
      <c r="D107" s="166">
        <v>75093516</v>
      </c>
      <c r="E107" s="93">
        <f>VLOOKUP(A107,'PLANTA SJD'!B:F,3,0)</f>
        <v>75093516</v>
      </c>
      <c r="F107" s="93" t="str">
        <f>VLOOKUP(E107,'PLANTA SJD'!D:F,2,0)</f>
        <v>HUGO HERNANDO AGUIRRE CORRALES</v>
      </c>
      <c r="G107" s="170">
        <f t="shared" si="0"/>
        <v>0</v>
      </c>
    </row>
    <row r="108" spans="1:7" ht="17.25" customHeight="1">
      <c r="A108" s="166">
        <v>5124</v>
      </c>
      <c r="B108" s="166" t="s">
        <v>1375</v>
      </c>
      <c r="C108" s="166" t="s">
        <v>1317</v>
      </c>
      <c r="D108" s="166"/>
      <c r="E108" s="93">
        <f>VLOOKUP(A108,'PLANTA SJD'!B:F,3,0)</f>
        <v>41059054</v>
      </c>
      <c r="F108" s="93" t="str">
        <f>VLOOKUP(E108,'PLANTA SJD'!D:F,2,0)</f>
        <v>MARIA TERESA VALDERRAMA PEREIRA</v>
      </c>
      <c r="G108" s="170">
        <f t="shared" si="0"/>
        <v>-41059054</v>
      </c>
    </row>
    <row r="109" spans="1:7" ht="17.25" customHeight="1">
      <c r="A109" s="166">
        <v>5125</v>
      </c>
      <c r="B109" s="166"/>
      <c r="C109" s="166" t="s">
        <v>1660</v>
      </c>
      <c r="D109" s="166">
        <v>1030577699</v>
      </c>
      <c r="E109" s="93">
        <f>VLOOKUP(A109,'PLANTA SJD'!B:F,3,0)</f>
        <v>1030577699</v>
      </c>
      <c r="F109" s="93" t="str">
        <f>VLOOKUP(E109,'PLANTA SJD'!D:F,2,0)</f>
        <v>KATHERINE PAOLA ARAGON CASTIBLANCO</v>
      </c>
      <c r="G109" s="170">
        <f t="shared" si="0"/>
        <v>0</v>
      </c>
    </row>
    <row r="110" spans="1:7" ht="17.25" customHeight="1">
      <c r="A110" s="166">
        <v>5126</v>
      </c>
      <c r="B110" s="166"/>
      <c r="C110" s="166" t="s">
        <v>1664</v>
      </c>
      <c r="D110" s="166">
        <v>1018482333</v>
      </c>
      <c r="E110" s="93">
        <f>VLOOKUP(A110,'PLANTA SJD'!B:F,3,0)</f>
        <v>1018482333</v>
      </c>
      <c r="F110" s="93" t="str">
        <f>VLOOKUP(E110,'PLANTA SJD'!D:F,2,0)</f>
        <v>DANIELA RODRIGUEZ NARVAEZ</v>
      </c>
      <c r="G110" s="170">
        <f t="shared" si="0"/>
        <v>0</v>
      </c>
    </row>
    <row r="111" spans="1:7" ht="17.25" customHeight="1">
      <c r="A111" s="166">
        <v>5127</v>
      </c>
      <c r="B111" s="166"/>
      <c r="C111" s="166" t="s">
        <v>1665</v>
      </c>
      <c r="D111" s="166">
        <v>1085273461</v>
      </c>
      <c r="E111" s="8">
        <f>VLOOKUP(A111,'PLANTA SJD'!B:F,3,0)</f>
        <v>1085273461</v>
      </c>
      <c r="F111" s="93" t="str">
        <f>VLOOKUP(E111,'PLANTA SJD'!D:F,2,0)</f>
        <v>ELIANA STEPHANIE ASTAIZA CHAVES</v>
      </c>
      <c r="G111" s="170">
        <f t="shared" si="0"/>
        <v>0</v>
      </c>
    </row>
    <row r="112" spans="1:7" ht="17.25" customHeight="1">
      <c r="A112" s="166">
        <v>5128</v>
      </c>
      <c r="B112" s="166"/>
      <c r="C112" s="166" t="s">
        <v>1317</v>
      </c>
      <c r="D112" s="166"/>
      <c r="E112" s="172">
        <f>VLOOKUP(A112,'PLANTA SJD'!B:F,3,0)</f>
        <v>52519358</v>
      </c>
      <c r="F112" s="172" t="str">
        <f>VLOOKUP(E112,'PLANTA SJD'!D:F,2,0)</f>
        <v>MAGDA PATRICIA PUENTES PARDO</v>
      </c>
      <c r="G112" s="173">
        <f t="shared" si="0"/>
        <v>-52519358</v>
      </c>
    </row>
    <row r="113" spans="1:7" ht="17.25" customHeight="1">
      <c r="A113" s="166">
        <v>5129</v>
      </c>
      <c r="B113" s="166"/>
      <c r="C113" s="166" t="s">
        <v>1670</v>
      </c>
      <c r="D113" s="166">
        <v>80154878</v>
      </c>
      <c r="E113" s="93">
        <f>VLOOKUP(A113,'PLANTA SJD'!B:F,3,0)</f>
        <v>80154878</v>
      </c>
      <c r="F113" s="93" t="str">
        <f>VLOOKUP(E113,'PLANTA SJD'!D:F,2,0)</f>
        <v>JUAN CAMILO RUIZ ZAMUDIO</v>
      </c>
      <c r="G113" s="170">
        <f t="shared" si="0"/>
        <v>0</v>
      </c>
    </row>
    <row r="114" spans="1:7" ht="17.25" customHeight="1">
      <c r="A114" s="166">
        <v>5130</v>
      </c>
      <c r="B114" s="166"/>
      <c r="C114" s="166" t="s">
        <v>1677</v>
      </c>
      <c r="D114" s="166">
        <v>1015419295</v>
      </c>
      <c r="E114" s="93">
        <f>VLOOKUP(A114,'PLANTA SJD'!B:F,3,0)</f>
        <v>1015419295</v>
      </c>
      <c r="F114" s="93" t="str">
        <f>VLOOKUP(E114,'PLANTA SJD'!D:F,2,0)</f>
        <v>HELVER MANUEL MORA MONTOYA</v>
      </c>
      <c r="G114" s="170">
        <f t="shared" si="0"/>
        <v>0</v>
      </c>
    </row>
    <row r="115" spans="1:7" ht="17.25" customHeight="1">
      <c r="A115" s="166">
        <v>5131</v>
      </c>
      <c r="B115" s="166"/>
      <c r="C115" s="166" t="s">
        <v>85</v>
      </c>
      <c r="D115" s="166">
        <v>37625914</v>
      </c>
      <c r="E115" s="93">
        <f>VLOOKUP(A115,'PLANTA SJD'!B:F,3,0)</f>
        <v>37625914</v>
      </c>
      <c r="F115" s="93" t="str">
        <f>VLOOKUP(E115,'PLANTA SJD'!D:F,2,0)</f>
        <v>MARY DAYANA SANCHEZ ROJAS</v>
      </c>
      <c r="G115" s="170">
        <f t="shared" si="0"/>
        <v>0</v>
      </c>
    </row>
    <row r="116" spans="1:7" ht="17.25" customHeight="1">
      <c r="A116" s="166">
        <v>5132</v>
      </c>
      <c r="B116" s="166"/>
      <c r="C116" s="166" t="s">
        <v>1317</v>
      </c>
      <c r="D116" s="166"/>
      <c r="E116" s="93">
        <f>VLOOKUP(A116,'PLANTA SJD'!B:F,3,0)</f>
        <v>1019071696</v>
      </c>
      <c r="F116" s="8" t="str">
        <f>VLOOKUP(E116,'PLANTA SJD'!D:F,2,0)</f>
        <v>CRISTIAN ANDREY SALINAS FORERO</v>
      </c>
      <c r="G116" s="170">
        <f t="shared" si="0"/>
        <v>-1019071696</v>
      </c>
    </row>
    <row r="117" spans="1:7" ht="17.25" customHeight="1">
      <c r="A117" s="166">
        <v>5134</v>
      </c>
      <c r="B117" s="166"/>
      <c r="C117" s="166" t="s">
        <v>1686</v>
      </c>
      <c r="D117" s="166">
        <v>52171949</v>
      </c>
      <c r="E117" s="93">
        <f>VLOOKUP(A117,'PLANTA SJD'!B:F,3,0)</f>
        <v>52171949</v>
      </c>
      <c r="F117" s="93" t="str">
        <f>VLOOKUP(E117,'PLANTA SJD'!D:F,2,0)</f>
        <v>GLORIA INES MARTINEZ ORTIZ</v>
      </c>
      <c r="G117" s="170">
        <f t="shared" si="0"/>
        <v>0</v>
      </c>
    </row>
    <row r="118" spans="1:7" ht="17.25" customHeight="1">
      <c r="A118" s="166">
        <v>5135</v>
      </c>
      <c r="B118" s="166"/>
      <c r="C118" s="166" t="s">
        <v>1687</v>
      </c>
      <c r="D118" s="166">
        <v>1032448684</v>
      </c>
      <c r="E118" s="93">
        <f>VLOOKUP(A118,'PLANTA SJD'!B:F,3,0)</f>
        <v>0</v>
      </c>
      <c r="F118" s="93" t="e">
        <f>VLOOKUP(E118,'PLANTA SJD'!D:F,2,0)</f>
        <v>#N/A</v>
      </c>
      <c r="G118" s="170">
        <f t="shared" si="0"/>
        <v>1032448684</v>
      </c>
    </row>
    <row r="119" spans="1:7" ht="17.25" customHeight="1">
      <c r="A119" s="166">
        <v>5136</v>
      </c>
      <c r="B119" s="166" t="s">
        <v>1689</v>
      </c>
      <c r="C119" s="166" t="s">
        <v>1317</v>
      </c>
      <c r="D119" s="166"/>
      <c r="E119" s="93">
        <f>VLOOKUP(A119,'PLANTA SJD'!B:F,3,0)</f>
        <v>1015425376</v>
      </c>
      <c r="F119" s="93" t="str">
        <f>VLOOKUP(E119,'PLANTA SJD'!D:F,2,0)</f>
        <v>ALEJANDRA NATALY CASALLAS MARTINEZ</v>
      </c>
      <c r="G119" s="170">
        <f t="shared" si="0"/>
        <v>-1015425376</v>
      </c>
    </row>
    <row r="120" spans="1:7" ht="17.25" customHeight="1">
      <c r="A120" s="166">
        <v>5137</v>
      </c>
      <c r="B120" s="166"/>
      <c r="C120" s="166" t="s">
        <v>1690</v>
      </c>
      <c r="D120" s="166">
        <v>1130593147</v>
      </c>
      <c r="E120" s="93">
        <f>VLOOKUP(A120,'PLANTA SJD'!B:F,3,0)</f>
        <v>1140857415</v>
      </c>
      <c r="F120" s="8" t="str">
        <f>VLOOKUP(E120,'PLANTA SJD'!D:F,2,0)</f>
        <v>ARMANDO JAVIER CALVO ALONSO</v>
      </c>
      <c r="G120" s="170">
        <f t="shared" si="0"/>
        <v>-10264268</v>
      </c>
    </row>
    <row r="121" spans="1:7" ht="17.25" customHeight="1">
      <c r="A121" s="166">
        <v>5138</v>
      </c>
      <c r="B121" s="166"/>
      <c r="C121" s="166" t="s">
        <v>1693</v>
      </c>
      <c r="D121" s="166">
        <v>1136880003</v>
      </c>
      <c r="E121" s="93">
        <f>VLOOKUP(A121,'PLANTA SJD'!B:F,3,0)</f>
        <v>1136880003</v>
      </c>
      <c r="F121" s="93" t="str">
        <f>VLOOKUP(E121,'PLANTA SJD'!D:F,2,0)</f>
        <v>JEIMMY JOHANNA PAEZ GIL</v>
      </c>
      <c r="G121" s="170">
        <f t="shared" si="0"/>
        <v>0</v>
      </c>
    </row>
    <row r="122" spans="1:7" ht="17.25" customHeight="1">
      <c r="A122" s="166">
        <v>5139</v>
      </c>
      <c r="B122" s="166"/>
      <c r="C122" s="166" t="s">
        <v>1694</v>
      </c>
      <c r="D122" s="166">
        <v>1022362951</v>
      </c>
      <c r="E122" s="93">
        <f>VLOOKUP(A122,'PLANTA SJD'!B:F,3,0)</f>
        <v>1022362951</v>
      </c>
      <c r="F122" s="93" t="str">
        <f>VLOOKUP(E122,'PLANTA SJD'!D:F,2,0)</f>
        <v>LUIS CARLOS GAONA FARIAS</v>
      </c>
      <c r="G122" s="170">
        <f t="shared" si="0"/>
        <v>0</v>
      </c>
    </row>
    <row r="123" spans="1:7" ht="17.25" customHeight="1">
      <c r="A123" s="166">
        <v>5140</v>
      </c>
      <c r="B123" s="166"/>
      <c r="C123" s="166" t="s">
        <v>102</v>
      </c>
      <c r="D123" s="166">
        <v>22446641</v>
      </c>
      <c r="E123" s="93">
        <f>VLOOKUP(A123,'PLANTA SJD'!B:F,3,0)</f>
        <v>22446641</v>
      </c>
      <c r="F123" s="93" t="str">
        <f>VLOOKUP(E123,'PLANTA SJD'!D:F,2,0)</f>
        <v>ROSA ISABEL SIERRA LABORDE</v>
      </c>
      <c r="G123" s="170">
        <f t="shared" si="0"/>
        <v>0</v>
      </c>
    </row>
    <row r="124" spans="1:7" ht="17.25" customHeight="1">
      <c r="A124" s="166">
        <v>5141</v>
      </c>
      <c r="B124" s="166"/>
      <c r="C124" s="166" t="s">
        <v>109</v>
      </c>
      <c r="D124" s="166">
        <v>79894605</v>
      </c>
      <c r="E124" s="93">
        <f>VLOOKUP(A124,'PLANTA SJD'!B:F,3,0)</f>
        <v>79894605</v>
      </c>
      <c r="F124" s="93" t="str">
        <f>VLOOKUP(E124,'PLANTA SJD'!D:F,2,0)</f>
        <v>JHON ALEXANDER TIBADUIZA CASTAÃ‘EDA</v>
      </c>
      <c r="G124" s="170">
        <f t="shared" si="0"/>
        <v>0</v>
      </c>
    </row>
    <row r="125" spans="1:7" ht="17.25" customHeight="1">
      <c r="A125" s="166">
        <v>5142</v>
      </c>
      <c r="B125" s="166"/>
      <c r="C125" s="166" t="s">
        <v>1698</v>
      </c>
      <c r="D125" s="166">
        <v>30333406</v>
      </c>
      <c r="E125" s="93">
        <f>VLOOKUP(A125,'PLANTA SJD'!B:F,3,0)</f>
        <v>0</v>
      </c>
      <c r="F125" s="93" t="e">
        <f>VLOOKUP(E125,'PLANTA SJD'!D:F,2,0)</f>
        <v>#N/A</v>
      </c>
      <c r="G125" s="170">
        <f t="shared" si="0"/>
        <v>30333406</v>
      </c>
    </row>
    <row r="126" spans="1:7" ht="17.25" customHeight="1">
      <c r="A126" s="166">
        <v>5143</v>
      </c>
      <c r="B126" s="166"/>
      <c r="C126" s="166" t="s">
        <v>1703</v>
      </c>
      <c r="D126" s="166">
        <v>28488940</v>
      </c>
      <c r="E126" s="93">
        <f>VLOOKUP(A126,'PLANTA SJD'!B:F,3,0)</f>
        <v>28488940</v>
      </c>
      <c r="F126" s="93" t="str">
        <f>VLOOKUP(E126,'PLANTA SJD'!D:F,2,0)</f>
        <v>CAROLINA ANAYA SARMIENTO</v>
      </c>
      <c r="G126" s="170">
        <f t="shared" si="0"/>
        <v>0</v>
      </c>
    </row>
    <row r="127" spans="1:7" ht="17.25" customHeight="1">
      <c r="A127" s="166">
        <v>5144</v>
      </c>
      <c r="B127" s="166"/>
      <c r="C127" s="166" t="s">
        <v>1705</v>
      </c>
      <c r="D127" s="166">
        <v>1032479676</v>
      </c>
      <c r="E127" s="93">
        <f>VLOOKUP(A127,'PLANTA SJD'!B:F,3,0)</f>
        <v>1032479676</v>
      </c>
      <c r="F127" s="93" t="str">
        <f>VLOOKUP(E127,'PLANTA SJD'!D:F,2,0)</f>
        <v>DAVID ALEJANDRO MORA BERMUDEZ</v>
      </c>
      <c r="G127" s="170">
        <f t="shared" si="0"/>
        <v>0</v>
      </c>
    </row>
    <row r="128" spans="1:7" ht="17.25" customHeight="1">
      <c r="A128" s="166">
        <v>5145</v>
      </c>
      <c r="B128" s="166"/>
      <c r="C128" s="166" t="s">
        <v>1706</v>
      </c>
      <c r="D128" s="166">
        <v>79296576</v>
      </c>
      <c r="E128" s="93">
        <f>VLOOKUP(A128,'PLANTA SJD'!B:F,3,0)</f>
        <v>79296576</v>
      </c>
      <c r="F128" s="93" t="str">
        <f>VLOOKUP(E128,'PLANTA SJD'!D:F,2,0)</f>
        <v>JOSE JAVIER PINTO CASTAÃ‘EDA</v>
      </c>
      <c r="G128" s="170">
        <f t="shared" si="0"/>
        <v>0</v>
      </c>
    </row>
    <row r="129" spans="1:7" ht="17.25" customHeight="1">
      <c r="A129" s="166">
        <v>5146</v>
      </c>
      <c r="B129" s="166"/>
      <c r="C129" s="166" t="s">
        <v>1711</v>
      </c>
      <c r="D129" s="166">
        <v>52151785</v>
      </c>
      <c r="E129" s="93">
        <f>VLOOKUP(A129,'PLANTA SJD'!B:F,3,0)</f>
        <v>52151785</v>
      </c>
      <c r="F129" s="93" t="str">
        <f>VLOOKUP(E129,'PLANTA SJD'!D:F,2,0)</f>
        <v>DALIDA VILLANUEVA SANCHEZ</v>
      </c>
      <c r="G129" s="170">
        <f t="shared" si="0"/>
        <v>0</v>
      </c>
    </row>
    <row r="130" spans="1:7" ht="17.25" customHeight="1">
      <c r="A130" s="166">
        <v>5147</v>
      </c>
      <c r="B130" s="166"/>
      <c r="C130" s="166" t="s">
        <v>1715</v>
      </c>
      <c r="D130" s="166">
        <v>1020837889</v>
      </c>
      <c r="E130" s="93">
        <f>VLOOKUP(A130,'PLANTA SJD'!B:F,3,0)</f>
        <v>1020837889</v>
      </c>
      <c r="F130" s="93" t="str">
        <f>VLOOKUP(E130,'PLANTA SJD'!D:F,2,0)</f>
        <v>NICOLAS SANTIAGO SOTO ALBA</v>
      </c>
      <c r="G130" s="170">
        <f t="shared" si="0"/>
        <v>0</v>
      </c>
    </row>
    <row r="131" spans="1:7" ht="17.25" customHeight="1">
      <c r="A131" s="166">
        <v>5148</v>
      </c>
      <c r="B131" s="166"/>
      <c r="C131" s="166" t="s">
        <v>1716</v>
      </c>
      <c r="D131" s="166">
        <v>1072493406</v>
      </c>
      <c r="E131" s="93">
        <f>VLOOKUP(A131,'PLANTA SJD'!B:F,3,0)</f>
        <v>1072493406</v>
      </c>
      <c r="F131" s="93" t="str">
        <f>VLOOKUP(E131,'PLANTA SJD'!D:F,2,0)</f>
        <v>DANIEL FERNANDO BUITRAGO DIAZ</v>
      </c>
      <c r="G131" s="170">
        <f t="shared" si="0"/>
        <v>0</v>
      </c>
    </row>
    <row r="132" spans="1:7" ht="17.25" customHeight="1">
      <c r="A132" s="166">
        <v>5150</v>
      </c>
      <c r="B132" s="166"/>
      <c r="C132" s="174" t="s">
        <v>1720</v>
      </c>
      <c r="D132" s="174">
        <v>52781142</v>
      </c>
      <c r="E132" s="172">
        <f>VLOOKUP(A132,'PLANTA SJD'!B:F,3,0)</f>
        <v>1030618681</v>
      </c>
      <c r="F132" s="172" t="str">
        <f>VLOOKUP(E132,'PLANTA SJD'!D:F,2,0)</f>
        <v>JENNIFER LIZBETH GOMEZ AREVALO</v>
      </c>
      <c r="G132" s="173">
        <f t="shared" si="0"/>
        <v>-977837539</v>
      </c>
    </row>
    <row r="133" spans="1:7" ht="17.25" customHeight="1">
      <c r="A133" s="166">
        <v>5154</v>
      </c>
      <c r="B133" s="166"/>
      <c r="C133" s="166" t="s">
        <v>1721</v>
      </c>
      <c r="D133" s="166">
        <v>1073159399</v>
      </c>
      <c r="E133" s="93">
        <f>VLOOKUP(A133,'PLANTA SJD'!B:F,3,0)</f>
        <v>1073159399</v>
      </c>
      <c r="F133" s="93" t="str">
        <f>VLOOKUP(E133,'PLANTA SJD'!D:F,2,0)</f>
        <v>WENDY PAOLA LEON CITA</v>
      </c>
      <c r="G133" s="170">
        <f t="shared" si="0"/>
        <v>0</v>
      </c>
    </row>
    <row r="134" spans="1:7" ht="17.25" customHeight="1">
      <c r="A134" s="166">
        <v>5155</v>
      </c>
      <c r="B134" s="166"/>
      <c r="C134" s="166" t="s">
        <v>1724</v>
      </c>
      <c r="D134" s="166">
        <v>53100696</v>
      </c>
      <c r="E134" s="93">
        <f>VLOOKUP(A134,'PLANTA SJD'!B:F,3,0)</f>
        <v>53100696</v>
      </c>
      <c r="F134" s="93" t="str">
        <f>VLOOKUP(E134,'PLANTA SJD'!D:F,2,0)</f>
        <v>MARIA VICTORIA TORRES BECERRA</v>
      </c>
      <c r="G134" s="170">
        <f t="shared" si="0"/>
        <v>0</v>
      </c>
    </row>
    <row r="135" spans="1:7" ht="17.25" customHeight="1">
      <c r="A135" s="166">
        <v>5156</v>
      </c>
      <c r="B135" s="166"/>
      <c r="C135" s="166" t="s">
        <v>1727</v>
      </c>
      <c r="D135" s="166">
        <v>52277284</v>
      </c>
      <c r="E135" s="93">
        <f>VLOOKUP(A135,'PLANTA SJD'!B:F,3,0)</f>
        <v>52277284</v>
      </c>
      <c r="F135" s="93" t="str">
        <f>VLOOKUP(E135,'PLANTA SJD'!D:F,2,0)</f>
        <v>MARTHA RUBIELA CRUZ PARDO</v>
      </c>
      <c r="G135" s="170">
        <f t="shared" si="0"/>
        <v>0</v>
      </c>
    </row>
    <row r="136" spans="1:7" ht="17.25" customHeight="1">
      <c r="A136" s="166">
        <v>5157</v>
      </c>
      <c r="B136" s="166" t="s">
        <v>1375</v>
      </c>
      <c r="C136" s="166" t="s">
        <v>1317</v>
      </c>
      <c r="D136" s="166"/>
      <c r="E136" s="93">
        <f>VLOOKUP(A136,'PLANTA SJD'!B:F,3,0)</f>
        <v>79538698</v>
      </c>
      <c r="F136" s="93" t="str">
        <f>VLOOKUP(E136,'PLANTA SJD'!D:F,2,0)</f>
        <v>WILLIAM FONSECA APERADOR</v>
      </c>
      <c r="G136" s="170">
        <f t="shared" si="0"/>
        <v>-79538698</v>
      </c>
    </row>
    <row r="137" spans="1:7" ht="17.25" customHeight="1">
      <c r="A137" s="166">
        <v>5161</v>
      </c>
      <c r="B137" s="166"/>
      <c r="C137" s="166" t="s">
        <v>1730</v>
      </c>
      <c r="D137" s="166">
        <v>1001170136</v>
      </c>
      <c r="E137" s="93">
        <f>VLOOKUP(A137,'PLANTA SJD'!B:F,3,0)</f>
        <v>1001170136</v>
      </c>
      <c r="F137" s="93" t="str">
        <f>VLOOKUP(E137,'PLANTA SJD'!D:F,2,0)</f>
        <v>DIANA YURANY MARTINEZ MARTINEZ</v>
      </c>
      <c r="G137" s="170">
        <f t="shared" si="0"/>
        <v>0</v>
      </c>
    </row>
    <row r="138" spans="1:7" ht="17.25" customHeight="1">
      <c r="A138" s="166">
        <v>5162</v>
      </c>
      <c r="B138" s="166"/>
      <c r="C138" s="166" t="s">
        <v>1317</v>
      </c>
      <c r="D138" s="166"/>
      <c r="E138" s="93">
        <f>VLOOKUP(A138,'PLANTA SJD'!B:F,3,0)</f>
        <v>1014976247</v>
      </c>
      <c r="F138" s="93" t="str">
        <f>VLOOKUP(E138,'PLANTA SJD'!D:F,2,0)</f>
        <v>JUAN ANDRES GUERRERO RAMOS</v>
      </c>
      <c r="G138" s="170">
        <f t="shared" si="0"/>
        <v>-1014976247</v>
      </c>
    </row>
    <row r="139" spans="1:7" ht="17.25" customHeight="1">
      <c r="A139" s="166">
        <v>5163</v>
      </c>
      <c r="B139" s="166"/>
      <c r="C139" s="166" t="s">
        <v>1734</v>
      </c>
      <c r="D139" s="166">
        <v>1015438831</v>
      </c>
      <c r="E139" s="93">
        <f>VLOOKUP(A139,'PLANTA SJD'!B:F,3,0)</f>
        <v>1015438831</v>
      </c>
      <c r="F139" s="93" t="str">
        <f>VLOOKUP(E139,'PLANTA SJD'!D:F,2,0)</f>
        <v>ESTEBAN RAMIREZ CARDENAS</v>
      </c>
      <c r="G139" s="170">
        <f t="shared" si="0"/>
        <v>0</v>
      </c>
    </row>
    <row r="140" spans="1:7" ht="17.25" customHeight="1">
      <c r="A140" s="166">
        <v>5164</v>
      </c>
      <c r="B140" s="166"/>
      <c r="C140" s="166" t="s">
        <v>1317</v>
      </c>
      <c r="D140" s="166"/>
      <c r="E140" s="8">
        <f>VLOOKUP(A140,'PLANTA SJD'!B:F,3,0)</f>
        <v>1007538666</v>
      </c>
      <c r="F140" s="93" t="str">
        <f>VLOOKUP(E140,'PLANTA SJD'!D:F,2,0)</f>
        <v>MARIA PAULA ROCHA VEGA</v>
      </c>
      <c r="G140" s="170">
        <f t="shared" si="0"/>
        <v>-1007538666</v>
      </c>
    </row>
    <row r="141" spans="1:7" ht="17.25" customHeight="1">
      <c r="A141" s="166">
        <v>5165</v>
      </c>
      <c r="B141" s="166"/>
      <c r="C141" s="166" t="s">
        <v>131</v>
      </c>
      <c r="D141" s="166">
        <v>1010176886</v>
      </c>
      <c r="E141" s="93">
        <f>VLOOKUP(A141,'PLANTA SJD'!B:F,3,0)</f>
        <v>1010176886</v>
      </c>
      <c r="F141" s="93" t="str">
        <f>VLOOKUP(E141,'PLANTA SJD'!D:F,2,0)</f>
        <v>JOAN SEBASTIAN FLECHAS ALONSO</v>
      </c>
      <c r="G141" s="170">
        <f t="shared" si="0"/>
        <v>0</v>
      </c>
    </row>
    <row r="142" spans="1:7" ht="17.25" customHeight="1">
      <c r="A142" s="166">
        <v>5167</v>
      </c>
      <c r="B142" s="166"/>
      <c r="C142" s="166" t="s">
        <v>1317</v>
      </c>
      <c r="D142" s="166"/>
      <c r="E142" s="93">
        <f>VLOOKUP(A142,'PLANTA SJD'!B:F,3,0)</f>
        <v>1030597508</v>
      </c>
      <c r="F142" s="8" t="str">
        <f>VLOOKUP(E142,'PLANTA SJD'!D:F,2,0)</f>
        <v>DORA RAQUEL BARRERA PALACIO</v>
      </c>
      <c r="G142" s="170">
        <f t="shared" si="0"/>
        <v>-1030597508</v>
      </c>
    </row>
    <row r="143" spans="1:7" ht="17.25" customHeight="1">
      <c r="A143" s="166">
        <v>5041</v>
      </c>
      <c r="B143" s="166"/>
      <c r="C143" s="166" t="s">
        <v>1737</v>
      </c>
      <c r="D143" s="166">
        <v>53014890</v>
      </c>
      <c r="E143" s="93">
        <f>VLOOKUP(A143,'PLANTA SJD'!B:F,3,0)</f>
        <v>80197320</v>
      </c>
      <c r="F143" s="93" t="str">
        <f>VLOOKUP(E143,'PLANTA SJD'!D:F,2,0)</f>
        <v>CAMILO ALFONSO GUARIN PRIETO</v>
      </c>
      <c r="G143" s="170">
        <f t="shared" si="0"/>
        <v>-27182430</v>
      </c>
    </row>
    <row r="144" spans="1:7" ht="17.25" customHeight="1">
      <c r="A144" s="166">
        <v>5021</v>
      </c>
      <c r="B144" s="166" t="s">
        <v>1375</v>
      </c>
      <c r="C144" s="166" t="s">
        <v>1317</v>
      </c>
      <c r="D144" s="166"/>
      <c r="E144" s="93">
        <f>VLOOKUP(A144,'PLANTA SJD'!B:F,3,0)</f>
        <v>79048737</v>
      </c>
      <c r="F144" s="93" t="str">
        <f>VLOOKUP(E144,'PLANTA SJD'!D:F,2,0)</f>
        <v>PABLO  DANIEL PULIDO SALAMANCA</v>
      </c>
      <c r="G144" s="170">
        <f t="shared" si="0"/>
        <v>-79048737</v>
      </c>
    </row>
    <row r="145" spans="1:7" ht="17.25" customHeight="1">
      <c r="A145" s="166">
        <v>5038</v>
      </c>
      <c r="B145" s="166"/>
      <c r="C145" s="166" t="s">
        <v>1741</v>
      </c>
      <c r="D145" s="166">
        <v>41732503</v>
      </c>
      <c r="E145" s="93">
        <f>VLOOKUP(A145,'PLANTA SJD'!B:F,3,0)</f>
        <v>41732503</v>
      </c>
      <c r="F145" s="93" t="str">
        <f>VLOOKUP(E145,'PLANTA SJD'!D:F,2,0)</f>
        <v>GABRIELINA VELASQUEZ CABRERA</v>
      </c>
      <c r="G145" s="170">
        <f t="shared" si="0"/>
        <v>0</v>
      </c>
    </row>
    <row r="146" spans="1:7" ht="17.25" customHeight="1">
      <c r="A146" s="166">
        <v>5030</v>
      </c>
      <c r="B146" s="166"/>
      <c r="C146" s="166" t="s">
        <v>1742</v>
      </c>
      <c r="D146" s="166">
        <v>79468462</v>
      </c>
      <c r="E146" s="93">
        <f>VLOOKUP(A146,'PLANTA SJD'!B:F,3,0)</f>
        <v>79468462</v>
      </c>
      <c r="F146" s="93" t="str">
        <f>VLOOKUP(E146,'PLANTA SJD'!D:F,2,0)</f>
        <v>EDGAR ANDRES GARCIA GARAVITO</v>
      </c>
      <c r="G146" s="170">
        <f t="shared" si="0"/>
        <v>0</v>
      </c>
    </row>
    <row r="147" spans="1:7" ht="17.25" customHeight="1">
      <c r="A147" s="166">
        <v>5133</v>
      </c>
      <c r="B147" s="166"/>
      <c r="C147" s="166" t="s">
        <v>1744</v>
      </c>
      <c r="D147" s="166">
        <v>79361343</v>
      </c>
      <c r="E147" s="93">
        <f>VLOOKUP(A147,'PLANTA SJD'!B:F,3,0)</f>
        <v>79361343</v>
      </c>
      <c r="F147" s="93" t="str">
        <f>VLOOKUP(E147,'PLANTA SJD'!D:F,2,0)</f>
        <v>VICTOR HERNANDO MURILLO HURTADO</v>
      </c>
      <c r="G147" s="170">
        <f t="shared" si="0"/>
        <v>0</v>
      </c>
    </row>
    <row r="148" spans="1:7" ht="17.25" customHeight="1">
      <c r="A148" s="166">
        <v>5087</v>
      </c>
      <c r="B148" s="166"/>
      <c r="C148" s="166" t="s">
        <v>1746</v>
      </c>
      <c r="D148" s="166">
        <v>53166058</v>
      </c>
      <c r="E148" s="93">
        <f>VLOOKUP(A148,'PLANTA SJD'!B:F,3,0)</f>
        <v>30333406</v>
      </c>
      <c r="F148" s="93" t="str">
        <f>VLOOKUP(E148,'PLANTA SJD'!D:F,2,0)</f>
        <v>ALEXANDRA AVILA MARIN</v>
      </c>
      <c r="G148" s="170">
        <f t="shared" si="0"/>
        <v>22832652</v>
      </c>
    </row>
    <row r="149" spans="1:7" ht="17.25" customHeight="1">
      <c r="A149" s="166">
        <v>5153</v>
      </c>
      <c r="B149" s="166"/>
      <c r="C149" s="166" t="s">
        <v>1317</v>
      </c>
      <c r="D149" s="166"/>
      <c r="E149" s="93">
        <f>VLOOKUP(A149,'PLANTA SJD'!B:F,3,0)</f>
        <v>79431243</v>
      </c>
      <c r="F149" s="93" t="str">
        <f>VLOOKUP(E149,'PLANTA SJD'!D:F,2,0)</f>
        <v>WALTER OSPINA ZAPATA</v>
      </c>
      <c r="G149" s="170">
        <f t="shared" si="0"/>
        <v>-79431243</v>
      </c>
    </row>
    <row r="150" spans="1:7" ht="17.25" customHeight="1">
      <c r="A150" s="166">
        <v>5024</v>
      </c>
      <c r="B150" s="166"/>
      <c r="C150" s="166" t="s">
        <v>1749</v>
      </c>
      <c r="D150" s="166">
        <v>79262614</v>
      </c>
      <c r="E150" s="93">
        <f>VLOOKUP(A150,'PLANTA SJD'!B:F,3,0)</f>
        <v>79262614</v>
      </c>
      <c r="F150" s="93" t="str">
        <f>VLOOKUP(E150,'PLANTA SJD'!D:F,2,0)</f>
        <v>OSCAR  ERNESTO LOPEZ ACUÃ‘A</v>
      </c>
      <c r="G150" s="170">
        <f t="shared" si="0"/>
        <v>0</v>
      </c>
    </row>
    <row r="151" spans="1:7" ht="17.25" customHeight="1">
      <c r="A151" s="166">
        <v>5099</v>
      </c>
      <c r="B151" s="166"/>
      <c r="C151" s="176" t="s">
        <v>61</v>
      </c>
      <c r="D151" s="166">
        <v>73155098</v>
      </c>
      <c r="E151" s="172">
        <f>VLOOKUP(A151,'PLANTA SJD'!B:F,3,0)</f>
        <v>1010213468</v>
      </c>
      <c r="F151" s="172" t="str">
        <f>VLOOKUP(E151,'PLANTA SJD'!D:F,2,0)</f>
        <v>LEIDY VANESSA NIETO ROJAS</v>
      </c>
      <c r="G151" s="173">
        <f t="shared" si="0"/>
        <v>-937058370</v>
      </c>
    </row>
    <row r="152" spans="1:7" ht="17.25" customHeight="1">
      <c r="A152" s="166">
        <v>5013</v>
      </c>
      <c r="B152" s="166"/>
      <c r="C152" s="166" t="s">
        <v>1757</v>
      </c>
      <c r="D152" s="166">
        <v>79138328</v>
      </c>
      <c r="E152" s="93">
        <f>VLOOKUP(A152,'PLANTA SJD'!B:F,3,0)</f>
        <v>79138328</v>
      </c>
      <c r="F152" s="93" t="str">
        <f>VLOOKUP(E152,'PLANTA SJD'!D:F,2,0)</f>
        <v>ALEX CORTES SALGADO</v>
      </c>
      <c r="G152" s="170">
        <f t="shared" si="0"/>
        <v>0</v>
      </c>
    </row>
    <row r="153" spans="1:7" ht="17.25" customHeight="1">
      <c r="A153" s="166">
        <v>5096</v>
      </c>
      <c r="B153" s="166"/>
      <c r="C153" s="166" t="s">
        <v>1759</v>
      </c>
      <c r="D153" s="166">
        <v>8526853</v>
      </c>
      <c r="E153" s="93">
        <f>VLOOKUP(A153,'PLANTA SJD'!B:F,3,0)</f>
        <v>8526853</v>
      </c>
      <c r="F153" s="93" t="str">
        <f>VLOOKUP(E153,'PLANTA SJD'!D:F,2,0)</f>
        <v>EURANIO JOSE MANOTAS MALDONADO</v>
      </c>
      <c r="G153" s="170">
        <f t="shared" si="0"/>
        <v>0</v>
      </c>
    </row>
    <row r="154" spans="1:7" ht="17.25" customHeight="1">
      <c r="A154" s="166">
        <v>5016</v>
      </c>
      <c r="B154" s="166"/>
      <c r="C154" s="166" t="s">
        <v>1764</v>
      </c>
      <c r="D154" s="166">
        <v>1012339868</v>
      </c>
      <c r="E154" s="172">
        <f>VLOOKUP(A154,'PLANTA SJD'!B:F,3,0)</f>
        <v>1027523637</v>
      </c>
      <c r="F154" s="172" t="str">
        <f>VLOOKUP(E154,'PLANTA SJD'!D:F,2,0)</f>
        <v>ANGELA LISETH MUÃ‘OZ BEDOYA</v>
      </c>
      <c r="G154" s="173">
        <f t="shared" si="0"/>
        <v>-15183769</v>
      </c>
    </row>
    <row r="155" spans="1:7" ht="17.25" customHeight="1">
      <c r="A155" s="166">
        <v>5159</v>
      </c>
      <c r="B155" s="166"/>
      <c r="C155" s="166" t="s">
        <v>1769</v>
      </c>
      <c r="D155" s="166">
        <v>1085338624</v>
      </c>
      <c r="E155" s="93">
        <f>VLOOKUP(A155,'PLANTA SJD'!B:F,3,0)</f>
        <v>1085338624</v>
      </c>
      <c r="F155" s="93" t="str">
        <f>VLOOKUP(E155,'PLANTA SJD'!D:F,2,0)</f>
        <v>JUAN DIEGO ACOSTA TORRES</v>
      </c>
      <c r="G155" s="170">
        <f t="shared" si="0"/>
        <v>0</v>
      </c>
    </row>
    <row r="156" spans="1:7" ht="17.25" customHeight="1">
      <c r="A156" s="166">
        <v>5088</v>
      </c>
      <c r="B156" s="166"/>
      <c r="C156" s="166" t="s">
        <v>1770</v>
      </c>
      <c r="D156" s="166">
        <v>80022321</v>
      </c>
      <c r="E156" s="93">
        <f>VLOOKUP(A156,'PLANTA SJD'!B:F,3,0)</f>
        <v>80022321</v>
      </c>
      <c r="F156" s="93" t="str">
        <f>VLOOKUP(E156,'PLANTA SJD'!D:F,2,0)</f>
        <v>SAMUEL ARTURO HERNANDEZ MURCIA</v>
      </c>
      <c r="G156" s="170">
        <f t="shared" si="0"/>
        <v>0</v>
      </c>
    </row>
    <row r="157" spans="1:7" ht="17.25" customHeight="1">
      <c r="A157" s="166">
        <v>5151</v>
      </c>
      <c r="B157" s="166"/>
      <c r="C157" s="166" t="s">
        <v>1773</v>
      </c>
      <c r="D157" s="166">
        <v>51961579</v>
      </c>
      <c r="E157" s="93">
        <f>VLOOKUP(A157,'PLANTA SJD'!B:F,3,0)</f>
        <v>51961579</v>
      </c>
      <c r="F157" s="93" t="str">
        <f>VLOOKUP(E157,'PLANTA SJD'!D:F,2,0)</f>
        <v>AZULA URIBE CABALLERO</v>
      </c>
      <c r="G157" s="170">
        <f t="shared" si="0"/>
        <v>0</v>
      </c>
    </row>
    <row r="158" spans="1:7" ht="17.25" customHeight="1">
      <c r="A158" s="166">
        <v>5091</v>
      </c>
      <c r="B158" s="166"/>
      <c r="C158" s="166" t="s">
        <v>1776</v>
      </c>
      <c r="D158" s="166">
        <v>52646082</v>
      </c>
      <c r="E158" s="93">
        <f>VLOOKUP(A158,'PLANTA SJD'!B:F,3,0)</f>
        <v>0</v>
      </c>
      <c r="F158" s="172" t="e">
        <f>VLOOKUP(E158,'PLANTA SJD'!D:F,2,0)</f>
        <v>#N/A</v>
      </c>
      <c r="G158" s="173">
        <f t="shared" si="0"/>
        <v>52646082</v>
      </c>
    </row>
    <row r="159" spans="1:7" ht="17.25" customHeight="1">
      <c r="A159" s="166">
        <v>5031</v>
      </c>
      <c r="B159" s="166"/>
      <c r="C159" s="166" t="s">
        <v>1779</v>
      </c>
      <c r="D159" s="166">
        <v>1030548160</v>
      </c>
      <c r="E159" s="93">
        <f>VLOOKUP(A159,'PLANTA SJD'!B:F,3,0)</f>
        <v>1030548160</v>
      </c>
      <c r="F159" s="93" t="str">
        <f>VLOOKUP(E159,'PLANTA SJD'!D:F,2,0)</f>
        <v>FREDY ESTEBAN JAIMES CASTILLO</v>
      </c>
      <c r="G159" s="170">
        <f t="shared" si="0"/>
        <v>0</v>
      </c>
    </row>
    <row r="160" spans="1:7" ht="17.25" customHeight="1">
      <c r="A160" s="166">
        <v>5097</v>
      </c>
      <c r="B160" s="166"/>
      <c r="C160" s="166" t="s">
        <v>1782</v>
      </c>
      <c r="D160" s="166">
        <v>1018435583</v>
      </c>
      <c r="E160" s="93">
        <f>VLOOKUP(A160,'PLANTA SJD'!B:F,3,0)</f>
        <v>53165390</v>
      </c>
      <c r="F160" s="93" t="str">
        <f>VLOOKUP(E160,'PLANTA SJD'!D:F,2,0)</f>
        <v>LEIDY JOHANNA HERRERA MENDEZ</v>
      </c>
      <c r="G160" s="170">
        <f t="shared" si="0"/>
        <v>965270193</v>
      </c>
    </row>
    <row r="161" spans="1:7" ht="17.25" customHeight="1">
      <c r="A161" s="166">
        <v>5034</v>
      </c>
      <c r="B161" s="166"/>
      <c r="C161" s="166" t="s">
        <v>1317</v>
      </c>
      <c r="D161" s="166"/>
      <c r="E161" s="93">
        <f>VLOOKUP(A161,'PLANTA SJD'!B:F,3,0)</f>
        <v>1122727530</v>
      </c>
      <c r="F161" s="93" t="str">
        <f>VLOOKUP(E161,'PLANTA SJD'!D:F,2,0)</f>
        <v>JESSE JOSE VILLEGAS CABRERA</v>
      </c>
      <c r="G161" s="170">
        <f t="shared" si="0"/>
        <v>-1122727530</v>
      </c>
    </row>
    <row r="162" spans="1:7" ht="17.25" customHeight="1">
      <c r="A162" s="166">
        <v>5160</v>
      </c>
      <c r="B162" s="166"/>
      <c r="C162" s="166" t="s">
        <v>1788</v>
      </c>
      <c r="D162" s="166">
        <v>1005488395</v>
      </c>
      <c r="E162" s="93">
        <f>VLOOKUP(A162,'PLANTA SJD'!B:F,3,0)</f>
        <v>1005488395</v>
      </c>
      <c r="F162" s="93" t="str">
        <f>VLOOKUP(E162,'PLANTA SJD'!D:F,2,0)</f>
        <v>JEFFERSON JOSE OSUNA BERRIO</v>
      </c>
      <c r="G162" s="170">
        <f t="shared" si="0"/>
        <v>0</v>
      </c>
    </row>
    <row r="163" spans="1:7" ht="17.25" customHeight="1">
      <c r="A163" s="166">
        <v>5166</v>
      </c>
      <c r="B163" s="166"/>
      <c r="C163" s="166" t="s">
        <v>1790</v>
      </c>
      <c r="D163" s="166">
        <v>1024566898</v>
      </c>
      <c r="E163" s="93">
        <f>VLOOKUP(A163,'PLANTA SJD'!B:F,3,0)</f>
        <v>1024566898</v>
      </c>
      <c r="F163" s="93" t="str">
        <f>VLOOKUP(E163,'PLANTA SJD'!D:F,2,0)</f>
        <v>ALVARO FELIPE ALEJO CASTIBLANCO</v>
      </c>
      <c r="G163" s="170">
        <f t="shared" si="0"/>
        <v>0</v>
      </c>
    </row>
    <row r="164" spans="1:7" ht="17.25" customHeight="1">
      <c r="A164" s="166">
        <v>5017</v>
      </c>
      <c r="B164" s="166"/>
      <c r="C164" s="166" t="s">
        <v>1317</v>
      </c>
      <c r="D164" s="166"/>
      <c r="E164" s="93">
        <f>VLOOKUP(A164,'PLANTA SJD'!B:F,3,0)</f>
        <v>1015409873</v>
      </c>
      <c r="F164" s="172" t="str">
        <f>VLOOKUP(E164,'PLANTA SJD'!D:F,2,0)</f>
        <v>LIZETH MAYERLY VILLARRAGA ROJAS</v>
      </c>
      <c r="G164" s="173">
        <f t="shared" si="0"/>
        <v>-1015409873</v>
      </c>
    </row>
    <row r="165" spans="1:7" ht="17.25" customHeight="1">
      <c r="A165" s="166">
        <v>5037</v>
      </c>
      <c r="B165" s="166"/>
      <c r="C165" s="166" t="s">
        <v>1793</v>
      </c>
      <c r="D165" s="166">
        <v>1075256570</v>
      </c>
      <c r="E165" s="93">
        <f>VLOOKUP(A165,'PLANTA SJD'!B:F,3,0)</f>
        <v>1075256570</v>
      </c>
      <c r="F165" s="93" t="str">
        <f>VLOOKUP(E165,'PLANTA SJD'!D:F,2,0)</f>
        <v>DURLEY SOTELO HOYOS</v>
      </c>
      <c r="G165" s="170">
        <f t="shared" si="0"/>
        <v>0</v>
      </c>
    </row>
    <row r="166" spans="1:7" ht="17.25" customHeight="1">
      <c r="A166" s="166">
        <v>5020</v>
      </c>
      <c r="B166" s="166"/>
      <c r="C166" s="166" t="s">
        <v>1317</v>
      </c>
      <c r="D166" s="166"/>
      <c r="E166" s="8">
        <f>VLOOKUP(A166,'PLANTA SJD'!B:F,3,0)</f>
        <v>1193101660</v>
      </c>
      <c r="F166" s="93" t="str">
        <f>VLOOKUP(E166,'PLANTA SJD'!D:F,2,0)</f>
        <v>MARIA GABRIELA TREJO CHAVES</v>
      </c>
      <c r="G166" s="170">
        <f t="shared" si="0"/>
        <v>-1193101660</v>
      </c>
    </row>
    <row r="167" spans="1:7" ht="17.25" customHeight="1">
      <c r="A167" s="166">
        <v>5149</v>
      </c>
      <c r="B167" s="166"/>
      <c r="C167" s="166" t="s">
        <v>1798</v>
      </c>
      <c r="D167" s="166">
        <v>79994178</v>
      </c>
      <c r="E167" s="93">
        <f>VLOOKUP(A167,'PLANTA SJD'!B:F,3,0)</f>
        <v>79994178</v>
      </c>
      <c r="F167" s="93" t="str">
        <f>VLOOKUP(E167,'PLANTA SJD'!D:F,2,0)</f>
        <v>RODRIGO DIDIER MUÃ‘OZ CONTRERAS</v>
      </c>
      <c r="G167" s="170">
        <f t="shared" si="0"/>
        <v>0</v>
      </c>
    </row>
    <row r="168" spans="1:7" ht="17.25" customHeight="1">
      <c r="A168" s="166">
        <v>5086</v>
      </c>
      <c r="B168" s="166"/>
      <c r="C168" s="166" t="s">
        <v>1800</v>
      </c>
      <c r="D168" s="166">
        <v>79569642</v>
      </c>
      <c r="E168" s="93">
        <f>VLOOKUP(A168,'PLANTA SJD'!B:F,3,0)</f>
        <v>52337438</v>
      </c>
      <c r="F168" s="172" t="str">
        <f>VLOOKUP(E168,'PLANTA SJD'!D:F,2,0)</f>
        <v>CHEILA ALEXANDRA ALVARADO ROJAS</v>
      </c>
      <c r="G168" s="173">
        <f t="shared" si="0"/>
        <v>27232204</v>
      </c>
    </row>
    <row r="169" spans="1:7" ht="17.25" customHeight="1">
      <c r="A169" s="166">
        <v>5152</v>
      </c>
      <c r="B169" s="166"/>
      <c r="C169" s="166" t="s">
        <v>1803</v>
      </c>
      <c r="D169" s="166">
        <v>52281297</v>
      </c>
      <c r="E169" s="93">
        <f>VLOOKUP(A169,'PLANTA SJD'!B:F,3,0)</f>
        <v>52281297</v>
      </c>
      <c r="F169" s="93" t="str">
        <f>VLOOKUP(E169,'PLANTA SJD'!D:F,2,0)</f>
        <v>ANA JULIETH GIL HERRERA</v>
      </c>
      <c r="G169" s="170">
        <f t="shared" si="0"/>
        <v>0</v>
      </c>
    </row>
    <row r="170" spans="1:7" ht="17.25" customHeight="1">
      <c r="A170" s="166">
        <v>5158</v>
      </c>
      <c r="B170" s="166"/>
      <c r="C170" s="166" t="s">
        <v>1806</v>
      </c>
      <c r="D170" s="166">
        <v>1030618681</v>
      </c>
      <c r="E170" s="93">
        <f>VLOOKUP(A170,'PLANTA SJD'!B:F,3,0)</f>
        <v>51732443</v>
      </c>
      <c r="F170" s="93" t="str">
        <f>VLOOKUP(E170,'PLANTA SJD'!D:F,2,0)</f>
        <v>ACENETH TORRES ROJAS</v>
      </c>
      <c r="G170" s="170">
        <f t="shared" si="0"/>
        <v>978886238</v>
      </c>
    </row>
    <row r="171" spans="1:7" ht="17.25" customHeight="1">
      <c r="A171" s="166">
        <v>5098</v>
      </c>
      <c r="B171" s="166"/>
      <c r="C171" s="166" t="s">
        <v>1808</v>
      </c>
      <c r="D171" s="166">
        <v>52429411</v>
      </c>
      <c r="E171" s="93">
        <f>VLOOKUP(A171,'PLANTA SJD'!B:F,3,0)</f>
        <v>52429411</v>
      </c>
      <c r="F171" s="93" t="str">
        <f>VLOOKUP(E171,'PLANTA SJD'!D:F,2,0)</f>
        <v>ANDREA DEL PILAR CARDENAS SARMIENTO</v>
      </c>
      <c r="G171" s="170">
        <f t="shared" si="0"/>
        <v>0</v>
      </c>
    </row>
    <row r="172" spans="1:7" ht="15.75" customHeight="1">
      <c r="G172" s="177"/>
    </row>
    <row r="173" spans="1:7" ht="15.75" customHeight="1">
      <c r="G173" s="177"/>
    </row>
    <row r="174" spans="1:7" ht="15.75" customHeight="1">
      <c r="G174" s="177"/>
    </row>
    <row r="175" spans="1:7" ht="15.75" customHeight="1">
      <c r="G175" s="177"/>
    </row>
    <row r="176" spans="1:7" ht="15.75" customHeight="1">
      <c r="G176" s="177"/>
    </row>
    <row r="177" spans="7:7" ht="15.75" customHeight="1">
      <c r="G177" s="177"/>
    </row>
    <row r="178" spans="7:7" ht="15.75" customHeight="1">
      <c r="G178" s="177"/>
    </row>
    <row r="179" spans="7:7" ht="15.75" customHeight="1">
      <c r="G179" s="177"/>
    </row>
    <row r="180" spans="7:7" ht="15.75" customHeight="1">
      <c r="G180" s="177"/>
    </row>
    <row r="181" spans="7:7" ht="15.75" customHeight="1">
      <c r="G181" s="177"/>
    </row>
    <row r="182" spans="7:7" ht="15.75" customHeight="1">
      <c r="G182" s="177"/>
    </row>
    <row r="183" spans="7:7" ht="15.75" customHeight="1">
      <c r="G183" s="177"/>
    </row>
    <row r="184" spans="7:7" ht="15.75" customHeight="1">
      <c r="G184" s="177"/>
    </row>
    <row r="185" spans="7:7" ht="15.75" customHeight="1">
      <c r="G185" s="177"/>
    </row>
    <row r="186" spans="7:7" ht="15.75" customHeight="1">
      <c r="G186" s="177"/>
    </row>
    <row r="187" spans="7:7" ht="15.75" customHeight="1">
      <c r="G187" s="177"/>
    </row>
    <row r="188" spans="7:7" ht="15.75" customHeight="1">
      <c r="G188" s="177"/>
    </row>
    <row r="189" spans="7:7" ht="15.75" customHeight="1">
      <c r="G189" s="177"/>
    </row>
    <row r="190" spans="7:7" ht="15.75" customHeight="1">
      <c r="G190" s="177"/>
    </row>
    <row r="191" spans="7:7" ht="15.75" customHeight="1">
      <c r="G191" s="177"/>
    </row>
    <row r="192" spans="7:7" ht="15.75" customHeight="1">
      <c r="G192" s="177"/>
    </row>
    <row r="193" spans="7:7" ht="15.75" customHeight="1">
      <c r="G193" s="177"/>
    </row>
    <row r="194" spans="7:7" ht="15.75" customHeight="1">
      <c r="G194" s="177"/>
    </row>
    <row r="195" spans="7:7" ht="15.75" customHeight="1">
      <c r="G195" s="177"/>
    </row>
    <row r="196" spans="7:7" ht="15.75" customHeight="1">
      <c r="G196" s="177"/>
    </row>
    <row r="197" spans="7:7" ht="15.75" customHeight="1">
      <c r="G197" s="177"/>
    </row>
    <row r="198" spans="7:7" ht="15.75" customHeight="1">
      <c r="G198" s="177"/>
    </row>
    <row r="199" spans="7:7" ht="15.75" customHeight="1">
      <c r="G199" s="177"/>
    </row>
    <row r="200" spans="7:7" ht="15.75" customHeight="1">
      <c r="G200" s="177"/>
    </row>
    <row r="201" spans="7:7" ht="15.75" customHeight="1">
      <c r="G201" s="177"/>
    </row>
    <row r="202" spans="7:7" ht="15.75" customHeight="1">
      <c r="G202" s="177"/>
    </row>
    <row r="203" spans="7:7" ht="15.75" customHeight="1">
      <c r="G203" s="177"/>
    </row>
    <row r="204" spans="7:7" ht="15.75" customHeight="1">
      <c r="G204" s="177"/>
    </row>
    <row r="205" spans="7:7" ht="15.75" customHeight="1">
      <c r="G205" s="177"/>
    </row>
    <row r="206" spans="7:7" ht="15.75" customHeight="1">
      <c r="G206" s="177"/>
    </row>
    <row r="207" spans="7:7" ht="15.75" customHeight="1">
      <c r="G207" s="177"/>
    </row>
    <row r="208" spans="7:7" ht="15.75" customHeight="1">
      <c r="G208" s="177"/>
    </row>
    <row r="209" spans="7:7" ht="15.75" customHeight="1">
      <c r="G209" s="177"/>
    </row>
    <row r="210" spans="7:7" ht="15.75" customHeight="1">
      <c r="G210" s="177"/>
    </row>
    <row r="211" spans="7:7" ht="15.75" customHeight="1">
      <c r="G211" s="177"/>
    </row>
    <row r="212" spans="7:7" ht="15.75" customHeight="1">
      <c r="G212" s="177"/>
    </row>
    <row r="213" spans="7:7" ht="15.75" customHeight="1">
      <c r="G213" s="177"/>
    </row>
    <row r="214" spans="7:7" ht="15.75" customHeight="1">
      <c r="G214" s="177"/>
    </row>
    <row r="215" spans="7:7" ht="15.75" customHeight="1">
      <c r="G215" s="177"/>
    </row>
    <row r="216" spans="7:7" ht="15.75" customHeight="1">
      <c r="G216" s="177"/>
    </row>
    <row r="217" spans="7:7" ht="15.75" customHeight="1">
      <c r="G217" s="177"/>
    </row>
    <row r="218" spans="7:7" ht="15.75" customHeight="1">
      <c r="G218" s="177"/>
    </row>
    <row r="219" spans="7:7" ht="15.75" customHeight="1">
      <c r="G219" s="177"/>
    </row>
    <row r="220" spans="7:7" ht="15.75" customHeight="1">
      <c r="G220" s="177"/>
    </row>
    <row r="221" spans="7:7" ht="15.75" customHeight="1">
      <c r="G221" s="177"/>
    </row>
    <row r="222" spans="7:7" ht="15.75" customHeight="1">
      <c r="G222" s="177"/>
    </row>
    <row r="223" spans="7:7" ht="15.75" customHeight="1">
      <c r="G223" s="177"/>
    </row>
    <row r="224" spans="7:7" ht="15.75" customHeight="1">
      <c r="G224" s="177"/>
    </row>
    <row r="225" spans="7:7" ht="15.75" customHeight="1">
      <c r="G225" s="177"/>
    </row>
    <row r="226" spans="7:7" ht="15.75" customHeight="1">
      <c r="G226" s="177"/>
    </row>
    <row r="227" spans="7:7" ht="15.75" customHeight="1">
      <c r="G227" s="177"/>
    </row>
    <row r="228" spans="7:7" ht="15.75" customHeight="1">
      <c r="G228" s="177"/>
    </row>
    <row r="229" spans="7:7" ht="15.75" customHeight="1">
      <c r="G229" s="177"/>
    </row>
    <row r="230" spans="7:7" ht="15.75" customHeight="1">
      <c r="G230" s="177"/>
    </row>
    <row r="231" spans="7:7" ht="15.75" customHeight="1">
      <c r="G231" s="177"/>
    </row>
    <row r="232" spans="7:7" ht="15.75" customHeight="1">
      <c r="G232" s="177"/>
    </row>
    <row r="233" spans="7:7" ht="15.75" customHeight="1">
      <c r="G233" s="177"/>
    </row>
    <row r="234" spans="7:7" ht="15.75" customHeight="1">
      <c r="G234" s="177"/>
    </row>
    <row r="235" spans="7:7" ht="15.75" customHeight="1">
      <c r="G235" s="177"/>
    </row>
    <row r="236" spans="7:7" ht="15.75" customHeight="1">
      <c r="G236" s="177"/>
    </row>
    <row r="237" spans="7:7" ht="15.75" customHeight="1">
      <c r="G237" s="177"/>
    </row>
    <row r="238" spans="7:7" ht="15.75" customHeight="1">
      <c r="G238" s="177"/>
    </row>
    <row r="239" spans="7:7" ht="15.75" customHeight="1">
      <c r="G239" s="177"/>
    </row>
    <row r="240" spans="7:7" ht="15.75" customHeight="1">
      <c r="G240" s="177"/>
    </row>
    <row r="241" spans="7:7" ht="15.75" customHeight="1">
      <c r="G241" s="177"/>
    </row>
    <row r="242" spans="7:7" ht="15.75" customHeight="1">
      <c r="G242" s="177"/>
    </row>
    <row r="243" spans="7:7" ht="15.75" customHeight="1">
      <c r="G243" s="177"/>
    </row>
    <row r="244" spans="7:7" ht="15.75" customHeight="1">
      <c r="G244" s="177"/>
    </row>
    <row r="245" spans="7:7" ht="15.75" customHeight="1">
      <c r="G245" s="177"/>
    </row>
    <row r="246" spans="7:7" ht="15.75" customHeight="1">
      <c r="G246" s="177"/>
    </row>
    <row r="247" spans="7:7" ht="15.75" customHeight="1">
      <c r="G247" s="177"/>
    </row>
    <row r="248" spans="7:7" ht="15.75" customHeight="1">
      <c r="G248" s="177"/>
    </row>
    <row r="249" spans="7:7" ht="15.75" customHeight="1">
      <c r="G249" s="177"/>
    </row>
    <row r="250" spans="7:7" ht="15.75" customHeight="1">
      <c r="G250" s="177"/>
    </row>
    <row r="251" spans="7:7" ht="15.75" customHeight="1">
      <c r="G251" s="177"/>
    </row>
    <row r="252" spans="7:7" ht="15.75" customHeight="1">
      <c r="G252" s="177"/>
    </row>
    <row r="253" spans="7:7" ht="15.75" customHeight="1">
      <c r="G253" s="177"/>
    </row>
    <row r="254" spans="7:7" ht="15.75" customHeight="1">
      <c r="G254" s="177"/>
    </row>
    <row r="255" spans="7:7" ht="15.75" customHeight="1">
      <c r="G255" s="177"/>
    </row>
    <row r="256" spans="7:7" ht="15.75" customHeight="1">
      <c r="G256" s="177"/>
    </row>
    <row r="257" spans="7:7" ht="15.75" customHeight="1">
      <c r="G257" s="177"/>
    </row>
    <row r="258" spans="7:7" ht="15.75" customHeight="1">
      <c r="G258" s="177"/>
    </row>
    <row r="259" spans="7:7" ht="15.75" customHeight="1">
      <c r="G259" s="177"/>
    </row>
    <row r="260" spans="7:7" ht="15.75" customHeight="1">
      <c r="G260" s="177"/>
    </row>
    <row r="261" spans="7:7" ht="15.75" customHeight="1">
      <c r="G261" s="177"/>
    </row>
    <row r="262" spans="7:7" ht="15.75" customHeight="1">
      <c r="G262" s="177"/>
    </row>
    <row r="263" spans="7:7" ht="15.75" customHeight="1">
      <c r="G263" s="177"/>
    </row>
    <row r="264" spans="7:7" ht="15.75" customHeight="1">
      <c r="G264" s="177"/>
    </row>
    <row r="265" spans="7:7" ht="15.75" customHeight="1">
      <c r="G265" s="177"/>
    </row>
    <row r="266" spans="7:7" ht="15.75" customHeight="1">
      <c r="G266" s="177"/>
    </row>
    <row r="267" spans="7:7" ht="15.75" customHeight="1">
      <c r="G267" s="177"/>
    </row>
    <row r="268" spans="7:7" ht="15.75" customHeight="1">
      <c r="G268" s="177"/>
    </row>
    <row r="269" spans="7:7" ht="15.75" customHeight="1">
      <c r="G269" s="177"/>
    </row>
    <row r="270" spans="7:7" ht="15.75" customHeight="1">
      <c r="G270" s="177"/>
    </row>
    <row r="271" spans="7:7" ht="15.75" customHeight="1">
      <c r="G271" s="177"/>
    </row>
    <row r="272" spans="7:7" ht="15.75" customHeight="1">
      <c r="G272" s="177"/>
    </row>
    <row r="273" spans="7:7" ht="15.75" customHeight="1">
      <c r="G273" s="177"/>
    </row>
    <row r="274" spans="7:7" ht="15.75" customHeight="1">
      <c r="G274" s="177"/>
    </row>
    <row r="275" spans="7:7" ht="15.75" customHeight="1">
      <c r="G275" s="177"/>
    </row>
    <row r="276" spans="7:7" ht="15.75" customHeight="1">
      <c r="G276" s="177"/>
    </row>
    <row r="277" spans="7:7" ht="15.75" customHeight="1">
      <c r="G277" s="177"/>
    </row>
    <row r="278" spans="7:7" ht="15.75" customHeight="1">
      <c r="G278" s="177"/>
    </row>
    <row r="279" spans="7:7" ht="15.75" customHeight="1">
      <c r="G279" s="177"/>
    </row>
    <row r="280" spans="7:7" ht="15.75" customHeight="1">
      <c r="G280" s="177"/>
    </row>
    <row r="281" spans="7:7" ht="15.75" customHeight="1">
      <c r="G281" s="177"/>
    </row>
    <row r="282" spans="7:7" ht="15.75" customHeight="1">
      <c r="G282" s="177"/>
    </row>
    <row r="283" spans="7:7" ht="15.75" customHeight="1">
      <c r="G283" s="177"/>
    </row>
    <row r="284" spans="7:7" ht="15.75" customHeight="1">
      <c r="G284" s="177"/>
    </row>
    <row r="285" spans="7:7" ht="15.75" customHeight="1">
      <c r="G285" s="177"/>
    </row>
    <row r="286" spans="7:7" ht="15.75" customHeight="1">
      <c r="G286" s="177"/>
    </row>
    <row r="287" spans="7:7" ht="15.75" customHeight="1">
      <c r="G287" s="177"/>
    </row>
    <row r="288" spans="7:7" ht="15.75" customHeight="1">
      <c r="G288" s="177"/>
    </row>
    <row r="289" spans="7:7" ht="15.75" customHeight="1">
      <c r="G289" s="177"/>
    </row>
    <row r="290" spans="7:7" ht="15.75" customHeight="1">
      <c r="G290" s="177"/>
    </row>
    <row r="291" spans="7:7" ht="15.75" customHeight="1">
      <c r="G291" s="177"/>
    </row>
    <row r="292" spans="7:7" ht="15.75" customHeight="1">
      <c r="G292" s="177"/>
    </row>
    <row r="293" spans="7:7" ht="15.75" customHeight="1">
      <c r="G293" s="177"/>
    </row>
    <row r="294" spans="7:7" ht="15.75" customHeight="1">
      <c r="G294" s="177"/>
    </row>
    <row r="295" spans="7:7" ht="15.75" customHeight="1">
      <c r="G295" s="177"/>
    </row>
    <row r="296" spans="7:7" ht="15.75" customHeight="1">
      <c r="G296" s="177"/>
    </row>
    <row r="297" spans="7:7" ht="15.75" customHeight="1">
      <c r="G297" s="177"/>
    </row>
    <row r="298" spans="7:7" ht="15.75" customHeight="1">
      <c r="G298" s="177"/>
    </row>
    <row r="299" spans="7:7" ht="15.75" customHeight="1">
      <c r="G299" s="177"/>
    </row>
    <row r="300" spans="7:7" ht="15.75" customHeight="1">
      <c r="G300" s="177"/>
    </row>
    <row r="301" spans="7:7" ht="15.75" customHeight="1">
      <c r="G301" s="177"/>
    </row>
    <row r="302" spans="7:7" ht="15.75" customHeight="1">
      <c r="G302" s="177"/>
    </row>
    <row r="303" spans="7:7" ht="15.75" customHeight="1">
      <c r="G303" s="177"/>
    </row>
    <row r="304" spans="7:7" ht="15.75" customHeight="1">
      <c r="G304" s="177"/>
    </row>
    <row r="305" spans="7:7" ht="15.75" customHeight="1">
      <c r="G305" s="177"/>
    </row>
    <row r="306" spans="7:7" ht="15.75" customHeight="1">
      <c r="G306" s="177"/>
    </row>
    <row r="307" spans="7:7" ht="15.75" customHeight="1">
      <c r="G307" s="177"/>
    </row>
    <row r="308" spans="7:7" ht="15.75" customHeight="1">
      <c r="G308" s="177"/>
    </row>
    <row r="309" spans="7:7" ht="15.75" customHeight="1">
      <c r="G309" s="177"/>
    </row>
    <row r="310" spans="7:7" ht="15.75" customHeight="1">
      <c r="G310" s="177"/>
    </row>
    <row r="311" spans="7:7" ht="15.75" customHeight="1">
      <c r="G311" s="177"/>
    </row>
    <row r="312" spans="7:7" ht="15.75" customHeight="1">
      <c r="G312" s="177"/>
    </row>
    <row r="313" spans="7:7" ht="15.75" customHeight="1">
      <c r="G313" s="177"/>
    </row>
    <row r="314" spans="7:7" ht="15.75" customHeight="1">
      <c r="G314" s="177"/>
    </row>
    <row r="315" spans="7:7" ht="15.75" customHeight="1">
      <c r="G315" s="177"/>
    </row>
    <row r="316" spans="7:7" ht="15.75" customHeight="1">
      <c r="G316" s="177"/>
    </row>
    <row r="317" spans="7:7" ht="15.75" customHeight="1">
      <c r="G317" s="177"/>
    </row>
    <row r="318" spans="7:7" ht="15.75" customHeight="1">
      <c r="G318" s="177"/>
    </row>
    <row r="319" spans="7:7" ht="15.75" customHeight="1">
      <c r="G319" s="177"/>
    </row>
    <row r="320" spans="7:7" ht="15.75" customHeight="1">
      <c r="G320" s="177"/>
    </row>
    <row r="321" spans="7:7" ht="15.75" customHeight="1">
      <c r="G321" s="177"/>
    </row>
    <row r="322" spans="7:7" ht="15.75" customHeight="1">
      <c r="G322" s="177"/>
    </row>
    <row r="323" spans="7:7" ht="15.75" customHeight="1">
      <c r="G323" s="177"/>
    </row>
    <row r="324" spans="7:7" ht="15.75" customHeight="1">
      <c r="G324" s="177"/>
    </row>
    <row r="325" spans="7:7" ht="15.75" customHeight="1">
      <c r="G325" s="177"/>
    </row>
    <row r="326" spans="7:7" ht="15.75" customHeight="1">
      <c r="G326" s="177"/>
    </row>
    <row r="327" spans="7:7" ht="15.75" customHeight="1">
      <c r="G327" s="177"/>
    </row>
    <row r="328" spans="7:7" ht="15.75" customHeight="1">
      <c r="G328" s="177"/>
    </row>
    <row r="329" spans="7:7" ht="15.75" customHeight="1">
      <c r="G329" s="177"/>
    </row>
    <row r="330" spans="7:7" ht="15.75" customHeight="1">
      <c r="G330" s="177"/>
    </row>
    <row r="331" spans="7:7" ht="15.75" customHeight="1">
      <c r="G331" s="177"/>
    </row>
    <row r="332" spans="7:7" ht="15.75" customHeight="1">
      <c r="G332" s="177"/>
    </row>
    <row r="333" spans="7:7" ht="15.75" customHeight="1">
      <c r="G333" s="177"/>
    </row>
    <row r="334" spans="7:7" ht="15.75" customHeight="1">
      <c r="G334" s="177"/>
    </row>
    <row r="335" spans="7:7" ht="15.75" customHeight="1">
      <c r="G335" s="177"/>
    </row>
    <row r="336" spans="7:7" ht="15.75" customHeight="1">
      <c r="G336" s="177"/>
    </row>
    <row r="337" spans="7:7" ht="15.75" customHeight="1">
      <c r="G337" s="177"/>
    </row>
    <row r="338" spans="7:7" ht="15.75" customHeight="1">
      <c r="G338" s="177"/>
    </row>
    <row r="339" spans="7:7" ht="15.75" customHeight="1">
      <c r="G339" s="177"/>
    </row>
    <row r="340" spans="7:7" ht="15.75" customHeight="1">
      <c r="G340" s="177"/>
    </row>
    <row r="341" spans="7:7" ht="15.75" customHeight="1">
      <c r="G341" s="177"/>
    </row>
    <row r="342" spans="7:7" ht="15.75" customHeight="1">
      <c r="G342" s="177"/>
    </row>
    <row r="343" spans="7:7" ht="15.75" customHeight="1">
      <c r="G343" s="177"/>
    </row>
    <row r="344" spans="7:7" ht="15.75" customHeight="1">
      <c r="G344" s="177"/>
    </row>
    <row r="345" spans="7:7" ht="15.75" customHeight="1">
      <c r="G345" s="177"/>
    </row>
    <row r="346" spans="7:7" ht="15.75" customHeight="1">
      <c r="G346" s="177"/>
    </row>
    <row r="347" spans="7:7" ht="15.75" customHeight="1">
      <c r="G347" s="177"/>
    </row>
    <row r="348" spans="7:7" ht="15.75" customHeight="1">
      <c r="G348" s="177"/>
    </row>
    <row r="349" spans="7:7" ht="15.75" customHeight="1">
      <c r="G349" s="177"/>
    </row>
    <row r="350" spans="7:7" ht="15.75" customHeight="1">
      <c r="G350" s="177"/>
    </row>
    <row r="351" spans="7:7" ht="15.75" customHeight="1">
      <c r="G351" s="177"/>
    </row>
    <row r="352" spans="7:7" ht="15.75" customHeight="1">
      <c r="G352" s="177"/>
    </row>
    <row r="353" spans="7:7" ht="15.75" customHeight="1">
      <c r="G353" s="177"/>
    </row>
    <row r="354" spans="7:7" ht="15.75" customHeight="1">
      <c r="G354" s="177"/>
    </row>
    <row r="355" spans="7:7" ht="15.75" customHeight="1">
      <c r="G355" s="177"/>
    </row>
    <row r="356" spans="7:7" ht="15.75" customHeight="1">
      <c r="G356" s="177"/>
    </row>
    <row r="357" spans="7:7" ht="15.75" customHeight="1">
      <c r="G357" s="177"/>
    </row>
    <row r="358" spans="7:7" ht="15.75" customHeight="1">
      <c r="G358" s="177"/>
    </row>
    <row r="359" spans="7:7" ht="15.75" customHeight="1">
      <c r="G359" s="177"/>
    </row>
    <row r="360" spans="7:7" ht="15.75" customHeight="1">
      <c r="G360" s="177"/>
    </row>
    <row r="361" spans="7:7" ht="15.75" customHeight="1">
      <c r="G361" s="177"/>
    </row>
    <row r="362" spans="7:7" ht="15.75" customHeight="1">
      <c r="G362" s="177"/>
    </row>
    <row r="363" spans="7:7" ht="15.75" customHeight="1">
      <c r="G363" s="177"/>
    </row>
    <row r="364" spans="7:7" ht="15.75" customHeight="1">
      <c r="G364" s="177"/>
    </row>
    <row r="365" spans="7:7" ht="15.75" customHeight="1">
      <c r="G365" s="177"/>
    </row>
    <row r="366" spans="7:7" ht="15.75" customHeight="1">
      <c r="G366" s="177"/>
    </row>
    <row r="367" spans="7:7" ht="15.75" customHeight="1">
      <c r="G367" s="177"/>
    </row>
    <row r="368" spans="7:7" ht="15.75" customHeight="1">
      <c r="G368" s="177"/>
    </row>
    <row r="369" spans="7:7" ht="15.75" customHeight="1">
      <c r="G369" s="177"/>
    </row>
    <row r="370" spans="7:7" ht="15.75" customHeight="1">
      <c r="G370" s="177"/>
    </row>
    <row r="371" spans="7:7" ht="15.75" customHeight="1">
      <c r="G371" s="177"/>
    </row>
    <row r="372" spans="7:7" ht="15.75" customHeight="1"/>
    <row r="373" spans="7:7" ht="15.75" customHeight="1"/>
    <row r="374" spans="7:7" ht="15.75" customHeight="1"/>
    <row r="375" spans="7:7" ht="15.75" customHeight="1"/>
    <row r="376" spans="7:7" ht="15.75" customHeight="1"/>
    <row r="377" spans="7:7" ht="15.75" customHeight="1"/>
    <row r="378" spans="7:7" ht="15.75" customHeight="1"/>
    <row r="379" spans="7:7" ht="15.75" customHeight="1"/>
    <row r="380" spans="7:7" ht="15.75" customHeight="1"/>
    <row r="381" spans="7:7" ht="15.75" customHeight="1"/>
    <row r="382" spans="7:7" ht="15.75" customHeight="1"/>
    <row r="383" spans="7:7" ht="15.75" customHeight="1"/>
    <row r="384" spans="7:7"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 xr:uid="{00000000-0009-0000-0000-00000C000000}"/>
  <pageMargins left="0.7" right="0.7" top="0.75" bottom="0.75"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1000"/>
  <sheetViews>
    <sheetView workbookViewId="0"/>
  </sheetViews>
  <sheetFormatPr baseColWidth="10" defaultColWidth="14.42578125" defaultRowHeight="15" customHeight="1"/>
  <cols>
    <col min="1" max="3" width="11.42578125" customWidth="1"/>
    <col min="4" max="5" width="13.140625" customWidth="1"/>
    <col min="6" max="8" width="11.42578125" customWidth="1"/>
    <col min="9" max="9" width="11.28515625" customWidth="1"/>
    <col min="10" max="19" width="10.7109375" customWidth="1"/>
  </cols>
  <sheetData>
    <row r="1" spans="1:19" ht="15" customHeight="1">
      <c r="A1" s="178" t="s">
        <v>1859</v>
      </c>
      <c r="B1" s="178" t="s">
        <v>694</v>
      </c>
      <c r="C1" s="178" t="s">
        <v>1862</v>
      </c>
      <c r="D1" s="179" t="s">
        <v>1863</v>
      </c>
      <c r="E1" s="178" t="s">
        <v>1864</v>
      </c>
      <c r="F1" s="178" t="s">
        <v>1865</v>
      </c>
      <c r="H1" s="46"/>
      <c r="L1" s="2" t="s">
        <v>1866</v>
      </c>
      <c r="M1" s="2">
        <v>7224629</v>
      </c>
    </row>
    <row r="2" spans="1:19">
      <c r="A2" s="180">
        <v>105</v>
      </c>
      <c r="B2" s="180">
        <v>5</v>
      </c>
      <c r="C2" s="180" t="str">
        <f t="shared" ref="C2:C48" si="0">A2&amp;"-"&amp;B2</f>
        <v>105-5</v>
      </c>
      <c r="D2" s="181">
        <f t="shared" ref="D2:D21" si="1">ROUNDUP(E2*1.069,0)</f>
        <v>8547960</v>
      </c>
      <c r="E2" s="182">
        <v>7996220</v>
      </c>
      <c r="F2" s="183">
        <v>6.9000102548454151E-2</v>
      </c>
      <c r="G2" s="184">
        <f t="shared" ref="G2:G48" si="2">(D2-E2)/E2</f>
        <v>6.9000102548454151E-2</v>
      </c>
      <c r="H2" s="43">
        <f t="shared" ref="H2:H48" si="3">VLOOKUP(C2,$L$1:$M$47,2,0)</f>
        <v>7224629</v>
      </c>
      <c r="I2" s="185">
        <f t="shared" ref="I2:I48" si="4">H2-D2</f>
        <v>-1323331</v>
      </c>
      <c r="J2" s="42"/>
      <c r="K2" s="42"/>
      <c r="L2" s="42" t="s">
        <v>1873</v>
      </c>
      <c r="M2" s="42">
        <v>8056082</v>
      </c>
      <c r="N2" s="42"/>
      <c r="O2" s="42"/>
      <c r="P2" s="42"/>
      <c r="Q2" s="42"/>
      <c r="R2" s="42"/>
      <c r="S2" s="42"/>
    </row>
    <row r="3" spans="1:19">
      <c r="A3" s="180">
        <v>115</v>
      </c>
      <c r="B3" s="180">
        <v>6</v>
      </c>
      <c r="C3" s="180" t="str">
        <f t="shared" si="0"/>
        <v>115-6</v>
      </c>
      <c r="D3" s="181">
        <f t="shared" si="1"/>
        <v>9531709</v>
      </c>
      <c r="E3" s="182">
        <v>8916472</v>
      </c>
      <c r="F3" s="183">
        <v>6.9000048449655876E-2</v>
      </c>
      <c r="G3" s="184">
        <f t="shared" si="2"/>
        <v>6.9000048449655876E-2</v>
      </c>
      <c r="H3" s="43">
        <f t="shared" si="3"/>
        <v>8056082</v>
      </c>
      <c r="I3" s="185">
        <f t="shared" si="4"/>
        <v>-1475627</v>
      </c>
      <c r="J3" s="42"/>
      <c r="K3" s="42"/>
      <c r="L3" s="42" t="s">
        <v>1877</v>
      </c>
      <c r="M3" s="42">
        <v>11089704</v>
      </c>
      <c r="N3" s="42"/>
      <c r="O3" s="42"/>
      <c r="P3" s="42"/>
      <c r="Q3" s="42"/>
      <c r="R3" s="42"/>
      <c r="S3" s="42"/>
    </row>
    <row r="4" spans="1:19">
      <c r="A4" s="180">
        <v>20</v>
      </c>
      <c r="B4" s="180">
        <v>9</v>
      </c>
      <c r="C4" s="180" t="str">
        <f t="shared" si="0"/>
        <v>20-9</v>
      </c>
      <c r="D4" s="181">
        <f t="shared" si="1"/>
        <v>13120997</v>
      </c>
      <c r="E4" s="182">
        <v>12274085</v>
      </c>
      <c r="F4" s="183">
        <v>6.9000010998783209E-2</v>
      </c>
      <c r="G4" s="184">
        <f t="shared" si="2"/>
        <v>6.9000010998783209E-2</v>
      </c>
      <c r="H4" s="43">
        <f t="shared" si="3"/>
        <v>11089704</v>
      </c>
      <c r="I4" s="185">
        <f t="shared" si="4"/>
        <v>-2031293</v>
      </c>
      <c r="J4" s="42"/>
      <c r="K4" s="42"/>
      <c r="L4" s="42" t="s">
        <v>111</v>
      </c>
      <c r="M4" s="42">
        <v>3137026</v>
      </c>
      <c r="N4" s="42"/>
      <c r="O4" s="42"/>
      <c r="P4" s="42"/>
      <c r="Q4" s="42"/>
      <c r="R4" s="42"/>
      <c r="S4" s="42"/>
    </row>
    <row r="5" spans="1:19">
      <c r="A5" s="180">
        <v>219</v>
      </c>
      <c r="B5" s="180">
        <v>1</v>
      </c>
      <c r="C5" s="180" t="str">
        <f t="shared" si="0"/>
        <v>219-1</v>
      </c>
      <c r="D5" s="181">
        <f t="shared" si="1"/>
        <v>3725048</v>
      </c>
      <c r="E5" s="182">
        <v>3484609</v>
      </c>
      <c r="F5" s="183">
        <v>6.9000280949742143E-2</v>
      </c>
      <c r="G5" s="184">
        <f t="shared" si="2"/>
        <v>6.9000280949742143E-2</v>
      </c>
      <c r="H5" s="43">
        <f t="shared" si="3"/>
        <v>3137026</v>
      </c>
      <c r="I5" s="185">
        <f t="shared" si="4"/>
        <v>-588022</v>
      </c>
      <c r="J5" s="42"/>
      <c r="K5" s="42"/>
      <c r="L5" s="42" t="s">
        <v>1881</v>
      </c>
      <c r="M5" s="42">
        <v>3883558</v>
      </c>
      <c r="N5" s="42"/>
      <c r="O5" s="42"/>
      <c r="P5" s="42"/>
      <c r="Q5" s="42"/>
      <c r="R5" s="42"/>
      <c r="S5" s="42"/>
    </row>
    <row r="6" spans="1:19">
      <c r="A6" s="180">
        <v>219</v>
      </c>
      <c r="B6" s="180">
        <v>10</v>
      </c>
      <c r="C6" s="180" t="str">
        <f t="shared" si="0"/>
        <v>219-10</v>
      </c>
      <c r="D6" s="181">
        <f t="shared" si="1"/>
        <v>4611514</v>
      </c>
      <c r="E6" s="182">
        <v>4313857</v>
      </c>
      <c r="F6" s="183">
        <v>6.9000200980236473E-2</v>
      </c>
      <c r="G6" s="184">
        <f t="shared" si="2"/>
        <v>6.9000200980236473E-2</v>
      </c>
      <c r="H6" s="43">
        <f t="shared" si="3"/>
        <v>3883558</v>
      </c>
      <c r="I6" s="185">
        <f t="shared" si="4"/>
        <v>-727956</v>
      </c>
      <c r="J6" s="42"/>
      <c r="K6" s="42"/>
      <c r="L6" s="42" t="s">
        <v>88</v>
      </c>
      <c r="M6" s="42">
        <v>4302005</v>
      </c>
      <c r="N6" s="42"/>
      <c r="O6" s="42"/>
      <c r="P6" s="42"/>
      <c r="Q6" s="42"/>
      <c r="R6" s="42"/>
      <c r="S6" s="42"/>
    </row>
    <row r="7" spans="1:19">
      <c r="A7" s="180">
        <v>219</v>
      </c>
      <c r="B7" s="180">
        <v>13</v>
      </c>
      <c r="C7" s="180" t="str">
        <f t="shared" si="0"/>
        <v>219-13</v>
      </c>
      <c r="D7" s="186">
        <f t="shared" si="1"/>
        <v>5108397</v>
      </c>
      <c r="E7" s="182">
        <v>4778668</v>
      </c>
      <c r="F7" s="183">
        <v>6.9000190011107701E-2</v>
      </c>
      <c r="G7" s="184">
        <f t="shared" si="2"/>
        <v>6.9000190011107701E-2</v>
      </c>
      <c r="H7" s="43">
        <f t="shared" si="3"/>
        <v>4302005</v>
      </c>
      <c r="I7" s="185">
        <f t="shared" si="4"/>
        <v>-806392</v>
      </c>
      <c r="J7" s="42"/>
      <c r="K7" s="42"/>
      <c r="L7" s="42" t="s">
        <v>1883</v>
      </c>
      <c r="M7" s="42">
        <v>4538205</v>
      </c>
      <c r="N7" s="42"/>
      <c r="O7" s="42"/>
      <c r="P7" s="42"/>
      <c r="Q7" s="42"/>
      <c r="R7" s="42"/>
      <c r="S7" s="42"/>
    </row>
    <row r="8" spans="1:19">
      <c r="A8" s="180">
        <v>219</v>
      </c>
      <c r="B8" s="180">
        <v>15</v>
      </c>
      <c r="C8" s="180" t="str">
        <f t="shared" si="0"/>
        <v>219-15</v>
      </c>
      <c r="D8" s="182">
        <f t="shared" si="1"/>
        <v>5388871</v>
      </c>
      <c r="E8" s="182">
        <v>5041039</v>
      </c>
      <c r="F8" s="183">
        <v>6.9000061296887405E-2</v>
      </c>
      <c r="G8" s="184">
        <f t="shared" si="2"/>
        <v>6.9000061296887405E-2</v>
      </c>
      <c r="H8" s="43">
        <f t="shared" si="3"/>
        <v>4538205</v>
      </c>
      <c r="I8" s="185">
        <f t="shared" si="4"/>
        <v>-850666</v>
      </c>
      <c r="J8" s="42"/>
      <c r="K8" s="42"/>
      <c r="L8" s="42" t="s">
        <v>73</v>
      </c>
      <c r="M8" s="42">
        <v>4679552</v>
      </c>
      <c r="N8" s="42"/>
      <c r="O8" s="42"/>
      <c r="P8" s="42"/>
      <c r="Q8" s="42"/>
      <c r="R8" s="42"/>
      <c r="S8" s="42"/>
    </row>
    <row r="9" spans="1:19">
      <c r="A9" s="180">
        <v>219</v>
      </c>
      <c r="B9" s="180">
        <v>18</v>
      </c>
      <c r="C9" s="180" t="str">
        <f t="shared" si="0"/>
        <v>219-18</v>
      </c>
      <c r="D9" s="181">
        <f t="shared" si="1"/>
        <v>5556713</v>
      </c>
      <c r="E9" s="182">
        <v>5198047</v>
      </c>
      <c r="F9" s="183">
        <v>6.900014563161895E-2</v>
      </c>
      <c r="G9" s="184">
        <f t="shared" si="2"/>
        <v>6.900014563161895E-2</v>
      </c>
      <c r="H9" s="43">
        <f t="shared" si="3"/>
        <v>4679552</v>
      </c>
      <c r="I9" s="185">
        <f t="shared" si="4"/>
        <v>-877161</v>
      </c>
      <c r="J9" s="42"/>
      <c r="K9" s="42"/>
      <c r="L9" s="42" t="s">
        <v>104</v>
      </c>
      <c r="M9" s="42">
        <v>3337488</v>
      </c>
      <c r="N9" s="42"/>
      <c r="O9" s="42"/>
      <c r="P9" s="42"/>
      <c r="Q9" s="42"/>
      <c r="R9" s="42"/>
      <c r="S9" s="42">
        <v>1000</v>
      </c>
    </row>
    <row r="10" spans="1:19">
      <c r="A10" s="180">
        <v>219</v>
      </c>
      <c r="B10" s="180">
        <v>3</v>
      </c>
      <c r="C10" s="180" t="str">
        <f t="shared" si="0"/>
        <v>219-3</v>
      </c>
      <c r="D10" s="181">
        <f t="shared" si="1"/>
        <v>3963085</v>
      </c>
      <c r="E10" s="182">
        <v>3707282</v>
      </c>
      <c r="F10" s="183">
        <v>6.9000146198751541E-2</v>
      </c>
      <c r="G10" s="184">
        <f t="shared" si="2"/>
        <v>6.9000146198751541E-2</v>
      </c>
      <c r="H10" s="43">
        <f t="shared" si="3"/>
        <v>3337488</v>
      </c>
      <c r="I10" s="185">
        <f t="shared" si="4"/>
        <v>-625597</v>
      </c>
      <c r="J10" s="42"/>
      <c r="K10" s="42"/>
      <c r="L10" s="42" t="s">
        <v>1886</v>
      </c>
      <c r="M10" s="42">
        <v>3776268</v>
      </c>
      <c r="N10" s="42"/>
      <c r="O10" s="42"/>
      <c r="P10" s="42"/>
      <c r="Q10" s="42"/>
      <c r="R10" s="42"/>
      <c r="S10" s="42"/>
    </row>
    <row r="11" spans="1:19">
      <c r="A11" s="180">
        <v>219</v>
      </c>
      <c r="B11" s="180">
        <v>8</v>
      </c>
      <c r="C11" s="180" t="str">
        <f t="shared" si="0"/>
        <v>219-8</v>
      </c>
      <c r="D11" s="181">
        <f t="shared" si="1"/>
        <v>4484112</v>
      </c>
      <c r="E11" s="182">
        <v>4194679</v>
      </c>
      <c r="F11" s="183">
        <v>6.9000035521192438E-2</v>
      </c>
      <c r="G11" s="184">
        <f t="shared" si="2"/>
        <v>6.9000035521192438E-2</v>
      </c>
      <c r="H11" s="43">
        <f t="shared" si="3"/>
        <v>3776268</v>
      </c>
      <c r="I11" s="185">
        <f t="shared" si="4"/>
        <v>-707844</v>
      </c>
      <c r="J11" s="42"/>
      <c r="K11" s="42"/>
      <c r="L11" s="42" t="s">
        <v>1887</v>
      </c>
      <c r="M11" s="42">
        <v>3850917</v>
      </c>
      <c r="N11" s="42"/>
      <c r="O11" s="42"/>
      <c r="P11" s="42"/>
      <c r="Q11" s="42"/>
      <c r="R11" s="42"/>
      <c r="S11" s="42"/>
    </row>
    <row r="12" spans="1:19">
      <c r="A12" s="180">
        <v>219</v>
      </c>
      <c r="B12" s="180">
        <v>9</v>
      </c>
      <c r="C12" s="180" t="str">
        <f t="shared" si="0"/>
        <v>219-9</v>
      </c>
      <c r="D12" s="181">
        <f t="shared" si="1"/>
        <v>4572754</v>
      </c>
      <c r="E12" s="182">
        <v>4277599</v>
      </c>
      <c r="F12" s="183">
        <v>6.9000156396146525E-2</v>
      </c>
      <c r="G12" s="184">
        <f t="shared" si="2"/>
        <v>6.9000156396146525E-2</v>
      </c>
      <c r="H12" s="43">
        <f t="shared" si="3"/>
        <v>3850917</v>
      </c>
      <c r="I12" s="185">
        <f t="shared" si="4"/>
        <v>-721837</v>
      </c>
      <c r="J12" s="42"/>
      <c r="K12" s="42"/>
      <c r="L12" s="42" t="s">
        <v>1891</v>
      </c>
      <c r="M12" s="42">
        <v>4921475</v>
      </c>
      <c r="N12" s="42"/>
      <c r="O12" s="42"/>
      <c r="P12" s="42"/>
      <c r="Q12" s="42"/>
      <c r="R12" s="42"/>
      <c r="S12" s="42"/>
    </row>
    <row r="13" spans="1:19">
      <c r="A13" s="180">
        <v>222</v>
      </c>
      <c r="B13" s="180">
        <v>19</v>
      </c>
      <c r="C13" s="180" t="str">
        <f t="shared" si="0"/>
        <v>222-19</v>
      </c>
      <c r="D13" s="181">
        <f t="shared" si="1"/>
        <v>5843983</v>
      </c>
      <c r="E13" s="182">
        <v>5466775</v>
      </c>
      <c r="F13" s="183">
        <v>6.900009603468224E-2</v>
      </c>
      <c r="G13" s="184">
        <f t="shared" si="2"/>
        <v>6.900009603468224E-2</v>
      </c>
      <c r="H13" s="43">
        <f t="shared" si="3"/>
        <v>4921475</v>
      </c>
      <c r="I13" s="185">
        <f t="shared" si="4"/>
        <v>-922508</v>
      </c>
      <c r="J13" s="42"/>
      <c r="K13" s="42"/>
      <c r="L13" s="42" t="s">
        <v>1893</v>
      </c>
      <c r="M13" s="42">
        <v>5037081</v>
      </c>
      <c r="N13" s="42"/>
      <c r="O13" s="42"/>
      <c r="P13" s="42"/>
      <c r="Q13" s="42"/>
      <c r="R13" s="42"/>
      <c r="S13" s="42"/>
    </row>
    <row r="14" spans="1:19">
      <c r="A14" s="180">
        <v>222</v>
      </c>
      <c r="B14" s="180">
        <v>20</v>
      </c>
      <c r="C14" s="180" t="str">
        <f t="shared" si="0"/>
        <v>222-20</v>
      </c>
      <c r="D14" s="181">
        <f t="shared" si="1"/>
        <v>5981259</v>
      </c>
      <c r="E14" s="182">
        <v>5595190</v>
      </c>
      <c r="F14" s="183">
        <v>6.9000159065197075E-2</v>
      </c>
      <c r="G14" s="184">
        <f t="shared" si="2"/>
        <v>6.9000159065197075E-2</v>
      </c>
      <c r="H14" s="43">
        <f t="shared" si="3"/>
        <v>5037081</v>
      </c>
      <c r="I14" s="185">
        <f t="shared" si="4"/>
        <v>-944178</v>
      </c>
      <c r="J14" s="42"/>
      <c r="K14" s="42"/>
      <c r="L14" s="42" t="s">
        <v>1895</v>
      </c>
      <c r="M14" s="42">
        <v>5163280</v>
      </c>
      <c r="N14" s="42"/>
      <c r="O14" s="42"/>
      <c r="P14" s="42"/>
      <c r="Q14" s="42"/>
      <c r="R14" s="42"/>
      <c r="S14" s="42"/>
    </row>
    <row r="15" spans="1:19">
      <c r="A15" s="180">
        <v>222</v>
      </c>
      <c r="B15" s="180">
        <v>21</v>
      </c>
      <c r="C15" s="180" t="str">
        <f t="shared" si="0"/>
        <v>222-21</v>
      </c>
      <c r="D15" s="181">
        <f t="shared" si="1"/>
        <v>6131113</v>
      </c>
      <c r="E15" s="182">
        <v>5735372</v>
      </c>
      <c r="F15" s="183">
        <v>6.9000057886393421E-2</v>
      </c>
      <c r="G15" s="184">
        <f t="shared" si="2"/>
        <v>6.9000057886393421E-2</v>
      </c>
      <c r="H15" s="43">
        <f t="shared" si="3"/>
        <v>5163280</v>
      </c>
      <c r="I15" s="185">
        <f t="shared" si="4"/>
        <v>-967833</v>
      </c>
      <c r="J15" s="42"/>
      <c r="K15" s="42"/>
      <c r="L15" s="42" t="s">
        <v>63</v>
      </c>
      <c r="M15" s="42">
        <v>5309657</v>
      </c>
      <c r="N15" s="42"/>
      <c r="O15" s="42"/>
      <c r="P15" s="42"/>
      <c r="Q15" s="42"/>
      <c r="R15" s="42"/>
      <c r="S15" s="42"/>
    </row>
    <row r="16" spans="1:19">
      <c r="A16" s="180">
        <v>222</v>
      </c>
      <c r="B16" s="180">
        <v>22</v>
      </c>
      <c r="C16" s="180" t="str">
        <f t="shared" si="0"/>
        <v>222-22</v>
      </c>
      <c r="D16" s="181">
        <f t="shared" si="1"/>
        <v>6304927</v>
      </c>
      <c r="E16" s="182">
        <v>5897967</v>
      </c>
      <c r="F16" s="183">
        <v>6.9000046965335682E-2</v>
      </c>
      <c r="G16" s="184">
        <f t="shared" si="2"/>
        <v>6.9000046965335682E-2</v>
      </c>
      <c r="H16" s="43">
        <f t="shared" si="3"/>
        <v>5309657</v>
      </c>
      <c r="I16" s="185">
        <f t="shared" si="4"/>
        <v>-995270</v>
      </c>
      <c r="J16" s="42"/>
      <c r="K16" s="42"/>
      <c r="L16" s="42" t="s">
        <v>1899</v>
      </c>
      <c r="M16" s="42">
        <v>5354725</v>
      </c>
      <c r="N16" s="42"/>
      <c r="O16" s="42"/>
      <c r="P16" s="42"/>
      <c r="Q16" s="42"/>
      <c r="R16" s="42"/>
      <c r="S16" s="42"/>
    </row>
    <row r="17" spans="1:13">
      <c r="A17" s="180">
        <v>222</v>
      </c>
      <c r="B17" s="180">
        <v>24</v>
      </c>
      <c r="C17" s="180" t="str">
        <f t="shared" si="0"/>
        <v>222-24</v>
      </c>
      <c r="D17" s="181">
        <f t="shared" si="1"/>
        <v>6358444</v>
      </c>
      <c r="E17" s="182">
        <v>5948029</v>
      </c>
      <c r="F17" s="183">
        <v>6.9000167954796451E-2</v>
      </c>
      <c r="G17" s="184">
        <f t="shared" si="2"/>
        <v>6.9000167954796451E-2</v>
      </c>
      <c r="H17" s="43">
        <f t="shared" si="3"/>
        <v>5354725</v>
      </c>
      <c r="I17" s="185">
        <f t="shared" si="4"/>
        <v>-1003719</v>
      </c>
      <c r="J17" s="42"/>
      <c r="K17" s="42"/>
      <c r="L17" s="42" t="s">
        <v>1902</v>
      </c>
      <c r="M17" s="42">
        <v>5490072</v>
      </c>
    </row>
    <row r="18" spans="1:13">
      <c r="A18" s="180">
        <v>222</v>
      </c>
      <c r="B18" s="180">
        <v>25</v>
      </c>
      <c r="C18" s="180" t="str">
        <f t="shared" si="0"/>
        <v>222-25</v>
      </c>
      <c r="D18" s="181">
        <f t="shared" si="1"/>
        <v>6519160</v>
      </c>
      <c r="E18" s="182">
        <v>6098372</v>
      </c>
      <c r="F18" s="183">
        <v>6.9000054440758948E-2</v>
      </c>
      <c r="G18" s="184">
        <f t="shared" si="2"/>
        <v>6.9000054440758948E-2</v>
      </c>
      <c r="H18" s="43">
        <f t="shared" si="3"/>
        <v>5490072</v>
      </c>
      <c r="I18" s="185">
        <f t="shared" si="4"/>
        <v>-1029088</v>
      </c>
      <c r="J18" s="42"/>
      <c r="K18" s="42"/>
      <c r="L18" s="42" t="s">
        <v>1903</v>
      </c>
      <c r="M18" s="42">
        <v>5737595</v>
      </c>
    </row>
    <row r="19" spans="1:13">
      <c r="A19" s="180">
        <v>222</v>
      </c>
      <c r="B19" s="180">
        <v>26</v>
      </c>
      <c r="C19" s="180" t="str">
        <f t="shared" si="0"/>
        <v>222-26</v>
      </c>
      <c r="D19" s="181">
        <f t="shared" si="1"/>
        <v>6813081</v>
      </c>
      <c r="E19" s="182">
        <v>6373321</v>
      </c>
      <c r="F19" s="183">
        <v>6.9000133525362994E-2</v>
      </c>
      <c r="G19" s="184">
        <f t="shared" si="2"/>
        <v>6.9000133525362994E-2</v>
      </c>
      <c r="H19" s="43">
        <f t="shared" si="3"/>
        <v>5737595</v>
      </c>
      <c r="I19" s="185">
        <f t="shared" si="4"/>
        <v>-1075486</v>
      </c>
      <c r="J19" s="42"/>
      <c r="K19" s="42"/>
      <c r="L19" s="42" t="s">
        <v>52</v>
      </c>
      <c r="M19" s="42">
        <v>5786214</v>
      </c>
    </row>
    <row r="20" spans="1:13">
      <c r="A20" s="180">
        <v>222</v>
      </c>
      <c r="B20" s="180">
        <v>27</v>
      </c>
      <c r="C20" s="180" t="str">
        <f t="shared" si="0"/>
        <v>222-27</v>
      </c>
      <c r="D20" s="181">
        <f t="shared" si="1"/>
        <v>6870813</v>
      </c>
      <c r="E20" s="182">
        <v>6427327</v>
      </c>
      <c r="F20" s="183">
        <v>6.9000067990939315E-2</v>
      </c>
      <c r="G20" s="184">
        <f t="shared" si="2"/>
        <v>6.9000067990939315E-2</v>
      </c>
      <c r="H20" s="43">
        <f t="shared" si="3"/>
        <v>5786214</v>
      </c>
      <c r="I20" s="185">
        <f t="shared" si="4"/>
        <v>-1084599</v>
      </c>
      <c r="J20" s="42"/>
      <c r="K20" s="42"/>
      <c r="L20" s="42" t="s">
        <v>125</v>
      </c>
      <c r="M20" s="42">
        <v>3323477</v>
      </c>
    </row>
    <row r="21" spans="1:13" ht="15.75" customHeight="1">
      <c r="A21" s="180">
        <v>314</v>
      </c>
      <c r="B21" s="180">
        <v>15</v>
      </c>
      <c r="C21" s="180" t="str">
        <f t="shared" si="0"/>
        <v>314-15</v>
      </c>
      <c r="D21" s="181">
        <f t="shared" si="1"/>
        <v>3946448</v>
      </c>
      <c r="E21" s="182">
        <v>3691719</v>
      </c>
      <c r="F21" s="183">
        <v>6.9000105370966749E-2</v>
      </c>
      <c r="G21" s="184">
        <f t="shared" si="2"/>
        <v>6.9000105370966749E-2</v>
      </c>
      <c r="H21" s="43">
        <f t="shared" si="3"/>
        <v>3323477</v>
      </c>
      <c r="I21" s="185">
        <f t="shared" si="4"/>
        <v>-622971</v>
      </c>
      <c r="J21" s="42"/>
      <c r="K21" s="42"/>
      <c r="L21" s="42" t="s">
        <v>1910</v>
      </c>
      <c r="M21" s="42">
        <v>3772603</v>
      </c>
    </row>
    <row r="22" spans="1:13" ht="15.75" customHeight="1">
      <c r="A22" s="180">
        <v>314</v>
      </c>
      <c r="B22" s="180">
        <v>20</v>
      </c>
      <c r="C22" s="180" t="str">
        <f t="shared" si="0"/>
        <v>314-20</v>
      </c>
      <c r="D22" s="189">
        <v>4183137</v>
      </c>
      <c r="E22" s="182">
        <v>4183137</v>
      </c>
      <c r="F22" s="183">
        <v>0</v>
      </c>
      <c r="G22" s="184">
        <f t="shared" si="2"/>
        <v>0</v>
      </c>
      <c r="H22" s="43">
        <f t="shared" si="3"/>
        <v>3772603</v>
      </c>
      <c r="I22" s="185">
        <f t="shared" si="4"/>
        <v>-410534</v>
      </c>
      <c r="J22" s="185">
        <f>J23/30*37</f>
        <v>0</v>
      </c>
      <c r="K22" s="42"/>
      <c r="L22" s="42" t="s">
        <v>1912</v>
      </c>
      <c r="M22" s="42">
        <v>3772726</v>
      </c>
    </row>
    <row r="23" spans="1:13" ht="15.75" customHeight="1">
      <c r="A23" s="180">
        <v>314</v>
      </c>
      <c r="B23" s="180">
        <v>21</v>
      </c>
      <c r="C23" s="180" t="str">
        <f t="shared" si="0"/>
        <v>314-21</v>
      </c>
      <c r="D23" s="189">
        <v>4183237</v>
      </c>
      <c r="E23" s="182">
        <v>4183237</v>
      </c>
      <c r="F23" s="183">
        <v>0</v>
      </c>
      <c r="G23" s="184">
        <f t="shared" si="2"/>
        <v>0</v>
      </c>
      <c r="H23" s="43">
        <f t="shared" si="3"/>
        <v>3772726</v>
      </c>
      <c r="I23" s="185">
        <f t="shared" si="4"/>
        <v>-410511</v>
      </c>
      <c r="J23" s="185">
        <f>D23-E23</f>
        <v>0</v>
      </c>
      <c r="K23" s="42"/>
      <c r="L23" s="42" t="s">
        <v>1916</v>
      </c>
      <c r="M23" s="42">
        <v>2899760</v>
      </c>
    </row>
    <row r="24" spans="1:13" ht="15.75" customHeight="1">
      <c r="A24" s="180">
        <v>314</v>
      </c>
      <c r="B24" s="180">
        <v>9</v>
      </c>
      <c r="C24" s="180" t="str">
        <f t="shared" si="0"/>
        <v>314-9</v>
      </c>
      <c r="D24" s="181">
        <f t="shared" ref="D24:D48" si="5">ROUNDUP(E24*1.069,0)</f>
        <v>3443307</v>
      </c>
      <c r="E24" s="182">
        <v>3221054</v>
      </c>
      <c r="F24" s="183">
        <v>6.9000085065323333E-2</v>
      </c>
      <c r="G24" s="184">
        <f t="shared" si="2"/>
        <v>6.9000085065323333E-2</v>
      </c>
      <c r="H24" s="43">
        <f t="shared" si="3"/>
        <v>2899760</v>
      </c>
      <c r="I24" s="185">
        <f t="shared" si="4"/>
        <v>-543547</v>
      </c>
      <c r="J24" s="185">
        <f>J23*6</f>
        <v>0</v>
      </c>
      <c r="K24" s="42"/>
      <c r="L24" s="42" t="s">
        <v>215</v>
      </c>
      <c r="M24" s="42">
        <v>2205336</v>
      </c>
    </row>
    <row r="25" spans="1:13" ht="15.75" customHeight="1">
      <c r="A25" s="180">
        <v>407</v>
      </c>
      <c r="B25" s="180">
        <v>11</v>
      </c>
      <c r="C25" s="180" t="str">
        <f t="shared" si="0"/>
        <v>407-11</v>
      </c>
      <c r="D25" s="181">
        <f t="shared" si="5"/>
        <v>2618717</v>
      </c>
      <c r="E25" s="182">
        <v>2449688</v>
      </c>
      <c r="F25" s="183">
        <v>6.9000215537652149E-2</v>
      </c>
      <c r="G25" s="184">
        <f t="shared" si="2"/>
        <v>6.9000215537652149E-2</v>
      </c>
      <c r="H25" s="43">
        <f t="shared" si="3"/>
        <v>2205336</v>
      </c>
      <c r="I25" s="185">
        <f t="shared" si="4"/>
        <v>-413381</v>
      </c>
      <c r="J25" s="42"/>
      <c r="K25" s="42"/>
      <c r="L25" s="42" t="s">
        <v>212</v>
      </c>
      <c r="M25" s="42">
        <v>2372489</v>
      </c>
    </row>
    <row r="26" spans="1:13" ht="15.75" customHeight="1">
      <c r="A26" s="180">
        <v>407</v>
      </c>
      <c r="B26" s="180">
        <v>13</v>
      </c>
      <c r="C26" s="180" t="str">
        <f t="shared" si="0"/>
        <v>407-13</v>
      </c>
      <c r="D26" s="181">
        <f t="shared" si="5"/>
        <v>2817201</v>
      </c>
      <c r="E26" s="182">
        <v>2635361</v>
      </c>
      <c r="F26" s="183">
        <v>6.9000034530373636E-2</v>
      </c>
      <c r="G26" s="184">
        <f t="shared" si="2"/>
        <v>6.9000034530373636E-2</v>
      </c>
      <c r="H26" s="43">
        <f t="shared" si="3"/>
        <v>2372489</v>
      </c>
      <c r="I26" s="185">
        <f t="shared" si="4"/>
        <v>-444712</v>
      </c>
      <c r="J26" s="185">
        <f>J23/30*138</f>
        <v>0</v>
      </c>
      <c r="K26" s="42"/>
      <c r="L26" s="42" t="s">
        <v>209</v>
      </c>
      <c r="M26" s="42">
        <v>2449382</v>
      </c>
    </row>
    <row r="27" spans="1:13" ht="15.75" customHeight="1">
      <c r="A27" s="180">
        <v>407</v>
      </c>
      <c r="B27" s="180">
        <v>14</v>
      </c>
      <c r="C27" s="180" t="str">
        <f t="shared" si="0"/>
        <v>407-14</v>
      </c>
      <c r="D27" s="181">
        <f t="shared" si="5"/>
        <v>2908508</v>
      </c>
      <c r="E27" s="182">
        <v>2720774</v>
      </c>
      <c r="F27" s="183">
        <v>6.9000218320227999E-2</v>
      </c>
      <c r="G27" s="184">
        <f t="shared" si="2"/>
        <v>6.9000218320227999E-2</v>
      </c>
      <c r="H27" s="43">
        <f t="shared" si="3"/>
        <v>2449382</v>
      </c>
      <c r="I27" s="185">
        <f t="shared" si="4"/>
        <v>-459126</v>
      </c>
      <c r="J27" s="185">
        <f>J26*0.03</f>
        <v>0</v>
      </c>
      <c r="K27" s="42"/>
      <c r="L27" s="42" t="s">
        <v>195</v>
      </c>
      <c r="M27" s="42">
        <v>2526281</v>
      </c>
    </row>
    <row r="28" spans="1:13" ht="15.75" customHeight="1">
      <c r="A28" s="180">
        <v>407</v>
      </c>
      <c r="B28" s="180">
        <v>15</v>
      </c>
      <c r="C28" s="180" t="str">
        <f t="shared" si="0"/>
        <v>407-15</v>
      </c>
      <c r="D28" s="181">
        <f t="shared" si="5"/>
        <v>2999821</v>
      </c>
      <c r="E28" s="182">
        <v>2806193</v>
      </c>
      <c r="F28" s="183">
        <v>6.9000243390244367E-2</v>
      </c>
      <c r="G28" s="184">
        <f t="shared" si="2"/>
        <v>6.9000243390244367E-2</v>
      </c>
      <c r="H28" s="43">
        <f t="shared" si="3"/>
        <v>2526281</v>
      </c>
      <c r="I28" s="185">
        <f t="shared" si="4"/>
        <v>-473540</v>
      </c>
      <c r="J28" s="42"/>
      <c r="K28" s="42"/>
      <c r="L28" s="42" t="s">
        <v>193</v>
      </c>
      <c r="M28" s="42">
        <v>2625132</v>
      </c>
    </row>
    <row r="29" spans="1:13" ht="15.75" customHeight="1">
      <c r="A29" s="180">
        <v>407</v>
      </c>
      <c r="B29" s="180">
        <v>16</v>
      </c>
      <c r="C29" s="180" t="str">
        <f t="shared" si="0"/>
        <v>407-16</v>
      </c>
      <c r="D29" s="181">
        <f t="shared" si="5"/>
        <v>3117201</v>
      </c>
      <c r="E29" s="182">
        <v>2915997</v>
      </c>
      <c r="F29" s="183">
        <v>6.9000070987727355E-2</v>
      </c>
      <c r="G29" s="184">
        <f t="shared" si="2"/>
        <v>6.9000070987727355E-2</v>
      </c>
      <c r="H29" s="43">
        <f t="shared" si="3"/>
        <v>2625132</v>
      </c>
      <c r="I29" s="185">
        <f t="shared" si="4"/>
        <v>-492069</v>
      </c>
      <c r="J29" s="42"/>
      <c r="K29" s="42"/>
      <c r="L29" s="42" t="s">
        <v>189</v>
      </c>
      <c r="M29" s="42">
        <v>2702033</v>
      </c>
    </row>
    <row r="30" spans="1:13" ht="15.75" customHeight="1">
      <c r="A30" s="180">
        <v>407</v>
      </c>
      <c r="B30" s="180">
        <v>17</v>
      </c>
      <c r="C30" s="180" t="str">
        <f t="shared" si="0"/>
        <v>407-17</v>
      </c>
      <c r="D30" s="181">
        <f t="shared" si="5"/>
        <v>3208517</v>
      </c>
      <c r="E30" s="182">
        <v>3001419</v>
      </c>
      <c r="F30" s="183">
        <v>6.9000029652640973E-2</v>
      </c>
      <c r="G30" s="184">
        <f t="shared" si="2"/>
        <v>6.9000029652640973E-2</v>
      </c>
      <c r="H30" s="43">
        <f t="shared" si="3"/>
        <v>2702033</v>
      </c>
      <c r="I30" s="185">
        <f t="shared" si="4"/>
        <v>-506484</v>
      </c>
      <c r="J30" s="42"/>
      <c r="K30" s="42"/>
      <c r="L30" s="42" t="s">
        <v>168</v>
      </c>
      <c r="M30" s="42">
        <v>2987633</v>
      </c>
    </row>
    <row r="31" spans="1:13" ht="15.75" customHeight="1">
      <c r="A31" s="180">
        <v>407</v>
      </c>
      <c r="B31" s="180">
        <v>20</v>
      </c>
      <c r="C31" s="180" t="str">
        <f t="shared" si="0"/>
        <v>407-20</v>
      </c>
      <c r="D31" s="181">
        <f t="shared" si="5"/>
        <v>3547651</v>
      </c>
      <c r="E31" s="182">
        <v>3318663</v>
      </c>
      <c r="F31" s="183">
        <v>6.9000076235520152E-2</v>
      </c>
      <c r="G31" s="184">
        <f t="shared" si="2"/>
        <v>6.9000076235520152E-2</v>
      </c>
      <c r="H31" s="43">
        <f t="shared" si="3"/>
        <v>2987633</v>
      </c>
      <c r="I31" s="185">
        <f t="shared" si="4"/>
        <v>-560018</v>
      </c>
      <c r="J31" s="42"/>
      <c r="K31" s="42"/>
      <c r="L31" s="42" t="s">
        <v>155</v>
      </c>
      <c r="M31" s="42">
        <v>3231796</v>
      </c>
    </row>
    <row r="32" spans="1:13" ht="15.75" customHeight="1">
      <c r="A32" s="180">
        <v>407</v>
      </c>
      <c r="B32" s="180">
        <v>24</v>
      </c>
      <c r="C32" s="180" t="str">
        <f t="shared" si="0"/>
        <v>407-24</v>
      </c>
      <c r="D32" s="181">
        <f t="shared" si="5"/>
        <v>3837581</v>
      </c>
      <c r="E32" s="182">
        <v>3589879</v>
      </c>
      <c r="F32" s="183">
        <v>6.9000097217761375E-2</v>
      </c>
      <c r="G32" s="184">
        <f t="shared" si="2"/>
        <v>6.9000097217761375E-2</v>
      </c>
      <c r="H32" s="43">
        <f t="shared" si="3"/>
        <v>3231796</v>
      </c>
      <c r="I32" s="185">
        <f t="shared" si="4"/>
        <v>-605785</v>
      </c>
      <c r="J32" s="42"/>
      <c r="K32" s="42"/>
      <c r="L32" s="42" t="s">
        <v>152</v>
      </c>
      <c r="M32" s="42">
        <v>3394057</v>
      </c>
    </row>
    <row r="33" spans="1:13" ht="15.75" customHeight="1">
      <c r="A33" s="180">
        <v>407</v>
      </c>
      <c r="B33" s="180">
        <v>26</v>
      </c>
      <c r="C33" s="180" t="str">
        <f t="shared" si="0"/>
        <v>407-26</v>
      </c>
      <c r="D33" s="190">
        <f t="shared" si="5"/>
        <v>4030258</v>
      </c>
      <c r="E33" s="182">
        <v>3770119</v>
      </c>
      <c r="F33" s="183">
        <v>6.90002092772138E-2</v>
      </c>
      <c r="G33" s="184">
        <f t="shared" si="2"/>
        <v>6.90002092772138E-2</v>
      </c>
      <c r="H33" s="43">
        <f t="shared" si="3"/>
        <v>3394057</v>
      </c>
      <c r="I33" s="185">
        <f t="shared" si="4"/>
        <v>-636201</v>
      </c>
      <c r="J33" s="42"/>
      <c r="K33" s="42"/>
      <c r="L33" s="42" t="s">
        <v>149</v>
      </c>
      <c r="M33" s="42">
        <v>3394263</v>
      </c>
    </row>
    <row r="34" spans="1:13" ht="15.75" customHeight="1">
      <c r="A34" s="180">
        <v>407</v>
      </c>
      <c r="B34" s="180">
        <v>27</v>
      </c>
      <c r="C34" s="180" t="str">
        <f t="shared" si="0"/>
        <v>407-27</v>
      </c>
      <c r="D34" s="190">
        <f t="shared" si="5"/>
        <v>4030503</v>
      </c>
      <c r="E34" s="182">
        <v>3770348</v>
      </c>
      <c r="F34" s="183">
        <v>6.9000262044776772E-2</v>
      </c>
      <c r="G34" s="184">
        <f t="shared" si="2"/>
        <v>6.9000262044776772E-2</v>
      </c>
      <c r="H34" s="43">
        <f t="shared" si="3"/>
        <v>3394263</v>
      </c>
      <c r="I34" s="185">
        <f t="shared" si="4"/>
        <v>-636240</v>
      </c>
      <c r="J34" s="42"/>
      <c r="K34" s="42"/>
      <c r="L34" s="42" t="s">
        <v>221</v>
      </c>
      <c r="M34" s="42">
        <v>2103831</v>
      </c>
    </row>
    <row r="35" spans="1:13" ht="15.75" customHeight="1">
      <c r="A35" s="180">
        <v>407</v>
      </c>
      <c r="B35" s="180">
        <v>9</v>
      </c>
      <c r="C35" s="180" t="str">
        <f t="shared" si="0"/>
        <v>407-9</v>
      </c>
      <c r="D35" s="181">
        <f t="shared" si="5"/>
        <v>2498185</v>
      </c>
      <c r="E35" s="182">
        <v>2336936</v>
      </c>
      <c r="F35" s="183">
        <v>6.9000178010865512E-2</v>
      </c>
      <c r="G35" s="184">
        <f t="shared" si="2"/>
        <v>6.9000178010865512E-2</v>
      </c>
      <c r="H35" s="43">
        <f t="shared" si="3"/>
        <v>2103831</v>
      </c>
      <c r="I35" s="185">
        <f t="shared" si="4"/>
        <v>-394354</v>
      </c>
      <c r="J35" s="42"/>
      <c r="K35" s="42"/>
      <c r="L35" s="42" t="s">
        <v>272</v>
      </c>
      <c r="M35" s="42">
        <v>2987633</v>
      </c>
    </row>
    <row r="36" spans="1:13" ht="15.75" customHeight="1">
      <c r="A36" s="180">
        <v>425</v>
      </c>
      <c r="B36" s="180">
        <v>20</v>
      </c>
      <c r="C36" s="180" t="str">
        <f t="shared" si="0"/>
        <v>425-20</v>
      </c>
      <c r="D36" s="181">
        <f t="shared" si="5"/>
        <v>3547651</v>
      </c>
      <c r="E36" s="182">
        <v>3318663</v>
      </c>
      <c r="F36" s="183">
        <v>6.9000076235520152E-2</v>
      </c>
      <c r="G36" s="184">
        <f t="shared" si="2"/>
        <v>6.9000076235520152E-2</v>
      </c>
      <c r="H36" s="43">
        <f t="shared" si="3"/>
        <v>2987633</v>
      </c>
      <c r="I36" s="185">
        <f t="shared" si="4"/>
        <v>-560018</v>
      </c>
      <c r="J36" s="42"/>
      <c r="K36" s="42"/>
      <c r="L36" s="42" t="s">
        <v>267</v>
      </c>
      <c r="M36" s="42">
        <v>3086496</v>
      </c>
    </row>
    <row r="37" spans="1:13" ht="15.75" customHeight="1">
      <c r="A37" s="180">
        <v>425</v>
      </c>
      <c r="B37" s="180">
        <v>21</v>
      </c>
      <c r="C37" s="180" t="str">
        <f t="shared" si="0"/>
        <v>425-21</v>
      </c>
      <c r="D37" s="181">
        <f t="shared" si="5"/>
        <v>3665046</v>
      </c>
      <c r="E37" s="182">
        <v>3428480</v>
      </c>
      <c r="F37" s="183">
        <v>6.9000256673511298E-2</v>
      </c>
      <c r="G37" s="184">
        <f t="shared" si="2"/>
        <v>6.9000256673511298E-2</v>
      </c>
      <c r="H37" s="43">
        <f t="shared" si="3"/>
        <v>3086496</v>
      </c>
      <c r="I37" s="185">
        <f t="shared" si="4"/>
        <v>-578550</v>
      </c>
      <c r="J37" s="42"/>
      <c r="K37" s="42"/>
      <c r="L37" s="42" t="s">
        <v>263</v>
      </c>
      <c r="M37" s="42">
        <v>3231796</v>
      </c>
    </row>
    <row r="38" spans="1:13" ht="15.75" customHeight="1">
      <c r="A38" s="180">
        <v>425</v>
      </c>
      <c r="B38" s="180">
        <v>24</v>
      </c>
      <c r="C38" s="180" t="str">
        <f t="shared" si="0"/>
        <v>425-24</v>
      </c>
      <c r="D38" s="181">
        <f t="shared" si="5"/>
        <v>3837581</v>
      </c>
      <c r="E38" s="182">
        <v>3589879</v>
      </c>
      <c r="F38" s="183">
        <v>6.9000097217761375E-2</v>
      </c>
      <c r="G38" s="184">
        <f t="shared" si="2"/>
        <v>6.9000097217761375E-2</v>
      </c>
      <c r="H38" s="43">
        <f t="shared" si="3"/>
        <v>3231796</v>
      </c>
      <c r="I38" s="185">
        <f t="shared" si="4"/>
        <v>-605785</v>
      </c>
      <c r="J38" s="42"/>
      <c r="K38" s="42"/>
      <c r="L38" s="42" t="s">
        <v>258</v>
      </c>
      <c r="M38" s="42">
        <v>3258955</v>
      </c>
    </row>
    <row r="39" spans="1:13" ht="15.75" customHeight="1">
      <c r="A39" s="180">
        <v>425</v>
      </c>
      <c r="B39" s="180">
        <v>27</v>
      </c>
      <c r="C39" s="180" t="str">
        <f t="shared" si="0"/>
        <v>425-27</v>
      </c>
      <c r="D39" s="181">
        <f t="shared" si="5"/>
        <v>4030503</v>
      </c>
      <c r="E39" s="182">
        <v>3770348</v>
      </c>
      <c r="F39" s="183">
        <v>6.9000262044776772E-2</v>
      </c>
      <c r="G39" s="184">
        <f t="shared" si="2"/>
        <v>6.9000262044776772E-2</v>
      </c>
      <c r="H39" s="43">
        <f t="shared" si="3"/>
        <v>3258955</v>
      </c>
      <c r="I39" s="185">
        <f t="shared" si="4"/>
        <v>-771548</v>
      </c>
      <c r="J39" s="42"/>
      <c r="K39" s="42"/>
      <c r="L39" s="42" t="s">
        <v>242</v>
      </c>
      <c r="M39" s="42">
        <v>2205336</v>
      </c>
    </row>
    <row r="40" spans="1:13" ht="15.75" customHeight="1">
      <c r="A40" s="180">
        <v>440</v>
      </c>
      <c r="B40" s="180">
        <v>11</v>
      </c>
      <c r="C40" s="180" t="str">
        <f t="shared" si="0"/>
        <v>440-11</v>
      </c>
      <c r="D40" s="181">
        <f t="shared" si="5"/>
        <v>2618717</v>
      </c>
      <c r="E40" s="182">
        <v>2449688</v>
      </c>
      <c r="F40" s="183">
        <v>6.9000215537652149E-2</v>
      </c>
      <c r="G40" s="184">
        <f t="shared" si="2"/>
        <v>6.9000215537652149E-2</v>
      </c>
      <c r="H40" s="43">
        <f t="shared" si="3"/>
        <v>2205336</v>
      </c>
      <c r="I40" s="185">
        <f t="shared" si="4"/>
        <v>-413381</v>
      </c>
      <c r="J40" s="42"/>
      <c r="K40" s="42"/>
      <c r="L40" s="42" t="s">
        <v>240</v>
      </c>
      <c r="M40" s="42">
        <v>2899760</v>
      </c>
    </row>
    <row r="41" spans="1:13" ht="15.75" customHeight="1">
      <c r="A41" s="180">
        <v>440</v>
      </c>
      <c r="B41" s="180">
        <v>19</v>
      </c>
      <c r="C41" s="180" t="str">
        <f t="shared" si="0"/>
        <v>440-19</v>
      </c>
      <c r="D41" s="181">
        <f t="shared" si="5"/>
        <v>3443307</v>
      </c>
      <c r="E41" s="182">
        <v>3221054</v>
      </c>
      <c r="F41" s="183">
        <v>6.9000085065323333E-2</v>
      </c>
      <c r="G41" s="184">
        <f t="shared" si="2"/>
        <v>6.9000085065323333E-2</v>
      </c>
      <c r="H41" s="43">
        <f t="shared" si="3"/>
        <v>2899760</v>
      </c>
      <c r="I41" s="185">
        <f t="shared" si="4"/>
        <v>-543547</v>
      </c>
      <c r="J41" s="42"/>
      <c r="K41" s="42"/>
      <c r="L41" s="42" t="s">
        <v>31</v>
      </c>
      <c r="M41" s="42">
        <v>2103831</v>
      </c>
    </row>
    <row r="42" spans="1:13" ht="15.75" customHeight="1">
      <c r="A42" s="180">
        <v>440</v>
      </c>
      <c r="B42" s="180">
        <v>9</v>
      </c>
      <c r="C42" s="180" t="str">
        <f t="shared" si="0"/>
        <v>440-9</v>
      </c>
      <c r="D42" s="181">
        <f t="shared" si="5"/>
        <v>2498185</v>
      </c>
      <c r="E42" s="182">
        <v>2336936</v>
      </c>
      <c r="F42" s="183">
        <v>6.9000178010865512E-2</v>
      </c>
      <c r="G42" s="184">
        <f t="shared" si="2"/>
        <v>6.9000178010865512E-2</v>
      </c>
      <c r="H42" s="43">
        <f t="shared" si="3"/>
        <v>2103831</v>
      </c>
      <c r="I42" s="185">
        <f t="shared" si="4"/>
        <v>-394354</v>
      </c>
      <c r="J42" s="42"/>
      <c r="K42" s="42"/>
      <c r="L42" s="42" t="s">
        <v>1953</v>
      </c>
      <c r="M42" s="42">
        <v>9889513</v>
      </c>
    </row>
    <row r="43" spans="1:13" ht="15.75" customHeight="1">
      <c r="A43" s="180">
        <v>45</v>
      </c>
      <c r="B43" s="180">
        <v>8</v>
      </c>
      <c r="C43" s="180" t="str">
        <f t="shared" si="0"/>
        <v>45-8</v>
      </c>
      <c r="D43" s="181">
        <f t="shared" si="5"/>
        <v>11700968</v>
      </c>
      <c r="E43" s="182">
        <v>10945713</v>
      </c>
      <c r="F43" s="183">
        <v>6.9000073362055075E-2</v>
      </c>
      <c r="G43" s="184">
        <f t="shared" si="2"/>
        <v>6.9000073362055075E-2</v>
      </c>
      <c r="H43" s="43">
        <f t="shared" si="3"/>
        <v>9889513</v>
      </c>
      <c r="I43" s="185">
        <f t="shared" si="4"/>
        <v>-1811455</v>
      </c>
      <c r="J43" s="42"/>
      <c r="K43" s="42"/>
      <c r="L43" s="42" t="s">
        <v>279</v>
      </c>
      <c r="M43" s="42">
        <v>1720653</v>
      </c>
    </row>
    <row r="44" spans="1:13" ht="15.75" customHeight="1">
      <c r="A44" s="180">
        <v>470</v>
      </c>
      <c r="B44" s="180">
        <v>3</v>
      </c>
      <c r="C44" s="180" t="str">
        <f t="shared" si="0"/>
        <v>470-3</v>
      </c>
      <c r="D44" s="181">
        <f t="shared" si="5"/>
        <v>2043182</v>
      </c>
      <c r="E44" s="182">
        <v>1911302</v>
      </c>
      <c r="F44" s="183">
        <v>6.9000084758975816E-2</v>
      </c>
      <c r="G44" s="184">
        <f t="shared" si="2"/>
        <v>6.9000084758975816E-2</v>
      </c>
      <c r="H44" s="43">
        <f t="shared" si="3"/>
        <v>1720653</v>
      </c>
      <c r="I44" s="185">
        <f t="shared" si="4"/>
        <v>-322529</v>
      </c>
      <c r="J44" s="42"/>
      <c r="K44" s="42"/>
      <c r="L44" s="42" t="s">
        <v>275</v>
      </c>
      <c r="M44" s="42">
        <v>2062652</v>
      </c>
    </row>
    <row r="45" spans="1:13" ht="15.75" customHeight="1">
      <c r="A45" s="180">
        <v>470</v>
      </c>
      <c r="B45" s="180">
        <v>7</v>
      </c>
      <c r="C45" s="180" t="str">
        <f t="shared" si="0"/>
        <v>470-7</v>
      </c>
      <c r="D45" s="181">
        <f t="shared" si="5"/>
        <v>2449287</v>
      </c>
      <c r="E45" s="182">
        <v>2291194</v>
      </c>
      <c r="F45" s="183">
        <v>6.9000267982545341E-2</v>
      </c>
      <c r="G45" s="184">
        <f t="shared" si="2"/>
        <v>6.9000267982545341E-2</v>
      </c>
      <c r="H45" s="43">
        <f t="shared" si="3"/>
        <v>2062652</v>
      </c>
      <c r="I45" s="185">
        <f t="shared" si="4"/>
        <v>-386635</v>
      </c>
      <c r="J45" s="42"/>
      <c r="K45" s="42"/>
      <c r="L45" s="42" t="s">
        <v>226</v>
      </c>
      <c r="M45" s="42">
        <v>2372489</v>
      </c>
    </row>
    <row r="46" spans="1:13" ht="15.75" customHeight="1">
      <c r="A46" s="180">
        <v>480</v>
      </c>
      <c r="B46" s="180">
        <v>13</v>
      </c>
      <c r="C46" s="180" t="str">
        <f t="shared" si="0"/>
        <v>480-13</v>
      </c>
      <c r="D46" s="181">
        <f t="shared" si="5"/>
        <v>2817201</v>
      </c>
      <c r="E46" s="182">
        <v>2635361</v>
      </c>
      <c r="F46" s="183">
        <v>6.9000034530373636E-2</v>
      </c>
      <c r="G46" s="184">
        <f t="shared" si="2"/>
        <v>6.9000034530373636E-2</v>
      </c>
      <c r="H46" s="43">
        <f t="shared" si="3"/>
        <v>2372489</v>
      </c>
      <c r="I46" s="185">
        <f t="shared" si="4"/>
        <v>-444712</v>
      </c>
      <c r="J46" s="42"/>
      <c r="K46" s="42"/>
      <c r="L46" s="42" t="s">
        <v>1961</v>
      </c>
      <c r="M46" s="42">
        <v>8056082</v>
      </c>
    </row>
    <row r="47" spans="1:13" ht="15.75" customHeight="1">
      <c r="A47" s="180">
        <v>6</v>
      </c>
      <c r="B47" s="180">
        <v>6</v>
      </c>
      <c r="C47" s="180" t="str">
        <f t="shared" si="0"/>
        <v>6-6</v>
      </c>
      <c r="D47" s="181">
        <f t="shared" si="5"/>
        <v>9531709</v>
      </c>
      <c r="E47" s="182">
        <v>8916472</v>
      </c>
      <c r="F47" s="183">
        <v>6.9000048449655876E-2</v>
      </c>
      <c r="G47" s="184">
        <f t="shared" si="2"/>
        <v>6.9000048449655876E-2</v>
      </c>
      <c r="H47" s="43">
        <f t="shared" si="3"/>
        <v>8056082</v>
      </c>
      <c r="I47" s="185">
        <f t="shared" si="4"/>
        <v>-1475627</v>
      </c>
      <c r="J47" s="42"/>
      <c r="K47" s="42"/>
      <c r="L47" s="42" t="s">
        <v>40</v>
      </c>
      <c r="M47" s="42">
        <v>8828149</v>
      </c>
    </row>
    <row r="48" spans="1:13" ht="15.75" customHeight="1">
      <c r="A48" s="180">
        <v>9</v>
      </c>
      <c r="B48" s="180">
        <v>7</v>
      </c>
      <c r="C48" s="180" t="str">
        <f t="shared" si="0"/>
        <v>9-7</v>
      </c>
      <c r="D48" s="181">
        <f t="shared" si="5"/>
        <v>10445195</v>
      </c>
      <c r="E48" s="182">
        <v>9770996</v>
      </c>
      <c r="F48" s="183">
        <v>6.9000028246864492E-2</v>
      </c>
      <c r="G48" s="184">
        <f t="shared" si="2"/>
        <v>6.9000028246864492E-2</v>
      </c>
      <c r="H48" s="43">
        <f t="shared" si="3"/>
        <v>8828149</v>
      </c>
      <c r="I48" s="185">
        <f t="shared" si="4"/>
        <v>-1617046</v>
      </c>
      <c r="J48" s="42"/>
      <c r="K48" s="42"/>
      <c r="L48" s="42"/>
      <c r="M48" s="42"/>
    </row>
    <row r="49" spans="4:4" ht="15.75" customHeight="1"/>
    <row r="50" spans="4:4" ht="15.75" customHeight="1"/>
    <row r="51" spans="4:4" ht="15.75" customHeight="1">
      <c r="D51" s="185">
        <f>D15*1.4</f>
        <v>8583558.1999999993</v>
      </c>
    </row>
    <row r="52" spans="4:4" ht="15.75" customHeight="1"/>
    <row r="53" spans="4:4" ht="15.75" customHeight="1"/>
    <row r="54" spans="4:4" ht="15.75" customHeight="1"/>
    <row r="55" spans="4:4" ht="15.75" customHeight="1"/>
    <row r="56" spans="4:4" ht="15.75" customHeight="1"/>
    <row r="57" spans="4:4" ht="15.75" customHeight="1"/>
    <row r="58" spans="4:4" ht="15.75" customHeight="1"/>
    <row r="59" spans="4:4" ht="15.75" customHeight="1"/>
    <row r="60" spans="4:4" ht="15.75" customHeight="1"/>
    <row r="61" spans="4:4" ht="15.75" customHeight="1"/>
    <row r="62" spans="4:4" ht="15.75" customHeight="1"/>
    <row r="63" spans="4:4" ht="15.75" customHeight="1"/>
    <row r="64" spans="4: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B48" xr:uid="{00000000-0009-0000-0000-00000D000000}"/>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000"/>
  <sheetViews>
    <sheetView workbookViewId="0"/>
  </sheetViews>
  <sheetFormatPr baseColWidth="10" defaultColWidth="14.42578125" defaultRowHeight="15" customHeight="1"/>
  <cols>
    <col min="1" max="1" width="19.42578125" customWidth="1"/>
    <col min="2" max="2" width="14.5703125" customWidth="1"/>
    <col min="3" max="3" width="10.7109375" customWidth="1"/>
    <col min="4" max="4" width="13.140625" customWidth="1"/>
    <col min="5" max="6" width="10.7109375" customWidth="1"/>
  </cols>
  <sheetData>
    <row r="1" spans="1:4">
      <c r="A1" s="178" t="s">
        <v>2009</v>
      </c>
      <c r="B1" s="191" t="s">
        <v>148</v>
      </c>
    </row>
    <row r="2" spans="1:4">
      <c r="A2" s="8" t="s">
        <v>2012</v>
      </c>
      <c r="B2" s="192">
        <f>+'PLANTA SJD'!AI141</f>
        <v>4938935</v>
      </c>
    </row>
    <row r="3" spans="1:4">
      <c r="A3" s="8" t="s">
        <v>2015</v>
      </c>
      <c r="B3" s="170">
        <f>ROUND(B2*0.4,0)</f>
        <v>1975574</v>
      </c>
    </row>
    <row r="4" spans="1:4">
      <c r="A4" s="178" t="s">
        <v>2017</v>
      </c>
      <c r="B4" s="193">
        <f>SUM(B2:B3)</f>
        <v>6914509</v>
      </c>
    </row>
    <row r="5" spans="1:4">
      <c r="B5" s="177"/>
    </row>
    <row r="6" spans="1:4">
      <c r="B6" s="177"/>
      <c r="D6" s="177">
        <v>6039400</v>
      </c>
    </row>
    <row r="7" spans="1:4">
      <c r="B7" s="177"/>
      <c r="D7" s="177">
        <f>+D6*1.069</f>
        <v>6456118.5999999996</v>
      </c>
    </row>
    <row r="8" spans="1:4">
      <c r="B8" s="177"/>
    </row>
    <row r="9" spans="1:4">
      <c r="B9" s="177"/>
    </row>
    <row r="10" spans="1:4">
      <c r="B10" s="177"/>
    </row>
    <row r="11" spans="1:4">
      <c r="B11" s="177"/>
    </row>
    <row r="12" spans="1:4">
      <c r="B12" s="177"/>
    </row>
    <row r="13" spans="1:4">
      <c r="B13" s="177"/>
    </row>
    <row r="14" spans="1:4">
      <c r="B14" s="177"/>
    </row>
    <row r="15" spans="1:4">
      <c r="B15" s="177"/>
    </row>
    <row r="16" spans="1:4">
      <c r="B16" s="177"/>
    </row>
    <row r="17" spans="2:2">
      <c r="B17" s="177"/>
    </row>
    <row r="18" spans="2:2">
      <c r="B18" s="177"/>
    </row>
    <row r="19" spans="2:2">
      <c r="B19" s="177"/>
    </row>
    <row r="20" spans="2:2">
      <c r="B20" s="177"/>
    </row>
    <row r="21" spans="2:2" ht="15.75" customHeight="1">
      <c r="B21" s="177"/>
    </row>
    <row r="22" spans="2:2" ht="15.75" customHeight="1">
      <c r="B22" s="177"/>
    </row>
    <row r="23" spans="2:2" ht="15.75" customHeight="1">
      <c r="B23" s="177"/>
    </row>
    <row r="24" spans="2:2" ht="15.75" customHeight="1">
      <c r="B24" s="177"/>
    </row>
    <row r="25" spans="2:2" ht="15.75" customHeight="1">
      <c r="B25" s="177"/>
    </row>
    <row r="26" spans="2:2" ht="15.75" customHeight="1">
      <c r="B26" s="177"/>
    </row>
    <row r="27" spans="2:2" ht="15.75" customHeight="1">
      <c r="B27" s="177"/>
    </row>
    <row r="28" spans="2:2" ht="15.75" customHeight="1">
      <c r="B28" s="177"/>
    </row>
    <row r="29" spans="2:2" ht="15.75" customHeight="1">
      <c r="B29" s="177"/>
    </row>
    <row r="30" spans="2:2" ht="15.75" customHeight="1">
      <c r="B30" s="177"/>
    </row>
    <row r="31" spans="2:2" ht="15.75" customHeight="1">
      <c r="B31" s="177"/>
    </row>
    <row r="32" spans="2:2" ht="15.75" customHeight="1">
      <c r="B32" s="177"/>
    </row>
    <row r="33" spans="2:2" ht="15.75" customHeight="1">
      <c r="B33" s="177"/>
    </row>
    <row r="34" spans="2:2" ht="15.75" customHeight="1">
      <c r="B34" s="177"/>
    </row>
    <row r="35" spans="2:2" ht="15.75" customHeight="1">
      <c r="B35" s="177"/>
    </row>
    <row r="36" spans="2:2" ht="15.75" customHeight="1">
      <c r="B36" s="177"/>
    </row>
    <row r="37" spans="2:2" ht="15.75" customHeight="1">
      <c r="B37" s="177"/>
    </row>
    <row r="38" spans="2:2" ht="15.75" customHeight="1">
      <c r="B38" s="177"/>
    </row>
    <row r="39" spans="2:2" ht="15.75" customHeight="1">
      <c r="B39" s="177"/>
    </row>
    <row r="40" spans="2:2" ht="15.75" customHeight="1">
      <c r="B40" s="177"/>
    </row>
    <row r="41" spans="2:2" ht="15.75" customHeight="1">
      <c r="B41" s="177"/>
    </row>
    <row r="42" spans="2:2" ht="15.75" customHeight="1">
      <c r="B42" s="177"/>
    </row>
    <row r="43" spans="2:2" ht="15.75" customHeight="1">
      <c r="B43" s="177"/>
    </row>
    <row r="44" spans="2:2" ht="15.75" customHeight="1">
      <c r="B44" s="177"/>
    </row>
    <row r="45" spans="2:2" ht="15.75" customHeight="1">
      <c r="B45" s="177"/>
    </row>
    <row r="46" spans="2:2" ht="15.75" customHeight="1">
      <c r="B46" s="177"/>
    </row>
    <row r="47" spans="2:2" ht="15.75" customHeight="1">
      <c r="B47" s="177"/>
    </row>
    <row r="48" spans="2:2" ht="15.75" customHeight="1">
      <c r="B48" s="177"/>
    </row>
    <row r="49" spans="2:2" ht="15.75" customHeight="1">
      <c r="B49" s="177"/>
    </row>
    <row r="50" spans="2:2" ht="15.75" customHeight="1">
      <c r="B50" s="177"/>
    </row>
    <row r="51" spans="2:2" ht="15.75" customHeight="1">
      <c r="B51" s="177"/>
    </row>
    <row r="52" spans="2:2" ht="15.75" customHeight="1">
      <c r="B52" s="177"/>
    </row>
    <row r="53" spans="2:2" ht="15.75" customHeight="1">
      <c r="B53" s="177"/>
    </row>
    <row r="54" spans="2:2" ht="15.75" customHeight="1">
      <c r="B54" s="177"/>
    </row>
    <row r="55" spans="2:2" ht="15.75" customHeight="1">
      <c r="B55" s="177"/>
    </row>
    <row r="56" spans="2:2" ht="15.75" customHeight="1">
      <c r="B56" s="177"/>
    </row>
    <row r="57" spans="2:2" ht="15.75" customHeight="1">
      <c r="B57" s="177"/>
    </row>
    <row r="58" spans="2:2" ht="15.75" customHeight="1">
      <c r="B58" s="177"/>
    </row>
    <row r="59" spans="2:2" ht="15.75" customHeight="1">
      <c r="B59" s="177"/>
    </row>
    <row r="60" spans="2:2" ht="15.75" customHeight="1">
      <c r="B60" s="177"/>
    </row>
    <row r="61" spans="2:2" ht="15.75" customHeight="1">
      <c r="B61" s="177"/>
    </row>
    <row r="62" spans="2:2" ht="15.75" customHeight="1">
      <c r="B62" s="177"/>
    </row>
    <row r="63" spans="2:2" ht="15.75" customHeight="1">
      <c r="B63" s="177"/>
    </row>
    <row r="64" spans="2:2" ht="15.75" customHeight="1">
      <c r="B64" s="177"/>
    </row>
    <row r="65" spans="2:2" ht="15.75" customHeight="1">
      <c r="B65" s="177"/>
    </row>
    <row r="66" spans="2:2" ht="15.75" customHeight="1">
      <c r="B66" s="177"/>
    </row>
    <row r="67" spans="2:2" ht="15.75" customHeight="1">
      <c r="B67" s="177"/>
    </row>
    <row r="68" spans="2:2" ht="15.75" customHeight="1">
      <c r="B68" s="177"/>
    </row>
    <row r="69" spans="2:2" ht="15.75" customHeight="1">
      <c r="B69" s="177"/>
    </row>
    <row r="70" spans="2:2" ht="15.75" customHeight="1">
      <c r="B70" s="177"/>
    </row>
    <row r="71" spans="2:2" ht="15.75" customHeight="1">
      <c r="B71" s="177"/>
    </row>
    <row r="72" spans="2:2" ht="15.75" customHeight="1">
      <c r="B72" s="177"/>
    </row>
    <row r="73" spans="2:2" ht="15.75" customHeight="1">
      <c r="B73" s="177"/>
    </row>
    <row r="74" spans="2:2" ht="15.75" customHeight="1">
      <c r="B74" s="177"/>
    </row>
    <row r="75" spans="2:2" ht="15.75" customHeight="1">
      <c r="B75" s="177"/>
    </row>
    <row r="76" spans="2:2" ht="15.75" customHeight="1">
      <c r="B76" s="177"/>
    </row>
    <row r="77" spans="2:2" ht="15.75" customHeight="1">
      <c r="B77" s="177"/>
    </row>
    <row r="78" spans="2:2" ht="15.75" customHeight="1">
      <c r="B78" s="177"/>
    </row>
    <row r="79" spans="2:2" ht="15.75" customHeight="1">
      <c r="B79" s="177"/>
    </row>
    <row r="80" spans="2:2" ht="15.75" customHeight="1">
      <c r="B80" s="177"/>
    </row>
    <row r="81" spans="2:2" ht="15.75" customHeight="1">
      <c r="B81" s="177"/>
    </row>
    <row r="82" spans="2:2" ht="15.75" customHeight="1">
      <c r="B82" s="177"/>
    </row>
    <row r="83" spans="2:2" ht="15.75" customHeight="1">
      <c r="B83" s="177"/>
    </row>
    <row r="84" spans="2:2" ht="15.75" customHeight="1">
      <c r="B84" s="177"/>
    </row>
    <row r="85" spans="2:2" ht="15.75" customHeight="1">
      <c r="B85" s="177"/>
    </row>
    <row r="86" spans="2:2" ht="15.75" customHeight="1">
      <c r="B86" s="177"/>
    </row>
    <row r="87" spans="2:2" ht="15.75" customHeight="1">
      <c r="B87" s="177"/>
    </row>
    <row r="88" spans="2:2" ht="15.75" customHeight="1">
      <c r="B88" s="177"/>
    </row>
    <row r="89" spans="2:2" ht="15.75" customHeight="1">
      <c r="B89" s="177"/>
    </row>
    <row r="90" spans="2:2" ht="15.75" customHeight="1">
      <c r="B90" s="177"/>
    </row>
    <row r="91" spans="2:2" ht="15.75" customHeight="1">
      <c r="B91" s="177"/>
    </row>
    <row r="92" spans="2:2" ht="15.75" customHeight="1">
      <c r="B92" s="177"/>
    </row>
    <row r="93" spans="2:2" ht="15.75" customHeight="1">
      <c r="B93" s="177"/>
    </row>
    <row r="94" spans="2:2" ht="15.75" customHeight="1">
      <c r="B94" s="177"/>
    </row>
    <row r="95" spans="2:2" ht="15.75" customHeight="1">
      <c r="B95" s="177"/>
    </row>
    <row r="96" spans="2:2" ht="15.75" customHeight="1">
      <c r="B96" s="177"/>
    </row>
    <row r="97" spans="2:2" ht="15.75" customHeight="1">
      <c r="B97" s="177"/>
    </row>
    <row r="98" spans="2:2" ht="15.75" customHeight="1">
      <c r="B98" s="177"/>
    </row>
    <row r="99" spans="2:2" ht="15.75" customHeight="1">
      <c r="B99" s="177"/>
    </row>
    <row r="100" spans="2:2" ht="15.75" customHeight="1">
      <c r="B100" s="177"/>
    </row>
    <row r="101" spans="2:2" ht="15.75" customHeight="1">
      <c r="B101" s="177"/>
    </row>
    <row r="102" spans="2:2" ht="15.75" customHeight="1">
      <c r="B102" s="177"/>
    </row>
    <row r="103" spans="2:2" ht="15.75" customHeight="1">
      <c r="B103" s="177"/>
    </row>
    <row r="104" spans="2:2" ht="15.75" customHeight="1">
      <c r="B104" s="177"/>
    </row>
    <row r="105" spans="2:2" ht="15.75" customHeight="1">
      <c r="B105" s="177"/>
    </row>
    <row r="106" spans="2:2" ht="15.75" customHeight="1">
      <c r="B106" s="177"/>
    </row>
    <row r="107" spans="2:2" ht="15.75" customHeight="1">
      <c r="B107" s="177"/>
    </row>
    <row r="108" spans="2:2" ht="15.75" customHeight="1">
      <c r="B108" s="177"/>
    </row>
    <row r="109" spans="2:2" ht="15.75" customHeight="1">
      <c r="B109" s="177"/>
    </row>
    <row r="110" spans="2:2" ht="15.75" customHeight="1">
      <c r="B110" s="177"/>
    </row>
    <row r="111" spans="2:2" ht="15.75" customHeight="1">
      <c r="B111" s="177"/>
    </row>
    <row r="112" spans="2:2" ht="15.75" customHeight="1">
      <c r="B112" s="177"/>
    </row>
    <row r="113" spans="2:2" ht="15.75" customHeight="1">
      <c r="B113" s="177"/>
    </row>
    <row r="114" spans="2:2" ht="15.75" customHeight="1">
      <c r="B114" s="177"/>
    </row>
    <row r="115" spans="2:2" ht="15.75" customHeight="1">
      <c r="B115" s="177"/>
    </row>
    <row r="116" spans="2:2" ht="15.75" customHeight="1">
      <c r="B116" s="177"/>
    </row>
    <row r="117" spans="2:2" ht="15.75" customHeight="1">
      <c r="B117" s="177"/>
    </row>
    <row r="118" spans="2:2" ht="15.75" customHeight="1">
      <c r="B118" s="177"/>
    </row>
    <row r="119" spans="2:2" ht="15.75" customHeight="1">
      <c r="B119" s="177"/>
    </row>
    <row r="120" spans="2:2" ht="15.75" customHeight="1">
      <c r="B120" s="177"/>
    </row>
    <row r="121" spans="2:2" ht="15.75" customHeight="1">
      <c r="B121" s="177"/>
    </row>
    <row r="122" spans="2:2" ht="15.75" customHeight="1">
      <c r="B122" s="177"/>
    </row>
    <row r="123" spans="2:2" ht="15.75" customHeight="1">
      <c r="B123" s="177"/>
    </row>
    <row r="124" spans="2:2" ht="15.75" customHeight="1">
      <c r="B124" s="177"/>
    </row>
    <row r="125" spans="2:2" ht="15.75" customHeight="1">
      <c r="B125" s="177"/>
    </row>
    <row r="126" spans="2:2" ht="15.75" customHeight="1">
      <c r="B126" s="177"/>
    </row>
    <row r="127" spans="2:2" ht="15.75" customHeight="1">
      <c r="B127" s="177"/>
    </row>
    <row r="128" spans="2:2" ht="15.75" customHeight="1">
      <c r="B128" s="177"/>
    </row>
    <row r="129" spans="2:2" ht="15.75" customHeight="1">
      <c r="B129" s="177"/>
    </row>
    <row r="130" spans="2:2" ht="15.75" customHeight="1">
      <c r="B130" s="177"/>
    </row>
    <row r="131" spans="2:2" ht="15.75" customHeight="1">
      <c r="B131" s="177"/>
    </row>
    <row r="132" spans="2:2" ht="15.75" customHeight="1">
      <c r="B132" s="177"/>
    </row>
    <row r="133" spans="2:2" ht="15.75" customHeight="1">
      <c r="B133" s="177"/>
    </row>
    <row r="134" spans="2:2" ht="15.75" customHeight="1">
      <c r="B134" s="177"/>
    </row>
    <row r="135" spans="2:2" ht="15.75" customHeight="1">
      <c r="B135" s="177"/>
    </row>
    <row r="136" spans="2:2" ht="15.75" customHeight="1">
      <c r="B136" s="177"/>
    </row>
    <row r="137" spans="2:2" ht="15.75" customHeight="1">
      <c r="B137" s="177"/>
    </row>
    <row r="138" spans="2:2" ht="15.75" customHeight="1">
      <c r="B138" s="177"/>
    </row>
    <row r="139" spans="2:2" ht="15.75" customHeight="1">
      <c r="B139" s="177"/>
    </row>
    <row r="140" spans="2:2" ht="15.75" customHeight="1">
      <c r="B140" s="177"/>
    </row>
    <row r="141" spans="2:2" ht="15.75" customHeight="1">
      <c r="B141" s="177"/>
    </row>
    <row r="142" spans="2:2" ht="15.75" customHeight="1">
      <c r="B142" s="177"/>
    </row>
    <row r="143" spans="2:2" ht="15.75" customHeight="1">
      <c r="B143" s="177"/>
    </row>
    <row r="144" spans="2:2" ht="15.75" customHeight="1">
      <c r="B144" s="177"/>
    </row>
    <row r="145" spans="2:2" ht="15.75" customHeight="1">
      <c r="B145" s="177"/>
    </row>
    <row r="146" spans="2:2" ht="15.75" customHeight="1">
      <c r="B146" s="177"/>
    </row>
    <row r="147" spans="2:2" ht="15.75" customHeight="1">
      <c r="B147" s="177"/>
    </row>
    <row r="148" spans="2:2" ht="15.75" customHeight="1">
      <c r="B148" s="177"/>
    </row>
    <row r="149" spans="2:2" ht="15.75" customHeight="1">
      <c r="B149" s="177"/>
    </row>
    <row r="150" spans="2:2" ht="15.75" customHeight="1">
      <c r="B150" s="177"/>
    </row>
    <row r="151" spans="2:2" ht="15.75" customHeight="1">
      <c r="B151" s="177"/>
    </row>
    <row r="152" spans="2:2" ht="15.75" customHeight="1">
      <c r="B152" s="177"/>
    </row>
    <row r="153" spans="2:2" ht="15.75" customHeight="1">
      <c r="B153" s="177"/>
    </row>
    <row r="154" spans="2:2" ht="15.75" customHeight="1">
      <c r="B154" s="177"/>
    </row>
    <row r="155" spans="2:2" ht="15.75" customHeight="1">
      <c r="B155" s="177"/>
    </row>
    <row r="156" spans="2:2" ht="15.75" customHeight="1">
      <c r="B156" s="177"/>
    </row>
    <row r="157" spans="2:2" ht="15.75" customHeight="1">
      <c r="B157" s="177"/>
    </row>
    <row r="158" spans="2:2" ht="15.75" customHeight="1">
      <c r="B158" s="177"/>
    </row>
    <row r="159" spans="2:2" ht="15.75" customHeight="1">
      <c r="B159" s="177"/>
    </row>
    <row r="160" spans="2:2" ht="15.75" customHeight="1">
      <c r="B160" s="177"/>
    </row>
    <row r="161" spans="2:2" ht="15.75" customHeight="1">
      <c r="B161" s="177"/>
    </row>
    <row r="162" spans="2:2" ht="15.75" customHeight="1">
      <c r="B162" s="177"/>
    </row>
    <row r="163" spans="2:2" ht="15.75" customHeight="1">
      <c r="B163" s="177"/>
    </row>
    <row r="164" spans="2:2" ht="15.75" customHeight="1">
      <c r="B164" s="177"/>
    </row>
    <row r="165" spans="2:2" ht="15.75" customHeight="1">
      <c r="B165" s="177"/>
    </row>
    <row r="166" spans="2:2" ht="15.75" customHeight="1">
      <c r="B166" s="177"/>
    </row>
    <row r="167" spans="2:2" ht="15.75" customHeight="1">
      <c r="B167" s="177"/>
    </row>
    <row r="168" spans="2:2" ht="15.75" customHeight="1">
      <c r="B168" s="177"/>
    </row>
    <row r="169" spans="2:2" ht="15.75" customHeight="1">
      <c r="B169" s="177"/>
    </row>
    <row r="170" spans="2:2" ht="15.75" customHeight="1">
      <c r="B170" s="177"/>
    </row>
    <row r="171" spans="2:2" ht="15.75" customHeight="1">
      <c r="B171" s="177"/>
    </row>
    <row r="172" spans="2:2" ht="15.75" customHeight="1">
      <c r="B172" s="177"/>
    </row>
    <row r="173" spans="2:2" ht="15.75" customHeight="1">
      <c r="B173" s="177"/>
    </row>
    <row r="174" spans="2:2" ht="15.75" customHeight="1">
      <c r="B174" s="177"/>
    </row>
    <row r="175" spans="2:2" ht="15.75" customHeight="1">
      <c r="B175" s="177"/>
    </row>
    <row r="176" spans="2:2" ht="15.75" customHeight="1">
      <c r="B176" s="177"/>
    </row>
    <row r="177" spans="2:2" ht="15.75" customHeight="1">
      <c r="B177" s="177"/>
    </row>
    <row r="178" spans="2:2" ht="15.75" customHeight="1">
      <c r="B178" s="177"/>
    </row>
    <row r="179" spans="2:2" ht="15.75" customHeight="1">
      <c r="B179" s="177"/>
    </row>
    <row r="180" spans="2:2" ht="15.75" customHeight="1">
      <c r="B180" s="177"/>
    </row>
    <row r="181" spans="2:2" ht="15.75" customHeight="1">
      <c r="B181" s="177"/>
    </row>
    <row r="182" spans="2:2" ht="15.75" customHeight="1">
      <c r="B182" s="177"/>
    </row>
    <row r="183" spans="2:2" ht="15.75" customHeight="1">
      <c r="B183" s="177"/>
    </row>
    <row r="184" spans="2:2" ht="15.75" customHeight="1">
      <c r="B184" s="177"/>
    </row>
    <row r="185" spans="2:2" ht="15.75" customHeight="1">
      <c r="B185" s="177"/>
    </row>
    <row r="186" spans="2:2" ht="15.75" customHeight="1">
      <c r="B186" s="177"/>
    </row>
    <row r="187" spans="2:2" ht="15.75" customHeight="1">
      <c r="B187" s="177"/>
    </row>
    <row r="188" spans="2:2" ht="15.75" customHeight="1">
      <c r="B188" s="177"/>
    </row>
    <row r="189" spans="2:2" ht="15.75" customHeight="1">
      <c r="B189" s="177"/>
    </row>
    <row r="190" spans="2:2" ht="15.75" customHeight="1">
      <c r="B190" s="177"/>
    </row>
    <row r="191" spans="2:2" ht="15.75" customHeight="1">
      <c r="B191" s="177"/>
    </row>
    <row r="192" spans="2:2" ht="15.75" customHeight="1">
      <c r="B192" s="177"/>
    </row>
    <row r="193" spans="2:2" ht="15.75" customHeight="1">
      <c r="B193" s="177"/>
    </row>
    <row r="194" spans="2:2" ht="15.75" customHeight="1">
      <c r="B194" s="177"/>
    </row>
    <row r="195" spans="2:2" ht="15.75" customHeight="1">
      <c r="B195" s="177"/>
    </row>
    <row r="196" spans="2:2" ht="15.75" customHeight="1">
      <c r="B196" s="177"/>
    </row>
    <row r="197" spans="2:2" ht="15.75" customHeight="1">
      <c r="B197" s="177"/>
    </row>
    <row r="198" spans="2:2" ht="15.75" customHeight="1">
      <c r="B198" s="177"/>
    </row>
    <row r="199" spans="2:2" ht="15.75" customHeight="1">
      <c r="B199" s="177"/>
    </row>
    <row r="200" spans="2:2" ht="15.75" customHeight="1">
      <c r="B200" s="177"/>
    </row>
    <row r="201" spans="2:2" ht="15.75" customHeight="1">
      <c r="B201" s="177"/>
    </row>
    <row r="202" spans="2:2" ht="15.75" customHeight="1">
      <c r="B202" s="177"/>
    </row>
    <row r="203" spans="2:2" ht="15.75" customHeight="1">
      <c r="B203" s="177"/>
    </row>
    <row r="204" spans="2:2" ht="15.75" customHeight="1">
      <c r="B204" s="177"/>
    </row>
    <row r="205" spans="2:2" ht="15.75" customHeight="1">
      <c r="B205" s="177"/>
    </row>
    <row r="206" spans="2:2" ht="15.75" customHeight="1">
      <c r="B206" s="177"/>
    </row>
    <row r="207" spans="2:2" ht="15.75" customHeight="1">
      <c r="B207" s="177"/>
    </row>
    <row r="208" spans="2:2" ht="15.75" customHeight="1">
      <c r="B208" s="177"/>
    </row>
    <row r="209" spans="2:2" ht="15.75" customHeight="1">
      <c r="B209" s="177"/>
    </row>
    <row r="210" spans="2:2" ht="15.75" customHeight="1">
      <c r="B210" s="177"/>
    </row>
    <row r="211" spans="2:2" ht="15.75" customHeight="1">
      <c r="B211" s="177"/>
    </row>
    <row r="212" spans="2:2" ht="15.75" customHeight="1">
      <c r="B212" s="177"/>
    </row>
    <row r="213" spans="2:2" ht="15.75" customHeight="1">
      <c r="B213" s="177"/>
    </row>
    <row r="214" spans="2:2" ht="15.75" customHeight="1">
      <c r="B214" s="177"/>
    </row>
    <row r="215" spans="2:2" ht="15.75" customHeight="1">
      <c r="B215" s="177"/>
    </row>
    <row r="216" spans="2:2" ht="15.75" customHeight="1">
      <c r="B216" s="177"/>
    </row>
    <row r="217" spans="2:2" ht="15.75" customHeight="1">
      <c r="B217" s="177"/>
    </row>
    <row r="218" spans="2:2" ht="15.75" customHeight="1">
      <c r="B218" s="177"/>
    </row>
    <row r="219" spans="2:2" ht="15.75" customHeight="1">
      <c r="B219" s="177"/>
    </row>
    <row r="220" spans="2:2" ht="15.75" customHeight="1">
      <c r="B220" s="177"/>
    </row>
    <row r="221" spans="2:2" ht="15.75" customHeight="1"/>
    <row r="222" spans="2:2" ht="15.75" customHeight="1"/>
    <row r="223" spans="2:2" ht="15.75" customHeight="1"/>
    <row r="224" spans="2:2"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3:E1000"/>
  <sheetViews>
    <sheetView workbookViewId="0"/>
  </sheetViews>
  <sheetFormatPr baseColWidth="10" defaultColWidth="14.42578125" defaultRowHeight="15" customHeight="1"/>
  <cols>
    <col min="1" max="1" width="19.85546875" customWidth="1"/>
    <col min="2" max="2" width="12" customWidth="1"/>
    <col min="3" max="3" width="11" customWidth="1"/>
    <col min="4" max="4" width="10.7109375" customWidth="1"/>
    <col min="5" max="5" width="12.5703125" customWidth="1"/>
    <col min="6" max="6" width="10.7109375" customWidth="1"/>
  </cols>
  <sheetData>
    <row r="3" spans="1:5">
      <c r="A3" s="2" t="s">
        <v>2061</v>
      </c>
      <c r="B3" s="46" t="s">
        <v>172</v>
      </c>
      <c r="C3" s="2"/>
      <c r="D3" s="2"/>
      <c r="E3" s="2"/>
    </row>
    <row r="4" spans="1:5" ht="34.5" customHeight="1">
      <c r="A4" s="194" t="s">
        <v>6</v>
      </c>
      <c r="B4" s="194" t="s">
        <v>53</v>
      </c>
      <c r="C4" s="194" t="s">
        <v>20</v>
      </c>
      <c r="D4" s="194" t="s">
        <v>69</v>
      </c>
      <c r="E4" s="195" t="s">
        <v>230</v>
      </c>
    </row>
    <row r="5" spans="1:5">
      <c r="A5" s="196" t="s">
        <v>26</v>
      </c>
      <c r="B5" s="8">
        <v>6</v>
      </c>
      <c r="C5" s="8"/>
      <c r="D5" s="8"/>
      <c r="E5" s="8">
        <v>6</v>
      </c>
    </row>
    <row r="6" spans="1:5">
      <c r="A6" s="196" t="s">
        <v>27</v>
      </c>
      <c r="B6" s="8">
        <v>31</v>
      </c>
      <c r="C6" s="8">
        <v>2</v>
      </c>
      <c r="D6" s="8">
        <v>2</v>
      </c>
      <c r="E6" s="8">
        <v>35</v>
      </c>
    </row>
    <row r="7" spans="1:5">
      <c r="A7" s="196" t="s">
        <v>22</v>
      </c>
      <c r="B7" s="8">
        <v>10</v>
      </c>
      <c r="C7" s="8"/>
      <c r="D7" s="8"/>
      <c r="E7" s="8">
        <v>10</v>
      </c>
    </row>
    <row r="8" spans="1:5">
      <c r="A8" s="196" t="s">
        <v>50</v>
      </c>
      <c r="B8" s="8">
        <v>88</v>
      </c>
      <c r="C8" s="8">
        <v>1</v>
      </c>
      <c r="D8" s="8">
        <v>10</v>
      </c>
      <c r="E8" s="8">
        <v>99</v>
      </c>
    </row>
    <row r="9" spans="1:5">
      <c r="A9" s="196" t="s">
        <v>124</v>
      </c>
      <c r="B9" s="8">
        <v>20</v>
      </c>
      <c r="C9" s="8"/>
      <c r="D9" s="8"/>
      <c r="E9" s="8">
        <v>20</v>
      </c>
    </row>
    <row r="10" spans="1:5">
      <c r="A10" s="197" t="s">
        <v>230</v>
      </c>
      <c r="B10" s="8">
        <v>155</v>
      </c>
      <c r="C10" s="8">
        <v>3</v>
      </c>
      <c r="D10" s="8">
        <v>12</v>
      </c>
      <c r="E10" s="8">
        <v>170</v>
      </c>
    </row>
    <row r="15" spans="1:5" ht="30">
      <c r="A15" s="198" t="s">
        <v>6</v>
      </c>
      <c r="B15" s="198" t="s">
        <v>53</v>
      </c>
      <c r="C15" s="198" t="s">
        <v>20</v>
      </c>
      <c r="D15" s="198" t="s">
        <v>69</v>
      </c>
      <c r="E15" s="198" t="s">
        <v>2068</v>
      </c>
    </row>
    <row r="16" spans="1:5">
      <c r="A16" s="197" t="s">
        <v>26</v>
      </c>
      <c r="B16" s="199">
        <v>6</v>
      </c>
      <c r="C16" s="199"/>
      <c r="D16" s="199"/>
      <c r="E16" s="178">
        <v>6</v>
      </c>
    </row>
    <row r="17" spans="1:5">
      <c r="A17" s="197" t="s">
        <v>27</v>
      </c>
      <c r="B17" s="199">
        <v>34</v>
      </c>
      <c r="C17" s="199"/>
      <c r="D17" s="199">
        <v>1</v>
      </c>
      <c r="E17" s="178">
        <v>35</v>
      </c>
    </row>
    <row r="18" spans="1:5">
      <c r="A18" s="197" t="s">
        <v>22</v>
      </c>
      <c r="B18" s="199">
        <v>10</v>
      </c>
      <c r="C18" s="199"/>
      <c r="D18" s="199"/>
      <c r="E18" s="178">
        <v>10</v>
      </c>
    </row>
    <row r="19" spans="1:5">
      <c r="A19" s="197" t="s">
        <v>50</v>
      </c>
      <c r="B19" s="199">
        <v>89</v>
      </c>
      <c r="C19" s="199">
        <v>1</v>
      </c>
      <c r="D19" s="199">
        <v>9</v>
      </c>
      <c r="E19" s="178">
        <v>99</v>
      </c>
    </row>
    <row r="20" spans="1:5">
      <c r="A20" s="197" t="s">
        <v>124</v>
      </c>
      <c r="B20" s="199">
        <v>19</v>
      </c>
      <c r="C20" s="199"/>
      <c r="D20" s="199">
        <v>1</v>
      </c>
      <c r="E20" s="178">
        <v>20</v>
      </c>
    </row>
    <row r="21" spans="1:5" ht="15.75" customHeight="1">
      <c r="A21" s="200" t="s">
        <v>2070</v>
      </c>
      <c r="B21" s="200">
        <f t="shared" ref="B21:D21" si="0">SUM(B16:B20)</f>
        <v>158</v>
      </c>
      <c r="C21" s="200">
        <f t="shared" si="0"/>
        <v>1</v>
      </c>
      <c r="D21" s="200">
        <f t="shared" si="0"/>
        <v>11</v>
      </c>
      <c r="E21" s="200">
        <v>170</v>
      </c>
    </row>
    <row r="22" spans="1:5" ht="15.75" customHeight="1"/>
    <row r="23" spans="1:5" ht="15.75" customHeight="1"/>
    <row r="24" spans="1:5" ht="15.75" customHeight="1"/>
    <row r="25" spans="1:5" ht="15.75" customHeight="1"/>
    <row r="26" spans="1:5" ht="15.75" customHeight="1"/>
    <row r="27" spans="1:5" ht="15.75" customHeight="1"/>
    <row r="28" spans="1:5" ht="15.75" customHeight="1"/>
    <row r="29" spans="1:5" ht="15.75" customHeight="1"/>
    <row r="30" spans="1:5" ht="15.75" customHeight="1"/>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16</vt:i4>
      </vt:variant>
      <vt:variant>
        <vt:lpstr>Rangos con nombre</vt:lpstr>
      </vt:variant>
      <vt:variant>
        <vt:i4>4</vt:i4>
      </vt:variant>
    </vt:vector>
  </HeadingPairs>
  <TitlesOfParts>
    <vt:vector size="20" baseType="lpstr">
      <vt:lpstr>Hoja4 (2)</vt:lpstr>
      <vt:lpstr>PLANTA INICIAL</vt:lpstr>
      <vt:lpstr>PLANTA INICIAL (2)</vt:lpstr>
      <vt:lpstr>ESCALERAS</vt:lpstr>
      <vt:lpstr>Hoja4</vt:lpstr>
      <vt:lpstr>PLANTA SJD</vt:lpstr>
      <vt:lpstr>ESTADO FUNCIONAL DE LA PLANTA</vt:lpstr>
      <vt:lpstr>PLANTA SJD (2)</vt:lpstr>
      <vt:lpstr>PLANTA PERNO</vt:lpstr>
      <vt:lpstr>Hoja3</vt:lpstr>
      <vt:lpstr>datos</vt:lpstr>
      <vt:lpstr>PORCENTAJES FACTORES</vt:lpstr>
      <vt:lpstr>SIDEAP</vt:lpstr>
      <vt:lpstr>ESCALA SALRIAL</vt:lpstr>
      <vt:lpstr>Hoja2</vt:lpstr>
      <vt:lpstr>Hoja1</vt:lpstr>
      <vt:lpstr>BASE_PORCENTAJES</vt:lpstr>
      <vt:lpstr>PLANTA_PERNO</vt:lpstr>
      <vt:lpstr>'PLANTA SJD (2)'!PLANTA_PERSONAL_SJD</vt:lpstr>
      <vt:lpstr>PLANTA_PERSONAL_SJD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Arturo Hernandez Murcia</dc:creator>
  <cp:lastModifiedBy>SAMUEL ARTURO HERNANDEZ MURCIA</cp:lastModifiedBy>
  <dcterms:created xsi:type="dcterms:W3CDTF">2016-08-09T20:03:04Z</dcterms:created>
  <dcterms:modified xsi:type="dcterms:W3CDTF">2026-10-09T16:24:43Z</dcterms:modified>
</cp:coreProperties>
</file>