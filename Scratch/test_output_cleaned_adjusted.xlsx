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38640" windowHeight="21120"/>
  </bookViews>
  <sheets>
    <sheet sheetId="98" name="FORMATO" state="visible" r:id="rId4"/>
  </sheets>
  <definedNames>
    <definedName name="Print_Area">FORMATO!$A$1:$O$33</definedName>
  </definedNames>
  <calcPr calcId="171027"/>
</workbook>
</file>

<file path=xl/sharedStrings.xml><?xml version="1.0" encoding="utf-8"?>
<sst xmlns="http://schemas.openxmlformats.org/spreadsheetml/2006/main" count="134" uniqueCount="59">
  <si>
    <r>
      <rPr>
        <b/>
        <family val="2"/>
        <sz val="16"/>
        <rFont val="Arial"/>
      </rPr>
      <t>CERTIFICADO DE CUMPLIMIENTO DE REQUISITOS PARA TOMAR POSESIÓN</t>
    </r>
    <r>
      <rPr>
        <family val="2"/>
        <sz val="12"/>
        <rFont val="Arial"/>
      </rPr>
      <t xml:space="preserve">
Dirección de Gestión Corporativa</t>
    </r>
  </si>
  <si>
    <t xml:space="preserve">EL SUSCRITO DIRECTOR (A) DE GESTIÓN CORPORATIVA
HACE CONSTAR:</t>
  </si>
  <si>
    <t>Que el funcionario relacionado a continuación cumple con  los requisitos del cargo solicitado así:</t>
  </si>
  <si>
    <t>NOMBRE:</t>
  </si>
  <si>
    <r>
      <rPr>
        <b/>
        <family val="2"/>
        <sz val="10"/>
        <rFont val="Arial"/>
      </rPr>
      <t>DOCUMENTO DE IDENTIDAD:</t>
    </r>
    <r>
      <rPr>
        <family val="2"/>
        <sz val="10"/>
        <rFont val="Arial"/>
      </rPr>
      <t xml:space="preserve"> </t>
    </r>
  </si>
  <si>
    <t>TELEFONO:</t>
  </si>
  <si>
    <t>CORREO ELECTRONICO</t>
  </si>
  <si>
    <t>DEPENDENCIA</t>
  </si>
  <si>
    <t>CARGO:</t>
  </si>
  <si>
    <t>CODIGO:</t>
  </si>
  <si>
    <t>GRADO:</t>
  </si>
  <si>
    <t>1. REQUISITOS DEL CARGO</t>
  </si>
  <si>
    <t>EXPERIENCIA</t>
  </si>
  <si>
    <t>FORMACIÓN</t>
  </si>
  <si>
    <t>2. DOCUMENTOS APORTADOS</t>
  </si>
  <si>
    <t>2.1. FORMACIÓN</t>
  </si>
  <si>
    <t>TITULO DE BACHILLER:</t>
  </si>
  <si>
    <t>INSTITUCIÓN EDUCATIVA</t>
  </si>
  <si>
    <t>FECHA DE GRADO</t>
  </si>
  <si>
    <t>TITULO DE TECNICO</t>
  </si>
  <si>
    <t>TITULO DE TECNOLOGO</t>
  </si>
  <si>
    <t>TITULO DE PREGRADO:</t>
  </si>
  <si>
    <t>TITULO DE POSGRADO:</t>
  </si>
  <si>
    <t>TARJETA PROFESIONAL:</t>
  </si>
  <si>
    <t>FECHA DE EXPEDICIÓN</t>
  </si>
  <si>
    <t>2.2. EXPERIENCIA</t>
  </si>
  <si>
    <t>ENTIDAD</t>
  </si>
  <si>
    <t xml:space="preserve">CARGO </t>
  </si>
  <si>
    <t>DESDE</t>
  </si>
  <si>
    <t>HASTA</t>
  </si>
  <si>
    <t>TIPO DE EXPERIENCIA</t>
  </si>
  <si>
    <t>VALIDACIÓN EXP RELACIONADA</t>
  </si>
  <si>
    <t>TIEMPO DE EXPERIENCIA RELACIONADA</t>
  </si>
  <si>
    <t>VALIDACIÓN EXPERIENCIA</t>
  </si>
  <si>
    <t>TIEMPO DE EXPERIENCIA</t>
  </si>
  <si>
    <t>OBSERVACIÓN</t>
  </si>
  <si>
    <t>FECHA EDITADA</t>
  </si>
  <si>
    <t>AÑOS</t>
  </si>
  <si>
    <t>MESES</t>
  </si>
  <si>
    <t>DIAS</t>
  </si>
  <si>
    <t>OBSERVACIÓN2</t>
  </si>
  <si>
    <t>FECHA EDITADA3</t>
  </si>
  <si>
    <t>AÑOS4</t>
  </si>
  <si>
    <t>MESES5</t>
  </si>
  <si>
    <t>DIAS6</t>
  </si>
  <si>
    <t>Entidad 1</t>
  </si>
  <si>
    <t>Cargo 1</t>
  </si>
  <si>
    <t>Relacionada</t>
  </si>
  <si>
    <t>Entidad 2</t>
  </si>
  <si>
    <t>Cargo 2</t>
  </si>
  <si>
    <t>Entidad 3</t>
  </si>
  <si>
    <t>Cargo 3</t>
  </si>
  <si>
    <t>RELACIONADA</t>
  </si>
  <si>
    <t>PROFESIONAL/LABORAL</t>
  </si>
  <si>
    <t>TOTAL</t>
  </si>
  <si>
    <t>DIRECTOR (A) DE GESTION CORPORATIVA</t>
  </si>
  <si>
    <t>Fecha de Expedición:</t>
  </si>
  <si>
    <t>Elaborado por:</t>
  </si>
  <si>
    <t xml:space="preserve">Revisado por: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</si>
</sst>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0"/>
      <name val="Arial"/>
    </font>
    <font>
      <family val="2"/>
      <sz val="12"/>
      <name val="Arial"/>
    </font>
    <font>
      <b/>
      <family val="2"/>
      <sz val="11"/>
      <name val="Arial"/>
    </font>
    <font>
      <family val="2"/>
      <sz val="11"/>
      <name val="Arial"/>
    </font>
    <font>
      <u/>
      <color theme="10"/>
      <family val="2"/>
      <sz val="10"/>
      <name val="Arial"/>
    </font>
    <font>
      <color rgb="FF000000"/>
      <family val="2"/>
      <sz val="9"/>
      <name val="Arial"/>
    </font>
    <font>
      <family val="2"/>
      <sz val="9"/>
      <name val="Arial"/>
    </font>
    <font>
      <color theme="1"/>
      <family val="2"/>
      <sz val="9"/>
      <name val="Arial"/>
    </font>
    <font>
      <b/>
      <family val="2"/>
      <sz val="9"/>
      <name val="Arial"/>
    </font>
    <font>
      <family val="2"/>
      <sz val="8"/>
      <name val="Arial"/>
    </font>
    <font>
      <family val="2"/>
      <sz val="5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2" borderId="3" xfId="0" applyFont="1" applyFill="1" applyBorder="1"/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3" fontId="1" fillId="2" borderId="9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vertical="center"/>
    </xf>
    <xf numFmtId="0" fontId="1" fillId="2" borderId="2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14" fontId="1" fillId="5" borderId="23" xfId="0" applyNumberFormat="1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14" fontId="1" fillId="5" borderId="8" xfId="0" applyNumberFormat="1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vertical="center"/>
    </xf>
    <xf numFmtId="0" fontId="1" fillId="0" borderId="29" xfId="0" applyFont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/>
    </xf>
    <xf numFmtId="14" fontId="1" fillId="5" borderId="29" xfId="0" applyNumberFormat="1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vertical="center"/>
    </xf>
    <xf numFmtId="0" fontId="1" fillId="2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2" fillId="4" borderId="3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15" fontId="2" fillId="0" borderId="29" xfId="0" applyNumberFormat="1" applyFont="1" applyBorder="1" applyAlignment="1">
      <alignment horizontal="center" vertical="center" wrapText="1"/>
    </xf>
    <xf numFmtId="0" fontId="2" fillId="2" borderId="0" xfId="0" applyFont="1" applyFill="1"/>
    <xf numFmtId="0" fontId="7" fillId="0" borderId="29" xfId="0" applyFont="1" applyBorder="1" applyAlignment="1">
      <alignment horizontal="left" vertical="center" wrapText="1"/>
    </xf>
    <xf numFmtId="14" fontId="8" fillId="6" borderId="29" xfId="0" applyNumberFormat="1" applyFont="1" applyFill="1" applyBorder="1" applyAlignment="1">
      <alignment vertical="center" wrapText="1"/>
    </xf>
    <xf numFmtId="14" fontId="8" fillId="6" borderId="29" xfId="0" applyNumberFormat="1" applyFont="1" applyFill="1" applyBorder="1" applyAlignment="1">
      <alignment horizontal="center" vertical="center"/>
    </xf>
    <xf numFmtId="14" fontId="8" fillId="0" borderId="29" xfId="0" applyNumberFormat="1" applyFont="1" applyBorder="1" applyAlignment="1">
      <alignment horizontal="center" vertical="center"/>
    </xf>
    <xf numFmtId="0" fontId="8" fillId="5" borderId="29" xfId="0" applyFont="1" applyFill="1" applyBorder="1" applyAlignment="1">
      <alignment horizontal="left" vertical="center" wrapText="1"/>
    </xf>
    <xf numFmtId="0" fontId="8" fillId="0" borderId="29" xfId="0" applyFont="1" applyBorder="1" applyAlignment="1">
      <alignment vertical="center"/>
    </xf>
    <xf numFmtId="0" fontId="8" fillId="0" borderId="29" xfId="0" applyFont="1" applyBorder="1" applyAlignment="1">
      <alignment horizontal="center" vertical="center"/>
    </xf>
    <xf numFmtId="0" fontId="8" fillId="0" borderId="29" xfId="0" applyFont="1" applyBorder="1"/>
    <xf numFmtId="0" fontId="9" fillId="2" borderId="29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center" vertical="justify"/>
    </xf>
    <xf numFmtId="0" fontId="10" fillId="0" borderId="29" xfId="0" applyFont="1" applyBorder="1" applyAlignment="1">
      <alignment horizontal="center" vertical="center"/>
    </xf>
    <xf numFmtId="1" fontId="8" fillId="0" borderId="29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horizontal="center"/>
    </xf>
    <xf numFmtId="1" fontId="10" fillId="2" borderId="29" xfId="0" applyNumberFormat="1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35" xfId="0" applyFont="1" applyFill="1" applyBorder="1"/>
    <xf numFmtId="0" fontId="2" fillId="2" borderId="34" xfId="0" applyFont="1" applyFill="1" applyBorder="1"/>
    <xf numFmtId="0" fontId="1" fillId="2" borderId="36" xfId="0" applyFont="1" applyFill="1" applyBorder="1"/>
    <xf numFmtId="0" fontId="1" fillId="2" borderId="34" xfId="0" applyFont="1" applyFill="1" applyBorder="1"/>
    <xf numFmtId="0" fontId="1" fillId="2" borderId="37" xfId="0" applyFont="1" applyFill="1" applyBorder="1" applyAlignment="1">
      <alignment horizontal="center"/>
    </xf>
    <xf numFmtId="0" fontId="11" fillId="2" borderId="34" xfId="0" applyFont="1" applyFill="1" applyBorder="1"/>
    <xf numFmtId="0" fontId="12" fillId="2" borderId="0" xfId="0" applyFont="1" applyFill="1"/>
    <xf numFmtId="0" fontId="11" fillId="2" borderId="38" xfId="0" applyFont="1" applyFill="1" applyBorder="1"/>
    <xf numFmtId="0" fontId="12" fillId="2" borderId="39" xfId="0" applyFont="1" applyFill="1" applyBorder="1"/>
    <xf numFmtId="0" fontId="12" fillId="2" borderId="4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1114425</xdr:colOff>
      <xdr:row>0</xdr:row>
      <xdr:rowOff>9525</xdr:rowOff>
    </xdr:from>
    <xdr:to>
      <xdr:col>1</xdr:col>
      <xdr:colOff>1707173</xdr:colOff>
      <xdr:row>0</xdr:row>
      <xdr:rowOff>920860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workbookViewId="0" zoomScale="130" zoomScaleNormal="130">
      <selection activeCell="J66" sqref="J66"/>
    </sheetView>
  </sheetViews>
  <sheetFormatPr defaultRowHeight="12.75" outlineLevelRow="0" outlineLevelCol="0" x14ac:dyDescent="0.2" customHeight="1"/>
  <cols>
    <col min="1" max="1" width="26.7109375" style="1" customWidth="1"/>
    <col min="2" max="2" width="25.7109375" style="1" customWidth="1"/>
    <col min="3" max="4" width="10.42578125" style="1" customWidth="1"/>
    <col min="5" max="5" width="13.42578125" style="1" customWidth="1"/>
    <col min="6" max="6" width="20.140625" style="1" customWidth="1"/>
    <col min="7" max="7" width="13.140625" style="1" customWidth="1"/>
    <col min="8" max="8" width="11.42578125" style="1" customWidth="1"/>
    <col min="9" max="10" width="8.140625" style="1" customWidth="1"/>
    <col min="11" max="11" width="17.7109375" style="1" customWidth="1"/>
    <col min="12" max="12" width="13" style="1" customWidth="1"/>
    <col min="13" max="13" width="7.7109375" style="1" customWidth="1"/>
    <col min="14" max="14" width="8.42578125" style="1" customWidth="1"/>
    <col min="15" max="15" width="7.7109375" style="1" customWidth="1"/>
    <col min="16" max="18" style="1" hidden="1" customWidth="1"/>
    <col min="19" max="16384" width="11.42578125" style="1" hidden="1" customWidth="1"/>
  </cols>
  <sheetData>
    <row r="1" ht="74.25" customHeight="1" spans="1:15" s="2" customFormat="1" x14ac:dyDescent="0.25">
      <c r="A1" s="3"/>
      <c r="B1" s="4"/>
      <c r="C1" s="4"/>
      <c r="D1" s="5" t="s">
        <v>0</v>
      </c>
      <c r="E1" s="6"/>
      <c r="F1" s="6"/>
      <c r="G1" s="6"/>
      <c r="H1" s="6"/>
      <c r="I1" s="6"/>
      <c r="J1" s="6"/>
      <c r="K1" s="6"/>
      <c r="L1" s="6"/>
      <c r="M1" s="6"/>
      <c r="N1" s="6"/>
      <c r="O1" s="7"/>
    </row>
    <row r="2" ht="54.75" customHeight="1" spans="1:15" s="2" customFormat="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"/>
    </row>
    <row r="3" ht="21" customHeight="1" spans="1:15" x14ac:dyDescent="0.2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</row>
    <row r="4" ht="32.25" customHeight="1" spans="1:15" x14ac:dyDescent="0.25">
      <c r="A4" s="14" t="s">
        <v>3</v>
      </c>
      <c r="B4" s="15"/>
      <c r="C4" s="15"/>
      <c r="D4" s="16" t="s">
        <v>4</v>
      </c>
      <c r="E4" s="16"/>
      <c r="F4" s="17"/>
      <c r="G4" s="18"/>
      <c r="H4" s="19" t="s">
        <v>5</v>
      </c>
      <c r="I4" s="20"/>
      <c r="J4" s="18"/>
      <c r="K4" s="15" t="s">
        <v>6</v>
      </c>
      <c r="L4" s="15"/>
      <c r="M4" s="21"/>
      <c r="N4" s="22"/>
      <c r="O4" s="23"/>
    </row>
    <row r="5" ht="32.25" customHeight="1" spans="1:15" x14ac:dyDescent="0.25">
      <c r="A5" s="24" t="s">
        <v>7</v>
      </c>
      <c r="B5" s="25"/>
      <c r="C5" s="25"/>
      <c r="D5" s="26" t="s">
        <v>8</v>
      </c>
      <c r="E5" s="27"/>
      <c r="F5" s="28"/>
      <c r="G5" s="29"/>
      <c r="H5" s="30" t="s">
        <v>9</v>
      </c>
      <c r="I5" s="30"/>
      <c r="J5" s="25"/>
      <c r="K5" s="25"/>
      <c r="L5" s="30" t="s">
        <v>10</v>
      </c>
      <c r="M5" s="30"/>
      <c r="N5" s="31"/>
      <c r="O5" s="32"/>
    </row>
    <row r="6" ht="15.75" customHeight="1" spans="1:15" x14ac:dyDescent="0.25">
      <c r="A6" s="33" t="s">
        <v>11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5"/>
    </row>
    <row r="7" ht="15.75" customHeight="1" spans="1:15" x14ac:dyDescent="0.25">
      <c r="A7" s="36" t="s">
        <v>12</v>
      </c>
      <c r="B7" s="37"/>
      <c r="C7" s="37"/>
      <c r="D7" s="37"/>
      <c r="E7" s="37"/>
      <c r="F7" s="38"/>
      <c r="G7" s="39" t="s">
        <v>13</v>
      </c>
      <c r="H7" s="37"/>
      <c r="I7" s="37"/>
      <c r="J7" s="37"/>
      <c r="K7" s="37"/>
      <c r="L7" s="37"/>
      <c r="M7" s="37"/>
      <c r="N7" s="37"/>
      <c r="O7" s="40"/>
    </row>
    <row r="8" ht="148.5" customHeight="1" spans="1:15" x14ac:dyDescent="0.25">
      <c r="A8" s="41"/>
      <c r="B8" s="42"/>
      <c r="C8" s="42"/>
      <c r="D8" s="42"/>
      <c r="E8" s="42"/>
      <c r="F8" s="42"/>
      <c r="G8" s="43"/>
      <c r="H8" s="44"/>
      <c r="I8" s="44"/>
      <c r="J8" s="44"/>
      <c r="K8" s="44"/>
      <c r="L8" s="44"/>
      <c r="M8" s="44"/>
      <c r="N8" s="44"/>
      <c r="O8" s="45"/>
    </row>
    <row r="9" ht="18.75" customHeight="1" spans="1:15" x14ac:dyDescent="0.25">
      <c r="A9" s="46" t="s">
        <v>14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8"/>
    </row>
    <row r="10" ht="17.25" customHeight="1" spans="1:15" x14ac:dyDescent="0.25">
      <c r="A10" s="49" t="s">
        <v>15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/>
    </row>
    <row r="11" ht="34.5" customHeight="1" spans="1:15" x14ac:dyDescent="0.25">
      <c r="A11" s="52" t="s">
        <v>16</v>
      </c>
      <c r="B11" s="53"/>
      <c r="C11" s="53"/>
      <c r="D11" s="53"/>
      <c r="E11" s="54" t="s">
        <v>17</v>
      </c>
      <c r="F11" s="54"/>
      <c r="G11" s="54"/>
      <c r="H11" s="53"/>
      <c r="I11" s="53"/>
      <c r="J11" s="53"/>
      <c r="K11" s="53"/>
      <c r="L11" s="54" t="s">
        <v>18</v>
      </c>
      <c r="M11" s="54"/>
      <c r="N11" s="55"/>
      <c r="O11" s="56"/>
    </row>
    <row r="12" ht="34.5" customHeight="1" spans="1:15" x14ac:dyDescent="0.25">
      <c r="A12" s="57" t="s">
        <v>19</v>
      </c>
      <c r="B12" s="58"/>
      <c r="C12" s="59"/>
      <c r="D12" s="60"/>
      <c r="E12" s="61" t="s">
        <v>17</v>
      </c>
      <c r="F12" s="62"/>
      <c r="G12" s="63"/>
      <c r="H12" s="58"/>
      <c r="I12" s="59"/>
      <c r="J12" s="59"/>
      <c r="K12" s="60"/>
      <c r="L12" s="61" t="s">
        <v>18</v>
      </c>
      <c r="M12" s="63"/>
      <c r="N12" s="64"/>
      <c r="O12" s="65"/>
    </row>
    <row r="13" ht="34.5" customHeight="1" spans="1:15" x14ac:dyDescent="0.25">
      <c r="A13" s="57" t="s">
        <v>20</v>
      </c>
      <c r="B13" s="58"/>
      <c r="C13" s="59"/>
      <c r="D13" s="60"/>
      <c r="E13" s="61" t="s">
        <v>17</v>
      </c>
      <c r="F13" s="62" t="s">
        <v>17</v>
      </c>
      <c r="G13" s="63" t="s">
        <v>17</v>
      </c>
      <c r="H13" s="58"/>
      <c r="I13" s="59"/>
      <c r="J13" s="59"/>
      <c r="K13" s="60"/>
      <c r="L13" s="61" t="s">
        <v>18</v>
      </c>
      <c r="M13" s="63" t="s">
        <v>18</v>
      </c>
      <c r="N13" s="64"/>
      <c r="O13" s="65"/>
    </row>
    <row r="14" ht="34.5" customHeight="1" spans="1:15" x14ac:dyDescent="0.25">
      <c r="A14" s="57" t="s">
        <v>21</v>
      </c>
      <c r="B14" s="66"/>
      <c r="C14" s="66"/>
      <c r="D14" s="66"/>
      <c r="E14" s="67" t="s">
        <v>17</v>
      </c>
      <c r="F14" s="67" t="s">
        <v>17</v>
      </c>
      <c r="G14" s="67" t="s">
        <v>17</v>
      </c>
      <c r="H14" s="68"/>
      <c r="I14" s="68"/>
      <c r="J14" s="68"/>
      <c r="K14" s="68"/>
      <c r="L14" s="67" t="s">
        <v>18</v>
      </c>
      <c r="M14" s="67" t="s">
        <v>18</v>
      </c>
      <c r="N14" s="69"/>
      <c r="O14" s="70"/>
    </row>
    <row r="15" ht="34.5" customHeight="1" spans="1:15" x14ac:dyDescent="0.25">
      <c r="A15" s="57" t="s">
        <v>21</v>
      </c>
      <c r="B15" s="66"/>
      <c r="C15" s="66"/>
      <c r="D15" s="66"/>
      <c r="E15" s="67" t="s">
        <v>17</v>
      </c>
      <c r="F15" s="67" t="s">
        <v>17</v>
      </c>
      <c r="G15" s="67" t="s">
        <v>17</v>
      </c>
      <c r="H15" s="68"/>
      <c r="I15" s="68"/>
      <c r="J15" s="68"/>
      <c r="K15" s="68"/>
      <c r="L15" s="67" t="s">
        <v>18</v>
      </c>
      <c r="M15" s="67" t="s">
        <v>18</v>
      </c>
      <c r="N15" s="69"/>
      <c r="O15" s="70"/>
    </row>
    <row r="16" ht="34.5" customHeight="1" spans="1:15" x14ac:dyDescent="0.25">
      <c r="A16" s="57" t="s">
        <v>21</v>
      </c>
      <c r="B16" s="66"/>
      <c r="C16" s="66"/>
      <c r="D16" s="66"/>
      <c r="E16" s="67" t="s">
        <v>17</v>
      </c>
      <c r="F16" s="67" t="s">
        <v>17</v>
      </c>
      <c r="G16" s="67" t="s">
        <v>17</v>
      </c>
      <c r="H16" s="68"/>
      <c r="I16" s="68"/>
      <c r="J16" s="68"/>
      <c r="K16" s="68"/>
      <c r="L16" s="67" t="s">
        <v>18</v>
      </c>
      <c r="M16" s="67" t="s">
        <v>18</v>
      </c>
      <c r="N16" s="69"/>
      <c r="O16" s="70"/>
    </row>
    <row r="17" ht="34.5" customHeight="1" spans="1:15" x14ac:dyDescent="0.25">
      <c r="A17" s="71" t="s">
        <v>22</v>
      </c>
      <c r="B17" s="72"/>
      <c r="C17" s="72"/>
      <c r="D17" s="72"/>
      <c r="E17" s="73" t="s">
        <v>17</v>
      </c>
      <c r="F17" s="73" t="s">
        <v>17</v>
      </c>
      <c r="G17" s="73" t="s">
        <v>17</v>
      </c>
      <c r="H17" s="68"/>
      <c r="I17" s="68"/>
      <c r="J17" s="68"/>
      <c r="K17" s="68"/>
      <c r="L17" s="73" t="s">
        <v>18</v>
      </c>
      <c r="M17" s="73" t="s">
        <v>18</v>
      </c>
      <c r="N17" s="74"/>
      <c r="O17" s="75"/>
    </row>
    <row r="18" ht="34.5" customHeight="1" spans="1:15" x14ac:dyDescent="0.25">
      <c r="A18" s="76" t="s">
        <v>23</v>
      </c>
      <c r="B18" s="77"/>
      <c r="C18" s="77"/>
      <c r="D18" s="77"/>
      <c r="E18" s="78" t="s">
        <v>24</v>
      </c>
      <c r="F18" s="78" t="s">
        <v>24</v>
      </c>
      <c r="G18" s="78" t="s">
        <v>24</v>
      </c>
      <c r="H18" s="77"/>
      <c r="I18" s="77"/>
      <c r="J18" s="77"/>
      <c r="K18" s="77"/>
      <c r="L18" s="79"/>
      <c r="M18" s="79"/>
      <c r="N18" s="79"/>
      <c r="O18" s="80"/>
    </row>
    <row r="19" ht="27" customHeight="1" spans="1:15" x14ac:dyDescent="0.25">
      <c r="A19" s="81" t="s">
        <v>25</v>
      </c>
      <c r="B19" s="82" t="s">
        <v>25</v>
      </c>
      <c r="C19" s="82" t="s">
        <v>25</v>
      </c>
      <c r="D19" s="82" t="s">
        <v>25</v>
      </c>
      <c r="E19" s="82" t="s">
        <v>25</v>
      </c>
      <c r="F19" s="82" t="s">
        <v>25</v>
      </c>
      <c r="G19" s="82" t="s">
        <v>25</v>
      </c>
      <c r="H19" s="82" t="s">
        <v>25</v>
      </c>
      <c r="I19" s="82" t="s">
        <v>25</v>
      </c>
      <c r="J19" s="82" t="s">
        <v>25</v>
      </c>
      <c r="K19" s="82" t="s">
        <v>25</v>
      </c>
      <c r="L19" s="82" t="s">
        <v>25</v>
      </c>
      <c r="M19" s="82" t="s">
        <v>25</v>
      </c>
      <c r="N19" s="82" t="s">
        <v>25</v>
      </c>
      <c r="O19" s="83" t="s">
        <v>25</v>
      </c>
    </row>
    <row r="20" ht="28.5" customHeight="1" spans="1:15" x14ac:dyDescent="0.25">
      <c r="A20" s="84" t="s">
        <v>26</v>
      </c>
      <c r="B20" s="84" t="s">
        <v>27</v>
      </c>
      <c r="C20" s="85" t="s">
        <v>28</v>
      </c>
      <c r="D20" s="85" t="s">
        <v>29</v>
      </c>
      <c r="E20" s="85" t="s">
        <v>30</v>
      </c>
      <c r="F20" s="85" t="s">
        <v>31</v>
      </c>
      <c r="G20" s="85" t="s">
        <v>31</v>
      </c>
      <c r="H20" s="84" t="s">
        <v>32</v>
      </c>
      <c r="I20" s="84" t="s">
        <v>32</v>
      </c>
      <c r="J20" s="84" t="s">
        <v>32</v>
      </c>
      <c r="K20" s="85" t="s">
        <v>33</v>
      </c>
      <c r="L20" s="85" t="s">
        <v>33</v>
      </c>
      <c r="M20" s="84" t="s">
        <v>34</v>
      </c>
      <c r="N20" s="84" t="s">
        <v>34</v>
      </c>
      <c r="O20" s="84" t="s">
        <v>34</v>
      </c>
    </row>
    <row r="21" ht="29.25" customHeight="1" spans="1:15" s="86" customFormat="1" x14ac:dyDescent="0.25">
      <c r="A21" s="84" t="s">
        <v>26</v>
      </c>
      <c r="B21" s="84" t="s">
        <v>27</v>
      </c>
      <c r="C21" s="85" t="s">
        <v>28</v>
      </c>
      <c r="D21" s="85" t="s">
        <v>29</v>
      </c>
      <c r="E21" s="85" t="s">
        <v>30</v>
      </c>
      <c r="F21" s="85" t="s">
        <v>35</v>
      </c>
      <c r="G21" s="85" t="s">
        <v>36</v>
      </c>
      <c r="H21" s="85" t="s">
        <v>37</v>
      </c>
      <c r="I21" s="85" t="s">
        <v>38</v>
      </c>
      <c r="J21" s="85" t="s">
        <v>39</v>
      </c>
      <c r="K21" s="85" t="s">
        <v>40</v>
      </c>
      <c r="L21" s="85" t="s">
        <v>41</v>
      </c>
      <c r="M21" s="85" t="s">
        <v>42</v>
      </c>
      <c r="N21" s="85" t="s">
        <v>43</v>
      </c>
      <c r="O21" s="85" t="s">
        <v>44</v>
      </c>
    </row>
    <row r="22" ht="71.25" customHeight="1" spans="1:15" x14ac:dyDescent="0.25">
      <c r="A22" s="87" t="s">
        <v>45</v>
      </c>
      <c r="B22" s="87" t="s">
        <v>46</v>
      </c>
      <c r="C22" s="88">
        <v>43831</v>
      </c>
      <c r="D22" s="89">
        <v>44562</v>
      </c>
      <c r="E22" s="90" t="s">
        <v>47</v>
      </c>
      <c r="F22" s="91"/>
      <c r="G22" s="92"/>
      <c r="H22" s="93">
        <f>IF(E22="Relacionada",IF(F22="Traslape Total","-",DATEDIF(C22,D22,"Y")),"-")</f>
      </c>
      <c r="I22" s="93">
        <f>IF(E22="Relacionada",IF(F22="Traslape Total","-",DATEDIF(C22,D22,"YM")),"-")</f>
      </c>
      <c r="J22" s="93">
        <f>IF(E22="Relacionada",IF(F22="Traslape Total","-",DATEDIF(C22,D22,"Md")),"-")</f>
      </c>
      <c r="K22" s="94"/>
      <c r="L22" s="94"/>
      <c r="M22" s="95">
        <f>IF(K22="Traslape Total","-",DATEDIF(C22,D22,"Y"))</f>
      </c>
      <c r="N22" s="95">
        <f>IF(K22="Traslape Total","-",DATEDIF($C22,$D22,"YM"))</f>
      </c>
      <c r="O22" s="95">
        <f>IF(K22="Traslape Total","-",DATEDIF($C22,$D22,"MD"))</f>
      </c>
    </row>
    <row r="23" ht="77.1" customHeight="1" spans="1:15" x14ac:dyDescent="0.25">
      <c r="A23" s="87" t="s">
        <v>48</v>
      </c>
      <c r="B23" s="87" t="s">
        <v>49</v>
      </c>
      <c r="C23" s="88">
        <v>43831</v>
      </c>
      <c r="D23" s="89">
        <v>44562</v>
      </c>
      <c r="E23" s="90" t="s">
        <v>47</v>
      </c>
      <c r="F23" s="91"/>
      <c r="G23" s="92"/>
      <c r="H23" s="93">
        <f>IF(E23="Relacionada",IF(F23="Traslape Total","-",DATEDIF(C23,D23,"Y")),"-")</f>
      </c>
      <c r="I23" s="93">
        <f>IF(E23="Relacionada",IF(F23="Traslape Total","-",DATEDIF(C23,D23,"YM")),"-")</f>
      </c>
      <c r="J23" s="93">
        <f>IF(E23="Relacionada",IF(F23="Traslape Total","-",DATEDIF(C23,D23,"Md")),"-")</f>
      </c>
      <c r="K23" s="94"/>
      <c r="L23" s="94"/>
      <c r="M23" s="95">
        <f>IF(K23="Traslape Total","-",DATEDIF(C23,D23,"Y"))</f>
      </c>
      <c r="N23" s="95">
        <f>IF(K23="Traslape Total","-",DATEDIF($C23,$D23,"YM"))</f>
      </c>
      <c r="O23" s="95">
        <f>IF(K23="Traslape Total","-",DATEDIF($C23,$D23,"MD"))</f>
      </c>
    </row>
    <row r="24" ht="77.1" customHeight="1" spans="1:15" x14ac:dyDescent="0.25">
      <c r="A24" s="87" t="s">
        <v>50</v>
      </c>
      <c r="B24" s="87" t="s">
        <v>51</v>
      </c>
      <c r="C24" s="88">
        <v>43831</v>
      </c>
      <c r="D24" s="89">
        <v>44562</v>
      </c>
      <c r="E24" s="90" t="s">
        <v>47</v>
      </c>
      <c r="F24" s="91"/>
      <c r="G24" s="92"/>
      <c r="H24" s="93">
        <f>IF(E24="Relacionada",IF(F24="Traslape Total","-",DATEDIF(C24,D24,"Y")),"-")</f>
      </c>
      <c r="I24" s="93">
        <f>IF(E24="Relacionada",IF(F24="Traslape Total","-",DATEDIF(C24,D24,"YM")),"-")</f>
      </c>
      <c r="J24" s="93">
        <f>IF(E24="Relacionada",IF(F24="Traslape Total","-",DATEDIF(C24,D24,"Md")),"-")</f>
      </c>
      <c r="K24" s="94"/>
      <c r="L24" s="94"/>
      <c r="M24" s="95">
        <f>IF(K24="Traslape Total","-",DATEDIF(C24,D24,"Y"))</f>
      </c>
      <c r="N24" s="95">
        <f>IF(K24="Traslape Total","-",DATEDIF($C24,$D24,"YM"))</f>
      </c>
      <c r="O24" s="95">
        <f>IF(K24="Traslape Total","-",DATEDIF($C24,$D24,"MD"))</f>
      </c>
    </row>
    <row r="25" ht="12.75" customHeight="1" spans="1:15" s="86" customFormat="1" x14ac:dyDescent="0.25">
      <c r="A25" s="96" t="s">
        <v>34</v>
      </c>
      <c r="B25" s="96" t="s">
        <v>34</v>
      </c>
      <c r="C25" s="96" t="s">
        <v>34</v>
      </c>
      <c r="D25" s="96" t="s">
        <v>34</v>
      </c>
      <c r="E25" s="96" t="s">
        <v>34</v>
      </c>
      <c r="F25" s="97" t="s">
        <v>52</v>
      </c>
      <c r="G25" s="97" t="s">
        <v>52</v>
      </c>
      <c r="H25" s="98">
        <f>SUM(H22:H24)</f>
      </c>
      <c r="I25" s="98">
        <f>SUM(I22:I24)</f>
      </c>
      <c r="J25" s="98">
        <f>SUM(J22:J24)</f>
      </c>
      <c r="K25" s="97" t="s">
        <v>53</v>
      </c>
      <c r="L25" s="97" t="s">
        <v>53</v>
      </c>
      <c r="M25" s="98">
        <f>SUM(M22:M24)</f>
      </c>
      <c r="N25" s="98">
        <f>SUM(N22:N24)</f>
      </c>
      <c r="O25" s="98">
        <f>SUM(O22:O24)</f>
      </c>
    </row>
    <row r="26" ht="13.5" customHeight="1" spans="1:15" x14ac:dyDescent="0.25">
      <c r="A26" s="99" t="s">
        <v>54</v>
      </c>
      <c r="B26" s="99" t="s">
        <v>54</v>
      </c>
      <c r="C26" s="99" t="s">
        <v>54</v>
      </c>
      <c r="D26" s="99" t="s">
        <v>54</v>
      </c>
      <c r="E26" s="99" t="s">
        <v>54</v>
      </c>
      <c r="F26" s="97" t="s">
        <v>52</v>
      </c>
      <c r="G26" s="97" t="s">
        <v>52</v>
      </c>
      <c r="H26" s="100">
        <f>+INT((SUM(I22:I24)+INT((SUM(J22:J24)/30)))/12)+H25</f>
      </c>
      <c r="I26" s="97">
        <f>(((SUM(I22:I24)+INT(SUM(J22:J24)/30))/12)-(INT((SUM(I22:I24)+INT((SUM(J22:J24)/30)))/12)))*12</f>
      </c>
      <c r="J26" s="101">
        <f>(SUM(J22:J24)/30-INT(SUM(J22:J24)/30))*30</f>
      </c>
      <c r="K26" s="97" t="s">
        <v>53</v>
      </c>
      <c r="L26" s="97" t="s">
        <v>53</v>
      </c>
      <c r="M26" s="100">
        <f>+INT((SUM(N22:N24)+INT((SUM(O22:O24)/30)))/12)+M25</f>
      </c>
      <c r="N26" s="97">
        <f>(((SUM(N22:N24)+INT(SUM(O22:O24)/30))/12)-(INT((SUM(N22:N24)+INT((SUM(O22:O24)/30)))/12)))*12</f>
      </c>
      <c r="O26" s="101">
        <f>(SUM(O22:O24)/30-INT(SUM(O22:O24)/30))*30</f>
      </c>
    </row>
    <row r="27" ht="47.25" customHeight="1" spans="1:18" x14ac:dyDescent="0.25">
      <c r="A27" s="102"/>
      <c r="B27" s="103"/>
      <c r="C27" s="103"/>
      <c r="D27" s="103"/>
      <c r="E27" s="103"/>
      <c r="F27" s="103"/>
      <c r="G27" s="103"/>
      <c r="H27" s="103"/>
      <c r="I27" s="103"/>
      <c r="J27" s="1"/>
      <c r="K27" s="1"/>
      <c r="L27" s="1"/>
      <c r="M27" s="1"/>
      <c r="N27" s="1"/>
      <c r="O27" s="104"/>
      <c r="P27" s="1"/>
      <c r="Q27" s="1"/>
      <c r="R27" s="1">
        <f>5*12</f>
        <v>60</v>
      </c>
    </row>
    <row r="28" spans="1:15" x14ac:dyDescent="0.25">
      <c r="A28" s="105"/>
      <c r="B28" s="1"/>
      <c r="C28" s="1"/>
      <c r="D28" s="1"/>
      <c r="E28" s="106"/>
      <c r="F28" s="106"/>
      <c r="G28" s="106"/>
      <c r="H28" s="1"/>
      <c r="I28" s="1"/>
      <c r="J28" s="1"/>
      <c r="K28" s="1"/>
      <c r="L28" s="1"/>
      <c r="M28" s="1"/>
      <c r="N28" s="1"/>
      <c r="O28" s="104"/>
    </row>
    <row r="29" spans="1:15" x14ac:dyDescent="0.25">
      <c r="A29" s="107"/>
      <c r="B29" s="1"/>
      <c r="C29" s="1"/>
      <c r="D29" s="1"/>
      <c r="E29" s="108" t="s">
        <v>55</v>
      </c>
      <c r="F29" s="108" t="s">
        <v>55</v>
      </c>
      <c r="G29" s="108" t="s">
        <v>55</v>
      </c>
      <c r="H29" s="1"/>
      <c r="I29" s="1"/>
      <c r="J29" s="1"/>
      <c r="K29" s="1"/>
      <c r="L29" s="1"/>
      <c r="M29" s="1"/>
      <c r="N29" s="1"/>
      <c r="O29" s="104"/>
    </row>
    <row r="30" spans="1:15" x14ac:dyDescent="0.25">
      <c r="A30" s="107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04"/>
    </row>
    <row r="31" spans="1:15" x14ac:dyDescent="0.25">
      <c r="A31" s="109" t="s">
        <v>56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04"/>
    </row>
    <row r="32" spans="1:15" x14ac:dyDescent="0.25">
      <c r="A32" s="109" t="s">
        <v>57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04"/>
    </row>
    <row r="33" ht="12" customHeight="1" spans="1:15" s="110" customFormat="1" x14ac:dyDescent="0.25">
      <c r="A33" s="111" t="s">
        <v>58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3"/>
    </row>
    <row r="48" ht="77.1" customHeight="1" spans="1:15" x14ac:dyDescent="0.25">
      <c r="A48" s="87"/>
      <c r="B48" s="87"/>
      <c r="C48" s="88"/>
      <c r="D48" s="89"/>
      <c r="E48" s="90"/>
      <c r="F48" s="91"/>
      <c r="G48" s="92"/>
      <c r="H48" s="93"/>
      <c r="I48" s="93"/>
      <c r="J48" s="93"/>
      <c r="K48" s="94"/>
      <c r="L48" s="94"/>
      <c r="M48" s="95"/>
      <c r="N48" s="95"/>
      <c r="O48" s="95"/>
    </row>
    <row r="49" ht="77.1" customHeight="1" spans="1:15" x14ac:dyDescent="0.25">
      <c r="A49" s="87"/>
      <c r="B49" s="87"/>
      <c r="C49" s="88"/>
      <c r="D49" s="89"/>
      <c r="E49" s="90"/>
      <c r="F49" s="91"/>
      <c r="G49" s="92"/>
      <c r="H49" s="93"/>
      <c r="I49" s="93"/>
      <c r="J49" s="93"/>
      <c r="K49" s="94"/>
      <c r="L49" s="94"/>
      <c r="M49" s="95"/>
      <c r="N49" s="95"/>
      <c r="O49" s="95"/>
    </row>
    <row r="50" ht="77.1" customHeight="1" spans="1:15" x14ac:dyDescent="0.25">
      <c r="A50" s="87"/>
      <c r="B50" s="87"/>
      <c r="C50" s="88"/>
      <c r="D50" s="89"/>
      <c r="E50" s="90"/>
      <c r="F50" s="91"/>
      <c r="G50" s="92"/>
      <c r="H50" s="93"/>
      <c r="I50" s="93"/>
      <c r="J50" s="93"/>
      <c r="K50" s="94"/>
      <c r="L50" s="94"/>
      <c r="M50" s="95"/>
      <c r="N50" s="95"/>
      <c r="O50" s="95"/>
    </row>
    <row r="51" ht="77.1" customHeight="1" spans="1:15" x14ac:dyDescent="0.25">
      <c r="A51" s="87"/>
      <c r="B51" s="87"/>
      <c r="C51" s="88"/>
      <c r="D51" s="89"/>
      <c r="E51" s="90"/>
      <c r="F51" s="91"/>
      <c r="G51" s="92"/>
      <c r="H51" s="93"/>
      <c r="I51" s="93"/>
      <c r="J51" s="93"/>
      <c r="K51" s="94"/>
      <c r="L51" s="94"/>
      <c r="M51" s="95"/>
      <c r="N51" s="95"/>
      <c r="O51" s="95"/>
    </row>
    <row r="52" ht="77.1" customHeight="1" spans="1:15" x14ac:dyDescent="0.25">
      <c r="A52" s="87"/>
      <c r="B52" s="87"/>
      <c r="C52" s="88"/>
      <c r="D52" s="89"/>
      <c r="E52" s="90"/>
      <c r="F52" s="91"/>
      <c r="G52" s="92"/>
      <c r="H52" s="93"/>
      <c r="I52" s="93"/>
      <c r="J52" s="93"/>
      <c r="K52" s="94"/>
      <c r="L52" s="94"/>
      <c r="M52" s="95"/>
      <c r="N52" s="95"/>
      <c r="O52" s="95"/>
    </row>
  </sheetData>
  <mergeCells count="33">
    <mergeCell ref="A1:C1"/>
    <mergeCell ref="D1:O1"/>
    <mergeCell ref="A2:O2"/>
    <mergeCell ref="A3:N3"/>
    <mergeCell ref="B4:C4"/>
    <mergeCell ref="D4:E4"/>
    <mergeCell ref="F4:G4"/>
    <mergeCell ref="I4:J4"/>
    <mergeCell ref="K4:L4"/>
    <mergeCell ref="M4:O4"/>
    <mergeCell ref="B5:C5"/>
    <mergeCell ref="E5:G5"/>
    <mergeCell ref="H5:I5"/>
    <mergeCell ref="J5:K5"/>
    <mergeCell ref="L5:M5"/>
    <mergeCell ref="N5:O5"/>
    <mergeCell ref="A6:O6"/>
    <mergeCell ref="A7:F7"/>
    <mergeCell ref="G7:O7"/>
    <mergeCell ref="A8:F8"/>
    <mergeCell ref="G8:O8"/>
    <mergeCell ref="A9:O9"/>
    <mergeCell ref="A10:O10"/>
    <mergeCell ref="B11:D11"/>
    <mergeCell ref="E11:G11"/>
    <mergeCell ref="H11:K11"/>
    <mergeCell ref="L11:M11"/>
    <mergeCell ref="N11:O11"/>
    <mergeCell ref="B12:D12"/>
    <mergeCell ref="E12:G12"/>
    <mergeCell ref="H12:K12"/>
    <mergeCell ref="L12:M12"/>
    <mergeCell ref="N12:O12"/>
  </mergeCells>
  <dataValidations count="1">
    <dataValidation type="list" allowBlank="1" showInputMessage="1" showErrorMessage="1" sqref="E36:E66">
      <formula1>"Relacionada,Profesional,Laboral"</formula1>
    </dataValidation>
  </dataValidations>
  <printOptions horizontalCentered="1"/>
  <pageMargins left="0.2362204724409449" right="0.2362204724409449" top="0.3937007874015748" bottom="1.3779527559055118" header="0.1968503937007874" footer="0.1968503937007874"/>
  <pageSetup orientation="portrait" horizontalDpi="4294967294" verticalDpi="4294967294" scale="49" fitToWidth="1" fitToHeight="1" firstPageNumber="1" useFirstPageNumber="1" copies="1"/>
  <headerFooter>
    <oddFooter>&amp;C&amp;"Arial,Negrita"&amp;16&amp;G
CLASIFICACIÓN DE LA INFORMACIÓN: PÚBLICA CLASIFICADA
2311300-FT-318 Versión 01&amp;G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</vt:lpstr>
    </vt:vector>
  </TitlesOfParts>
  <Company>Escuela Superior de Administración Publica  E.S.A.P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flormmurc</dc:creator>
  <cp:lastModifiedBy>Juan C Martinez Bernal</cp:lastModifiedBy>
  <cp:lastPrinted>2021-07-19T16:40:59Z</cp:lastPrinted>
  <dcterms:created xsi:type="dcterms:W3CDTF">2004-01-15T21:44:44Z</dcterms:created>
  <dcterms:modified xsi:type="dcterms:W3CDTF">2026-10-01T20:35:39Z</dcterms:modified>
</cp:coreProperties>
</file>