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/>
  </bookViews>
  <sheets>
    <sheet sheetId="98" name="FORMATO FT-318" state="visible" r:id="rId4"/>
    <sheet sheetId="1" name="Documentos NO Aplican" state="visible" r:id="rId5"/>
    <sheet sheetId="2" name="Cotejo Funcional" state="visible" r:id="rId6"/>
  </sheets>
  <definedNames>
    <definedName name="Print_Area">FORMATO!$A$1:$O$75</definedName>
  </definedNames>
  <calcPr calcId="171027"/>
</workbook>
</file>

<file path=xl/sharedStrings.xml><?xml version="1.0" encoding="utf-8"?>
<sst xmlns="http://schemas.openxmlformats.org/spreadsheetml/2006/main" count="157" uniqueCount="80">
  <si>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</si>
  <si>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</si>
  <si>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</si>
  <si>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</si>
  <si>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t>PRUEBA CANDIDATO COMPLETA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</si>
  <si>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</si>
  <si>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N/A</t>
  </si>
  <si>
    <t>TELEFONO:</t>
  </si>
  <si>
    <t>CORREO ELECTRONICO</t>
  </si>
  <si>
    <t>DEPENDENCIA</t>
  </si>
  <si>
    <t>SECRETARÍA JURÍDICA DISTRITAL</t>
  </si>
  <si>
    <t>CARGO:</t>
  </si>
  <si>
    <t>PROFESIONAL ESPECIALIZADO</t>
  </si>
  <si>
    <t>CODIGO:</t>
  </si>
  <si>
    <t>GRADO:</t>
  </si>
  <si>
    <t>1. REQUISITOS DEL CARGO</t>
  </si>
  <si>
    <t>EXPERIENCIA</t>
  </si>
  <si>
    <t>FORMACIÓN</t>
  </si>
  <si>
    <t>54 meses de experiencia profesional relacionada con las funciones del cargo.</t>
  </si>
  <si>
    <t>2. DOCUMENTOS APORTADOS</t>
  </si>
  <si>
    <t>2.1. FORMACIÓN</t>
  </si>
  <si>
    <t>TITULO DE BACHILLER:</t>
  </si>
  <si>
    <t>Bachiller Academico</t>
  </si>
  <si>
    <t>INSTITUCIÓN EDUCATIVA</t>
  </si>
  <si>
    <t>Colegio</t>
  </si>
  <si>
    <t>FECHA DE GRADO</t>
  </si>
  <si>
    <t>TITULO DE TECNICO</t>
  </si>
  <si>
    <t>TITULO DE TECNOLOGO</t>
  </si>
  <si>
    <t>TITULO DE PREGRADO:</t>
  </si>
  <si>
    <t>Abogado</t>
  </si>
  <si>
    <t>Univ Nacional</t>
  </si>
  <si>
    <t>TITULO DE POSGRADO:</t>
  </si>
  <si>
    <t>TARJETA PROFESIONAL:</t>
  </si>
  <si>
    <t>FECHA DE EXPEDICIÓN</t>
  </si>
  <si>
    <t>2.2. EXPERIENCIA</t>
  </si>
  <si>
    <t>ENTIDAD</t>
  </si>
  <si>
    <t xml:space="preserve">CARGO </t>
  </si>
  <si>
    <t>DESDE</t>
  </si>
  <si>
    <t>HASTA</t>
  </si>
  <si>
    <t>TIPO DE EXPERIENCIA</t>
  </si>
  <si>
    <t>VALIDACIÓN EXP RELACIONADA</t>
  </si>
  <si>
    <t>TIEMPO DE EXPERIENCIA RELACIONADA</t>
  </si>
  <si>
    <t>VALIDACIÓN EXPERIENCIA</t>
  </si>
  <si>
    <t>TIEMPO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</si>
  <si>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</si>
  <si>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</si>
  <si>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</si>
  <si>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</si>
  <si>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</si>
  <si>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</si>
  <si>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</si>
  <si>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</si>
  <si>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</si>
  <si>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</si>
  <si>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Entidad 1</t>
  </si>
  <si>
    <t>Relacionada</t>
  </si>
  <si>
    <t>RELACIONADA</t>
  </si>
  <si>
    <t>PROFESIONAL/LABORAL</t>
  </si>
  <si>
    <t>TOTAL</t>
  </si>
  <si>
    <t>DIRECTOR (A) DE GESTION CORPORATIVA</t>
  </si>
  <si>
    <t>Fecha de Expedición: Ver fecha de firma (1/10/2026)</t>
  </si>
  <si>
    <t>Elaborado por: Sistema de Validación SASGE - Profesional Universitario DGC</t>
  </si>
  <si>
    <t>Revisado por: Dirección de Gestión Corporativa</t>
  </si>
  <si>
    <t>No.</t>
  </si>
  <si>
    <t>Documento / Archivo</t>
  </si>
  <si>
    <t>Entidad Emisora</t>
  </si>
  <si>
    <t>¿Por qué no aplica al cargo? (Motivo)</t>
  </si>
  <si>
    <t>Sustento / Criterio Técnico</t>
  </si>
  <si>
    <t>Curso Excel</t>
  </si>
  <si>
    <t>SENA</t>
  </si>
  <si>
    <t>Curso corto</t>
  </si>
  <si>
    <t>Criterio técnico de equivalencia y manual de funciones</t>
  </si>
  <si>
    <t>ID Cert.</t>
  </si>
  <si>
    <t>Cargo Certificado</t>
  </si>
  <si>
    <t>Función del Empleo SJD</t>
  </si>
  <si>
    <t>Evidencia Textual en Certificado</t>
  </si>
  <si>
    <t>Criterio de Equivalencia</t>
  </si>
  <si>
    <t>Coincidencia</t>
  </si>
  <si>
    <t>No se registraron coincidencias directas en la evaluación.</t>
  </si>
  <si>
    <t>SIN COINCIDENCIA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</si>
</sst>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9"/>
      <name val="Arial"/>
    </font>
    <font>
      <family val="2"/>
      <sz val="9"/>
      <name val="Arial"/>
    </font>
    <font>
      <color theme="1"/>
      <family val="2"/>
      <sz val="9"/>
      <name val="Arial"/>
    </font>
    <font>
      <b/>
      <family val="2"/>
      <sz val="9"/>
      <name val="Arial"/>
    </font>
    <font>
      <family val="2"/>
      <sz val="8"/>
      <name val="Arial"/>
    </font>
    <font>
      <family val="2"/>
      <sz val="5"/>
      <name val="Arial"/>
    </font>
    <font>
      <b/>
      <color rgb="FFFFFFFF"/>
      <sz val="10"/>
      <name val="Arial"/>
    </font>
    <font>
      <sz val="9"/>
      <name val="Arial"/>
    </font>
    <font>
      <i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91B1B"/>
      </patternFill>
    </fill>
    <fill>
      <patternFill patternType="solid">
        <fgColor rgb="FF1E293B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14" fontId="1" fillId="5" borderId="23" xfId="0" applyNumberFormat="1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14" fontId="1" fillId="5" borderId="30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vertical="center"/>
    </xf>
    <xf numFmtId="0" fontId="1" fillId="0" borderId="29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14" fontId="1" fillId="5" borderId="29" xfId="0" applyNumberFormat="1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15" fontId="2" fillId="0" borderId="29" xfId="0" applyNumberFormat="1" applyFont="1" applyBorder="1" applyAlignment="1">
      <alignment horizontal="center" vertical="center" wrapText="1"/>
    </xf>
    <xf numFmtId="0" fontId="2" fillId="2" borderId="0" xfId="0" applyFont="1" applyFill="1"/>
    <xf numFmtId="0" fontId="7" fillId="0" borderId="29" xfId="0" applyFont="1" applyBorder="1" applyAlignment="1">
      <alignment horizontal="left" vertical="center" wrapText="1"/>
    </xf>
    <xf numFmtId="164" fontId="8" fillId="6" borderId="29" xfId="0" applyNumberFormat="1" applyFont="1" applyFill="1" applyBorder="1" applyAlignment="1">
      <alignment vertical="center" wrapText="1"/>
    </xf>
    <xf numFmtId="164" fontId="8" fillId="6" borderId="29" xfId="0" applyNumberFormat="1" applyFont="1" applyFill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0" fontId="8" fillId="5" borderId="29" xfId="0" applyFont="1" applyFill="1" applyBorder="1" applyAlignment="1">
      <alignment horizontal="left" vertical="center" wrapText="1"/>
    </xf>
    <xf numFmtId="0" fontId="8" fillId="0" borderId="29" xfId="0" applyFont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/>
    <xf numFmtId="0" fontId="9" fillId="2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justify"/>
    </xf>
    <xf numFmtId="0" fontId="10" fillId="0" borderId="29" xfId="0" applyFont="1" applyBorder="1" applyAlignment="1">
      <alignment horizontal="center" vertical="center"/>
    </xf>
    <xf numFmtId="1" fontId="8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/>
    </xf>
    <xf numFmtId="1" fontId="10" fillId="2" borderId="29" xfId="0" applyNumberFormat="1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35" xfId="0" applyFont="1" applyFill="1" applyBorder="1"/>
    <xf numFmtId="0" fontId="2" fillId="2" borderId="34" xfId="0" applyFont="1" applyFill="1" applyBorder="1"/>
    <xf numFmtId="0" fontId="1" fillId="2" borderId="36" xfId="0" applyFont="1" applyFill="1" applyBorder="1"/>
    <xf numFmtId="0" fontId="1" fillId="2" borderId="34" xfId="0" applyFont="1" applyFill="1" applyBorder="1"/>
    <xf numFmtId="0" fontId="1" fillId="2" borderId="37" xfId="0" applyFont="1" applyFill="1" applyBorder="1" applyAlignment="1">
      <alignment horizontal="center"/>
    </xf>
    <xf numFmtId="0" fontId="11" fillId="2" borderId="34" xfId="0" applyFont="1" applyFill="1" applyBorder="1"/>
    <xf numFmtId="0" fontId="12" fillId="2" borderId="0" xfId="0" applyFont="1" applyFill="1"/>
    <xf numFmtId="0" fontId="11" fillId="2" borderId="38" xfId="0" applyFont="1" applyFill="1" applyBorder="1"/>
    <xf numFmtId="0" fontId="12" fillId="2" borderId="39" xfId="0" applyFont="1" applyFill="1" applyBorder="1"/>
    <xf numFmtId="0" fontId="12" fillId="2" borderId="40" xfId="0" applyFont="1" applyFill="1" applyBorder="1"/>
    <xf numFmtId="0" fontId="13" fillId="7" borderId="4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41" xfId="0" applyFont="1" applyBorder="1" applyAlignment="1">
      <alignment vertical="center" wrapText="1"/>
    </xf>
    <xf numFmtId="0" fontId="13" fillId="8" borderId="41" xfId="0" applyFont="1" applyFill="1" applyBorder="1" applyAlignment="1">
      <alignment horizontal="center" vertic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1</xdr:col>
      <xdr:colOff>1707173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5" customWidth="1"/>
    <col min="3" max="3" width="30" customWidth="1"/>
    <col min="4" max="4" width="50" customWidth="1"/>
    <col min="5" max="5" width="45" customWidth="1"/>
  </cols>
  <sheetData>
    <row r="1" ht="28" customHeight="1" spans="1:5" x14ac:dyDescent="0.25">
      <c r="A1" s="114" t="s">
        <v>63</v>
      </c>
      <c r="B1" s="114" t="s">
        <v>64</v>
      </c>
      <c r="C1" s="114" t="s">
        <v>65</v>
      </c>
      <c r="D1" s="114" t="s">
        <v>66</v>
      </c>
      <c r="E1" s="114" t="s">
        <v>67</v>
      </c>
    </row>
    <row r="2" ht="32" customHeight="1" spans="1:5" s="115" customFormat="1" x14ac:dyDescent="0.25">
      <c r="A2" s="116">
        <v>1</v>
      </c>
      <c r="B2" s="116" t="s">
        <v>68</v>
      </c>
      <c r="C2" s="116" t="s">
        <v>69</v>
      </c>
      <c r="D2" s="116" t="s">
        <v>70</v>
      </c>
      <c r="E2" s="11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showGridLines="0"/>
  </sheetViews>
  <sheetFormatPr defaultRowHeight="15" outlineLevelRow="0" outlineLevelCol="0" x14ac:dyDescent="55"/>
  <cols>
    <col min="1" max="1" width="14" customWidth="1"/>
    <col min="2" max="3" width="28" customWidth="1"/>
    <col min="4" max="5" width="45" customWidth="1"/>
    <col min="6" max="6" width="35" customWidth="1"/>
    <col min="7" max="7" width="16" customWidth="1"/>
  </cols>
  <sheetData>
    <row r="1" ht="28" customHeight="1" spans="1:7" x14ac:dyDescent="0.25">
      <c r="A1" s="117" t="s">
        <v>72</v>
      </c>
      <c r="B1" s="117" t="s">
        <v>65</v>
      </c>
      <c r="C1" s="117" t="s">
        <v>73</v>
      </c>
      <c r="D1" s="117" t="s">
        <v>74</v>
      </c>
      <c r="E1" s="117" t="s">
        <v>75</v>
      </c>
      <c r="F1" s="117" t="s">
        <v>76</v>
      </c>
      <c r="G1" s="117" t="s">
        <v>77</v>
      </c>
    </row>
    <row r="2" spans="1:7" s="118" customFormat="1" x14ac:dyDescent="0.25">
      <c r="A2" s="118" t="s">
        <v>6</v>
      </c>
      <c r="B2" s="118" t="s">
        <v>6</v>
      </c>
      <c r="C2" s="118" t="s">
        <v>6</v>
      </c>
      <c r="D2" s="118" t="s">
        <v>78</v>
      </c>
      <c r="E2" s="118" t="s">
        <v>6</v>
      </c>
      <c r="F2" s="118" t="s">
        <v>6</v>
      </c>
      <c r="G2" s="11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workbookViewId="0" zoomScale="130" zoomScaleNormal="130">
      <selection activeCell="J66" sqref="J66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s="2" customFormat="1" x14ac:dyDescent="0.25">
      <c r="A1" s="3"/>
      <c r="B1" s="4"/>
      <c r="C1" s="4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ht="54.75" customHeight="1" spans="1:15" s="2" customForma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ht="21" customHeight="1" spans="1:15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ht="32.25" customHeight="1" spans="1:15" x14ac:dyDescent="0.25">
      <c r="A4" s="14" t="s">
        <v>3</v>
      </c>
      <c r="B4" s="15" t="s">
        <v>4</v>
      </c>
      <c r="C4" s="15"/>
      <c r="D4" s="16" t="s">
        <v>5</v>
      </c>
      <c r="E4" s="16"/>
      <c r="F4" s="17" t="s">
        <v>6</v>
      </c>
      <c r="G4" s="18"/>
      <c r="H4" s="19" t="s">
        <v>7</v>
      </c>
      <c r="I4" s="20" t="s">
        <v>6</v>
      </c>
      <c r="J4" s="18"/>
      <c r="K4" s="15" t="s">
        <v>8</v>
      </c>
      <c r="L4" s="15"/>
      <c r="M4" s="21" t="s">
        <v>6</v>
      </c>
      <c r="N4" s="22"/>
      <c r="O4" s="23"/>
    </row>
    <row r="5" ht="32.25" customHeight="1" spans="1:15" x14ac:dyDescent="0.25">
      <c r="A5" s="24" t="s">
        <v>9</v>
      </c>
      <c r="B5" s="25" t="s">
        <v>10</v>
      </c>
      <c r="C5" s="25"/>
      <c r="D5" s="26" t="s">
        <v>11</v>
      </c>
      <c r="E5" s="27" t="s">
        <v>12</v>
      </c>
      <c r="F5" s="28"/>
      <c r="G5" s="29"/>
      <c r="H5" s="30" t="s">
        <v>13</v>
      </c>
      <c r="I5" s="30"/>
      <c r="J5" s="25" t="s">
        <v>6</v>
      </c>
      <c r="K5" s="25"/>
      <c r="L5" s="30" t="s">
        <v>14</v>
      </c>
      <c r="M5" s="30"/>
      <c r="N5" s="31" t="s">
        <v>6</v>
      </c>
      <c r="O5" s="32"/>
    </row>
    <row r="6" ht="15.75" customHeight="1" spans="1:15" x14ac:dyDescent="0.25">
      <c r="A6" s="33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5"/>
    </row>
    <row r="7" ht="15.75" customHeight="1" spans="1:15" x14ac:dyDescent="0.25">
      <c r="A7" s="36" t="s">
        <v>16</v>
      </c>
      <c r="B7" s="37"/>
      <c r="C7" s="37"/>
      <c r="D7" s="37"/>
      <c r="E7" s="37"/>
      <c r="F7" s="38"/>
      <c r="G7" s="39" t="s">
        <v>17</v>
      </c>
      <c r="H7" s="37"/>
      <c r="I7" s="37"/>
      <c r="J7" s="37"/>
      <c r="K7" s="37"/>
      <c r="L7" s="37"/>
      <c r="M7" s="37"/>
      <c r="N7" s="37"/>
      <c r="O7" s="40"/>
    </row>
    <row r="8" ht="148.5" customHeight="1" spans="1:15" x14ac:dyDescent="0.25">
      <c r="A8" s="41" t="s">
        <v>18</v>
      </c>
      <c r="B8" s="42"/>
      <c r="C8" s="42"/>
      <c r="D8" s="42"/>
      <c r="E8" s="42"/>
      <c r="F8" s="42"/>
      <c r="G8" s="43"/>
      <c r="H8" s="44"/>
      <c r="I8" s="44"/>
      <c r="J8" s="44"/>
      <c r="K8" s="44"/>
      <c r="L8" s="44"/>
      <c r="M8" s="44"/>
      <c r="N8" s="44"/>
      <c r="O8" s="45"/>
    </row>
    <row r="9" ht="18.75" customHeight="1" spans="1:15" x14ac:dyDescent="0.25">
      <c r="A9" s="46" t="s">
        <v>19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</row>
    <row r="10" ht="17.25" customHeight="1" spans="1:15" x14ac:dyDescent="0.25">
      <c r="A10" s="49" t="s">
        <v>20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ht="34.5" customHeight="1" spans="1:15" x14ac:dyDescent="0.25">
      <c r="A11" s="52" t="s">
        <v>21</v>
      </c>
      <c r="B11" s="53" t="s">
        <v>22</v>
      </c>
      <c r="C11" s="53"/>
      <c r="D11" s="53"/>
      <c r="E11" s="54" t="s">
        <v>23</v>
      </c>
      <c r="F11" s="54"/>
      <c r="G11" s="54"/>
      <c r="H11" s="53" t="s">
        <v>24</v>
      </c>
      <c r="I11" s="53"/>
      <c r="J11" s="53"/>
      <c r="K11" s="53"/>
      <c r="L11" s="54" t="s">
        <v>25</v>
      </c>
      <c r="M11" s="54"/>
      <c r="N11" s="55">
        <v>36850</v>
      </c>
      <c r="O11" s="56"/>
    </row>
    <row r="12" ht="34.5" customHeight="1" spans="1:15" x14ac:dyDescent="0.25">
      <c r="A12" s="57" t="s">
        <v>26</v>
      </c>
      <c r="B12" s="58"/>
      <c r="C12" s="59"/>
      <c r="D12" s="60"/>
      <c r="E12" s="61" t="s">
        <v>23</v>
      </c>
      <c r="F12" s="62"/>
      <c r="G12" s="63"/>
      <c r="H12" s="58"/>
      <c r="I12" s="59"/>
      <c r="J12" s="59"/>
      <c r="K12" s="60"/>
      <c r="L12" s="61" t="s">
        <v>25</v>
      </c>
      <c r="M12" s="63"/>
      <c r="N12" s="64"/>
      <c r="O12" s="65"/>
    </row>
    <row r="13" ht="34.5" customHeight="1" spans="1:15" x14ac:dyDescent="0.25">
      <c r="A13" s="57" t="s">
        <v>27</v>
      </c>
      <c r="B13" s="58"/>
      <c r="C13" s="59"/>
      <c r="D13" s="60"/>
      <c r="E13" s="61" t="s">
        <v>23</v>
      </c>
      <c r="F13" s="62" t="s">
        <v>23</v>
      </c>
      <c r="G13" s="63" t="s">
        <v>23</v>
      </c>
      <c r="H13" s="58"/>
      <c r="I13" s="59"/>
      <c r="J13" s="59"/>
      <c r="K13" s="60"/>
      <c r="L13" s="61" t="s">
        <v>25</v>
      </c>
      <c r="M13" s="63" t="s">
        <v>25</v>
      </c>
      <c r="N13" s="64"/>
      <c r="O13" s="65"/>
    </row>
    <row r="14" ht="34.5" customHeight="1" spans="1:15" x14ac:dyDescent="0.25">
      <c r="A14" s="57" t="s">
        <v>28</v>
      </c>
      <c r="B14" s="66" t="s">
        <v>29</v>
      </c>
      <c r="C14" s="66" t="s">
        <v>29</v>
      </c>
      <c r="D14" s="66" t="s">
        <v>29</v>
      </c>
      <c r="E14" s="67" t="s">
        <v>23</v>
      </c>
      <c r="F14" s="67" t="s">
        <v>23</v>
      </c>
      <c r="G14" s="67" t="s">
        <v>23</v>
      </c>
      <c r="H14" s="68" t="s">
        <v>30</v>
      </c>
      <c r="I14" s="68" t="s">
        <v>30</v>
      </c>
      <c r="J14" s="68" t="s">
        <v>30</v>
      </c>
      <c r="K14" s="68" t="s">
        <v>30</v>
      </c>
      <c r="L14" s="67" t="s">
        <v>25</v>
      </c>
      <c r="M14" s="67" t="s">
        <v>25</v>
      </c>
      <c r="N14" s="69">
        <v>39248</v>
      </c>
      <c r="O14" s="70">
        <v>39248</v>
      </c>
    </row>
    <row r="15" ht="34.5" customHeight="1" spans="1:15" x14ac:dyDescent="0.25">
      <c r="A15" s="71" t="s">
        <v>31</v>
      </c>
      <c r="B15" s="72"/>
      <c r="C15" s="72"/>
      <c r="D15" s="72"/>
      <c r="E15" s="73" t="s">
        <v>23</v>
      </c>
      <c r="F15" s="73" t="s">
        <v>23</v>
      </c>
      <c r="G15" s="73" t="s">
        <v>23</v>
      </c>
      <c r="H15" s="68"/>
      <c r="I15" s="68"/>
      <c r="J15" s="68"/>
      <c r="K15" s="68"/>
      <c r="L15" s="73" t="s">
        <v>25</v>
      </c>
      <c r="M15" s="73" t="s">
        <v>25</v>
      </c>
      <c r="N15" s="74"/>
      <c r="O15" s="75"/>
    </row>
    <row r="16" ht="34.5" customHeight="1" spans="1:15" x14ac:dyDescent="0.25">
      <c r="A16" s="76" t="s">
        <v>32</v>
      </c>
      <c r="B16" s="77"/>
      <c r="C16" s="77"/>
      <c r="D16" s="77"/>
      <c r="E16" s="78" t="s">
        <v>33</v>
      </c>
      <c r="F16" s="78" t="s">
        <v>33</v>
      </c>
      <c r="G16" s="78" t="s">
        <v>33</v>
      </c>
      <c r="H16" s="77"/>
      <c r="I16" s="77"/>
      <c r="J16" s="77"/>
      <c r="K16" s="77"/>
      <c r="L16" s="79"/>
      <c r="M16" s="79"/>
      <c r="N16" s="79"/>
      <c r="O16" s="80"/>
    </row>
    <row r="17" ht="27" customHeight="1" spans="1:15" x14ac:dyDescent="0.25">
      <c r="A17" s="81" t="s">
        <v>34</v>
      </c>
      <c r="B17" s="82" t="s">
        <v>34</v>
      </c>
      <c r="C17" s="82" t="s">
        <v>34</v>
      </c>
      <c r="D17" s="82" t="s">
        <v>34</v>
      </c>
      <c r="E17" s="82" t="s">
        <v>34</v>
      </c>
      <c r="F17" s="82" t="s">
        <v>34</v>
      </c>
      <c r="G17" s="82" t="s">
        <v>34</v>
      </c>
      <c r="H17" s="82" t="s">
        <v>34</v>
      </c>
      <c r="I17" s="82" t="s">
        <v>34</v>
      </c>
      <c r="J17" s="82" t="s">
        <v>34</v>
      </c>
      <c r="K17" s="82" t="s">
        <v>34</v>
      </c>
      <c r="L17" s="82" t="s">
        <v>34</v>
      </c>
      <c r="M17" s="82" t="s">
        <v>34</v>
      </c>
      <c r="N17" s="82" t="s">
        <v>34</v>
      </c>
      <c r="O17" s="83" t="s">
        <v>34</v>
      </c>
    </row>
    <row r="18" ht="28.5" customHeight="1" spans="1:15" x14ac:dyDescent="0.25">
      <c r="A18" s="84" t="s">
        <v>35</v>
      </c>
      <c r="B18" s="84" t="s">
        <v>36</v>
      </c>
      <c r="C18" s="85" t="s">
        <v>37</v>
      </c>
      <c r="D18" s="85" t="s">
        <v>38</v>
      </c>
      <c r="E18" s="85" t="s">
        <v>39</v>
      </c>
      <c r="F18" s="85" t="s">
        <v>40</v>
      </c>
      <c r="G18" s="85" t="s">
        <v>40</v>
      </c>
      <c r="H18" s="84" t="s">
        <v>41</v>
      </c>
      <c r="I18" s="84" t="s">
        <v>41</v>
      </c>
      <c r="J18" s="84" t="s">
        <v>41</v>
      </c>
      <c r="K18" s="85" t="s">
        <v>42</v>
      </c>
      <c r="L18" s="85" t="s">
        <v>42</v>
      </c>
      <c r="M18" s="84" t="s">
        <v>43</v>
      </c>
      <c r="N18" s="84" t="s">
        <v>43</v>
      </c>
      <c r="O18" s="84" t="s">
        <v>43</v>
      </c>
    </row>
    <row r="19" ht="29.25" customHeight="1" spans="1:15" s="86" customFormat="1" x14ac:dyDescent="0.25">
      <c r="A19" s="84" t="s">
        <v>35</v>
      </c>
      <c r="B19" s="84" t="s">
        <v>36</v>
      </c>
      <c r="C19" s="85" t="s">
        <v>37</v>
      </c>
      <c r="D19" s="85" t="s">
        <v>38</v>
      </c>
      <c r="E19" s="85" t="s">
        <v>39</v>
      </c>
      <c r="F19" s="85" t="s">
        <v>44</v>
      </c>
      <c r="G19" s="85" t="s">
        <v>45</v>
      </c>
      <c r="H19" s="85" t="s">
        <v>46</v>
      </c>
      <c r="I19" s="85" t="s">
        <v>47</v>
      </c>
      <c r="J19" s="85" t="s">
        <v>48</v>
      </c>
      <c r="K19" s="85" t="s">
        <v>49</v>
      </c>
      <c r="L19" s="85" t="s">
        <v>50</v>
      </c>
      <c r="M19" s="85" t="s">
        <v>51</v>
      </c>
      <c r="N19" s="85" t="s">
        <v>52</v>
      </c>
      <c r="O19" s="85" t="s">
        <v>53</v>
      </c>
    </row>
    <row r="20" ht="71.25" customHeight="1" spans="1:15" x14ac:dyDescent="0.25">
      <c r="A20" s="87" t="s">
        <v>54</v>
      </c>
      <c r="B20" s="87" t="s">
        <v>29</v>
      </c>
      <c r="C20" s="88">
        <v>43831</v>
      </c>
      <c r="D20" s="89">
        <v>44562</v>
      </c>
      <c r="E20" s="90" t="s">
        <v>55</v>
      </c>
      <c r="F20" s="91"/>
      <c r="G20" s="92"/>
      <c r="H20" s="93">
        <f>IF(E20="Relacionada",IF(F20="Traslape Total","-",DATEDIF(C20,D20,"Y")),"-")</f>
      </c>
      <c r="I20" s="93">
        <f>IF(E20="Relacionada",IF(F20="Traslape Total","-",DATEDIF(C20,D20,"YM")),"-")</f>
      </c>
      <c r="J20" s="93">
        <f>IF(E20="Relacionada",IF(F20="Traslape Total","-",DATEDIF(C20,D20,"Md")),"-")</f>
      </c>
      <c r="K20" s="94"/>
      <c r="L20" s="94"/>
      <c r="M20" s="95">
        <f>IF(K20="Traslape Total","-",DATEDIF(C20,D20,"Y"))</f>
      </c>
      <c r="N20" s="95">
        <f>IF(K20="Traslape Total","-",DATEDIF($C20,$D20,"YM"))</f>
      </c>
      <c r="O20" s="95">
        <f>IF(K20="Traslape Total","-",DATEDIF($C20,$D20,"MD"))</f>
      </c>
    </row>
    <row r="21" ht="12.75" customHeight="1" spans="1:15" s="86" customFormat="1" x14ac:dyDescent="0.25">
      <c r="A21" s="96" t="s">
        <v>43</v>
      </c>
      <c r="B21" s="96" t="s">
        <v>43</v>
      </c>
      <c r="C21" s="96" t="s">
        <v>43</v>
      </c>
      <c r="D21" s="96" t="s">
        <v>43</v>
      </c>
      <c r="E21" s="96" t="s">
        <v>43</v>
      </c>
      <c r="F21" s="97" t="s">
        <v>56</v>
      </c>
      <c r="G21" s="97" t="s">
        <v>56</v>
      </c>
      <c r="H21" s="98">
        <f>SUM(H20:H20)</f>
      </c>
      <c r="I21" s="98">
        <f>SUM(I20:I20)</f>
      </c>
      <c r="J21" s="98">
        <f>SUM(J20:J20)</f>
      </c>
      <c r="K21" s="97" t="s">
        <v>57</v>
      </c>
      <c r="L21" s="97" t="s">
        <v>57</v>
      </c>
      <c r="M21" s="98">
        <f>SUM(M20:M20)</f>
      </c>
      <c r="N21" s="98">
        <f>SUM(N20:N20)</f>
      </c>
      <c r="O21" s="98">
        <f>SUM(O20:O20)</f>
      </c>
    </row>
    <row r="22" ht="13.5" customHeight="1" spans="1:15" x14ac:dyDescent="0.25">
      <c r="A22" s="99" t="s">
        <v>58</v>
      </c>
      <c r="B22" s="99" t="s">
        <v>58</v>
      </c>
      <c r="C22" s="99" t="s">
        <v>58</v>
      </c>
      <c r="D22" s="99" t="s">
        <v>58</v>
      </c>
      <c r="E22" s="99" t="s">
        <v>58</v>
      </c>
      <c r="F22" s="97" t="s">
        <v>56</v>
      </c>
      <c r="G22" s="97" t="s">
        <v>56</v>
      </c>
      <c r="H22" s="100">
        <f>+INT((SUM(I20:I20)+INT((SUM(J20:J20)/30)))/12)+H21</f>
      </c>
      <c r="I22" s="97">
        <f>(((SUM(I20:I20)+INT(SUM(J20:J20)/30))/12)-(INT((SUM(I20:I20)+INT((SUM(J20:J20)/30)))/12)))*12</f>
      </c>
      <c r="J22" s="101">
        <f>(SUM(J20:J20)/30-INT(SUM(J20:J20)/30))*30</f>
      </c>
      <c r="K22" s="97" t="s">
        <v>57</v>
      </c>
      <c r="L22" s="97" t="s">
        <v>57</v>
      </c>
      <c r="M22" s="100">
        <f>+INT((SUM(N20:N20)+INT((SUM(O20:O20)/30)))/12)+M21</f>
      </c>
      <c r="N22" s="97">
        <f>(((SUM(N20:N20)+INT(SUM(O20:O20)/30))/12)-(INT((SUM(N20:N20)+INT((SUM(O20:O20)/30)))/12)))*12</f>
      </c>
      <c r="O22" s="101">
        <f>(SUM(O20:O20)/30-INT(SUM(O20:O20)/30))*30</f>
      </c>
    </row>
    <row r="23" ht="47.25" customHeight="1" spans="1:18" x14ac:dyDescent="0.25">
      <c r="A23" s="102"/>
      <c r="B23" s="103"/>
      <c r="C23" s="103"/>
      <c r="D23" s="103"/>
      <c r="E23" s="103"/>
      <c r="F23" s="103"/>
      <c r="G23" s="103"/>
      <c r="H23" s="103"/>
      <c r="I23" s="103"/>
      <c r="J23" s="1"/>
      <c r="K23" s="1"/>
      <c r="L23" s="1"/>
      <c r="M23" s="1"/>
      <c r="N23" s="1"/>
      <c r="O23" s="104"/>
      <c r="P23" s="1"/>
      <c r="Q23" s="1"/>
      <c r="R23" s="1">
        <f>5*12</f>
        <v>60</v>
      </c>
    </row>
    <row r="24" spans="1:15" x14ac:dyDescent="0.25">
      <c r="A24" s="105"/>
      <c r="B24" s="1"/>
      <c r="C24" s="1"/>
      <c r="D24" s="1"/>
      <c r="E24" s="106"/>
      <c r="F24" s="106"/>
      <c r="G24" s="106"/>
      <c r="H24" s="1"/>
      <c r="I24" s="1"/>
      <c r="J24" s="1"/>
      <c r="K24" s="1"/>
      <c r="L24" s="1"/>
      <c r="M24" s="1"/>
      <c r="N24" s="1"/>
      <c r="O24" s="104"/>
    </row>
    <row r="25" spans="1:15" x14ac:dyDescent="0.25">
      <c r="A25" s="107"/>
      <c r="B25" s="1"/>
      <c r="C25" s="1"/>
      <c r="D25" s="1"/>
      <c r="E25" s="108" t="s">
        <v>59</v>
      </c>
      <c r="F25" s="108" t="s">
        <v>59</v>
      </c>
      <c r="G25" s="108" t="s">
        <v>59</v>
      </c>
      <c r="H25" s="1"/>
      <c r="I25" s="1"/>
      <c r="J25" s="1"/>
      <c r="K25" s="1"/>
      <c r="L25" s="1"/>
      <c r="M25" s="1"/>
      <c r="N25" s="1"/>
      <c r="O25" s="104"/>
    </row>
    <row r="26" spans="1:15" x14ac:dyDescent="0.25">
      <c r="A26" s="107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04"/>
    </row>
    <row r="27" spans="1:15" x14ac:dyDescent="0.25">
      <c r="A27" s="109" t="s">
        <v>60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04"/>
    </row>
    <row r="28" spans="1:15" x14ac:dyDescent="0.25">
      <c r="A28" s="109" t="s">
        <v>61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04"/>
    </row>
    <row r="29" ht="12" customHeight="1" spans="1:15" s="110" customFormat="1" x14ac:dyDescent="0.25">
      <c r="A29" s="111" t="s">
        <v>62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3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ht="77.1" customHeight="1" spans="1:15" x14ac:dyDescent="0.25">
      <c r="A46" s="87"/>
      <c r="B46" s="87"/>
      <c r="C46" s="88"/>
      <c r="D46" s="89"/>
      <c r="E46" s="90"/>
      <c r="F46" s="91"/>
      <c r="G46" s="92"/>
      <c r="H46" s="93"/>
      <c r="I46" s="93"/>
      <c r="J46" s="93"/>
      <c r="K46" s="94"/>
      <c r="L46" s="94"/>
      <c r="M46" s="95"/>
      <c r="N46" s="95"/>
      <c r="O46" s="95"/>
    </row>
    <row r="47" ht="77.1" customHeight="1" spans="1:15" x14ac:dyDescent="0.25">
      <c r="A47" s="87"/>
      <c r="B47" s="87"/>
      <c r="C47" s="88"/>
      <c r="D47" s="89"/>
      <c r="E47" s="90"/>
      <c r="F47" s="91"/>
      <c r="G47" s="92"/>
      <c r="H47" s="93"/>
      <c r="I47" s="93"/>
      <c r="J47" s="93"/>
      <c r="K47" s="94"/>
      <c r="L47" s="94"/>
      <c r="M47" s="95"/>
      <c r="N47" s="95"/>
      <c r="O47" s="95"/>
    </row>
    <row r="48" ht="77.1" customHeight="1" spans="1:15" x14ac:dyDescent="0.25">
      <c r="A48" s="87"/>
      <c r="B48" s="87"/>
      <c r="C48" s="88"/>
      <c r="D48" s="89"/>
      <c r="E48" s="90"/>
      <c r="F48" s="91"/>
      <c r="G48" s="92"/>
      <c r="H48" s="93"/>
      <c r="I48" s="93"/>
      <c r="J48" s="93"/>
      <c r="K48" s="94"/>
      <c r="L48" s="94"/>
      <c r="M48" s="95"/>
      <c r="N48" s="95"/>
      <c r="O48" s="95"/>
    </row>
    <row r="49" ht="77.1" customHeight="1" spans="1:15" x14ac:dyDescent="0.25">
      <c r="A49" s="87"/>
      <c r="B49" s="87"/>
      <c r="C49" s="88"/>
      <c r="D49" s="89"/>
      <c r="E49" s="90"/>
      <c r="F49" s="91"/>
      <c r="G49" s="92"/>
      <c r="H49" s="93"/>
      <c r="I49" s="93"/>
      <c r="J49" s="93"/>
      <c r="K49" s="94"/>
      <c r="L49" s="94"/>
      <c r="M49" s="95"/>
      <c r="N49" s="95"/>
      <c r="O49" s="95"/>
    </row>
    <row r="50" ht="77.1" customHeight="1" spans="1:15" x14ac:dyDescent="0.25">
      <c r="A50" s="87"/>
      <c r="B50" s="87"/>
      <c r="C50" s="88"/>
      <c r="D50" s="89"/>
      <c r="E50" s="90"/>
      <c r="F50" s="91"/>
      <c r="G50" s="92"/>
      <c r="H50" s="93"/>
      <c r="I50" s="93"/>
      <c r="J50" s="93"/>
      <c r="K50" s="94"/>
      <c r="L50" s="94"/>
      <c r="M50" s="95"/>
      <c r="N50" s="95"/>
      <c r="O50" s="95"/>
    </row>
  </sheetData>
  <mergeCells count="33">
    <mergeCell ref="A1:C1"/>
    <mergeCell ref="D1:O1"/>
    <mergeCell ref="A2:O2"/>
    <mergeCell ref="A3:N3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</mergeCells>
  <dataValidations count="1">
    <dataValidation type="list" allowBlank="1" showInputMessage="1" showErrorMessage="1" sqref="E36:E66">
      <formula1>"Relacionada,Profesional,Laboral"</formula1>
    </dataValidation>
  </dataValidation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FORMATO FT-318</vt:lpstr>
      <vt:lpstr>Documentos NO Aplican</vt:lpstr>
      <vt:lpstr>Cotejo Funcional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2026-10-01T20:35:39Z</dcterms:modified>
</cp:coreProperties>
</file>